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in-54d8a6168fa9c510</t>
        </is>
      </c>
      <c r="B2" t="inlineStr">
        <is>
          <t>Senior Software Engineer</t>
        </is>
      </c>
      <c r="C2" t="inlineStr">
        <is>
          <t>PTC</t>
        </is>
      </c>
      <c r="D2" t="inlineStr">
        <is>
          <t>indeed</t>
        </is>
      </c>
      <c r="E2">
        <f>HYPERLINK("https://www.indeed.com/viewjob?jk=54d8a6168fa9c510", "https://www.indeed.com/viewjob?jk=54d8a6168fa9c510")</f>
        <v/>
      </c>
      <c r="F2">
        <f>HYPERLINK("https://ptc.eightfold.ai/careers/job/137478710310", "https://ptc.eightfold.ai/careers/job/137478710310")</f>
        <v/>
      </c>
      <c r="G2" t="inlineStr">
        <is>
          <t>Boston, MA, US</t>
        </is>
      </c>
      <c r="H2" s="2" t="n">
        <v>46049</v>
      </c>
      <c r="I2" t="inlineStr">
        <is>
          <t>Our world is transforming, and PTC is leading the way. Our software brings the physical and digital worlds together, enabling companies to improve operations, create better products, and empower people in all aspects of their business.
Our people make all the difference in our success. Today, we are a global team of nearly 7,000 and our main objective is to create opportunities for our team members to explore, learn, and grow – all while seeing their ideas come to life and celebrating the differences that make us who we are and the work we do possible.
**Senior Software Engineer\-Creo Core**
**Hybrid\-Boston, MA**
**About the Team**
The Creo Core team is responsible for the **backbone of the PTC Creo product**, one of the company’s flagship offerings. This team owns and advances one of the most critical capabilities of the Creo CAD modeler: the **state\-of\-the\-art****3D geometry kernel** that powers industrial grade design and engineering workflows. Our work enables PTC to remain a leader in the global CAD market by delivering **best in****class****, mathematically robust 3D modeling performance**.
**About the Role**
As a **Senior Software Engineer**, you will work at the intersection of **numerical methods, computational geometry, and****high\-performance****C\+\+ engineering**. You will implement and improve core algorithms that directly affect model robustness, regeneration, geometric accuracy, and the user’s ability to build reliably complex designs.
This is a hands\-on engineering role in which you will dive deep into the world of 3D geometry, develop mathematically sophisticated features, and help modernize and enhance critical components of the Creo modeling engine.
This role is ideal for engineers with strong mathematical intuition, experience in geometry\-heavy or algorithmically complex systems, and a passion for solving problems involving accuracy, numerical stability, and large geometric datasets.
 **Key Responsibilities**
**Core Geometry \&amp; Algorithm Development**
* Implement, enhance, and maintain **geometry kernel algorithms** based on numerical methods, analytical geometry, and differential geometry.
* Develop and refine modeling functions such as curve/surface operations, intersections, feature definitions, deformable geometry, and constraint behaviors.
* Translate advanced mathematical concepts into efficient, production grade C\+\+ implementations.
**Performance \&amp; Reliability Engineering**
* Optimize algorithms for speed, numerical stability, and accuracy across large and complex models.
* Analyze challenging geometry failures, identify root causes in modeling behavior, and implement robust fixes.
* Work with multi\-precision arithmetic, optimization techniques, or parameterized geometry where applicable.
**Collaboration \&amp; System Integration**
* Partner with peer engineering teams, product managers, and QA to define requirements and deliver reliable modeling capabilities.
* Participate in design reviews and provide clear explanations of algorithmic tradeoffs and geometric considerations.
* Contribute to modernization efforts within the kernel, refactoring older components into more maintainable and scalable architectures.
**Continuous Technical Growth**
* Expand your expertise in state\-of\-the\-art geometric modeling and CAD algorithms.
* Stay current with advancements in computational geometry, optimization, numerical methods, and applied math relevant to CAD.
 **Basic Qualifications**
* Ability to commute to the Seaport Boston office 2\-3 days a week.
* **MS or higher in Mathematics, Applied Mathematics, or Physics** (required).
* **BS in Computer Science** or equivalent experience (preferred).
* **3\+ years of****hands\-on****C/C\+\+ development experience**.
* Background in **math algorithm development, computational geometry, numerical modeling**, or **mechanical 3D design** (advantageous).
* Strong understanding of data structures, algorithms, and problem\-solving techniques for mathematically complex systems.
* Excellent communication skills with the ability to explain complex mathematical or geometric concepts clearly.
 **Preferred Qualifications**
* Experience with **algorithmic optimization**, numerical stability techniques, or large\-scale geometric computation.
* Familiarity with **multi****\-****precision arithmetic**, gradient\-based methods, or advanced numerical libraries.
* Exposure to computational geometry, point cloud processing, or geometric modeling research.
* Comfort working in large legacy codebases and contributing to architectural modernization.
* Ability to translate advanced mathematical reasoning into efficient and reliable software.
 **Success in This Role Looks Like**
* Delivering reliable, performant geometry features with measurable accuracy or robustness improvements.
* Solving geometric and algorithmic challenges that require mathematical depth and careful reasoning.
* Building trust with adjacent teams through thoughtful communication and high\-quality engineering outputs.
* Demonstrating ownership of subsystems and contributing to long term improvements in modeling quality.
PTC carefully considers a wide variety of factors when determining compensation. The anticipated annual salary range for this position is between $112,000\-135,000\. The salary range reflects a good\-faith estimate of compensation at the time of posting. Actual compensation may vary based on a candidate's skills, qualifications, experience, and location. Additionally, candidates may be eligible for a performance\-based bonus. Employees also have the opportunity to become a PTC shareholder through our employee share purchase program (ESPP), which allows for the purchase of discounted PTC stock. Certain roles may also be eligible for participation in our equity programs. Employees may be eligible for medical, dental and vision insurance, paid time off and sick leave, tuition reimbursement, 401(k) contributions and employer match, flexible spending accounts, life insurance, disability coverage and, if you are an office\-assigned employee, a generous commuter subsidy. All total rewards and benefits programs are
subject to applicable plan eligibility and other terms and conditions.
For more information about PTC’s comprehensive benefits, please visit our Careers Page.
Applications will be accepted on an on\-going basis.
At PTC, we believe in the power of diverse ideas and perspectives. As a global company that values and respects all identities, cultures, and perspectives, we strive to create an inclusive PTC for ALL through an environment where everyone feels like they belong and are empowered to bring their true, authentic selves to work. Proud to be an Equal Opportunity Employer, we welcome applicants from all backgrounds and hire without regard to race, national origin, religion, age, color, ethnicity, ancestry, marital status, sex (including pregnancy), sexual orientation, gender identity, gender expression, genetic information, disability, veteran status, or any other characteristic protected by local, state, or federal laws, rules, or regulations. It is unlawful in Massachusetts to require or administer a lie detector test as a condition of employment or continued employment. An employer who violates this law shall be subject to criminal penalties and civil liability.
PTC endeavors to make ptc.com/careers accessible to all users. If you would like to contact us regarding the accessibility of our website or need assistance completing the application process, please contact PTC's Talent Acquisition team at TalentAcquisition@ptc.com. This contact information is for accommodation requests only and cannot be used to inquire about the status of applications.  
Life at PTC is about more than working with today’s most cutting\-edge technologies to transform the physical world. It’s about showing up as you are and working alongside some of today’s most talented industry leaders to transform the world around you.
If you share our passion for problem\-solving through innovation, you’ll likely become just as passionate about the PTC experience as we are. Are you ready to explore your next career move with us?
We respect the privacy rights of individuals and are committed to handling Personal Information responsibly and in accordance with all applicable privacy and data protection laws. ."</t>
        </is>
      </c>
    </row>
    <row r="3">
      <c r="A3" t="inlineStr">
        <is>
          <t>in-30176802d0029428</t>
        </is>
      </c>
      <c r="B3" t="inlineStr">
        <is>
          <t>Staff Software Engineer, Google Cloud Business Platforms</t>
        </is>
      </c>
      <c r="C3" t="inlineStr">
        <is>
          <t>Google</t>
        </is>
      </c>
      <c r="D3" t="inlineStr">
        <is>
          <t>indeed</t>
        </is>
      </c>
      <c r="E3">
        <f>HYPERLINK("https://www.indeed.com/viewjob?jk=30176802d0029428", "https://www.indeed.com/viewjob?jk=30176802d0029428")</f>
        <v/>
      </c>
      <c r="F3">
        <f>HYPERLINK("https://careers.google.com/jobs/results/77014966040699590-staff-software-engineer/", "https://careers.google.com/jobs/results/77014966040699590-staff-software-engineer/")</f>
        <v/>
      </c>
      <c r="G3" t="inlineStr">
        <is>
          <t>Sunnyvale, CA, US</t>
        </is>
      </c>
      <c r="H3" s="2" t="n">
        <v>46049</v>
      </c>
      <c r="I3" t="inlineStr">
        <is>
          <t>### **Minimum qualifications:**
* Bachelor's degree or equivalent practical experience.
* 8 years of experience in software development.
* 5 years of experience with full stack development, across back\-end such as Java, Python, GO, or C\+\+ codebases, and front\-end experience including JavaScript or TypeScript, HTML, CSS or equivalent.
5 years of experience testing, and launching software products, and 3 years of experience with software design and architecture.  
* 
### **Preferred qualifications:**
* Experience leading software development, working with product counterparts on a product outlook and road map, executing on the road map, building engineering systems, coaching engineering teams, and bringing to market complex products.
* Experience building software and distributed systems.
* Ability to work with new technologies, along with excellent problem\-solving and creative thinking skills.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technical direction and strategy for the Google Cloud Business Platforms, Go To Market systems \&amp; eXperiences (GTMX) organization.
* Delivering launches through partnerships with all of Google Cloud Business Platforms (GCBP) and the Cloud Business teams.
* Build a collaborative work environment, helping others in the organization and develop and expand talent through mentoring and coaching.
* Partner closely with Product Managers, Program Managers and other teams to create, drive and deliver an engaging experience to our customers. Identify and solve cross\-functional and inter\-team issues.
* Lead software development efforts by driving architecture selection, software design, execution, and operations to build out architectures that are resilient to change.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in-fed6c1c93bde3083</t>
        </is>
      </c>
      <c r="B4" t="inlineStr">
        <is>
          <t>Senior Software Engineer, Back-End</t>
        </is>
      </c>
      <c r="C4" t="inlineStr">
        <is>
          <t>Quicken Inc.</t>
        </is>
      </c>
      <c r="D4" t="inlineStr">
        <is>
          <t>indeed</t>
        </is>
      </c>
      <c r="E4">
        <f>HYPERLINK("https://www.indeed.com/viewjob?jk=fed6c1c93bde3083", "https://www.indeed.com/viewjob?jk=fed6c1c93bde3083")</f>
        <v/>
      </c>
      <c r="F4">
        <f>HYPERLINK("https://www.quicken.com/careers/senior-software-engineer-back-end-0", "https://www.quicken.com/careers/senior-software-engineer-back-end-0")</f>
        <v/>
      </c>
      <c r="G4" t="inlineStr">
        <is>
          <t>Menlo Park, CA, US</t>
        </is>
      </c>
      <c r="H4" s="2" t="n">
        <v>46049</v>
      </c>
      <c r="I4" t="inlineStr">
        <is>
          <t>Job Title:
Senior Software Engineer, Back\-End
Location:
Menlo Park
CA
United States
Department:
Product Development
Job Requisition Number:
1019\-25R
Job Summary:
We’re looking for a talented **Senior Software Engineer** to be a key contributor in developing cloud\-based services that will drive the future of the business. You will join our small and dynamic Cloud Services team, using the latest technology and tools to build high\-quality, cross\-platform solutions that are robust, scalable, and efficient. You will also collaborate with a versatile cross\-functional team to make a significant impact on Quicken’s product offerings.
Responsibilities:* Senior Software Engineer is a technical role, with responsibilities ranging from solving technical problems to creating design documents and implementing complex designs.
* Directly responsible for consistently delivering scalable, production\-ready back\-end/server code in Java, from design and development to deployment, as a member of an Agile development team.
* Partner closely with a cross\-functional team of key stakeholders (Engineers, Architects, Product Managers, QA, and Operations) to design and implement solutions that meet user needs as well as engineering and operations.
* Display a passion for high quality, continuous learning, and experimenting and applying cutting\-edge technology, software paradigms, and engineering process improvements.
Qualifications:* Demonstrates strong software design skills (REST API design, extensible design while coding, good at DB modelling, proactive in error handling); expert in Java/Spring/Hibernate skills.
* 5\+ years of software engineering experience, including a successful track record developing customer\-facing SaaS/PaaS products.
* 3\+ years working experience in core Java, Spring Framework and AWS.
* 3\+ years working experience within microservice architecture, specifically utilizing REST services and JSON.
* Extensive experience in developing applications that are deployed in AWS.
* Fluent in Databases/SQL (MySQL experience preferred).
* Excellent programming discipline: data structures, complexity analysis, object\-oriented principles, design patterns, and unit testing.
* Excellent knowledge of the development challenges inherent with highly scalable and available web/mobile applications.
* Experience with API development and integration with 3rd\-party services is preferred.
* Ability to work well with others in a geographically distributed team.
* Team player with can\-do attitude to independently own and drive projects.
* Exceptional verbal and written communication skills.
* BS/MS in Computer Science/Engineering or equivalent.
**What we offer**
* **Competitive salary and performance bonus**
* **401(k) with 5% employer match**
* **Exceptional health insurance benefits with minimal out of pocket expenses**
* Fantastic culture, strong believers in Autonomy/Mastery/Purpose
* Customer\-driven, we make money by building the best products for our users. No confusion about how to win – create amazing products!
* Ability to work with and lead incredible talent
* Build products that make a huge difference in people’s lives
* Work on a highly recognizable brand that defines the personal finance category
Quicken is committed to fair and equitable compensation practices. The actual salary offered is determined by factors unique to each candidate, including but not limited to years and depth of experience, relevant skills, and work location. This position's expected base pay range is $158,000\-$180,000\.
Quicken is building a team of innovative and talented individuals passionate about helping people improve their financial lives. We care about our employees' well\-being and pride ourselves on offering a fabulous range of benefits and perks. From comprehensive healthcare coverage, a 401(k) plan with a generous 5% match, fitness subsidies, education reimbursement, and onsite lunches, to name a few \- we've got you covered! At Quicken, we believe happy employees are successful employees, so we're committed to creating a fun and supportive work environment that encourages personal and professional growth, recognizing that a thriving workforce is essential to our collective success! (Benefits and perks may vary based on location.)
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row>
    <row r="5">
      <c r="A5" t="inlineStr">
        <is>
          <t>in-0c184776fe0c6890</t>
        </is>
      </c>
      <c r="B5" t="inlineStr">
        <is>
          <t>Software Engineer 4</t>
        </is>
      </c>
      <c r="C5" t="inlineStr">
        <is>
          <t>CPS Energy</t>
        </is>
      </c>
      <c r="D5" t="inlineStr">
        <is>
          <t>indeed</t>
        </is>
      </c>
      <c r="E5">
        <f>HYPERLINK("https://www.indeed.com/viewjob?jk=0c184776fe0c6890", "https://www.indeed.com/viewjob?jk=0c184776fe0c6890")</f>
        <v/>
      </c>
      <c r="F5">
        <f>HYPERLINK("https://careers.cpsenergy.com/job/San-Antonio-Software-Engineer-4-TX-78205/1359951800/?feedId=197500&amp;utm_source=Indeed&amp;utm_campaign=CPSEnergy_Indeed", "https://careers.cpsenergy.com/job/San-Antonio-Software-Engineer-4-TX-78205/1359951800/?feedId=197500&amp;utm_source=Indeed&amp;utm_campaign=CPSEnergy_Indeed")</f>
        <v/>
      </c>
      <c r="G5" t="inlineStr">
        <is>
          <t>San Antonio, TX, US</t>
        </is>
      </c>
      <c r="H5" s="2" t="n">
        <v>46049</v>
      </c>
      <c r="I5" t="inlineStr">
        <is>
          <t>We are engineers, high line workers, power plant managers, accountants, electricians, project coordinators, risk analysts, customer service operators, community representatives, safety and security specialists, communicators, human resources partners, information technology technicians and much, much more. We are 3,500 people committed to enhancing the lives of the communities we serve. Together, we are powering the growth and success of our community progress every day!
**Pay Grade**
-------------
17
**Deadline to apply: Februrary 11th, at 11:59pm.**
**Position Summary**
--------------------
Analyzes, designs, develops, tests, and maintains software programs based on customer requirements, using development standards and software development lifecycle process. Daily tasks include identifying requirements for digital transformation; planning 3rd party integrations, planning and developing native code; contributing to build vs. buy decisions; and coding, testing, documenting, error handling, and mitigating performance improvements in the development life cycle. Demonstrates technical expertise and programming skills for assigned code base, develops new coding skills as required; establishes repeatable guidelines and scalable standards; and leads cross\-disciplinary team to deliver solutions that meet business, technical, and user requirements.
**Tasks and Responsibilities**
------------------------------
* Designs, develops, tests, and maintains software solutions to meet customer requirements. Tasks required to complete this often include requirements analysis, documentation, error/exception handling, business process implementation, performance analysis/improvements and technology research.
* Provides software development work estimates and work scheduling, in coordination with project management.
* Plans work schedule, including assessing work prioritization.
* Maintain technical skills through hands\-on experience, independent research, training and/or conferences.
* Good understanding of secure cloud technologies.
* Collaborates with leadership, product owners, architects, and business liaison to understand requirements
* Maintains and enhances existing system design through strong understanding of architecture and test\-driven development skills
* Research and develop new technologies to enhance current and future design, security, and system performance
* Strong understanding of Web Services and SOAP/REST integrations of third\-party and remote systems
* Expert knowledge in optimizing SQL relational operations including direct query, caching mechanisms, read/write clustering, etc.
* Expert understanding of DevOps best practices, Code Repository Branching/Merging, and system integrations
* Expert knowledge of code implementation, and upgrades of platform infrastructures
* Good understanding of the configuration and management of Apache Tomcat for hosting Java Web Applications
* Knowledge of SSL and Encryption methodologies, as well as an understanding of SSL implementations
* Expert experience in full\-stack application design and development
* Participates in analysis and architectural design for new and existing applications
* Plans work schedule and estimates for project management and resource coordination
* Works closely with Infrastructure and Architect teams to develop and enhance cloud\-based solutions
* Managing oversight and code review of reporting developers
* Willingness to lead and mentor other developers
* Leads team implementations and can identify gaps and complications in application development designs
* Responsible for development and documentation standards.
* Performs peer reviews to ensure compliance, as well as overview of project documentation.
* Identifies team challenges and manages project expectations to coordinate across other project teams, as well as managing customer relationships.
* Ability to professionally negotiate and challenge decisions, when necessary, to ensure project success.
* Participate in Agile development methodology and ceremonies including negotiations with product managers and stakeholders.
* Mentoring other team members on Agile best practices.
* Knowledge, Skills \&amp; Abilities
* Supervisory duties may be expected.
**Minimum Skills**
------------------
**Minimum Knowledge and Abilities**
-----------------------------------
Subject Matter Exp exp in web\-based IT solutions:
Demonstrates at least prim tech skill area listed here: Java \&amp;/or web progr, incl JSP, Servlets, JDBC, web srvcs, mobile, Angular, React, React Native, VueJS, JSON \&amp; HTML web dev, Relational database design \&amp; appl dev (i.e., Oracle, DB2, etc.),
Including SQL queries, PL/SQL, Oracle APEX, DB2, etc., \&amp; Hands\-on developer appl server exp, incl Apache Tomcat, WeSphere Appl Server or other (preferred).
Proficient in using Github, including branching and merging.
Experience managing source code conflict resolution and releases for an entire squad.
Object\-oriented programming experience.
Ability to work well in a team environment.
Ability to manage project schedules and tasks, working closely with Scrum Master to coordinate resources and timelines.
Experience with one or more development methodologies (i.e., waterfall, Agile, Rational Unified Process – RUP, etc.).
Demonstrates critical thinking problem solving skills on a semi\-routing basis for creative and innovative solutions.
Demonstrates decision\-making and communication skills to address customer issues, as well as analyze and clarify a new project assignment.
Demonstrates technical writing skills.
Demonstrates customer service and situation\-appropriate, professional customer communication.
Demonstrates time management and multi\-tasking skills.
Independent time management, responsible for general guidelines and project artifacts.
Expert in the design and implementations of APIs and modern technology architectures.**Preferred Qualifications**
----------------------------
* Experience with Microsoft Azure, specifically as it relates to serverless and/or immutable architecture, automated deployment pipelines, and infrastructure as code (IaC).
* Java Developer Certification(s)
* Oracle or DB2 Certification(s)
* Experience with Oracle AEM integrations
* Experience with Oracle Visual Builder
* Subject Matter Expert experience in web\-based IT solutions
* Web\-team leadership experience
* Self\-Manage budgets, monitor team progress, adjust resources and priorities accordingly
* Establish timelines
* Ability to work independently
* Ability to communicate in a collaborative DevOps environment with the team, managers, business units and stakeholders.
* Ability to document project integrations and effectively communicate at all levels of the organizational hierarchy.
* Leadership skills and ability to mentor peer developers.
* User Interface (UI) development experience
* Expert knowledge and experience in mobile responsible Web design methodologies
* Subject Matter Expert experience in mobile responsive Web design
* Advanced knowledge of OWASP and familiarity with web application vulnerabilities.
* Experience with CI/CD pipeline configurations and management
* Working knowledge of source control software (SVN or Git), build and deployment tools (Maven, Jenkins, Gradle)
* Sharp troubleshooting skills and real\-world systems deployment experience.
**Competencies**
----------------
Working with Diverse Populations
Coordinating Project Activities
Thinking Globally
Interacting with People at Different Levels
Developing Talent
Delivering High Quality Work**Minimum Education**
---------------------
Bachelor’s degree in Computer Science, Information Sys, Electrical Engineering from an accredited university OR Relevant technical programming experience.**Required Certifications**
---------------------------
**Working Environment**
-----------------------
Indoor work, operating computer, manual dexterity, talking, hearing, repetitive motion. Use of personal computing equipment, telephone, multi\-functioning printer and calculator.
Ability to travel to and from meetings, training sessions or other business related events.**Physical Demands**
--------------------
Exerting up to 10 pounds of force occasionally, and/or a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CPS Energy does not discriminate against applicants or employees. CPS Energy is committed to providing equal opportunity in all of its employment practices, including selection, hiring, promotion, transfers and compensation, to all qualified applicants and employees without regard to race, religion, color, sex, sexual orientation, gender identity, national origin, citizenship status, veteran status, pregnancy, age, disability, genetic information or any other protected status. CPS Energy will comply with all laws and regulations.</t>
        </is>
      </c>
    </row>
    <row r="6">
      <c r="A6" t="inlineStr">
        <is>
          <t>in-93aa7bc4748313c6</t>
        </is>
      </c>
      <c r="B6" t="inlineStr">
        <is>
          <t>Software Engineer II (Breakthrough)</t>
        </is>
      </c>
      <c r="C6" t="inlineStr">
        <is>
          <t>U.S. Venture, Inc.</t>
        </is>
      </c>
      <c r="D6" t="inlineStr">
        <is>
          <t>indeed</t>
        </is>
      </c>
      <c r="E6">
        <f>HYPERLINK("https://www.indeed.com/viewjob?jk=93aa7bc4748313c6", "https://www.indeed.com/viewjob?jk=93aa7bc4748313c6")</f>
        <v/>
      </c>
      <c r="F6">
        <f>HYPERLINK("https://careers.usventure.com/us/en/job/USVEUSR5687/Software-Engineer-II-Breakthrough?utm_source=indeed&amp;utm_medium=phenom-feeds", "https://careers.usventure.com/us/en/job/USVEUSR5687/Software-Engineer-II-Breakthrough?utm_source=indeed&amp;utm_medium=phenom-feeds")</f>
        <v/>
      </c>
      <c r="G6" t="inlineStr">
        <is>
          <t>Green Bay, WI, US</t>
        </is>
      </c>
      <c r="H6" s="2" t="n">
        <v>46049</v>
      </c>
      <c r="I6" t="inlineStr">
        <is>
          <t>**POSITION SUMMARY**
--------------------
We are seeking a skilled and experienced Software Engineer II to join our dynamic and innovative engineering team. As a key member of our engineering team, you will play a crucial role in the design, development, and maintenance of our full stack software solutions. You will work on both frontend and backend components, gaining valuable experience in a collaborative and dynamic environment.**JOB RESPONSIBILITIES**
------------------------
Development:
* Write clean, efficient, and maintainable code.
* Contribute to development tasks as part of a cross\-functional team.
Architectural Design:
* Work closely with team members and other product leads to understand requirements, participate in design discussions, and contribute to the overall success of the product.
Technical Excellence:
* Actively seek opportunities for learning and skill development.
* Contribute to optimization and refactoring of code to address performance bottlenecks and improve system efficiency.
* Participate in code reviews and learn from more senior engineers to ensure delivery of high\-quality, maintainable code.
* Write and execute unit tests to ensure the quality and reliability of the code.
* Identify and address technical challenges, troubleshoot issues, and work collaboratively to find effective solutions.
Innovation:
* Stay updated on industry trends and emerging technologies.
Collaboration:
* Work with senior, staff, and principal engineers to contribute to the improvement of development processes.
* Mentor junior engineers, contributing to their growth and learning within their craft.
**This Role Might Be a Great Fit If…**
* You're enthusiastic about tackling complex challenges and can distill them into actionable solutions.
* You prioritize writing clean, readable, and testable code, while understanding the importance of pragmatism.
* Understanding the underlying purpose of your work motivates you, beyond merely delivering features.
* You thrive in collaborative settings, engaging with engineers, product owners, and designers to achieve common goals.
* You're committed to advancing sustainability in transportation and reducing environmental impact through technological innovation.
 **This Role Might Not Be the Best Fit If…**
* You prefer working in isolation or solely on predefined tasks without broader context.
* Adaptability to shifting priorities in a dynamic environment is challenging for you.
* Collaborating with non\-engineering disciplines, such as product and design, doesn't align with your working style.
* You seek a rigid hierarchical structure to guide all decision\-making processes.
* Mentoring others and contributing to team growth aren't areas of interest for you.
 **How We Work**
* **Hybrid\-Friendly:** While many team members are based in Green Bay, we embrace remote work and prioritize impact over location.
* **Cross\-Functional Teams:** You'll be part of an agile team comprised of product owners, designers, QA specialists, and fellow engineers, fostering a holistic approach to product development.
* **Continuous Improvement:** We regularly conduct retrospectives, refine our processes, and invest in addressing technical debt to enhance our workflows.
* **Empowered Engineers:** Beyond task execution, you're encouraged to influence both what we build and how we build it, ensuring alignment with our strategic objectives.
**QUALIFICATIONS**
------------------
**What you bring**
* Bachelor’s degree in Computer Science or related technical field involving coding (e.g., physics or mathematics), or equivalent technical experience
* 3\+ years as a software engineer, with a focus on a combination of frontend, backend, and data engineering.
* Proficiency in multiple programming languages, frameworks, and technologies, including some or more of the following Python, SQL, ReactJS, Node.js, JavaScript, TypeScript, Apache Beam, dbt and BigQuery.
* Knowledge of application architectures, security best practices, and data integration concepts.
* Exposure to ETL technologies and data engineering with a focus on building and maintaining data platforms and pipelines.
* Understanding of database concepts, data modeling, and data warehousing principles.
* Understanding of distributed data management systems and related applications.
* Familiarity with public cloud infrastructure design, tools, and strategies.
* Effective communication skills, with the ability to articulate technical concepts to both technical and non\-technical stakeholders.
**Tech We Use**
* **Backend:** Python, Postgres
* **Frontend:** Node, React, TypeScript, graphQL
* **Cloud \&amp; Infrastructure:** Google Cloud Platform (GCP), Terraform, Docker
* **Data \&amp; Analytics:** BigQuery, dbt
* **Monitoring \&amp; Observability:** GCP Monitoring
While expertise in every technology isn't required, familiarity with our stack is beneficial. We're keen to work with individuals who bring relevant experience and a willingness to learn.
**Why Breakthrough**
* **Mission\-Driven Work:** Engage in projects that have a tangible impact on the economy and the environment. Hear more about our innovation in this video.
* **Supportive Culture:** Experience a workplace that values autonomy, growth, and meaningful contributions.
* **Leadership Opportunities:** Take on roles that allow you to mentor, guide, and shape the future of our products and technological direction.
* **Established Backing:** As a U.S. Venture company, we benefit from a legacy of innovation and a commitment to sustainable practices.
**Apply Now**
If you're driven to develop smarter, cleaner transportation solutions and want to be part of a team that's making a difference, we'd love to hear from you!
**DIVISION**:
Breakthrough
**U.S. Venture requires that a team member have and maintain authorization to work in the country in which the role is based. In general, U.S. Venture does not sponsor candidates for nonimmigrant visas or permanent residency** **unless based on business need.**
**U.S. Venture will not accept unsolicited resumes from recruiters or employment agencies. In the absence of an executed recruitment Master Service Agreement, there will be no obligation to any referral compensation or recruiter fee. In the event a recruiter or agency submits a resume or candidate without an agreement, U.S. Venture shall reserve the right to pursue and hire those candidate(s) without any financial obligation to the recruiter or agency. Any unsolicited resumes, including those submitted to hiring managers, shall be deemed the property of U.S. Venture.**
**U.S. Venture, Inc. is an equal opportunity employer that is committed to inclusion and diversity. We ensure equal opportunity for all applicants without regard to race, color, religion, sex, sexual orientation, gender, gender identity or expression, marital status, age, national origin, disability, veteran status, genetic information, or other protected characteristic.** **If you need assistance or an accommodation due to a disability, you may call Human Resources at** **(920\) 739\-6101****.**</t>
        </is>
      </c>
    </row>
    <row r="7">
      <c r="A7" t="inlineStr">
        <is>
          <t>in-0094b35badc3d0e2</t>
        </is>
      </c>
      <c r="B7" t="inlineStr">
        <is>
          <t>Manager Software Engineering</t>
        </is>
      </c>
      <c r="C7" t="inlineStr">
        <is>
          <t>Caterpillar</t>
        </is>
      </c>
      <c r="D7" t="inlineStr">
        <is>
          <t>indeed</t>
        </is>
      </c>
      <c r="E7">
        <f>HYPERLINK("https://www.indeed.com/viewjob?jk=0094b35badc3d0e2", "https://www.indeed.com/viewjob?jk=0094b35badc3d0e2")</f>
        <v/>
      </c>
      <c r="F7">
        <f>HYPERLINK("https://careers.caterpillar.com/en/jobs/r0000343527/manager-software-engineering/", "https://careers.caterpillar.com/en/jobs/r0000343527/manager-software-engineering/")</f>
        <v/>
      </c>
      <c r="G7" t="inlineStr">
        <is>
          <t>Peoria, IL, US</t>
        </is>
      </c>
      <c r="H7" s="2" t="n">
        <v>46049</v>
      </c>
      <c r="I7"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Are you looking for a new challenging opportunity leading agile software development teams delivering new capability in one of the most used state\-of\-the\-art applications in Caterpillar? This Software Engineering Manager position will lead a team to design, build, and deploy one of Caterpillar’s state\-of\-the\-art digital applications: Service Information System (SIS).
This application enables the dealer service business and aligns with enterprise goals of parts sales and service growth. This position is accountable for hiring, managing, and mentoring multiple scrum teams of software engineers in delivering new capabilities. Proven leadership and communication skills to collaborate with Product Owners, stakeholders and the team is required.
**What You Will Do:**
* Lead, mentor and grow a team of software engineers into high performing contributors delivering dealer and customer facing applications to a global user base. Support the culture and values of the organization. Ensure high standards and quality of technical work.
* Foster a culture of innovation, excellence, ownership, continuous learning and improvement
* Balance people management with technical oversight to deliver software projects aligned with business goals
* Manage planning, execution, hiring, process improvement, stakeholder communication, while ensuring code quality, security, and best practices.
* Collaborate with peers within Global Service Applications and the Product Owner organizations and other Cat Digital teams to collaborate and prioritize requirements.
* Develop clear presentations for executive audiences to explain complex technical solutions in a simple manner.
**What You Will Have:**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**Software Engineering:** Knowledge of software engineering; ability to deliver new or enhanced software products.
**Requirements Analysis:** Knowledge of tools, methods, and techniques of requirement analysis; ability to elicit, analyze and record required business functionality and non\-functionality requirements to ensure the success of a system or software development project.
**System and Technology Integration:** Knowledge of the features and facilities of systems; ability to integrate and communicate among applications, databases and technology platforms.
**Building Relationships and Using Influence:** Naturally connects and builds strong relationships with global stakeholders, demonstrating strong emotional intelligence and an ability to communicate clearly and persuasively.
**Considerations For Top Candidates:**
* Bachelor's degree in Computer Science, Information Technology, or related field or equivalent working experience
* Software engineering experience and/or hands\-on software development team management role
* Experience leading software development projects and managing cross\-functional teams
* Strong technical skills in software development, architecture, and design.
* Excellent communication, leadership and problem\-solving skills
* Demonstrated leadership on medium to large\-scale software engineering projects impacting strategic priorities.
* Excellent leadership, stakeholder management, and communication skills with ability to drive cross\-functional collaboration
* Ability to work under pressure and within time constraints while managing shifting priorities, demands and timelines through analytical and problem\-solving skills
* Ability to effectively prioritize, delegate responsibilities and execute tasks in a high\-pressure environment.
* Experience working with Agile methodologies and tools.
* Knowledge of cloud based solutions, role\-based security, and data for global solutions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to and contributing to a reduced\-carbon future. Our innovative products and services, backed by our global dealer network, provide exceptional value that helps customers succeed.
This Job Description is intended as a general guide to the job duties for this position and is intended for the purpose of establishing the specific salary grade. It is not designed to contain or be interpreted as an exhaustive summary of all responsibilities, duties and effort required of employees assigned to this job. At the discretion of management, this description may be changed at any time to address the evolving needs of the organization. It is expressly not intended to be a comprehensive list of “essential job functions” as that term is defined by the Americans with Disabilities Act.
**Summary Pay Range:**
$147,760\.00 \- $240,110\.00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28, 2026 \- February 6,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8">
      <c r="A8" t="inlineStr">
        <is>
          <t>in-b54e6a7ae6b64b65</t>
        </is>
      </c>
      <c r="B8" t="inlineStr">
        <is>
          <t>Software Engineer</t>
        </is>
      </c>
      <c r="C8" t="inlineStr">
        <is>
          <t>FDM Group</t>
        </is>
      </c>
      <c r="D8" t="inlineStr">
        <is>
          <t>indeed</t>
        </is>
      </c>
      <c r="E8">
        <f>HYPERLINK("https://www.indeed.com/viewjob?jk=b54e6a7ae6b64b65", "https://www.indeed.com/viewjob?jk=b54e6a7ae6b64b65")</f>
        <v/>
      </c>
      <c r="F8">
        <f>HYPERLINK("https://careers.fdmgroup.com/vacancies/2224/software-engineer--newark-new-jersey.html", "https://careers.fdmgroup.com/vacancies/2224/software-engineer--newark-new-jersey.html")</f>
        <v/>
      </c>
      <c r="G8" t="inlineStr">
        <is>
          <t>NJ, US</t>
        </is>
      </c>
      <c r="H8" s="2" t="n">
        <v>46049</v>
      </c>
      <c r="I8" t="inlineStr">
        <is>
          <t>**About The Role**
------------------
This position requires the successful candidate to work on a W2 directly with FDM. We cannot accept C2C, 1099 or employment sponsorship (e.g. H1\-B) for this position.
FDM is a global business and technology consultancy delivering client and industry driven solutions through our 5 core specialist Practices; Software Engineering, Data \&amp; Analytics, IT Operations, Change \&amp; Transformation, and Risk, Regulation \&amp; Compliance.
FDM is seeking aSoftware Engineer located in Newark, NJ. Involvement in this project is anticipated to last initially 9 monthsbut may be extended.
This role will be hybridwith requirements to be in office 2\-3 days per week.
**About You**
-------------
You’ll contribute to building and maintaining high performance financial systems while enhancing our test automation coverage. This is a hybrid role, with your time split between standard software development tasks and creating automated integration tests. SFCM engineering values quality and this role is end\-to\-end, focusing on design, development and quality assurance.  
**Responsibilities:**  
* Design, develop, and maintain core components for the SFCM Platform as part of an agile squad
* Build and improve automated integration tests to strengthen the platform’s quality and reliability.
* Push best practice in TDD and BDD with a focus on producing highly resilient software.
* Participate in code reviews, technical discussions, and peer mentoring to promote engineering excellence.
* Apply secure coding standards and oversee compliance with enterprise and regulatory security requirements throughout the SDLC.
**Qualifications:**  
* Bachelor’s degree in Computer Science or related field (or equivalent experience)
* 3\+ years of professional software development experience
* Background in agile development teams, collaborating with Product Owners, Business Analysts, and QA teams
* Proficiency in one or more of:
• Java 17/21, Spring Boot / Framework  
• Oracle PL/SQL  
• JavaScript, TypeScript, React, CSS  
• REST API design and integration  
* Uses AI/Agentic tooling in a responsible, safe and productive manner.
* Experience with—or interest in—front\-end modernization using React and Redux
* Familiarity with automation and testing frameworks such as Selenium, Playwright, jMeter and Cucumber
* Bonus skills: C, C\#, WPF.
* Strong communication and teamwork skills.
**About Us**
------------
FDM powers the people behind tech and innovation. We spot trends, find top talent, and help businesses stay ahead.
With 35\+ years of experience, we coach, mentor, and launch fresh thinkers from diverse backgrounds into world\-class careers. Partnering with top global companies, we deliver the right talent at the right time—while guiding our people toward exponential growth.
 Global impact – 19 centers across North America, APAC, the UK, and Europe
 25,000\+ careers launched – and counting
 300\+ trusted client partners
**Committed to Diversity, Equity, and Inclusion**
Tech careers should be for everyone. With 80\+ nationalities represented, FDM thrives on diversity, fuels innovation through unique perspectives, and celebrates success together. As an Equal Opportunity Employer and FTSE4Good\-listed company, we ensure every qualified applicant gets a fair shot—no barriers, just opportunities.
**Additional Considerations**
FDM Group, Inc. is registered to operate and hire employees in select states within the US. We will consider employment applications exclusively from candidates who are either residing in one of the following states or willing to relocate to them: Arizona, California, Colorado, Delaware, Florida, Georgia, Illinois, Indiana, Massachusetts, Maryland, Maine, Minnesota, North Carolina, New Jersey, New York, Pennsylvania, Tennessee, Texas, Utah, and Virginia.</t>
        </is>
      </c>
    </row>
    <row r="9">
      <c r="A9" t="inlineStr">
        <is>
          <t>in-27991312a2fef95a</t>
        </is>
      </c>
      <c r="B9" t="inlineStr">
        <is>
          <t>Principal Software Engineer, Mixed Reality</t>
        </is>
      </c>
      <c r="C9" t="inlineStr">
        <is>
          <t>Anduril</t>
        </is>
      </c>
      <c r="D9" t="inlineStr">
        <is>
          <t>indeed</t>
        </is>
      </c>
      <c r="E9">
        <f>HYPERLINK("https://www.indeed.com/viewjob?jk=27991312a2fef95a", "https://www.indeed.com/viewjob?jk=27991312a2fef95a")</f>
        <v/>
      </c>
      <c r="F9">
        <f>HYPERLINK("https://grnh.se/1qqksjde7us", "https://grnh.se/1qqksjde7us")</f>
        <v/>
      </c>
      <c r="G9" t="inlineStr">
        <is>
          <t>Bellevue, WA, US</t>
        </is>
      </c>
      <c r="H9" s="2" t="n">
        <v>46049</v>
      </c>
      <c r="I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Our Warfighter Systems division is pioneering a future where mixed reality (MR), creates immersive, intuitive, and life\-saving technologies. By seamlessly integrating real\-time data with cutting\-edge visualization tools, we are empowering warfighters with unparalleled situational awareness, enhanced training experiences, and operational superiority. This team is consistently pushing the boundaries of what's possible, and shaping a future where technology and defense unite to protect our nation.  
Come join one of the strongest performing mixed reality teams in the industry, dedicated to revolutionizing experiences for the warfighter. You will develop and optimize advanced game development and game engine technologies that drive real\-time simulation, immersive training, and critical mission planning capabilities. This role requires a blend of deep technical expertise and creative problem\-solving skills as you contribute to national defense initiatives while pushing the boundaries of mixed reality.
**You might be a fit for this role if:**
* You recognize the performance gaps in existing game engines and want to lead the emergence of new 3D creation engines
* Recognize that AI is a major accelerator to the game creation process, and experimenting with emerging technologies and frameworks to revolutionize engine capabilities and user experiences excites you
* You believe the future of game engines should be highly modular, built on microservices and API's, allowing developers to assemble the right engine for the project at hand and quickly
* You obsess over technical advancement and what this means for game engines of the present and the future
#### **WHAT YOU WILL DO**
* Work with one of the industries strongest mixed reality teams to change the landscape for MR on the frontlines and beyond
* Drive prototyping initiatives to experiment with revolutionary mixed reality concepts that set new industry standards
* Design, development, and enhance game engine components tailored for mixed reality applications
* Optimize rendering pipelines, physics simulations, and real\-time interactions to deliver high\-performance immersive experiences
* Collaborate with AR/VR specialists to integrate mixed reality sensors, displays, and spatial mapping capabilities
* Implement robust pipelines that transform raw sensor data into actionable, immersive visuals for the warfighter
* Partner with product managers, hardware engineers, and warfighter subject matter experts to translate mission requirements into practical, scalable solutions
* Evaluate and integrate emerging technologies and frameworks within the game engine ecosystem
#### **REQUIRED QUALIFICATIONS**
* 10\+ years of experience in game development, computer graphics, or real\-time simulation
* Strong proficiency in C\+\+ or C\# and familiarity with graphics APIs (DirectX, OpenGL, or Vulkan), as well as Unity or Unreal engines
* Experience with shader programming and multi\-threaded rendering pipelines
* Expertise working in large codebases to solve complex problems in a matter of days and weeks, not months
* A track record of success in the gaming industry, with experience building and shipping code in a matter of days and weeks, not years
* Excellent communication skills and ability to work cross functionally with stakeholders and Executive leaders
* Must be a U.S. Person due to required access to U.S. export controlled information or facilities
#### **PREFERRED QUALIFICATIONS**
* Experience developing on console platforms
* Experience with shader programming and multi\-threaded rendering pipelines
* Understanding of immersive technologies and sensor integration is a plus
* Demonstrated experience or strong interest in developing mixed reality or simulation applications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
      <c r="A10" t="inlineStr">
        <is>
          <t>in-d434c3ec427aebac</t>
        </is>
      </c>
      <c r="B10" t="inlineStr">
        <is>
          <t>Senior Software Engineer, Crypto</t>
        </is>
      </c>
      <c r="C10" t="inlineStr">
        <is>
          <t>SoFi</t>
        </is>
      </c>
      <c r="D10" t="inlineStr">
        <is>
          <t>indeed</t>
        </is>
      </c>
      <c r="E10">
        <f>HYPERLINK("https://www.indeed.com/viewjob?jk=d434c3ec427aebac", "https://www.indeed.com/viewjob?jk=d434c3ec427aebac")</f>
        <v/>
      </c>
      <c r="F10">
        <f>HYPERLINK("https://grnh.se/9bnzy4xk3us", "https://grnh.se/9bnzy4xk3us")</f>
        <v/>
      </c>
      <c r="G10" t="inlineStr">
        <is>
          <t>San Francisco, CA, US</t>
        </is>
      </c>
      <c r="H10" s="2" t="n">
        <v>46049</v>
      </c>
      <c r="I1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We are seeking a Senior Software Engineer to join our team. SoFi is building out a new team to develop crypto products and services for our members. Recent developments made a path for SoFi to begin to re\-enter the space and expand on our product offerings with intuitive, secure and fully featured products across crypto Investing, Transfers, Payments, Custody and beyond.
On our team, you will be in the middle of it all – implementing functionality, architecting our system, squashing bugs, maintaining the health of our code, and continually growing as an engineer. The ideal candidate is both forward\-thinking and hands\-on, has a strong sense of ownership and drive for delivery, and is a good mentor and co\-worker. At SoFi, we pride ourselves on the collaboration between Product, Design and Engineering and so you will be involved in the entire product lifecycle, from ideation through building, deploying and continual improvement and evolution.
At SoFi, you'll become part of a new kind of finance company whose ambition is to help our members achieve financial independence and reach their goals. We aim to be at the center of our members' financial lives, and to help every member get their money right. We created student loan refinancing, addressing the biggest financial challenge of a new generation through a modern approach to lending and personal finance. Next we expanded our products and services across loans, wealth management, and insurance. SoFi has achieved significant growth, with ambitious plans ahead, but to continue this growth we need great talent. And that starts with you.
**What You'll Do:**
* Lead the development and testing of system components/services, code and design reviews
* Participate in shaping the technical architecture of the product
* Help translate user stories into technical solutions
* Deliver highly available and scalable services in a production environment
* Mentor other engineers, support the technical culture, and help grow the team
* Generate ideas for new initiatives and technologies
* Communicate with project leads, product managers and other software developers
**What You'll Need:**
* Bachelor's Degree, ideally in a technical field, but we understand great engineers come from all sorts of different backgrounds and also consider relevant work experience
* 5\+ years programming experience, ideally on a modern stack
* Our core stack is Kotlin / Spring / Elixir / PostgreSQL, but you don't have to be an expert in any of these. 4\+ years programming experience in similar technologies and an understanding of relational databases and ORMs suffices
* Willingness to roll up your sleeves, collaborate with others and get stuff done
* Strong sense of responsibility; driving a project from inception to completion
* Affinity for solving problems and shipping impactful features, not polishing perfect code or architecture
* Experience working in a collaborative coding environment (and git specifically), refining designs together, writing tests, working through code reviews and managing pull requests
**Nice to Haves:**
* Understanding of blockchain fundamentals and distributed ledger technologies
* Hands\-on experience working with digital assets (e.g., Bitcoin, Ethereum, stablecoins)
* Familiarity with custody, settlement, and clearing of crypto transactions
* Knowledge of crypto\-specific regulatory environments (e.g., SEC, CFTC, MiCA, etc.)
* Exposure to crypto trading platforms, market data, and DeFi protocols
* Experience integrating with or building services using crypto infrastructure providers (e.g., Fireblocks, Bitgo, Zero Hash, Anchorage)
* Awareness of Web3 trends, including NFTs, DAOs, and Layer 2 solutions
* Prior work in or collaboration with crypto\-native companies or fintechs
* Comfort with cryptographic concepts such as wallets, keys, and signatures
* Enthusiasm for the evolving digital asset ecosystem and its potential impact on financial services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SoFi**page!
#####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 The Company hires the best qualified candidate for the job, without regard to protected characteristics.
##### Pursuant to the San Francisco Fair Chance Ordinance, we will consider for employment qualified applicants with arrest and conviction records.
##### New York applicants: Notice of Employee Rights
#####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11">
      <c r="A11" t="inlineStr">
        <is>
          <t>in-aa3a9bc5ec92ab7e</t>
        </is>
      </c>
      <c r="B11" t="inlineStr">
        <is>
          <t>Software Engineer I</t>
        </is>
      </c>
      <c r="C11" t="inlineStr">
        <is>
          <t>McKinsey &amp; Company</t>
        </is>
      </c>
      <c r="D11" t="inlineStr">
        <is>
          <t>indeed</t>
        </is>
      </c>
      <c r="E11">
        <f>HYPERLINK("https://www.indeed.com/viewjob?jk=aa3a9bc5ec92ab7e", "https://www.indeed.com/viewjob?jk=aa3a9bc5ec92ab7e")</f>
        <v/>
      </c>
      <c r="F11">
        <f>HYPERLINK("https://www.mckinsey.com/careers/search-jobs/jobs/softwareengineeri-105029", "https://www.mckinsey.com/careers/search-jobs/jobs/softwareengineeri-105029")</f>
        <v/>
      </c>
      <c r="G11" t="inlineStr">
        <is>
          <t>San Jose, CA, US</t>
        </is>
      </c>
      <c r="H11" s="2" t="n">
        <v>46049</v>
      </c>
      <c r="I11" t="inlineStr">
        <is>
          <t>Job ID: 105029
- San Jose
Do you want to work on complex and pressing challenges—the kind that bring together curious, ambitious, and determined leaders who strive to become better every day? If this sounds like you, you’ve come to the right place.
YOUR IMPACT
As a Software Engineer I, you will apply cutting\-edge engineering frameworks and best practices to design and build core software and data frameworks that support our client service organizations. Your work will enable software capabilities utilized by data engineers, data scientists, consulting teams, and external clients, driving innovation and efficiency across diverse teams.
In this role, you will design and build the technical backbone for advanced analytics engagements. You will create robust, scalable, and reproducible software solutions and data pipelines for machine learning, curate and prepare data for advanced models, and manage secure data environments. You will also contribute to R\&amp;D projects and help develop innovative internal assets and frameworks. You will help to shift our model toward asset\-based consulting and expand our investment in our entrepreneurial culture.
The Chemicals practice is a global network of chemical experts and practitioners. At any point in time, approximately 250 consultants are involved in chemical\-related client projects. In the past five years alone, our Chemicals practice has supported clients across the world on more than 1,000 strategic, operations, commercial, and organization projects.
Powerful forces are reshaping the chemicals industry. As a result, the formula for success in its market is changing. Our industry experience and global reach make us uniquely positioned to help our clients address evolving challenges — and capture new opportunities within the chemicals industry.
Your work will have a tangible impact on real\-world, high\-stakes projects. By building technology assets for internal and external clients, you will help shape how organizations leverage data and software to achieve their goals, supporting McKinsey’s shift toward asset\-based consulting and delivering lasting value.
You will be based in one of our global hubs as part of our advanced analytics and software engineering community. You will work in cross\-functional Agile teams, collaborating with data scientists, machine learning engineers, project managers, and industry experts to create innovative solutions and assets that help clients unlock the full potential of their data and software systems.
At McKinsey, you will have the freedom to innovate and grow as a technologist and leader. You will work with leading technologies, collaborate with diverse, multidisciplinary teams, and gain a holistic perspective on AI, software engineering, and data engineering, positioning yourself at the forefront of innovation.
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QUALIFICATIONS AND SKILLS
* Undergrad or Advanced degree in a quantitative field like computer science, software engineering, machine learning, applied statistics, or mathematics, or equivalent experience
* 1\-2 years of relevant experience as a Software Engineer, Data Engineer, or similar role
* Strong technical knowledge in Next.js, FastAPI, agentic frameworks, GitHub Actions, and Terraform
* Hands\-on experience with SDLC methodologies and best practices, including DevOps, DataOps, and MLOps
* Proven experience building scalable, production\-grade software solutions and data pipelines for advanced analytics use cases
* Experience working across structured, semi\-structured, and unstructured data
* Familiarity with distributed computing frameworks, cloud platforms, containerization, and analytics libraries
* While we advocate using the right tech for the right task, we often leverage the following technologies: Python, PySpark, the PyData stack, SQL, Airflow, Databricks, Kedro, Dask/RAPIDS, container technologies such as Docker and Kubernetes, cloud solutions such as AWS, GCP, and Azure, and more
* Exceptional time management to meet your responsibilities in a complex and largely autonomous work environment
* Strong communication skills, both verbal and written, in English and local office language(s), with the ability to adjust your style to suit different perspectives and seniority levels</t>
        </is>
      </c>
    </row>
    <row r="12">
      <c r="A12" t="inlineStr">
        <is>
          <t>in-05594467e2f9f59f</t>
        </is>
      </c>
      <c r="B12" t="inlineStr">
        <is>
          <t>Software Engineering IC4</t>
        </is>
      </c>
      <c r="C12" t="inlineStr">
        <is>
          <t>Microsoft</t>
        </is>
      </c>
      <c r="D12" t="inlineStr">
        <is>
          <t>indeed</t>
        </is>
      </c>
      <c r="E12">
        <f>HYPERLINK("https://www.indeed.com/viewjob?jk=05594467e2f9f59f", "https://www.indeed.com/viewjob?jk=05594467e2f9f59f")</f>
        <v/>
      </c>
      <c r="F12">
        <f>HYPERLINK("https://apply.careers.microsoft.com/careers/job/1970393556746268?utm_source=indeed&amp;domain=microsoft.com", "https://apply.careers.microsoft.com/careers/job/1970393556746268?utm_source=indeed&amp;domain=microsoft.com")</f>
        <v/>
      </c>
      <c r="G12" t="inlineStr">
        <is>
          <t>US</t>
        </is>
      </c>
      <c r="H12" s="2" t="n">
        <v>46044</v>
      </c>
      <c r="I1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big data analytics team provides a range of products that enable data engineers and data scientists to extract intelligence from all data – structured, semi\-structured, and unstructured. We build the Data Engineering, Data Science, and Data Integration pillars of Microsoft Fabric.
We are looking for a highly skilled and motivated Senior Software Engineer to join our Azure Data Cosmos Platform team. The ideal candidate will have a strong background in software development, a passion for solving complex problems, and a commitment to delivering high\-quality software solutions.  
We do not just value differences or different perspectives. We seek them out and invite them in so we can tap into the collective power of everyone in the company. As a result, our customers are better served.  
Independently uses artificial intelligence tools and practices across the software development lifecycle. Understands customer/user requirements for a project/sub\-section of a product. Leads discussions for the architecture of a solution by testing design hypotheses and developing complex specifications. Independently creates a test strategy that ensures solution quality. Collaborates with internal and external teams to identify dependencies and reach common goals. Writes code that is extensible, maintainable, well\-tested, secure, and performant. Uses debugging tools to verify assumptions and improve code quality. Reviews product code to ensure appropriate test coverage and adherence to standards. Proactively drives automation within production deployment across projects. Implements security standards to raise security hardening across solutions, ensuring each layer is independently secure.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Guide and support the team in designing, building, and maintaining scalable and high\-performance data pipelines and architectures.
* Independently uses artificial intelligence tools and practices across the software development lifecycle.
* Develop and implement strategies for scaling data infrastructure to support increasing data volumes and complexity.
* Ensure projects are aligned with business objectives and delivered efficiently and effectively.
* Work closely with other teams to ensure data engineering initiatives support wider company goals.
* Facilitate communication and coordination between teams for seamless project integration.
* Writes code that is extensible, maintainable, well\-tested, secure, and performant. Uses debugging tools to verify assumptions and improve code quality. Reviews product code to ensure appropriate test coverage and adherence to standards. Proactively drives automation within production deployment across projects. Implements security standards to raise security hardening across solutions, ensuring each layer is independently secure.
* Lead the adoption of new tools and practices that can enhance the capabilities and performance of the team.
* Your responsibilities will include guiding the team through technical challenges, fostering innovation, and driving projects to improve data processing capabilities.
* Embody our culture and values
**Qualifications** **Required/Minimum Qualifications**
Bachelor's Degree in Computer Science or related technical field AND 4\+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Master's Degree in Computer Science or related technical field AND 6\+ years technical engineering experience with coding in languages including, but not limited to, C, C\+\+, C\#, Java, JavaScript, or Python
* Bachelor's Degree in Computer Science or related technical field AND 8\+ years technical engineering experience with coding in languages including, but not limited to, C, C\+\+, C\#, Java, JavaScript, or Python
\#azdat \#azuredata \#cosmos \#bigdata \#spark \#scope \#bigdata \#bigdataanalytics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
      <c r="A13" t="inlineStr">
        <is>
          <t>in-337c298037f09c9f</t>
        </is>
      </c>
      <c r="B13" t="inlineStr">
        <is>
          <t>Senior Software Engineer, Twitch</t>
        </is>
      </c>
      <c r="C13" t="inlineStr">
        <is>
          <t>Amazon.com</t>
        </is>
      </c>
      <c r="D13" t="inlineStr">
        <is>
          <t>indeed</t>
        </is>
      </c>
      <c r="E13">
        <f>HYPERLINK("https://www.indeed.com/viewjob?jk=337c298037f09c9f", "https://www.indeed.com/viewjob?jk=337c298037f09c9f")</f>
        <v/>
      </c>
      <c r="F13">
        <f>HYPERLINK("https://www.amazon.jobs/jobs/3138042/senior-software-engineer-twitch?cmpid=DA_INAD200785B", "https://www.amazon.jobs/jobs/3138042/senior-software-engineer-twitch?cmpid=DA_INAD200785B")</f>
        <v/>
      </c>
      <c r="G13" t="inlineStr">
        <is>
          <t>Seattle, WA, US</t>
        </is>
      </c>
      <c r="H13" s="2" t="n">
        <v>45995</v>
      </c>
      <c r="I1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in-a0a350339fe29acf</t>
        </is>
      </c>
      <c r="B14" t="inlineStr">
        <is>
          <t>Senior Software Engineer, Twitch</t>
        </is>
      </c>
      <c r="C14" t="inlineStr">
        <is>
          <t>Amazon.com</t>
        </is>
      </c>
      <c r="D14" t="inlineStr">
        <is>
          <t>indeed</t>
        </is>
      </c>
      <c r="E14">
        <f>HYPERLINK("https://www.indeed.com/viewjob?jk=a0a350339fe29acf", "https://www.indeed.com/viewjob?jk=a0a350339fe29acf")</f>
        <v/>
      </c>
      <c r="F14">
        <f>HYPERLINK("https://www.amazon.jobs/jobs/3138042/senior-software-engineer-twitch?cmpid=DA_INAD200785B", "https://www.amazon.jobs/jobs/3138042/senior-software-engineer-twitch?cmpid=DA_INAD200785B")</f>
        <v/>
      </c>
      <c r="G14" t="inlineStr">
        <is>
          <t>San Francisco, CA, US</t>
        </is>
      </c>
      <c r="H14" s="2" t="n">
        <v>45995</v>
      </c>
      <c r="I1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in-c3529147c721e99d</t>
        </is>
      </c>
      <c r="B15" t="inlineStr">
        <is>
          <t>Front-end Software Engineer</t>
        </is>
      </c>
      <c r="C15" t="inlineStr">
        <is>
          <t>Quantifind</t>
        </is>
      </c>
      <c r="D15" t="inlineStr">
        <is>
          <t>indeed</t>
        </is>
      </c>
      <c r="E15">
        <f>HYPERLINK("https://www.indeed.com/viewjob?jk=c3529147c721e99d", "https://www.indeed.com/viewjob?jk=c3529147c721e99d")</f>
        <v/>
      </c>
      <c r="F15">
        <f>HYPERLINK("https://grnh.se/x7qz2gkq1us", "https://grnh.se/x7qz2gkq1us")</f>
        <v/>
      </c>
      <c r="G15" t="inlineStr">
        <is>
          <t>Palo Alto, CA, US</t>
        </is>
      </c>
      <c r="H15" s="2" t="n">
        <v>46049</v>
      </c>
      <c r="I15" t="inlineStr">
        <is>
          <t>### **Who You Are**
You are an outstanding front\-end software engineer who wants to build React applications on top of a service layer powered by cutting\-edge Machine Learning and AI technologies. You excel at building modern browser\-based JavaScript applications that make Ajax calls to RESTful Microservices. You have worked with React and Redux; you want to go deep with these technologies to build the next generation of web applications. You also enjoy building compelling data visualizations.
You hold yourself to a high standard when it comes to writing clean, performant, and maintainable code that powers well\-designed web applications. You are very productive and deliver extremely high quality front\-end code where the separation of concerns is clear and follows architectural best practices. You apply software patterns well and take testing your code seriously. You write unit tests while writing production code rather than as an afterthought. Your code meets the rigorous standards needed for Continuous Integration workflows involving multi\-environment feature validation and frequent deployments to customers.
You care deeply about your work and its impact on your team's productivity. You work well in cross\-functional settings where you are expected to collaborate with members of wide\-ranging disciplines including Design, DevOps, Product, and Data Science. You value the security of a company with a proven business model and enjoy the opportunities a startup offers. You have a great work ethic and are able to take on major projects from start to finish, either solo or collaborating with other engineers. On a personal note, you are a kind and understanding team member who is friendly and eager to work with others and help them grow in their roles as you grow in yours. You maintain a positive attitude throughout the Agile Sprint cycle and help the team deliver at a steady pace on a week\-to\-week basis.
### **Who We Are**
Quantifind helps some of the world's biggest banks catch money laundering and fraud. Quantifind also works with government agencies to use the same platform to uncover criminal networks and combat money laundering committed by internationally sanctioned entities. Unlike other players in this space, Quantifind delivers results as software\-as\-a\-service (SaaS) with consumer\-grade user experiences.
Quantifind is a data science technology company whose AI platform uncovers signals of risk across disparate and unstructured text sources.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SaaS solution offers a way to cut through the inefficiency and enhance effectiveness simultaneously.
We process terabytes of data each day on our own dedicated Hadoop clusters. We use real\-time data services to enable interactive investigations in our SaaS applications and APIs. We use Kubernetes and Docker for our container ecosystem, and we develop standalone services in Scala and Python and use Spark for MapReduce jobs.
To help you succeed, we provide a supportive environment that fosters collaboration between teams and team members, where learning and professional growth are considered a key part of your success, and of ours. We offer a flexible work environment with a family friendly work\-life balance.
### **What a Great Candidate Looks Like:**
* Professional front\-end software engineer experience using React for at least 2 years
* BS or MS in Computer Science
* Outstanding written and verbal communication skills
* Previous experience at a software startup preferred
* Professional experience with JavaScript, HTML5, and CSS3
* Professional experience developing rich, powerful, and reusable components with client\-side JavaScript in React
* Professional experience using Redux to manage application state
* Experience with data visualization
* Strong UX and design sensibilities and attention to detail
* Familiarity with server\-side JavaScript using Express.js is a plus
* Familiarity with SQL databases such as Postgres
* Professional experience writing unit tests and automated integration tests
* Professional experience working with REST APIs
* Previous exposure to Agile software development and Scrum methodology, with the willingness and ability to adapt to a formalized system of ticket management that helps us build and deliver on a well\-organized schedule
### **The Opportunity We Offer**
Quantifind is seeking a Front\-end Engineer for our Front\-end team in Palo Alto, CA. You will create browser\-based, responsive applications built with React components. The Front\-end team works closely with our Data Scientists and Platform Engineers to build an interactive product that helps our customers visualize risk factors.
Quantifind's development team is centered in Palo Alto, California, and we have technology hubs in Atlanta, Georgia, and in Washington, D.C. Quantifind is currently using a hybrid mix of working from home and in the office, with regular in\-person touchpoints and shared office space.
**A highlight of our benefits:**
* Competitive salary
* Company Equity
* Exceptional benefits package
* Flexible Vacation \&amp; Paid Time Off
* Employer\-matched 401(k) plan
* A fun environment where work\-life balance is valued
The California base salary range for this full\-time position is $125,000 to 150,000\.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have a fun place to work and a devotion to succeeding together.
Will you join us? Apply now!</t>
        </is>
      </c>
    </row>
    <row r="16">
      <c r="A16" t="inlineStr">
        <is>
          <t>in-f8a3971f26179806</t>
        </is>
      </c>
      <c r="B16" t="inlineStr">
        <is>
          <t>Machine Learning Software Engineer</t>
        </is>
      </c>
      <c r="C16" t="inlineStr">
        <is>
          <t>Lendbuzz</t>
        </is>
      </c>
      <c r="D16" t="inlineStr">
        <is>
          <t>indeed</t>
        </is>
      </c>
      <c r="E16">
        <f>HYPERLINK("https://www.indeed.com/viewjob?jk=f8a3971f26179806", "https://www.indeed.com/viewjob?jk=f8a3971f26179806")</f>
        <v/>
      </c>
      <c r="F16">
        <f>HYPERLINK("https://jobs.lever.co/lendbuzz/1f4cc9fb-bda3-4b04-8597-910ac3e3dfa6?lever-source=Indeed", "https://jobs.lever.co/lendbuzz/1f4cc9fb-bda3-4b04-8597-910ac3e3dfa6?lever-source=Indeed")</f>
        <v/>
      </c>
      <c r="G16" t="inlineStr">
        <is>
          <t>Boston, MA, US</t>
        </is>
      </c>
      <c r="H16" s="2" t="n">
        <v>46049</v>
      </c>
      <c r="I16" t="inlineStr">
        <is>
          <t>At Lendbuzz, we believe financial opportunity should be more personalized and fair. We develop innovative technologies that provide underserved and overlooked borrowers with better access to credit. From our employees to our dealers, partners, and borrowers, we’ve built a company and a culture around a resolute belief in the promise and power of diversity. We value independent and critical thinking.  
We are looking for a talented Machine Learning Engineer who is passionate about delivering impactful solutions and moving models from research environments into high\-performance production systems. The ideal candidate will possess a strong background in software development principles, exceptional coding skills, and a working understanding of machine learning and DevOps methodologies.
### **Key Responsibilities:**
* Collaborate closely with data scientists and cross\-functional teams to integrate machine learning models seamlessly into production systems
* Implement end\-to\-end solutions, including architecture design, business logic, deployment and monitoring
* Perform exploratory data analysis, build baseline models and fine\-tune existing architectures to support the data science team
* Package, containerize, and deploy ML models (Financial, Text, Image) as scalable microservices (using FastAPI, Docker)
* Stay updated with advancements in machine learning and related technologies to continuously improve our solutions
* Drive the adoption of rigorous engineering standards and testing practices for ML codebases, ensuring high\-quality, reliable ML model releases
### **Key Requirements:**
* Master's or Bachelor's degree in Computer Science, Engineering, or a related field with 2\+ years of relevant industry experience
* Strong understanding of computer science fundamentals, object\-oriented programming and software design patterns
* Strong knowledge of machine learning fundamentals and proficiency in data analysis
* Proficiency in Python, SQL, FastAPI or other RESTful API architectures and AWS
* Familiarity with numpy, pandas, torch, scikit\-learn and other Python libraries commonly used in machine learning
We believe: **Diversity** **is a competitive advantage.** We celebrate our differences, and are better when we have a variety of experiences, viewpoints, and backgrounds. **Compassion** **is a strength.** We care about our customers and look to build long\-term relationships with them. **Simplicity** **is a key feature.** We work hard to make our forms and processes as painless and intuitive as possible. **Honesty and transparency are non negotiable.** We incorporate these traits in all of our interactions. **Financial opportunity belongs to everyone.** We work every day to improve lives by extending this opportunity.  
If you believe these things too then we would love to hear from you! ***A Note on Recruiting Outreach****We’ve been made aware of individuals falsely claiming to represent Lendbuzz using lookalike email addresses (eg @**lendbuzzcareers.com**). Please note that all legitimate emails from our team come from @**lendbuzz.com**. We will never ask for sensitive information or conduct interviews via messaging apps.*</t>
        </is>
      </c>
    </row>
    <row r="17">
      <c r="A17" t="inlineStr">
        <is>
          <t>in-fb69970ab0720b5a</t>
        </is>
      </c>
      <c r="B17" t="inlineStr">
        <is>
          <t>Senior Software Engineer - Data Engineering</t>
        </is>
      </c>
      <c r="C17" t="inlineStr">
        <is>
          <t>Strider Technologies</t>
        </is>
      </c>
      <c r="D17" t="inlineStr">
        <is>
          <t>indeed</t>
        </is>
      </c>
      <c r="E17">
        <f>HYPERLINK("https://www.indeed.com/viewjob?jk=fb69970ab0720b5a", "https://www.indeed.com/viewjob?jk=fb69970ab0720b5a")</f>
        <v/>
      </c>
      <c r="F17">
        <f>HYPERLINK("https://jobs.ashbyhq.com/strider-technologies/72493206-6f0a-4ec2-a9cd-6fca64b1dd75", "https://jobs.ashbyhq.com/strider-technologies/72493206-6f0a-4ec2-a9cd-6fca64b1dd75")</f>
        <v/>
      </c>
      <c r="G17" t="inlineStr">
        <is>
          <t>South Jordan, UT, US</t>
        </is>
      </c>
      <c r="H17" s="2" t="n">
        <v>46049</v>
      </c>
      <c r="I17" t="inlineStr">
        <is>
          <t>Location
South Jordan, UT, Tysons Corner, VA
Employment Type
Full time
Department
Technology
Overview
Strider Technologies delivers strategic intelligence that helps organizations make faster, more confident decisions in an increasingly complex global environment. Using cutting\-edge AI and proprietary methodologies, we transform open\-source data into actionable insights that help protect technology, talent, and supply chains from nation\-state risks.
Job Description:
Strider is revolutionizing the way companies, universities, research institutions, and government agencies protect their innovation and compete in a new era of global strategic competition. Our trailblazing technology and intelligence solutions enable clients to proactively identify, manage, and respond to foreign government directed IP theft and supply chain vulnerabilities. We are a data company. We have billions of documents online and are collecting millions of new documents each day. The Data Engineering team is responsible for building structured data assets from these raw documents to build new products and enhance existing ones.
If you’re ready to be part of an elite team tackling some of the most pressing security and technology challenges, let’s talk.
Responsibilities for this role:
* Develop large scale data processing pipelines
* Create data assets from unstructured data
* Build and support internal and external facing APIs
* Author design documents
* Mentor teammates
* Drive software engineering best practices
* Participate in code reviews
* Collaborate with a talented cross\-functional team of engineers, data scientists and subject\-matter experts
**You are a good fit for this role if you:**
* Have 4\+ years of software engineering experience
* Previous experience working in a data heavy role
* Understand how to use cloud infrastructure effectively
* Are a natural problem solver with an affinity for data
* Are opinionated about how software is built
* Are proficient at breaking down large, sometimes ambiguous, problems into well\-defined tasks
* Value shipping code early and often
* Have a well\-honed mental model for how software systems execute and interact
**Technologies we use:**
* Python
* Elasticsearch
* Memgraph
* Flyte
* AWS (EC2, S3, SQS, DynamoDB, Lambda, EKS)
**Benefits**
* Competitive Compensation
* Company Equity Options
* Flexible PTO
* Wellness Reimbursement
* US Holidays (Office Closed)
* Paid Parental Leave
* Comprehensive Medical, Dental, and Vision Insurance
* 401(k) Plan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row r="18">
      <c r="A18" t="inlineStr">
        <is>
          <t>in-350eb4959edf3294</t>
        </is>
      </c>
      <c r="B18" t="inlineStr">
        <is>
          <t>Sr. Software Engineer (ML), AGI Customization</t>
        </is>
      </c>
      <c r="C18" t="inlineStr">
        <is>
          <t>Amazon.com</t>
        </is>
      </c>
      <c r="D18" t="inlineStr">
        <is>
          <t>indeed</t>
        </is>
      </c>
      <c r="E18">
        <f>HYPERLINK("https://www.indeed.com/viewjob?jk=350eb4959edf3294", "https://www.indeed.com/viewjob?jk=350eb4959edf3294")</f>
        <v/>
      </c>
      <c r="F18">
        <f>HYPERLINK("https://www.amazon.jobs/jobs/3127625/sr-software-engineer-ml-agi-customization?cmpid=DA_INAD200785B", "https://www.amazon.jobs/jobs/3127625/sr-software-engineer-ml-agi-customization?cmpid=DA_INAD200785B")</f>
        <v/>
      </c>
      <c r="G18" t="inlineStr">
        <is>
          <t>Boston, MA, US</t>
        </is>
      </c>
      <c r="H18" s="2" t="n">
        <v>45964</v>
      </c>
      <c r="I18"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in-724bba8a8870da11</t>
        </is>
      </c>
      <c r="B19" t="inlineStr">
        <is>
          <t>Sr. Software Engineer (ML), AGI Customization</t>
        </is>
      </c>
      <c r="C19" t="inlineStr">
        <is>
          <t>Amazon.com</t>
        </is>
      </c>
      <c r="D19" t="inlineStr">
        <is>
          <t>indeed</t>
        </is>
      </c>
      <c r="E19">
        <f>HYPERLINK("https://www.indeed.com/viewjob?jk=724bba8a8870da11", "https://www.indeed.com/viewjob?jk=724bba8a8870da11")</f>
        <v/>
      </c>
      <c r="F19">
        <f>HYPERLINK("https://www.amazon.jobs/jobs/3127625/sr-software-engineer-ml-agi-customization?cmpid=DA_INAD200785B", "https://www.amazon.jobs/jobs/3127625/sr-software-engineer-ml-agi-customization?cmpid=DA_INAD200785B")</f>
        <v/>
      </c>
      <c r="G19" t="inlineStr">
        <is>
          <t>Sunnyvale, CA, US</t>
        </is>
      </c>
      <c r="H19" s="2" t="n">
        <v>45964</v>
      </c>
      <c r="I19"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in-db11b0aef0c1b4ff</t>
        </is>
      </c>
      <c r="B20" t="inlineStr">
        <is>
          <t>Sr. Software Engineer (ML), AGI Foundations</t>
        </is>
      </c>
      <c r="C20" t="inlineStr">
        <is>
          <t>Amazon.com</t>
        </is>
      </c>
      <c r="D20" t="inlineStr">
        <is>
          <t>indeed</t>
        </is>
      </c>
      <c r="E20">
        <f>HYPERLINK("https://www.indeed.com/viewjob?jk=db11b0aef0c1b4ff", "https://www.indeed.com/viewjob?jk=db11b0aef0c1b4ff")</f>
        <v/>
      </c>
      <c r="F20">
        <f>HYPERLINK("https://www.amazon.jobs/jobs/2993074/sr-software-engineer-ml-agi-foundations?cmpid=DA_INAD200785B", "https://www.amazon.jobs/jobs/2993074/sr-software-engineer-ml-agi-foundations?cmpid=DA_INAD200785B")</f>
        <v/>
      </c>
      <c r="G20" t="inlineStr">
        <is>
          <t>Bellevue, WA, US</t>
        </is>
      </c>
      <c r="H20" s="2" t="n">
        <v>45803</v>
      </c>
      <c r="I2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1">
      <c r="A21" t="inlineStr">
        <is>
          <t>in-744f6226047ae659</t>
        </is>
      </c>
      <c r="B21" t="inlineStr">
        <is>
          <t>Sr. Software Engineer (ML), AGI Foundations</t>
        </is>
      </c>
      <c r="C21" t="inlineStr">
        <is>
          <t>Amazon.com</t>
        </is>
      </c>
      <c r="D21" t="inlineStr">
        <is>
          <t>indeed</t>
        </is>
      </c>
      <c r="E21">
        <f>HYPERLINK("https://www.indeed.com/viewjob?jk=744f6226047ae659", "https://www.indeed.com/viewjob?jk=744f6226047ae659")</f>
        <v/>
      </c>
      <c r="F21">
        <f>HYPERLINK("https://www.amazon.jobs/jobs/2993074/sr-software-engineer-ml-agi-foundations?cmpid=DA_INAD200785B", "https://www.amazon.jobs/jobs/2993074/sr-software-engineer-ml-agi-foundations?cmpid=DA_INAD200785B")</f>
        <v/>
      </c>
      <c r="G21" t="inlineStr">
        <is>
          <t>Sunnyvale, CA, US</t>
        </is>
      </c>
      <c r="H21" s="2" t="n">
        <v>45803</v>
      </c>
      <c r="I2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2">
      <c r="A22" t="inlineStr">
        <is>
          <t>in-566ca99749bbb13a</t>
        </is>
      </c>
      <c r="B22" t="inlineStr">
        <is>
          <t>Software Engineer- AI/ML, AWS Neuron Distributed Training</t>
        </is>
      </c>
      <c r="C22" t="inlineStr">
        <is>
          <t>Amazon Web Services</t>
        </is>
      </c>
      <c r="D22" t="inlineStr">
        <is>
          <t>indeed</t>
        </is>
      </c>
      <c r="E22">
        <f>HYPERLINK("https://www.indeed.com/viewjob?jk=566ca99749bbb13a", "https://www.indeed.com/viewjob?jk=566ca99749bbb13a")</f>
        <v/>
      </c>
      <c r="F22">
        <f>HYPERLINK("https://www.amazon.jobs/jobs/2937757/software-engineer-aiml-aws-neuron-distributed-training?cmpid=DA_INAD200785B", "https://www.amazon.jobs/jobs/2937757/software-engineer-aiml-aws-neuron-distributed-training?cmpid=DA_INAD200785B")</f>
        <v/>
      </c>
      <c r="G22" t="inlineStr">
        <is>
          <t>Cupertino, CA, US</t>
        </is>
      </c>
      <c r="H22" s="2" t="n">
        <v>45727</v>
      </c>
      <c r="I2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in-5e5a0e6b1a670d3b</t>
        </is>
      </c>
      <c r="B23" t="inlineStr">
        <is>
          <t>Software Engineer- AI/ML, AWS Neuron Distributed Training</t>
        </is>
      </c>
      <c r="C23" t="inlineStr">
        <is>
          <t>Amazon Web Services</t>
        </is>
      </c>
      <c r="D23" t="inlineStr">
        <is>
          <t>indeed</t>
        </is>
      </c>
      <c r="E23">
        <f>HYPERLINK("https://www.indeed.com/viewjob?jk=5e5a0e6b1a670d3b", "https://www.indeed.com/viewjob?jk=5e5a0e6b1a670d3b")</f>
        <v/>
      </c>
      <c r="F23">
        <f>HYPERLINK("https://www.amazon.jobs/jobs/2937757/software-engineer-aiml-aws-neuron-distributed-training?cmpid=DA_INAD200785B", "https://www.amazon.jobs/jobs/2937757/software-engineer-aiml-aws-neuron-distributed-training?cmpid=DA_INAD200785B")</f>
        <v/>
      </c>
      <c r="G23" t="inlineStr">
        <is>
          <t>Seattle, WA, US</t>
        </is>
      </c>
      <c r="H23" s="2" t="n">
        <v>45727</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in-79bdf4461ecec5b2</t>
        </is>
      </c>
      <c r="B24" t="inlineStr">
        <is>
          <t>Sr. Software Engineer- AI/ML, AWS Neuron Distributed Training</t>
        </is>
      </c>
      <c r="C24" t="inlineStr">
        <is>
          <t>Amazon Web Services</t>
        </is>
      </c>
      <c r="D24" t="inlineStr">
        <is>
          <t>indeed</t>
        </is>
      </c>
      <c r="E24">
        <f>HYPERLINK("https://www.indeed.com/viewjob?jk=79bdf4461ecec5b2", "https://www.indeed.com/viewjob?jk=79bdf4461ecec5b2")</f>
        <v/>
      </c>
      <c r="F24">
        <f>HYPERLINK("https://www.amazon.jobs/jobs/2912412/sr-software-engineer-aiml-aws-neuron-distributed-training?cmpid=DA_INAD200785B", "https://www.amazon.jobs/jobs/2912412/sr-software-engineer-aiml-aws-neuron-distributed-training?cmpid=DA_INAD200785B")</f>
        <v/>
      </c>
      <c r="G24" t="inlineStr">
        <is>
          <t>Cupertino, CA, US</t>
        </is>
      </c>
      <c r="H24" s="2" t="n">
        <v>45713</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in-04bd74a641be1c9a</t>
        </is>
      </c>
      <c r="B25" t="inlineStr">
        <is>
          <t>Sr. Software Engineer- AI/ML, AWS Neuron Distributed Training</t>
        </is>
      </c>
      <c r="C25" t="inlineStr">
        <is>
          <t>Amazon Web Services</t>
        </is>
      </c>
      <c r="D25" t="inlineStr">
        <is>
          <t>indeed</t>
        </is>
      </c>
      <c r="E25">
        <f>HYPERLINK("https://www.indeed.com/viewjob?jk=04bd74a641be1c9a", "https://www.indeed.com/viewjob?jk=04bd74a641be1c9a")</f>
        <v/>
      </c>
      <c r="F25">
        <f>HYPERLINK("https://www.amazon.jobs/jobs/2912412/sr-software-engineer-aiml-aws-neuron-distributed-training?cmpid=DA_INAD200785B", "https://www.amazon.jobs/jobs/2912412/sr-software-engineer-aiml-aws-neuron-distributed-training?cmpid=DA_INAD200785B")</f>
        <v/>
      </c>
      <c r="G25" t="inlineStr">
        <is>
          <t>Seattle, WA, US</t>
        </is>
      </c>
      <c r="H25" s="2" t="n">
        <v>45713</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in-8a0bc1f58c770adb</t>
        </is>
      </c>
      <c r="B26" t="inlineStr">
        <is>
          <t>Software Developer</t>
        </is>
      </c>
      <c r="C26" t="inlineStr">
        <is>
          <t>World Hyundai Matteson</t>
        </is>
      </c>
      <c r="D26" t="inlineStr">
        <is>
          <t>indeed</t>
        </is>
      </c>
      <c r="E26">
        <f>HYPERLINK("https://www.indeed.com/viewjob?jk=8a0bc1f58c770adb", "https://www.indeed.com/viewjob?jk=8a0bc1f58c770adb")</f>
        <v/>
      </c>
      <c r="F26">
        <f>HYPERLINK("http://www.indeed.com/job/software-developer-8a0bc1f58c770adb", "http://www.indeed.com/job/software-developer-8a0bc1f58c770adb")</f>
        <v/>
      </c>
      <c r="G26" t="inlineStr">
        <is>
          <t>Matteson, IL, US</t>
        </is>
      </c>
      <c r="H26" s="2" t="n">
        <v>46050</v>
      </c>
      <c r="I26" t="inlineStr">
        <is>
          <t>NOW HIRING
**SOFTWARE DEVELOPER**
**Entry Level to 3 Years Experience**
**AI\-Forward Development Team**
**Full\-Time \| On\-Site \| Chicagoland Area**
**This is an onsite position, no remote work allowed**
We're looking for a software developer who builds with AI, not just talks about it.
The best developers today aren't just writing code. They're leveraging AI tools like Cursor, Claude, GitHub Copilot, Lovable, and Replit Agent to build faster and smarter. If you've already been experimenting with these tools, shipping side projects, or using AI to accelerate your learning, we want to talk to you.
This role is ideal for a recent graduate or early\-career developer (0–3 years) who has strong fundamentals, genuine curiosity, and the drive to keep getting better.
What You'll Do
* Design, develop, test, and deploy software applications
* Write clean, maintainable, well\-documented code
* Use AI\-assisted development tools to increase speed and quality
* Troubleshoot, debug, and optimize existing systems
* Work with databases, APIs, and system integrations
* Collaborate with team members to solve real business problems
* Continuously learn and stay current with emerging tools and technologies
You'll also provide hands\-on IT support for the team:
* Help maintain and troubleshoot the company network
* Resolve basic hardware and software issues for team members (printers, workstation setups, connectivity problems)
* Serve as a go\-to resource for day\-to\-day tech questions and minor troubleshooting
What We're Looking For
Foundational Skills (Required)
* Bachelor's degree in Computer Science or related field (or equivalent self\-taught/bootcamp experience with a strong portfolio)
* Solid understanding of data structures, algorithms, and object\-oriented programming
* Proficiency in at least one programming language (Python, JavaScript, Java, C\+\+, or similar)
* Basic experience with SQL and working with databases
* Familiarity with version control (Git)
* Strong problem\-solving ability and computational thinking
AI\-Native Mindset (Strongly Preferred)
* Hands\-on experience with AI coding assistants: Cursor, Claude, GitHub Copilot, ChatGPT, or similar
* Experience using AI tools to build, debug, or ship a project (show us what you've made)
* Familiarity with rapid prototyping tools like Lovable, Replit Agent, or v0
* Genuine excitement about how AI is changing software development
Bonus Points
* Personal projects on GitHub that demonstrate initiative and learning
* Exposure to cloud platforms (AWS, Azure, Google Cloud)
* Experience with web development (HTML, CSS, JavaScript frameworks)
* Familiarity with Agile or Scrum workflows
* Experience with TypeScript, React, Node.js, or similar modern stacks
Who You Are
* You learn fast and aren't afraid to figure things out on your own
* You've built things outside of class assignments because you wanted to, not because you had to
* You see AI as a tool that makes you more capable, not a threat to your job
* You're comfortable saying "I don't know, but I'll figure it out"
* You communicate clearly and can explain technical concepts to non\-technical people
* You want to be part of building something, not just collecting a paycheck
What We Offer
* Competitive salary based on experience
* Benefits package including health insurance and paid time off
* Access to AI tools and modern development infrastructure
* Real ownership of projects and direct impact on the business
* A team that invests in your growth and development
* Mentorship and opportunities to level up your skills
How to Apply
Submit your resume and include links to your GitHub, portfolio, or any projects you've built.
Tell us: What's something you've built using AI tools, and what did you learn from it?
\[Application instruction: Email to sheetal@worldhyundaimatteson.com
We are an equal opportunity employer.
Pay: $70,000\.00 \- $80,000\.00 per year
Benefits:
* Dental insurance
* Health insurance
* Life insurance
* Vision insurance
Work Location: In person</t>
        </is>
      </c>
    </row>
    <row r="27">
      <c r="A27" t="inlineStr">
        <is>
          <t>in-9bee20e657137989</t>
        </is>
      </c>
      <c r="B27" t="inlineStr">
        <is>
          <t>C2 Software Engineer</t>
        </is>
      </c>
      <c r="C27" t="inlineStr">
        <is>
          <t>Forterra</t>
        </is>
      </c>
      <c r="D27" t="inlineStr">
        <is>
          <t>indeed</t>
        </is>
      </c>
      <c r="E27">
        <f>HYPERLINK("https://www.indeed.com/viewjob?jk=9bee20e657137989", "https://www.indeed.com/viewjob?jk=9bee20e657137989")</f>
        <v/>
      </c>
      <c r="F27">
        <f>HYPERLINK("https://ats.rippling.com/forterra/jobs/45c2e1e6-deb5-464a-a059-1a195d9a9bcf?jobSite=Indeed", "https://ats.rippling.com/forterra/jobs/45c2e1e6-deb5-464a-a059-1a195d9a9bcf?jobSite=Indeed")</f>
        <v/>
      </c>
      <c r="G27" t="inlineStr">
        <is>
          <t>Arlington, VA, US</t>
        </is>
      </c>
      <c r="H27" s="2" t="n">
        <v>46050</v>
      </c>
      <c r="I27" t="inlineStr">
        <is>
          <t>**About Forterra**  
At Forterra, we are unleashing autonomy at scale to transform the battlefield. Our mission is to build the foundational platforms that enable an intelligent ecosystem to coordinate, adapt, and execute with speed and precision even in the uncertainty and disruption of modern conflict. In an era marked by rapid technological change and evolving threats, we design for flexibility, survivability, and operational dominance.  
Forterra delivers weapons, sensors, and battlefield effects through integrated autonomous networks reaching operational areas faster, safer, and without placing human lives at risk. Our systems operate with distributed control, dynamic routing, and real\-time responsiveness, enabling sustained advantage across complex mission environments.
 **About the role**
As an extension of our core products in Command, Control, and Communications (C3\) we are diving deeper into the EW space to make the systems and platforms we integrate more survivable. We are developing an Electromagnetic Spectrum Operations (EMSO) capability that will provide broad spectrum awareness that can aid national government off\-the\-shelf assets in the EMS. For communication, this will provide a real time database of inference and unoccupied spectrum to aid maneuver. For Electromagnetic Warfare (EW), this will, in parallel, provide a tip and queue interface to enable current EW and Signals Intelligence systems to more rapidly identify signals of interest driving toward an open “plug\-and\-play” approach with national government off\-the\-shelf assets.
We are looking to add to our growing team and add a someone who can work to build on device databases, data flow and command and control capabilities.
**What you'll do**
* Develop edge software that runs on deployed devices and supports Command \&amp; Control (C2\) systems
* Integrate edge software with radio and communications systems
* Design \&amp; Implement data formats and interfaces to ensure reliable data exchange across systems
* Design \&amp; implement alerts and event\-driven logic \&amp; architecture that surface important information about sensor detections
* Develop telemetry software for edge devices that communicate with remote C2 systems
* Build and maintain on\-device data storage for operational and sensor data
* Work closely with systems, hardware, and integration teams to deliver end\-to\-end functionality
**Qualifications**
* 2\+ years of professional experience in software engineering, preferably in edge, embedded, or systems level environments
* Strong proficiency in C\+\+ and/or Python (or similar systems\-oriented languages)
* Strong communication skills and the ability to work cross functionally across teams
* Experience developing software for Linux\-based systems, embedded platforms, or constrained environments
* Hands\-on experience working with structured data formats and serialization
* Experience implementing and debugging inter\-process or networked communication between software components
* Familiarity with event\-driven or message\-based architectures
* Experience writing maintainable, testable, and well\-documented code
 **Preferred Qualifications**
* Familiarity with transactional (Postgres) and time series (Influx, Timescale) databases
* Experience developing cloud based applications (both backend servers and frontend SPAs) \- hands on Typescript experience is a plus
* Familiarity with data transport and streaming technologies, such as WebSockets, gRPC, Kafka, Arrow, Flight or similar systems
* Exposure to radio systems, networking, or low\-bandwidth communications
* Familiarity with distributed systems, state synchronization, and fault tolerance
* Background in mission\-critical, safety\-critical, or reliability\-focused systems
* Experience supporting software in fielded or operational environments
US Salary Range  
 $115,000—$140,000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Forterra is an equal\-opportunity employer, providing and promoting equal employment opportunity in accordance with local, state, and federal laws. Forterrans are unique, talented individuals who are united through a shared passion to deliver autonomous systems that enable national resilience and a robust supply chain. All qualified applications will receive equal consideration for employment.</t>
        </is>
      </c>
    </row>
    <row r="28">
      <c r="A28" t="inlineStr">
        <is>
          <t>in-27d841329f0058d8</t>
        </is>
      </c>
      <c r="B28" t="inlineStr">
        <is>
          <t>Software Engineer</t>
        </is>
      </c>
      <c r="C28" t="inlineStr">
        <is>
          <t>Dynamic Animation Systems, Inc.</t>
        </is>
      </c>
      <c r="D28" t="inlineStr">
        <is>
          <t>indeed</t>
        </is>
      </c>
      <c r="E28">
        <f>HYPERLINK("https://www.indeed.com/viewjob?jk=27d841329f0058d8", "https://www.indeed.com/viewjob?jk=27d841329f0058d8")</f>
        <v/>
      </c>
      <c r="F28">
        <f>HYPERLINK("http://www.indeed.com/job/software-engineer-27d841329f0058d8", "http://www.indeed.com/job/software-engineer-27d841329f0058d8")</f>
        <v/>
      </c>
      <c r="G28" t="inlineStr">
        <is>
          <t>Orlando, FL, US</t>
        </is>
      </c>
      <c r="H28" s="2" t="n">
        <v>46050</v>
      </c>
      <c r="I28" t="inlineStr">
        <is>
          <t>**Job description**
Dynamic Animation Systems, Inc. (DAS) is seeking Software Engineers (mid\-level and senior) to become an integral part of our team conducting innovative software research and development on projects supporting US Army R\&amp;D objectives. Projects involve the investigation and application of leading\-edge technologies and methods to create/enhance modeling and simulation software capabilities to fill training systems capability gaps. Efforts include all phases of the R\&amp;D software development life\-cycle conducted using an Agile process. Technologies include the application of local LLMs in a tech stack that includes multiple programming languages (Java, C\+\+, Kotlin, Python, JavaScript/frameworks), domain specific languages, and web\-based technologies.
We are looking for candidates with a history of self\-learning enthusiasm for new technologies, programming languages, and the application of ML/LLM technologies to novel problems.
**Responsibilities:**
* Analyze technology/capability gaps, research and develop innovative software solutions.
* Work with project leads (or act as project lead, depending on level) to define sprints and associated deliverables.
* Collaborate with other developers to design and optimize code.
* Conduct integration, test, bug fixes, and other software maintenance activities.
* Create technical documentation and user guides in support of developed software.
**Required Qualifications:**
**\*\*\*Must be a US Citizen with eligibility to obtain a US DoD security clearance\*\*\***
* Bachelor of Science degree in Computer Science or related STEM field w/demonstrated academic or job\-related background in software development.
* 4\-7 yrs (Mid), 8\+yrs(Sr) of job\-related applied Object\-oriented software development using Agile methodologies and multiple programming languages (Java, C\+\+, Kotlin, Python).
* Experience with applying machine learning techniques and/or using Llama or other LLMs in a local environment.
* Experience with Gitlab, Github, YouTrack, or other similar project tools; Git, Subversion, or other version control tools; Networking concepts and protocols; both Windows and Linux operating systems.
**Desired Qualifications:**
Experience in one or more of the following areas:
* Modeling and Simulation domain.
* Developing and designing Domain Specific Languages (DSLs), or expertise in Programming Language Theory (PLT).
* JavaScript frameworks such as Vue, Angular, or React.
Candidates should be self\-motivated and detail\-oriented with strong analytical and critical thinking skills. Enthusiasm for software innovation and personal project experimentation is a plus.
Preference for candidates with active DoD Security Clearance.
**Additional Salary Info:**
* Salary range spans multiple levels.
* Salary offered will be commensurate with candidate's relevant level and breadth of experience for role they would fill.
Job Type: Full\-time
Pay: $80,000\.00 \- $130,000\.00 per year
Benefits:
* 401(k)
* 401(k) matching
* AD\&amp;D insurance
* Bereavement leave
* Dental insurance
* Dependent health insurance coverage
* Disability insurance
* Flexible schedule
* Health insurance
* Health savings account
* Life insurance
* Paid holidays
* Paid jury duty
* Paid sick time
* Pet insurance
* Prescription drug insurance
* Vision insurance
Application Question(s):
* Please list all programming languages with which you have applied development experience, and any specific experience with Domain Specific Languages or Programming Language Theory.
Education:
* Bachelor's (Required)
Experience:
* Object Oriented professional software development: 4 years (Required)
* applied ML techniques or local LLM applied: 2 years (Required)
License/Certification:
* US Citizenship (Required)
Security clearance:
* Secret (Preferred)
Ability to Commute:
* Orlando, FL 32817 (Required)
Ability to Relocate:
* Orlando, FL 32817: Relocate before starting work (Required)
Work Location: Hybrid remote in Orlando, FL 32817</t>
        </is>
      </c>
    </row>
    <row r="29">
      <c r="A29" t="inlineStr">
        <is>
          <t>in-e3e89cc0858b4645</t>
        </is>
      </c>
      <c r="B29" t="inlineStr">
        <is>
          <t>Early Backend Engineer (Supabase / Postgres)</t>
        </is>
      </c>
      <c r="C29" t="inlineStr">
        <is>
          <t>BTIXist Productions LLC</t>
        </is>
      </c>
      <c r="D29" t="inlineStr">
        <is>
          <t>indeed</t>
        </is>
      </c>
      <c r="E29">
        <f>HYPERLINK("https://www.indeed.com/viewjob?jk=e3e89cc0858b4645", "https://www.indeed.com/viewjob?jk=e3e89cc0858b4645")</f>
        <v/>
      </c>
      <c r="F29">
        <f>HYPERLINK("http://www.indeed.com/job/early-backend-engineer-supabase-postgres-e3e89cc0858b4645", "http://www.indeed.com/job/early-backend-engineer-supabase-postgres-e3e89cc0858b4645")</f>
        <v/>
      </c>
      <c r="G29" t="inlineStr">
        <is>
          <t>Remote, US</t>
        </is>
      </c>
      <c r="H29" s="2" t="n">
        <v>46050</v>
      </c>
      <c r="I29" t="inlineStr">
        <is>
          <t>Hello,
I’m building **Sølsk**, an iOS\-only “slow dating” app designed to fix dating\-app fatigue through intentionality and community interaction.
This is not a typical “I have an idea, please build it” pitch.
* The iOS front\-end is already **\~90% built in SwiftUI**.
* I already have a **Technical Co\-Founder/CTO**.
* What we need now is the **backend**: production\-grade, secure, scalable, and wired cleanly into the existing iOS app.
If you’re a backend engineer who can build the engine room of a social app (messaging, feed, permissions, reliability), this is your lane.
What You’re Building
Sølsk relies heavily on:
* **Messaging** between users (reliable delivery, ordering, pagination)
* A **social/feed\-like system** (prompts \+ comments \+ interactions)
* A feature called **Låse**: two users enter a locked, exclusive chat for a fixed time window, then it ends and content is handled according to retention rules
The backend must be built like a real product, not a demo:
* schema design
* access control / permissions
* server\-authoritative logic (no “trust the client clock”)
* safe rollout \+ observability mindset
The Stack
* **Backend:** Supabase (Postgres, Auth, RLS, Realtime, Edge Functions)
* **iOS:** SwiftUI (already built)
* **Monetization:** RevenueCat
* **Verification:** Stripe Identity (planned)
* **Workflow:** AI\-first (Cursor/LLMs are expected in some way)
Your Role
You will work **under the CTO** and own backend delivery. You are not a co\-founder, but you are absolutely an early, critical hire.
You’ll be responsible for:
* Designing the core **Postgres schema** for feed \+ messaging \+ Låse
* Implementing secure **authorization** (RLS policies / role\-based access)
* Building realtime messaging and feed queries that scale (indexing, pagination, ordering)
* Implementing server\-authoritative Låse logic (timers, state changes, retention rules)
* Writing Edge Functions for privileged logic and future internal tooling
* Laying groundwork for future **admin tools** (moderation queue, audit logs, regional prompts scheduling)
Nice\-to\-Haves (Not Required)
* Some Swift/SwiftUI familiarity (helpful for debugging integration)
* Prior work on social apps, messaging, realtime systems
* Experience building internal tools (admin dashboards / ops consoles)
* Experience with abuse/reporting systems and audit logging
Who You Are
* **Backend\-first**: you don’t just “consume APIs,” you design and own them
* **Security\-minded**: you instinctively think permissions \+ audit trails
* **Pragmatic shipper**: you build what matters, then harden it
* **AI\-leveraged**: you use Cursor/LLMs to go faster, but you still understand what you’re shipping
Compensation (**Read Carefully**)
We are a bootstrap startup and **cannot pay cash right now**.
This role is **equity\-based** at the start.
* Equity grant will be meaningful but **not co\-founder\-level**
* Standard vesting: **4 years with a 1\-year cliff**
* Equity range depends heavily on seniority \+ weekly commitment \+ ownership expectations
(Typical target range for this role: **\~0\.25% to 2\.5% of the company**)
When revenue arrives, cash compensation becomes possible. Until then, this is equity \+ high\-impact work.
Time Expectations
Flexible, but we need consistency. Ideal range:
* **10–25 hrs/week**, with the ability to surge near milestones
If you can’t comfortably explain how you’d implement server\-authoritative timers, permissions, and scalable feed/message queries, then unfortunately, this won’t be a fit.
Here are links to the work:
TestFlight: https://testflight.apple.com/join/6Hr9KjDJ
Video Walkthrough: https://youtube.com/playlist?list\=PL4gLRzOLr4kmkjj8c9knPVm91N10RpeqR\&amp;si\=dy\-zmXO9PrZ77uON
Official Website: https://www.solsk.app/
My Journey (Twitter/X): https://x.com/BtixistP
My LinkedIn: https://www.linkedin.com/in/brdel27
Job Types: Part\-time, Contract
Pay: $60,000\.00 \- $70,000\.00 per year
Work Location: Remote</t>
        </is>
      </c>
    </row>
    <row r="30">
      <c r="A30" t="inlineStr">
        <is>
          <t>in-987c5addf41bf8c1</t>
        </is>
      </c>
      <c r="B30" t="inlineStr">
        <is>
          <t>Software Engineer II - Epicor</t>
        </is>
      </c>
      <c r="C30" t="inlineStr">
        <is>
          <t>Prospiant</t>
        </is>
      </c>
      <c r="D30" t="inlineStr">
        <is>
          <t>indeed</t>
        </is>
      </c>
      <c r="E30">
        <f>HYPERLINK("https://www.indeed.com/viewjob?jk=987c5addf41bf8c1", "https://www.indeed.com/viewjob?jk=987c5addf41bf8c1")</f>
        <v/>
      </c>
      <c r="F30">
        <f>HYPERLINK("https://gibraltar.rec.pro.ukg.net/GIB1002GIBIN/JobBoard/ec03ae70-6d19-4e13-8576-caab2d725c12/OpportunityDetail?opportunityId=95d56904-849e-45d0-b7d2-169430b73722&amp;postingId=6fb90db0-503b-40f6-903d-aff4558f7fca", "https://gibraltar.rec.pro.ukg.net/GIB1002GIBIN/JobBoard/ec03ae70-6d19-4e13-8576-caab2d725c12/OpportunityDetail?opportunityId=95d56904-849e-45d0-b7d2-169430b73722&amp;postingId=6fb90db0-503b-40f6-903d-aff4558f7fca")</f>
        <v/>
      </c>
      <c r="G30" t="inlineStr">
        <is>
          <t>Cincinnati, OH, US</t>
        </is>
      </c>
      <c r="H30" s="2" t="n">
        <v>46050</v>
      </c>
      <c r="I30" t="inlineStr">
        <is>
          <t>**Position Summary:**
We are seeking a highly skilled **Epicor Engineer** to join our team and focus on developing, deploying, and optimizing solutions using the **Epicor ERP/MRP platform** to drive business improvement and growth. In this role, you will work closely with business functions to understand requirements, design technical solutions, and oversee the successful implementation and maintenance of the Epicor system to streamline operations. The ideal candidate will have a strong software engineering background, excellent problem\-solving skills, and experience in implementing ERP solutions, particularly Epicor.
**Primary Accountabilities (Essential Duties****):**
* **Operational Analysis \&amp; Requirement Gathering:**
* + Determine operational objectives by analyzing business functions, gathering information, and evaluating business requirements.
	+ Meet with internal and external stakeholders to establish project scope, system goals, and requirements.
	+ Collect feedback from stakeholders to understand issues and questions that interrupt workflow, ensuring that the Epicor system addresses these pain points effectively.
* **System Design, Implementation, \&amp; Upgrades:**
* + Design, implement, and upgrade information systems to meet the business and user needs, ensuring optimal functionality.
	+ Deploy, maintain, and troubleshoot core business applications, including application servers and Epicor ERP/MRP modules.
	+ Research and estimate costs for system improvements and upgrades, ensuring cost\-effective solutions.
* **Testing \&amp; Quality Assurance:**
* + Define and coordinate the execution of testing procedures and develop test cases as part of the overall quality assurance process.
	+ Develop, analyze, prioritize, and organize requirement specifications, data mapping, diagrams, and flowcharts for developers and testers.
	+ Evaluate company performance through regular tests and analysis, ensuring system stability, security, and efficiency.
* **Stakeholder Communication \&amp; Documentation:**
* + Translate highly technical specifications into clear, non\-technical requirements for stakeholders.
	+ Provide clear documentation of processes, including system configurations and workflows.
	+ Provide end\-user training for business systems, focusing on clear, user\-friendly communication.
* **System Monitoring \&amp; Maintenance:**
* + Develop and implement maintenance procedures for system health, including gathering system statistics and troubleshooting reported errors and alarms.
	+ Monitor system status and report on progress, issues, or changes, ensuring timely resolution of any technical challenges.
	+ Implement best practices for scalability, supportability, ease of maintenance, and overall system performance.
* **Continuous Improvement:**
* + Proactively identify opportunities for system optimizations and improvements, ensuring the Epicor platform scales with the business.
	+ Coordinate with internal teams to improve operational processes by leveraging Epicor ERP/MRP capabilities.
	+ Research new Epicor features and tools that can further enhance system performance and support business goals.</t>
        </is>
      </c>
    </row>
    <row r="31">
      <c r="A31" t="inlineStr">
        <is>
          <t>in-1cbec5e5c4e6eeeb</t>
        </is>
      </c>
      <c r="B31" t="inlineStr">
        <is>
          <t>Lead Full Stack Engineer</t>
        </is>
      </c>
      <c r="C31" t="inlineStr">
        <is>
          <t>LivCor</t>
        </is>
      </c>
      <c r="D31" t="inlineStr">
        <is>
          <t>indeed</t>
        </is>
      </c>
      <c r="E31">
        <f>HYPERLINK("https://www.indeed.com/viewjob?jk=1cbec5e5c4e6eeeb", "https://www.indeed.com/viewjob?jk=1cbec5e5c4e6eeeb")</f>
        <v/>
      </c>
      <c r="F31">
        <f>HYPERLINK("https://jobs.smartrecruiters.com/LivCorLLC1/3743990011397450-lead-full-stack-engineer", "https://jobs.smartrecruiters.com/LivCorLLC1/3743990011397450-lead-full-stack-engineer")</f>
        <v/>
      </c>
      <c r="G31" t="inlineStr">
        <is>
          <t>Chicago, IL, US</t>
        </is>
      </c>
      <c r="H31" s="2" t="n">
        <v>46050</v>
      </c>
      <c r="I31" t="inlineStr">
        <is>
          <t>**Company Description**  
LivCor, a Blackstone portfolio company, is a real estate asset management business specializing in multi\-family housing. Formed in 2013 and headquartered in Chicago, LivCor is currently responsible for a portfolio of over 400 Class A and B properties comprising more than 150,000 units in markets across the United States.
Our business is focused on making real estate more valuable. But for us, it’s more than that. It’s people first, community always. It’s a life\-filled career, not just a career\-filled life. It’s doing good work, with good humans, and making a difference. It’s excellence in all its forms. Ultimately, we create great places to work, live, and grow. We do that by focusing on leaving people – and places – better than we found them.
Whew! Still with us? Cool. Let’s talk about where you’d fit in:
Only read further if you are:
* Kind
* Humble
* Honest
* Relentless
* Smart with Heart
You should be:
* Authentic. You do you. Together, we’ll do something amazing.
* A passionate person with a love for real estate and investing; and believes that helping others win is a noble cause, essential to our success.
* An excellent team player who enjoys working with others and has strong interpersonal skills.
* Highly motivated, energetic, and organized
**Job Description**  
We are seeking a highly skilled Lead Full\-Stack Engineer to join our dynamic data team. The ideal candidate will have extensive experience designing, building, scalable applications using .NET(C\#), React, HTML, CSS, JavaScript, Snowflake(or similar database technology), and Python. You will play a critical role in delivering cutting edge solutions to multifamily industry. Our mission is to empower our users with scalable, user\-friendly applications that drive business success.
What you will do:
* Design, develop, and maintain server\-side logic using .NET(C\#) and React with Vite.
* Build and optimize RESTful APIs and microservices for seamless integration with front\-end applications.
* Work with relational databases and NoSQL databases, ensuring data integrity and performance.
* Implement secure authentication and authorization mechanisms (e.g., OAuth).
* Develop responsive and interactive user interfaces using React.js and related libraries (e.g., Redux, React Router).
* Ensure cross\-browser compatibility and optimize front\-end performance for a seamless user experience.
* Collaborate with UX/UI designers to translate wireframes and designs into functional components.
* Integrate front\-end and back\-end components to create cohesive, end\-to\-end solutions.
* Troubleshoot and debug issues across the stack to ensure application reliability and performance.
* Write clean, maintainable, and well\-documented code following best practices and coding standards.
* Participate in Agile ceremonies (e.g., sprint planning, daily stand\-ups, retrospectives).
* Work closely with product managers, designers, and other developers to deliver features on time and within scope.
* Contribute to code reviews, ensuring high\-quality code and knowledge sharing within the team.
* Optimize applications for scalability, performance, and security.
* Participate in the evaluation and adoption of new tools, frameworks, and methodologies.
**Qualifications**  
What you should have:
* Bachelor’s degree in Computer Science, Software Engineering, or a related field (or equivalent experience).
* 5\+ years of professional experience in full\-stack development with C\# and .NET.
* Strong proficiency in React.js and JavaScript/TypeScript for building modern web applications.
* Experience with ASP.NET Core, Entity Framework, and RESTful API development.
* Solid understanding of relational databases (e.g., SQL Server) and writing efficient SQL queries.
* Familiarity with front\-end tools and frameworks (e.g., Webpack, npm/yarn, CSS preprocessors).
* Knowledge of version control systems (e.g., Git) and CI/CD pipelines.
* Strong problem\-solving skills and attention to detail.
* Excellent communication and teamwork abilities.
Nice to have:
* Experience with Azure Service Fabric or similar microservices platforms.
* Exposure to CI/CD pipelines and cloud\-based deployment strategies.
* Understanding of unit, integration, and end\-to\-end testing practices.
* Familiarity with containerization technologies (e.g., Docker, Kubernetes).
Soft Skills:
* Strong problem\-solving abilities and attention to detail.
* Excellent communication skills with a collaborative mindset.
* A growth mindset and eagerness to learn and adapt.
**Additional Information** **What we offer:**
We believe that when we take care of our people, everything else follows. We’re committed to clear expectations, honest feedback, and helping you grow. That’s why we foster a culture that’s collaborative, inclusive, and refreshingly ego\-free. We are good neighbors that lead with empathy, embrace curiosity, and put trust at the heart of everything we do. Together, we strive for excellence.
We deeply value diversity in all its forms. We want people who sound, think, love, and live differently from one another. This isn’t a footnote—it’s foundational.
Now, on to the practical stuff:
* **Generous 401(k) match** to help you plan for the future
* **Fertility, adoption, and surrogacy support** to grow your family your way
* **Comprehensive health benefits**, including medical, dental, and vision
* **Hybrid work model** with offices in **Chicago, NYC, and Atlanta**
**The LivCorian Values:**
*Be you. Be Real. Be Open*. You do you. Together, we will do something amazing.
*Care, Always.* We don’t want to let anyone down.
*Courageously Curious.* We love to learn, even when it hurts.
*Help Others Win, Be A Good Neighbor.* This is about ‘We, not Me.’
*Relentless Hustle, Heart \&amp; Humility*. Work hard. Be Kind. Make Better.
**LivCor is proud to be a US EPA ENERGY STAR® Partner**
EEO Statement
LivCor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talent@revantage.com
Review our privacy policy here: https://www.livcor.com/privacy\-policy/
LivCor is proud to be a US EPA ENERGY STAR® Partner</t>
        </is>
      </c>
    </row>
    <row r="32">
      <c r="A32" t="inlineStr">
        <is>
          <t>in-de628f9caa4d1afe</t>
        </is>
      </c>
      <c r="B32" t="inlineStr">
        <is>
          <t>Senior Software Engineer, Growth</t>
        </is>
      </c>
      <c r="C32" t="inlineStr">
        <is>
          <t>Goody</t>
        </is>
      </c>
      <c r="D32" t="inlineStr">
        <is>
          <t>indeed</t>
        </is>
      </c>
      <c r="E32">
        <f>HYPERLINK("https://www.indeed.com/viewjob?jk=de628f9caa4d1afe", "https://www.indeed.com/viewjob?jk=de628f9caa4d1afe")</f>
        <v/>
      </c>
      <c r="F32">
        <f>HYPERLINK("https://jobs.ashbyhq.com/goody/aa85bb77-fb2e-4393-9462-3b8c248ecc8d?utm_source=JjqapnMKNr", "https://jobs.ashbyhq.com/goody/aa85bb77-fb2e-4393-9462-3b8c248ecc8d?utm_source=JjqapnMKNr")</f>
        <v/>
      </c>
      <c r="G32" t="inlineStr">
        <is>
          <t>US</t>
        </is>
      </c>
      <c r="H32" s="2" t="n">
        <v>46049</v>
      </c>
      <c r="I32" t="inlineStr">
        <is>
          <t>Goody is a gifting company making it easy to send personal and corporate gifts. With more than two million gifts sent and customers including Google, Stripe, Meta, Anthropic, Notion, NBCUniversal, DHL, and others, we have found product–market fit and are looking to grow and scale. We're looking for a motivated Senior Software Engineer to help us introduce a delightful, category\-defining product to more people.
**You will be the engineer with the most direct impact on our growth, which is the key KPI of our business.** In this role, you will partner with our Growth team to accelerate acquisition, conversion, activation, and retention, running experiments that range from small tweaks with outsized impact to entirely new feature bets.
If you love shipping fast, know how to measure success, and are motivated by seeing your work move the needle, this role is for you.
**Responsibilities**
--------------------
* **Own the growth engineering function:** Partner closely with our Growth team to identify opportunities, design experiments, and ship changes that improve our core funnel metrics.
* **Experiment fast and iterate:** Implement A/B tests and experiments across our product, from landing pages to onboarding to customer lifecycle messaging, while learning quickly and using data to evaluate and inform next steps.
* **Build new bets:** Go beyond incremental optimization to prototype and ship new features, including dark horse ideas that could unlock disproportionate growth.
* **Influence the product:** Advocate for growth\-minded thinking across the company and translate learnings into product improvements that benefit all users.
In this role, you will work across our entire platform and stack, touching everything from marketing pages, to gift notification emails (a huge part of our business), to our core features. This is an excellent role for someone who thrives on impact, loves experimentation, and wants to shape how people discover and experience Goody.
**Requirements**
----------------
* You are highly motivated to be a driving force in the growth of Goody, by using code, AI, and creativity to help us share our product with more people.
* You're a full\-stack engineer adept in both frontend (React/TypeScript) and backend (Ruby on Rails preferred, or strong experience in Python/Node).
* You have at least four years of experience building production web applications.
* You have experience with growth engineering, experimentation, or working on user\-facing funnels (acquisition, activation, retention).
* You're comfortable with ambiguity and can drive projects from idea to shipped experiment to core feature.
* You bring great vibes and attitude that match our ethos of delivering delight to our senders and recipients.
**Company Benefits**
--------------------
* 100% remote work
* Group medical, dental, and vision coverage insurance (with opt\-out benefits)
* 401k
* Stock options
* Open PTO, with a company\-wide summer break designed to counterbalance the demands of the year\-end holiday season.
* Paid parental leave benefits
* Annual company offsite – past locations include Cabo, San Diego, and Banff
* $100/month reimbursement for wellness
* $500 annual education stipend
* Lots of Goodys!
*Benefits may vary based on employment status or country location.*
**About Goody**
---------------
Goody is a modern gifting platform built to help companies create meaningful connections at scale. We power thoughtful, on\-brand gifting experiences for leading teams, making it easy to send the right gift to the right person at the right moment without the logistics headaches.
Goody was founded in 2020 and is backed by leading investors like NEA, SoftBank, and Quiet Capital. We are a fully remote, product\-driven team trusted by 64 percent of the Fortune 100\. In 2025, Inc. ranked Goody as the fastest\-growing gifting company in the United States, reflecting our momentum and focus on building exceptional experiences for customers and teammates alike.
Compensation Range: $130K \- $200K</t>
        </is>
      </c>
    </row>
    <row r="33">
      <c r="A33" t="inlineStr">
        <is>
          <t>in-cac8ce98657ff0f3</t>
        </is>
      </c>
      <c r="B33" t="inlineStr">
        <is>
          <t>Software Engineer</t>
        </is>
      </c>
      <c r="C33" t="inlineStr">
        <is>
          <t>fullstory</t>
        </is>
      </c>
      <c r="D33" t="inlineStr">
        <is>
          <t>indeed</t>
        </is>
      </c>
      <c r="E33">
        <f>HYPERLINK("https://www.indeed.com/viewjob?jk=cac8ce98657ff0f3", "https://www.indeed.com/viewjob?jk=cac8ce98657ff0f3")</f>
        <v/>
      </c>
      <c r="F33">
        <f>HYPERLINK("https://jobs.ashbyhq.com/fullstory/a786962d-68c1-48fa-8b50-f91239a1d7c0?utm_source=GjvyXEpb4P", "https://jobs.ashbyhq.com/fullstory/a786962d-68c1-48fa-8b50-f91239a1d7c0?utm_source=GjvyXEpb4P")</f>
        <v/>
      </c>
      <c r="G33" t="inlineStr">
        <is>
          <t>Atlanta, GA, US</t>
        </is>
      </c>
      <c r="H33" s="2" t="n">
        <v>46049</v>
      </c>
      <c r="I33" t="inlineStr">
        <is>
          <t>**This is a hybrid position requiring in\-office attendance one day per week at our Atlanta office. Candidates must reside within a commutable distance to be considered.**
As a Software Engineer on the Digital Experience Analytics (DXA) team, you will play a pivotal role in empowering Fullstory customers by delivering valuable insights into their users' digital interactions. Your efforts will have a direct impact on the business success and customer satisfaction associated with our flagship product.
To excel in this job, you must be product focused, possess a strong customer centric mindset, and have a high level of ownership \&amp; autonomy. We are obsessed with shipping value to our customers and we hope you are too!
**In a typical day, you might:**
* Collaborate with teammates to craft the strategy and execution for scaling Fullstory’s flagship application.
* Ideate with our core team on how to best leverage AI capabilities to further customer delight.
* Engineer systems that operate at hundreds of thousands of requests per second.
* Maintain and troubleshoot parts of Fullstory’s production environment.
* Work closely with design and product counterparts to propose new solutions for customer pain points.
* Work closely with customers through our co\-creation process, collaborating to craft purpose\-built solutions that meet their unique needs and drive exceptional value.
**Here’s what we’re looking for:**
* Minimum of 2 years of experience.
* Understanding of data structures and API design to enable functionality across services.
* Experience collaborating with others to reach technical decisions through clear communication and documentation.
* Proficiency in writing production code in one or more languages such as Go, Java, Python, JavaScript, or TypeScript — with a willingness to learn new languages.
* Experience building web applications using React, TypeScript, or similar front end technologies.
* Exposure to cloud\-based services and an eagerness to learn technologies like Kubernetes, gRPC, document search databases, or distributed data storage systems.
* Bachelor's degree in Computer Science or a related field.
**The impact you will have in 6 Months:**
* Develop an understanding of your teams core service areas and deliver on intra\-team projects with minimal oversight.
* Contribute to the strategic planning of the product’s roadmap by providing technical insights, identifying upcoming trends or technologies that could impact the product, and proposing innovative solutions to meet future challenges.
**The impact you will have in 12 Months:**
* Successfully support the development and launch of a key project, collaborating with cross\-functional teams to deliver on time and within budget. This may involve innovating a solution to a long\-standing problem or creating a new feature that significantly improves user experience.
* Is a go\-to expert in at least one area of the system. Assumes an ownership mindset for a major feature area of our product, seeking to understand directly from our customers how they derive value from the product.
\#LI\-Hybrid \#LI\-DR1
### **About Fullstory**
Fullstory is a leading behavioral data platform transforming how businesses understand and improve their digital experiences. Our technology empowers companies to uncover insights, optimize customer and employee journeys, and deliver exceptional online interactions. It makes every customer experience smoother and more personalized and empowers the employees behind the scenes.
We’re building something special at Fullstory\- and we’re looking for teammates who are curious, collaborative, and driven to make an impact. We’re especially excited about the potential of AI to enhance efficiency, spark creativity, and elevate our work. If that resonates, explore our Winning Ways to see the values that guide how we work and grow together.
**How we support you:**
Fullstorians are committed to building something better\- from how we approach our product, to how we care for our customers and each other. Along these lines, we offer:
* **Flexibility and Connection.** We have a vibrant HQ in Atlanta and a tight\-knit group in London. Fullstorians in those cities come to the office at least one day a week to build cross\-functional relationships and stay connected. We also offer a flexible PTO policy and an annual company\-wide closure, along with federal holidays.
* **Benefits.** Take care of the whole you. Fullstory offers sponsored benefit packages for US\-based Fullstorians, and supplemental coverage options for international Fullstorians.
* **Learning opportunities.** We provide professional development opportunities through training programs and an annual learning subsidy for US and EMEA\-based employees.
* **Productivity support.** US and EMEA\-based Fullstorians receive a monthly productivity stipend.
* **Team Collaboration.** Connect with fellow Fullstorians through team off\-sites and an annual full\-company meet\-up.
* **Paid parental leave.** Fullstorians balance the needs of their growing families without the added stress of figuring out work and finances.
* **Bereavement leave, including miscarriage/pregnancy loss**. Take the time to grieve and help your loved ones.
*Fullstory is proud to be an equal\-opportunity workplace dedicated to fostering an increasingly diverse community. We want candidates of all human varieties, backgrounds, and lifestyles. There’s no problem that can’t be made better by bringing together people with a broader set of perspectives.* ***If our product, values, and community resonate with you, please apply– we'd love to hear from you!***</t>
        </is>
      </c>
    </row>
    <row r="34">
      <c r="A34" t="inlineStr">
        <is>
          <t>in-125d5a66682866f7</t>
        </is>
      </c>
      <c r="B34" t="inlineStr">
        <is>
          <t>Software Engineer</t>
        </is>
      </c>
      <c r="C34" t="inlineStr"/>
      <c r="D34" t="inlineStr">
        <is>
          <t>indeed</t>
        </is>
      </c>
      <c r="E34">
        <f>HYPERLINK("https://www.indeed.com/viewjob?jk=125d5a66682866f7", "https://www.indeed.com/viewjob?jk=125d5a66682866f7")</f>
        <v/>
      </c>
      <c r="F34">
        <f>HYPERLINK("https://jobs.ashbyhq.com/farsight/88ac24f3-abb1-444c-8b4f-89de3a47b2d6?utm_source=J3YqPDpWBb", "https://jobs.ashbyhq.com/farsight/88ac24f3-abb1-444c-8b4f-89de3a47b2d6?utm_source=J3YqPDpWBb")</f>
        <v/>
      </c>
      <c r="G34" t="inlineStr">
        <is>
          <t>New York, NY, US</t>
        </is>
      </c>
      <c r="H34" s="2" t="n">
        <v>46049</v>
      </c>
      <c r="I34" t="inlineStr">
        <is>
          <t>**About Farsight**
Farsight is the agentic AI platform for financial services, currently helping investment banks and private equity firms fully automate entire, highly nuanced workflows. Today, institutions will spend 80% of their time gathering information for and creating first drafts of materials by hand before iterating on and refining their decks, models, and pitches. We not only give them that time back to focus on what is important, but we also bring new insights and knowledge to their materials that they wouldn’t be able to uncover without the help of our financial\-focused AI.
We work with an immense amount of both public and private data, delivering highly accurate and auditable materials in an arena far too nuanced for large\-scale AI out of the box. Oftentimes, our product generates outputs that outperform the work of existing employees, resulting in quotes from our customers like:
* “I’m more than willing to let my analysts never use Powerpoint again.”
* “There is not a second year associate on the planet that can do this as well as you have.”
Our mission is to upend the way financial services work in corporations gets done, effectively integrating AI into the financial needlework of every company on Earth.
**Team**
We are a small, highly motivated team that is driven by creating technology that amazes. Each one of us wears many different skillset hats, whether that be development, sales, infrastructure, design, product innovation, and more \- and we expect those coming in to have the experience or the motivation to wear just as many.
Our team has had a wide range of work experiences that have led us to be the fast growing startup we are. We have gained financial domain knowledge from Evercore and General Atlantic, gained scalable engineering skills from big tech like Amazon, learned enterprise AI sales from Hugging Face, and have learned the ins and outs of building successful startups from previous work as founders and founding engineers. We focus on hiring the best so that we can become the best, so we hope you apply!
We are entirely based in Manhattan, New York City, and are in\-person preferred (except Fridays, which are remote).
**Job Description**
Farsight operates at the cutting\-edge of AI to deliver human\-like work within some of the world’s largest, and most critical, financial organizations. We have an extensive backlog from customer demand along with immense opportunities for product innovation, and as such need someone that can help rapidly expand our platform to be able to supercharge each of our users.
You will be responsible for designing and implementing complete technical systems, informed from business needs and often directly addressing customer feedback. Being at the interface between customer and product, you will have to move extremely quickly \- all while upholding our standard of developing clean, efficient, and ready for change software. The scope of your projects will range from longer term swings to bug fixes alike, each of which crucial to our company's success.
Farsight is a highly collaborative environment where you and your highly motivated, passionate team members will continuously be working together to create new technology and applications that deliver the robust, accurate solutions that our customers are expecting.
**Desired Qualifications**
* 2\+ years of non\-internship software engineering experience
* Knowledge and experience with building applications ready for both scale and production deployment
* Experience with Python and cloud\-based infrastructure like AWS
* Strong interest in learning and understanding generative AI technology and the current, rapidly evolving landscape
* Experience working in unstructured environments, where you took full autonomy of delivering projects from conception to deployment
* You are intrinsically motivated and self\-critical of your work, two aspects that are important for rapid innovation on a lean team
* Are able to effectively communicate with and collaborate with a growing team
* Bring a positive and fun attitude to the workplace!
**Above and Beyond Qualifications**
* Have previously worked at either an early\-stage startup or big tech
* Previous development experience with AI systems, including utilizing closed\-source models, fine\-tuning and spinning up open\-sourced models, etc.
* Understanding of system design patterns and test\-driven development techniques in order to create reliable, ready for change code
* Previous experience interacting with customers and receiving customer feedback
**Compensation \&amp; Benefits**
Salary ranges between $120,000 and $150,000 annually depending on the level of experience of the applicant. Highly competitive medical, dental, and vision insurance, along with unlimited PTO are included in the benefits.
**Equal Opportunity**
Farsight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Compensation Range: $125K \- $150K</t>
        </is>
      </c>
    </row>
    <row r="35">
      <c r="A35" t="inlineStr">
        <is>
          <t>in-bab5a59ac5529eed</t>
        </is>
      </c>
      <c r="B35" t="inlineStr">
        <is>
          <t>Principal Software Engineer</t>
        </is>
      </c>
      <c r="C35" t="inlineStr">
        <is>
          <t>Astera Institute</t>
        </is>
      </c>
      <c r="D35" t="inlineStr">
        <is>
          <t>indeed</t>
        </is>
      </c>
      <c r="E35">
        <f>HYPERLINK("https://www.indeed.com/viewjob?jk=bab5a59ac5529eed", "https://www.indeed.com/viewjob?jk=bab5a59ac5529eed")</f>
        <v/>
      </c>
      <c r="F35">
        <f>HYPERLINK("https://jobs.ashbyhq.com/astera/7190c059-406e-4278-a826-b6485cd579dc?utm_source=NGOz9Ww8v4", "https://jobs.ashbyhq.com/astera/7190c059-406e-4278-a826-b6485cd579dc?utm_source=NGOz9Ww8v4")</f>
        <v/>
      </c>
      <c r="G35" t="inlineStr">
        <is>
          <t>US</t>
        </is>
      </c>
      <c r="H35" s="2" t="n">
        <v>46049</v>
      </c>
      <c r="I35" t="inlineStr">
        <is>
          <t>**About Astera:**
=================
Astera is a private foundation with a $2\.5B endowment on a mission to steer science and technology toward an abundant future for all. Unlike traditional foundations, we operate like a high\-velocity startup with unprecedented access to computational resources and complete freedom from funding pressures or profit motives. This allows us to focus on ambitious goals and attract incredibly creative scientists and engineers from leading academic institutions and from frontier AI labs.
Obelisk is our large\-scale AI research program, pursuing a neuroscience\-informed approach to engineering AGI. This is not yet\-another\-lab scaling LLMs in a hope of achieving general intelligence. We are integrating neuroscience, AI, and bioengineering to understand and digitally model the architecture of the human brain.
**Position Summary:**
=====================
We are looking for an ambitious Staff Software Engineer to help us reverse\-engineer the human brain.
This role spans a broad spectrum of activities:
* Define and architect high\-performance infrastructure for training large\-scale models and running complex simulations.
* Design and optimize custom RL environments informed by neuroscience.
* Set the organizational standard for clean, fast, production\-grade code that boosts our research velocity.
* Turn research prototypes into scalable production systems.
* Identify and resolve the most critical and ambiguous technical bottlenecks, from low\-level optimization to high\-level strategy, to unblock the research team.
**Qualifications:**
-------------------
* High\-Velocity Craftsmanship: You set the bar for clean, maintainable, and well\-tested code at a startup pace. You know how to balance engineering rigor with the need to iterate quickly on research prototypes.
* System Architecture Intuition: You have proven success architecting complex systems from scratch. You understand multi\-year trade\-offs, and you can design infrastructure that survives the chaos of research.
* Extreme Adaptability: You might be an expert in distributed systems today, but you are ready to become a novice in neuroscience tomorrow. You have a track record of diving into complex domains, mastering them quickly, and guiding others through them.
* Mastery of Hard Problems: You have a track record of leading the resolution of difficult engineering challenges, whether it is massive scale distributed systems or kernel\-level optimization. You do not shy away from what your peers consider hardcore.
**Location \&amp; Visa:**
=====================
* This role is in\-person in Emeryville, CA.
* Visa sponsorship may be available for qualified candidates.
Compensation Range: $300K \- $600K</t>
        </is>
      </c>
    </row>
    <row r="36">
      <c r="A36" t="inlineStr">
        <is>
          <t>in-906e01dde54c1b74</t>
        </is>
      </c>
      <c r="B36" t="inlineStr">
        <is>
          <t>Senior Software Engineer - Alamo</t>
        </is>
      </c>
      <c r="C36" t="inlineStr">
        <is>
          <t>American Housing</t>
        </is>
      </c>
      <c r="D36" t="inlineStr">
        <is>
          <t>indeed</t>
        </is>
      </c>
      <c r="E36">
        <f>HYPERLINK("https://www.indeed.com/viewjob?jk=906e01dde54c1b74", "https://www.indeed.com/viewjob?jk=906e01dde54c1b74")</f>
        <v/>
      </c>
      <c r="F36">
        <f>HYPERLINK("https://jobs.ashbyhq.com/american-housing/6e3829f7-7892-464b-85ed-f504cd1be8d4?utm_source=5A3QnYO32P", "https://jobs.ashbyhq.com/american-housing/6e3829f7-7892-464b-85ed-f504cd1be8d4?utm_source=5A3QnYO32P")</f>
        <v/>
      </c>
      <c r="G36" t="inlineStr">
        <is>
          <t>Austin, TX, US</t>
        </is>
      </c>
      <c r="H36" s="2" t="n">
        <v>46049</v>
      </c>
      <c r="I36" t="inlineStr">
        <is>
          <t>The American Housing Corporation is on a mission to solve the America’s housing crisis through all\-out production. We believe that America’s affordability crisis is fundamentally a production crisis, and that solving it requires a vertically integrated development approach: We buy land, and manufacture, install, and sell our homes directly to customers. This is the only way to build at the scale necessary to solve this crisis.
The American Dream is built, not inherited. We're hiring the best engineers, designers, and builders to solve the hardest problem in America.
As a **Senior Software Engineer** on the Alamo team, you will play a pivotal role developing our internal software platform called Alamo. Alamo is what powers the entire company \- from underwriting, to ERP, to Manufacturing, to on\-site installation.
**What You’ll Do**
* Design, build, and maintain core features of Alamo, our internal software platform powering operations across the company
* Develop scalable web applications and APIs using Typescript, NextJS, and modern full stack frameworks
* Collaborate cross\-functionally with engineering, product, operations, and business teams to deliver impactful solutions
* Architect systems and implement complex workflows across underwriting, ERP, manufacturing, and installation modules
* Leverage AI tools such as Claude Code to increase development velocity and prototype new capabilities
* Review code, mentor teammates, and help drive best practices for code quality, documentation, and testing
* Take ownership of projects from concept to production, including system design, implementation, testing, and release
* Contribute to our product vision and help shape the future of Alamo
 **Qualifications**
* 5\+ years experience as a software engineer, with a track record of building end\-to\-end products
* Deep proficiency with Typescript and modern full stack development frameworks (NextJS, React, Svelte)
* Experience designing, building, and scaling distributed backend systems
* Proven ability to architect complex systems and create reliable software across web and backend
* Strong collaboration and communication skills; comfortable working across teams in a fast\-paced environment
* Demonstrated ability to develop with AI tools (e.g., Claude Code) to accelerate prototyping and problem solving
* Knowledge of DevOps and cloud infrastructure best practices is a plus
* BS or higher in Computer Science or related technical discipline preferred</t>
        </is>
      </c>
    </row>
    <row r="37">
      <c r="A37" t="inlineStr">
        <is>
          <t>in-6d047557e893cb19</t>
        </is>
      </c>
      <c r="B37" t="inlineStr">
        <is>
          <t>Senior Software Engineer</t>
        </is>
      </c>
      <c r="C37" t="inlineStr">
        <is>
          <t>Astera Institute</t>
        </is>
      </c>
      <c r="D37" t="inlineStr">
        <is>
          <t>indeed</t>
        </is>
      </c>
      <c r="E37">
        <f>HYPERLINK("https://www.indeed.com/viewjob?jk=6d047557e893cb19", "https://www.indeed.com/viewjob?jk=6d047557e893cb19")</f>
        <v/>
      </c>
      <c r="F37">
        <f>HYPERLINK("https://jobs.ashbyhq.com/astera/53c455a3-8e24-4908-a77d-b61532756af9?utm_source=NGOz9Ww8v4", "https://jobs.ashbyhq.com/astera/53c455a3-8e24-4908-a77d-b61532756af9?utm_source=NGOz9Ww8v4")</f>
        <v/>
      </c>
      <c r="G37" t="inlineStr">
        <is>
          <t>US</t>
        </is>
      </c>
      <c r="H37" s="2" t="n">
        <v>46049</v>
      </c>
      <c r="I37" t="inlineStr">
        <is>
          <t>**About Astera:**
=================
Astera is a private foundation with a $2\.5B endowment on a mission to steer science and technology toward an abundant future for all. Unlike traditional foundations, we operate like a high\-velocity startup with unprecedented access to computational resources and complete freedom from funding pressures or profit motives. This allows us to focus on ambitious goals and attract incredibly creative scientists and engineers from leading academic institutions and from frontier AI labs.
Obelisk is our large\-scale AI research program, pursuing a neuroscience\-informed approach to engineering AGI. This is not yet\-another\-lab scaling LLMs in a hope of achieving general intelligence. We are integrating neuroscience, AI, and bioengineering to understand and digitally model the architecture of the human brain.
**Position Summary:**
=====================
We are looking for an ambitious Senior Software Engineer to help us reverse\-engineer the human brain.
This role spans a broad spectrum of activities:
* Architect high\-performance infrastructure for training large\-scale models and running complex simulations.
* Design and optimize custom RL environments informed by neuroscience.
* Write clean, fast, production\-grade code that boosts our research velocity.
* Turn research prototypes into scalable production systems.
* Tackle any technical bottleneck, from low\-level optimization to high\-level system design, to unblock the research team.
**Qualifications:**
-------------------
* High\-Velocity Craftsmanship: You produce clean, maintainable, and well\-tested code at a startup pace. You know how to balance engineering rigor with the need to iterate quickly on research prototypes.
* System Architecture Intuition: You have deep experience architecting complex systems from scratch. You understand the trade\-offs, and you can design infrastructure that survives the chaos of research.
* Extreme Adaptability: You might be an expert in distributed systems today, but you are ready to become a novice in neuroscience tomorrow. You have a track record of diving into complex domains and mastering them quickly.
* Mastery of Hard Problems: You have a track record of tackling difficult engineering challenges, whether it is massive scale distributed systems or low\-level optimization. You do not shy away from what your peers consider hardcore.
**Location \&amp; Visa:**
=====================
* This role is in\-person in Emeryville, CA.
* Visa sponsorship may be available for qualified candidates.
Compensation Range: $100K \- $400K</t>
        </is>
      </c>
    </row>
    <row r="38">
      <c r="A38" t="inlineStr">
        <is>
          <t>in-444a15d01ef76372</t>
        </is>
      </c>
      <c r="B38" t="inlineStr">
        <is>
          <t>Senior Software Engineer</t>
        </is>
      </c>
      <c r="C38" t="inlineStr"/>
      <c r="D38" t="inlineStr">
        <is>
          <t>indeed</t>
        </is>
      </c>
      <c r="E38">
        <f>HYPERLINK("https://www.indeed.com/viewjob?jk=444a15d01ef76372", "https://www.indeed.com/viewjob?jk=444a15d01ef76372")</f>
        <v/>
      </c>
      <c r="F38">
        <f>HYPERLINK("https://jobs.ashbyhq.com/farsight/5084cc68-494d-442b-8483-285e4a69d4a3?utm_source=J3YqPDpWBb", "https://jobs.ashbyhq.com/farsight/5084cc68-494d-442b-8483-285e4a69d4a3?utm_source=J3YqPDpWBb")</f>
        <v/>
      </c>
      <c r="G38" t="inlineStr">
        <is>
          <t>New York, NY, US</t>
        </is>
      </c>
      <c r="H38" s="2" t="n">
        <v>46049</v>
      </c>
      <c r="I38" t="inlineStr">
        <is>
          <t>**About Farsight**
Farsight is the agentic AI platform for financial services, currently helping investment banks and private equity firms fully automate entire, highly nuanced workflows. Today, institutions will spend 80% of their time gathering information for and creating first drafts of materials by hand before iterating on and refining their decks, models, and pitches. We not only give them that time back to focus on what is important, but we also bring new insights and knowledge to their materials that they wouldn’t be able to uncover without the help of our financial\-focused AI.
We work with an immense amount of both public and private data, delivering highly accurate and auditable materials in an arena far too nuanced for large\-scale AI out of the box. Oftentimes, our product generates outputs that outperform the work of existing employees, with customers boasting:
* “I’m more than willing to let my analysts never use Powerpoint again.”
* "We pay consultants millions per year to advise us on our AI strategies. They have zero idea what Farsight is capable of."
Our mission is to upend the way financial services work in corporations gets done, effectively integrating AI into the financial needlework of every company on Earth.
**Team**
We are a highly motivated team that is driven by creating technology that amazes. Each one of us wears many different hats, whether that be development, sales, infrastructure, design, product innovation, AI research, and more \- and we expect those coming in to have the experience or the motivation to wear just as many.
Our team has had a wide range of experience that uniquely equips us to capture this massive opportunity. Our team comes from leading financial institutions like Evercore, General Atlantic and Menlo Ventures, supercharged by scalable engineering and AI skills from companies including Amazon, Hugging Face and the MIT Media Lab. We've learned the ins and outs of building successful startups from previous work as founders and founding engineers. We focus on hiring the best so that we can become the best, so we hope you apply!
We are entirely based in Manhattan, New York City, and are in\-person 4 days a week (except Fridays, which are remote).
**Job Description**
Farsight operates at the cutting\-edge of AI to deliver human\-like work within some of the world’s largest, and most critical, financial organizations. We have an extensive backlog from customer demand along with immense opportunities for product innovation. As such, we require someone that will not only ship features but will also move the ball forward towards a unified and expansive platform offering.
You will have full ownership of projects that you will have to design, implement, and deploy at scale in a highly fluid and fast\-paced startup environment. While you will have to create clean, efficient, and ready\-for\-change software, you will also have to listen to customer feedback, prioritize work streams, and gauge quality of outputs with a critical lens. On the software side specifically, your work will range from longer\-term research projects to bug fixes alike \- all of which crucial to our company’s success.
Farsight is a highly collaborative environment where you and your highly motivated, passionate team members will continuously be working together to create new technology and applications that deliver the robust, accurate, market\-changing solutions that our customers have come to expect.
**Desired Qualifications**
* 4\+ years of full\-time software engineering experience
* Deep knowledge and experience with building full\-stack, user\-friendly applications ready for scale
* Experience with Typescript, Python, and cloud\-based infrastructure like AWS
* Strong interest in learning and understanding generative AI technology and the current, rapidly evolving landscape
* Experience working in unstructured environments, where you took full autonomy in delivering projects from conception to deployment
* You are intrinsically motivated and self\-critical of your work, two aspects that are important for rapid innovation on a lean team
* Are able to effectively communicate with and collaborate with a growing team
* Bring a positive and fun attitude to the workplace!
**Above and Beyond Qualifications**
* Former early engineer or founder at a fast\-growing startup
* Previous AI research and/or interactions with AI systems, including utilizing closed\-source models, fine\-tuning and spinning up open\-sourced models, etc.
* Deep understanding of scalable system design, performance optimization, and resilience engineering
* Extensive front\-end experience in tandem with some experience in UI / UX design work
* Previous experience interacting with customers and receiving customer feedback
* Have leadership experience in a technical position
**Compensation \&amp; Benefits**
Salary ranges between $150,000 and $200,000 annually depending on level of experience of the applicant. Highly competitive medical, dental, and vision insurance, along with unlimited PTO are included in the benefits.
**Equal Opportunity**
Farsight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Compensation Range: $150K \- $200K</t>
        </is>
      </c>
    </row>
    <row r="39">
      <c r="A39" t="inlineStr">
        <is>
          <t>in-07979c40f7b2077e</t>
        </is>
      </c>
      <c r="B39" t="inlineStr">
        <is>
          <t>Software Engineer</t>
        </is>
      </c>
      <c r="C39" t="inlineStr">
        <is>
          <t>Coursedog</t>
        </is>
      </c>
      <c r="D39" t="inlineStr">
        <is>
          <t>indeed</t>
        </is>
      </c>
      <c r="E39">
        <f>HYPERLINK("https://www.indeed.com/viewjob?jk=07979c40f7b2077e", "https://www.indeed.com/viewjob?jk=07979c40f7b2077e")</f>
        <v/>
      </c>
      <c r="F39">
        <f>HYPERLINK("https://coursedog.pinpointhq.com/en/postings/6234728d-ad76-4ff0-b0f0-d50f296b183a", "https://coursedog.pinpointhq.com/en/postings/6234728d-ad76-4ff0-b0f0-d50f296b183a")</f>
        <v/>
      </c>
      <c r="G39" t="inlineStr">
        <is>
          <t>Remote, US</t>
        </is>
      </c>
      <c r="H39" s="2" t="n">
        <v>46049</v>
      </c>
      <c r="I39" t="inlineStr">
        <is>
          <t>**About the Role:**  
We are looking for a **Software Engineer** to join our Engineering team.
This role focuses on building and maintaining reliable, scalable software systems across the product. You will work on both backend services and frontend applications, contributing to customer\-facing features and internal tooling with an emphasis on code quality, performance, and maintainability.  
You will collaborate closely with product, design, and other engineering teams while owning problems end to end.
This role offers a competitive **base salary ranging from $70,000–$90,000**, depending on experience. The position includes a performance\-based variable compensation plan, bringing the **total on\-target earnings (OTE) to $75,000–$100,000** when goals are met.
Key Responsibilities
Build and maintain backend services and APIs.  
* 
Develop and maintain frontend applications using TypeScript and Vue (or similar frameworks).  
* 
Design, implement, and maintain well\-structured, testable code.  
* 
Review pull requests and provide constructive, actionable feedback.  
* 
Debug and improve existing systems, including legacy components.  
* 
Improve system reliability, performance, and scalability.  
* 
Collaborate with cross\-functional partners to deliver features and resolve issues.  
* 
* Contribute to engineering documentation and best practices.
Skills Knowledge and Expertise
**Required:**
Experience with TypeScript and modern JavaScript.  
* 
Experience building frontend applications using Vue.js (or similar frameworks).  
* 
Experience with Node.js for backend development.  
* 
Solid understanding of REST APIs and software design principles.  
* 
Experience with databases such as MongoDB, Redis, and relational databases.  
* 
Strong debugging and problem\-solving skills.  
* 
Ability to work in ambiguous problem spaces and learn new systems quickly.  
* 
* Clear communicator with both technical and non\-technical stakeholders.
**Nice to Have:**
Experience with AWS, queues, or serverless systems (e.g., Lambda).  
* 
Exposure to AI\-powered or AI\-adjacent systems.  
* 
* Backend experience beyond Node.js (e.g., Python, Java, .NET).
Working at Coursedog
**Healthcare, Dental \&amp; Vision**
We follow a fixed contribution model to promote equity and transparency. Every employee receives the same annual dollar amount to apply toward medical, dental, and vision coverage. This approach gives you the flexibility to choose the plan that best fits your needs, whether that is a base\-level option or more comprehensive coverage.  
Depending on the selected coverage level, the company covers:* Employee\-only coverage: 65% to 99% of monthly premiums
* Employee plus dependents: 45% to 75% of monthly premiums
We partner with Aetna and Guardian, and offer access to best\-in\-class wellness and support programs, including:* Spring Health (mental health support)
* XP Health (vision benefits)
* Carrot Fertility (family planning support)
* One Medical (primary care)
We also support pre\-tax savings through **Health Savings Accounts (HSA) and Flexible Spending Accounts (FSA).**
**Retirement Planning**
To support long\-term financial health, we offer a Safe Harbor 401(k) plan from day one of employment. Coursedog provides a 4% employer match on your total compensation (subject to federal limits) each pay period for employees contributing to a tax\-advantaged retirement account.
**Paid Time Off**
We trust our employees to manage their time responsibly. That’s why we offer an unlimited Paid Time Off policy — because flexibility and balance are critical for sustained excellence and personal well\-being.
**Remote\-First Since Inception**
We were built for distributed work. Our culture emphasizes flexibility over rigidity, outcomes over hours, and transparency over gatekeeping. We are committed to being a remote\-first organization indefinitely, empowering you to work where and how you thrive best.
**Equity**
As a valued contributor to our collective success, you’ll participate in the upside. All employees are granted equity in the company aligned to your role and tenure. Equity grants are reviewed and adjusted with promotions to reflect your evolving impact.
**Paid Parental Leave**
We proudly support working parents with industry\-leading benefits. Employees are eligible for up to 12 weeks of fully paid leave. This benefit is available to all eligible employees, regardless of gender or family structure.
About Coursedog
Our mission is to break down barriers to opportunity for students.  
Coursedog provides higher ed with modern technology solutions – empowering institutions, students, and communities across the globe.  
Coursedog's founding story is rooted in the desire to help students achieve their highest goals. In 2018, Coursedog's co\-founders and then college students, Justin Wenig and Nick Diao, were frustrated by how difficult it was to get into the classes they needed to graduate on time. After speaking with higher education provosts and registrars to better understand how academic scheduling works, they came away with a vision that permeates the company today.  
Coursedog has raised $113M total capital as a remote\-first, hyper\-growth startup currently backed by JMI Equity, and with past investments from YC and First Round Capital. We were recently ranked in Forbes top 500 US startup employers and our employee engagement scores rank in the top 5% of tech companies.</t>
        </is>
      </c>
    </row>
    <row r="40">
      <c r="A40" t="inlineStr">
        <is>
          <t>in-016d9789615a0712</t>
        </is>
      </c>
      <c r="B40" t="inlineStr">
        <is>
          <t>Senior Software Engineer, Customer Engineering</t>
        </is>
      </c>
      <c r="C40" t="inlineStr">
        <is>
          <t>Goody</t>
        </is>
      </c>
      <c r="D40" t="inlineStr">
        <is>
          <t>indeed</t>
        </is>
      </c>
      <c r="E40">
        <f>HYPERLINK("https://www.indeed.com/viewjob?jk=016d9789615a0712", "https://www.indeed.com/viewjob?jk=016d9789615a0712")</f>
        <v/>
      </c>
      <c r="F40">
        <f>HYPERLINK("https://jobs.ashbyhq.com/goody/388e25c3-64bc-48bb-b709-50314abe3457?utm_source=JjqapnMKNr", "https://jobs.ashbyhq.com/goody/388e25c3-64bc-48bb-b709-50314abe3457?utm_source=JjqapnMKNr")</f>
        <v/>
      </c>
      <c r="G40" t="inlineStr">
        <is>
          <t>US</t>
        </is>
      </c>
      <c r="H40" s="2" t="n">
        <v>46049</v>
      </c>
      <c r="I40" t="inlineStr">
        <is>
          <t>Goody is a gifting company making it easy to send personal and corporate gifts. With more than two million gifts sent and customers including Google, Stripe, Meta, Anthropic, Notion, NBCUniversal, DHL, and others, we have found product–market fit and are looking to grow and scale. We’re looking for a motivated Senior Software Engineer to help our customers have the best experience with Goody.
You will be the engineer that has the most direct impact on our customer experience. In this role, you will be a force multiplier for the business: unblocking high\-value sales deals, building features that make our customers happy, and resolving complex technical escalations for our Customer Experience team.
If you love hearing a customer request in the morning and telling them it’s shipped in the afternoon, this role is for you.
**Responsibilities**
--------------------
* **Guide customers, write code, win deals:** Partner closely with Sales and Customer Success to understand customer needs, participate in discovery calls, architect solutions, and write production code to close deals and keep our customers satisfied and engaged.
* **Own our engineering escalations function:** Serve as the primary point of contact for customer\-impacting technical issues, coordinating across Customer Experience, Product, and Engineering to drive fast, high\-quality resolution.
* **Design, build, and deploy tools (including AI tools)** to multiply the impact of our internal teams, particularly our customer experience and success teams.
* **Influence and shape the product** by advocating for customer needs and translating them to shipped features.
In this role, you will have a wide understanding of, and will work across, our entire platform and stack. This is an excellent role for someone who likes to work with customers, while also having the ability to not just advise customers on our product, but **actively build** to solve their problems.
**Requirements**
----------------
* You’re a full\-stack engineer that is adept in both backend (Ruby on Rails preferred, or strong experience in Python/Node) and frontend (React/TypeScript).
* You have at least four years of experience in building production web applications.
* You have experience working directly with customers in a technical capacity (e.g. customer engineering, solutions engineering, support engineering, or owning customer\-facing features).
* You bring great vibes and attitude that match our ethos of delivering delight to our senders and recipients.
**Company Benefits**
--------------------
* 100% remote work
* Group medical, dental, and vision coverage insurance (with opt\-out benefits)
* 401k
* Stock options
* Open PTO, with a company\-wide summer break designed to counterbalance the demands of the year\-end holiday season.
* Paid parental leave benefits
* Annual company offsite – past locations include Cabo, San Diego, and Banff
* $100/month reimbursement for wellness
* $500 annual education stipend
* Lots of Goodys!
*Benefits may vary based on employment status or country location.*
**About Goody**
---------------
Goody is a modern gifting platform built to help companies create meaningful connections at scale. We power thoughtful, on\-brand gifting experiences for leading teams, making it easy to send the right gift to the right person at the right moment without the logistics headaches.
Goody was founded in 2020 and is backed by leading investors like NEA, SoftBank, and Quiet Capital. We are a fully remote, product\-driven team trusted by 64 percent of the Fortune 100\. In 2025, Inc. ranked Goody as the fastest\-growing gifting company in the United States, reflecting our momentum and focus on building exceptional experiences for customers and teammates alike.
Compensation Range: $150K \- $200K</t>
        </is>
      </c>
    </row>
    <row r="41">
      <c r="A41" t="inlineStr">
        <is>
          <t>in-c4e8d05952e55aad</t>
        </is>
      </c>
      <c r="B41" t="inlineStr">
        <is>
          <t>Staff Software Engineer</t>
        </is>
      </c>
      <c r="C41" t="inlineStr">
        <is>
          <t>Astera Institute</t>
        </is>
      </c>
      <c r="D41" t="inlineStr">
        <is>
          <t>indeed</t>
        </is>
      </c>
      <c r="E41">
        <f>HYPERLINK("https://www.indeed.com/viewjob?jk=c4e8d05952e55aad", "https://www.indeed.com/viewjob?jk=c4e8d05952e55aad")</f>
        <v/>
      </c>
      <c r="F41">
        <f>HYPERLINK("https://jobs.ashbyhq.com/astera/28ecbf78-2c8b-40ee-9a55-89913fb5d923?utm_source=NGOz9Ww8v4", "https://jobs.ashbyhq.com/astera/28ecbf78-2c8b-40ee-9a55-89913fb5d923?utm_source=NGOz9Ww8v4")</f>
        <v/>
      </c>
      <c r="G41" t="inlineStr">
        <is>
          <t>US</t>
        </is>
      </c>
      <c r="H41" s="2" t="n">
        <v>46049</v>
      </c>
      <c r="I41" t="inlineStr">
        <is>
          <t>**About Astera:**
=================
Astera is a private foundation with a $2\.5B endowment on a mission to steer science and technology toward an abundant future for all. Unlike traditional foundations, we operate like a high\-velocity startup with unprecedented access to computational resources and complete freedom from funding pressures or profit motives. This allows us to focus on ambitious goals and attract incredibly creative scientists and engineers from leading academic institutions and from frontier AI labs.
Obelisk is our large\-scale AI research program, pursuing a neuroscience\-informed approach to engineering AGI. This is not yet\-another\-lab scaling LLMs in a hope of achieving general intelligence. We are integrating neuroscience, AI, and bioengineering to understand and digitally model the architecture of the human brain.
**Position Summary:**
=====================
We are looking for an ambitious Staff Software Engineer to help us reverse\-engineer the human brain.
This role spans a broad spectrum of activities:
* Define and architect high\-performance infrastructure for training large\-scale models and running complex simulations.
* Design and optimize custom RL environments informed by neuroscience.
* Set the standard for clean, fast, production\-grade code that boosts our research velocity.
* Turn research prototypes into scalable production systems.
* Tackle systemic technical bottlenecks, from low\-level optimization to high\-level strategy, to unblock the research team.
**Qualifications:**
-------------------
* High\-Velocity Craftsmanship: You set the bar for clean, maintainable, and well\-tested code at a startup pace. You know how to balance engineering rigor with the need to iterate quickly on research prototypes.
* System Architecture Intuition: You have proven success architecting complex systems from scratch. You understand the long\-term trade\-offs, and you can design infrastructure that survives the chaos of research.
* Extreme Adaptability: You might be an expert in distributed systems today, but you are ready to become a novice in neuroscience tomorrow. You have a track record of diving into complex domains, mastering them quickly, and guiding others through them.
* Mastery of Hard Problems: You have a track record of leading the resolution of difficult engineering challenges, whether it is massive scale distributed systems or kernel\-level optimization. You do not shy away from what your peers consider hardcore.
**Location \&amp; Visa:**
=====================
* This role is in\-person in Emeryville, CA.
* Visa sponsorship may be available for qualified candidates.
Compensation Range: $200K \- $500K</t>
        </is>
      </c>
    </row>
    <row r="42">
      <c r="A42" t="inlineStr">
        <is>
          <t>in-7ad7b97ce7304926</t>
        </is>
      </c>
      <c r="B42" t="inlineStr">
        <is>
          <t>Senior Software Engineer, Forward Deployed</t>
        </is>
      </c>
      <c r="C42" t="inlineStr">
        <is>
          <t>Ramp</t>
        </is>
      </c>
      <c r="D42" t="inlineStr">
        <is>
          <t>indeed</t>
        </is>
      </c>
      <c r="E42">
        <f>HYPERLINK("https://www.indeed.com/viewjob?jk=7ad7b97ce7304926", "https://www.indeed.com/viewjob?jk=7ad7b97ce7304926")</f>
        <v/>
      </c>
      <c r="F42">
        <f>HYPERLINK("https://jobs.ashbyhq.com/ramp/17ad9012-2545-4403-8e81-0775075a4fa3?utm_source=0EO2LxnYM1", "https://jobs.ashbyhq.com/ramp/17ad9012-2545-4403-8e81-0775075a4fa3?utm_source=0EO2LxnYM1")</f>
        <v/>
      </c>
      <c r="G42" t="inlineStr">
        <is>
          <t>San Francisco, CA, US</t>
        </is>
      </c>
      <c r="H42" s="2" t="n">
        <v>46049</v>
      </c>
      <c r="I42" t="inlineStr">
        <is>
          <t>**About Ramp**
==============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
Being a part of Forward Deployed Engineering (FDE), you will design and build solutions to support our largest customers and scale our enterprise motion. FDE is a high\-pace, customer\-facing, business\-focused engineering team, and we pave the way for Ramp to support the largest and most complex organizations in the world.
On FDE, you will interact directly with customers and deliver solutions end to end — from understanding pain points and shaping product decisions to designing and implementing scalable systems. We are a full stack team and collaborate closely with sales and core product engineering.
Check out our Engineering Blog for more on our tech stack, mission and values!
**What You’ll Do**
------------------
* Deliver solutions end to end that meet the needs of our largest, strategic customers — understanding user pain points, scoping product specs, and designing and building software.
* Collaborate closely with our sales and go\-to\-market teams to close exciting deals, activate customers, and expand the value Ramp provides over time. We work with and support huge, world\-class companies at the scale of $100B\+ in valuation.
* Drive our core product engineering roadmap and make important prioritization and scoping decisions that determine when we build custom solutions vs. accelerate larger existing projects. Our team uses an embedding model where FDEs embed within core product engineering teams to develop expertise in the most relevant technical areas.
* Solve technical challenges to support new levels of scale, and help us develop and execute our strategy to grow our enterprise platform. For example, extending our data model for roles and permissions, seamlessly integrating with 3rd party systems with generalized data exports, and ingesting HRIS data at scale.
**What You Need**
-----------------
* 5\+ years of software engineering experience preferred
* Track record of shipping high\-quality products and features at scale
* Desire to work in a fast\-paced, entrepreneurial, customer\-facing engineering team, continuously grow, and master your craft
* Ability to turn business and product ideas into engineering solutions
**Benefits (for U.S.\-based full\-time employees)**
---------------------------------------------------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
If you are being referred for the role, please contact that person to apply on your behalf.
**Other notices**
-----------------
Pursuant to the San Francisco Fair Chance Ordinance, we will consider for employment qualified applicants with arrest and conviction records.
Ramp Applicant Privacy Notice
Compensation Range: $207\.2K \- $284\.9K</t>
        </is>
      </c>
    </row>
    <row r="43">
      <c r="A43" t="inlineStr">
        <is>
          <t>in-84267606806c20d5</t>
        </is>
      </c>
      <c r="B43" t="inlineStr">
        <is>
          <t>Senior Software Engineering Manager, ML Fleet Systems</t>
        </is>
      </c>
      <c r="C43" t="inlineStr">
        <is>
          <t>Google</t>
        </is>
      </c>
      <c r="D43" t="inlineStr">
        <is>
          <t>indeed</t>
        </is>
      </c>
      <c r="E43">
        <f>HYPERLINK("https://www.indeed.com/viewjob?jk=84267606806c20d5", "https://www.indeed.com/viewjob?jk=84267606806c20d5")</f>
        <v/>
      </c>
      <c r="F43">
        <f>HYPERLINK("https://careers.google.com/jobs/results/136396153083044550-senior-software-engineering-manager/", "https://careers.google.com/jobs/results/136396153083044550-senior-software-engineering-manager/")</f>
        <v/>
      </c>
      <c r="G43" t="inlineStr">
        <is>
          <t>Sunnyvale, CA, US</t>
        </is>
      </c>
      <c r="H43" s="2" t="n">
        <v>46049</v>
      </c>
      <c r="I4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Seattle, WA, USA**.### **Minimum qualifications:**
* Bachelor’s degree, or equivalent practical experience.
* 8 years of experience programming in C\+\+, Java, Python, Kotlin or Go.
* 5 years of experience in a technical leadership role.
* 5 years of experience in a people management or team leadership role.
* 3 years of experience in designing, analyzing, and troubleshooting distributed systems.
### **Preferred qualifications:**
* Master's degree or PhD in Computer Science or related technical field.
* 5 years of experience working in a complex, matrixed organization.
* Experience with colossus and other relevant Google storage systems (e.g., Bigtable, Spanner, Woodshed).
* Experience with infrastructure optimization, performance analysis, and cost reduction in large\-scale environments.
* Familiarity with Machine Learning hardware accelerators (e.g., TPUs, GPUs) and their life\-cycle management.
* Understanding of resource management systems (e.g., compute infrastructure, Kubernetes, Flex), cluster management, and scheduling algorithms.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Machine Learning (ML) Fleet provides demand forecasts and fulfillment options for Google's ML infrastructure, and delivers fit\-for\-purpose ML infrastructure on\-time, cost\-effectively, and at high quality. ML Fleet performs demand and capacity management for Alphabet's ML infrastructure resources across all Product Areas, ensuring those resources are allocated in line with Alphabet\-wide ML priorities. ML Fleet's scope includes demand planning, capacity management, and governance of the ML fleet to execute on Google's AI\-first strategy across training, serving, and enterprise offerings.
The ML Fleet Systems team’s mission is to make ML demand planning and capacity management efficient, accurate, and auditable through robust and scalable engineered solutions.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long\-term technical goal, strategy, and roadmap for critical software systems that manage Alphabet's ML fleet. This includes building systems for all ML resources such as TPUs, GPUs, compute, storage, and networking.
* Collaborate closely with engineering partners (e.g., Onefleet, Spatial Flex, ODS) to design and deliver joint engineered solutions to our customers (Product Areas within Google).
* Identify, scope, and solve broad and ambiguous challenges that impact the efficiency, reliability, and cost\-effectiveness of the entire ML fleet. Turn these challenges into strategic opportunities and actionable plans.
* Drive significant improvements in ML fleet metrics, such as utilization, scheduling efficiency, and power consumption, through innovative software and system design.
* Ensure the long\-term health, maintainability, and evolution of the software systems underpinning Google's AI/ML development.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4">
      <c r="A44" t="inlineStr">
        <is>
          <t>in-c8812726fc91f9d9</t>
        </is>
      </c>
      <c r="B44" t="inlineStr">
        <is>
          <t>Senior Software Engineering Manager, ML Fleet Systems</t>
        </is>
      </c>
      <c r="C44" t="inlineStr">
        <is>
          <t>Google</t>
        </is>
      </c>
      <c r="D44" t="inlineStr">
        <is>
          <t>indeed</t>
        </is>
      </c>
      <c r="E44">
        <f>HYPERLINK("https://www.indeed.com/viewjob?jk=c8812726fc91f9d9", "https://www.indeed.com/viewjob?jk=c8812726fc91f9d9")</f>
        <v/>
      </c>
      <c r="F44">
        <f>HYPERLINK("https://careers.google.com/jobs/results/136396153083044550-senior-software-engineering-manager/", "https://careers.google.com/jobs/results/136396153083044550-senior-software-engineering-manager/")</f>
        <v/>
      </c>
      <c r="G44" t="inlineStr">
        <is>
          <t>Kirkland, WA, US</t>
        </is>
      </c>
      <c r="H44" s="2" t="n">
        <v>46049</v>
      </c>
      <c r="I4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Seattle, WA, USA**.### **Minimum qualifications:**
* Bachelor’s degree, or equivalent practical experience.
* 8 years of experience programming in C\+\+, Java, Python, Kotlin or Go.
* 5 years of experience in a technical leadership role.
* 5 years of experience in a people management or team leadership role.
* 3 years of experience in designing, analyzing, and troubleshooting distributed systems.
### **Preferred qualifications:**
* Master's degree or PhD in Computer Science or related technical field.
* 5 years of experience working in a complex, matrixed organization.
* Experience with colossus and other relevant Google storage systems (e.g., Bigtable, Spanner, Woodshed).
* Experience with infrastructure optimization, performance analysis, and cost reduction in large\-scale environments.
* Familiarity with Machine Learning hardware accelerators (e.g., TPUs, GPUs) and their life\-cycle management.
* Understanding of resource management systems (e.g., compute infrastructure, Kubernetes, Flex), cluster management, and scheduling algorithms.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Machine Learning (ML) Fleet provides demand forecasts and fulfillment options for Google's ML infrastructure, and delivers fit\-for\-purpose ML infrastructure on\-time, cost\-effectively, and at high quality. ML Fleet performs demand and capacity management for Alphabet's ML infrastructure resources across all Product Areas, ensuring those resources are allocated in line with Alphabet\-wide ML priorities. ML Fleet's scope includes demand planning, capacity management, and governance of the ML fleet to execute on Google's AI\-first strategy across training, serving, and enterprise offerings.
The ML Fleet Systems team’s mission is to make ML demand planning and capacity management efficient, accurate, and auditable through robust and scalable engineered solutions.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long\-term technical goal, strategy, and roadmap for critical software systems that manage Alphabet's ML fleet. This includes building systems for all ML resources such as TPUs, GPUs, compute, storage, and networking.
* Collaborate closely with engineering partners (e.g., Onefleet, Spatial Flex, ODS) to design and deliver joint engineered solutions to our customers (Product Areas within Google).
* Identify, scope, and solve broad and ambiguous challenges that impact the efficiency, reliability, and cost\-effectiveness of the entire ML fleet. Turn these challenges into strategic opportunities and actionable plans.
* Drive significant improvements in ML fleet metrics, such as utilization, scheduling efficiency, and power consumption, through innovative software and system design.
* Ensure the long\-term health, maintainability, and evolution of the software systems underpinning Google's AI/ML development.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5">
      <c r="A45" t="inlineStr">
        <is>
          <t>in-138eb62393bd0c40</t>
        </is>
      </c>
      <c r="B45" t="inlineStr">
        <is>
          <t>Senior Software Engineering Manager, ML Fleet Systems</t>
        </is>
      </c>
      <c r="C45" t="inlineStr">
        <is>
          <t>Google</t>
        </is>
      </c>
      <c r="D45" t="inlineStr">
        <is>
          <t>indeed</t>
        </is>
      </c>
      <c r="E45">
        <f>HYPERLINK("https://www.indeed.com/viewjob?jk=138eb62393bd0c40", "https://www.indeed.com/viewjob?jk=138eb62393bd0c40")</f>
        <v/>
      </c>
      <c r="F45">
        <f>HYPERLINK("https://careers.google.com/jobs/results/136396153083044550-senior-software-engineering-manager/", "https://careers.google.com/jobs/results/136396153083044550-senior-software-engineering-manager/")</f>
        <v/>
      </c>
      <c r="G45" t="inlineStr">
        <is>
          <t>Seattle, WA, US</t>
        </is>
      </c>
      <c r="H45" s="2" t="n">
        <v>46049</v>
      </c>
      <c r="I4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Seattle, WA, USA**.### **Minimum qualifications:**
* Bachelor’s degree, or equivalent practical experience.
* 8 years of experience programming in C\+\+, Java, Python, Kotlin or Go.
* 5 years of experience in a technical leadership role.
* 5 years of experience in a people management or team leadership role.
* 3 years of experience in designing, analyzing, and troubleshooting distributed systems.
### **Preferred qualifications:**
* Master's degree or PhD in Computer Science or related technical field.
* 5 years of experience working in a complex, matrixed organization.
* Experience with colossus and other relevant Google storage systems (e.g., Bigtable, Spanner, Woodshed).
* Experience with infrastructure optimization, performance analysis, and cost reduction in large\-scale environments.
* Familiarity with Machine Learning hardware accelerators (e.g., TPUs, GPUs) and their life\-cycle management.
* Understanding of resource management systems (e.g., compute infrastructure, Kubernetes, Flex), cluster management, and scheduling algorithms.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Machine Learning (ML) Fleet provides demand forecasts and fulfillment options for Google's ML infrastructure, and delivers fit\-for\-purpose ML infrastructure on\-time, cost\-effectively, and at high quality. ML Fleet performs demand and capacity management for Alphabet's ML infrastructure resources across all Product Areas, ensuring those resources are allocated in line with Alphabet\-wide ML priorities. ML Fleet's scope includes demand planning, capacity management, and governance of the ML fleet to execute on Google's AI\-first strategy across training, serving, and enterprise offerings.
The ML Fleet Systems team’s mission is to make ML demand planning and capacity management efficient, accurate, and auditable through robust and scalable engineered solutions.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drive the long\-term technical goal, strategy, and roadmap for critical software systems that manage Alphabet's ML fleet. This includes building systems for all ML resources such as TPUs, GPUs, compute, storage, and networking.
* Collaborate closely with engineering partners (e.g., Onefleet, Spatial Flex, ODS) to design and deliver joint engineered solutions to our customers (Product Areas within Google).
* Identify, scope, and solve broad and ambiguous challenges that impact the efficiency, reliability, and cost\-effectiveness of the entire ML fleet. Turn these challenges into strategic opportunities and actionable plans.
* Drive significant improvements in ML fleet metrics, such as utilization, scheduling efficiency, and power consumption, through innovative software and system design.
* Ensure the long\-term health, maintainability, and evolution of the software systems underpinning Google's AI/ML development.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6">
      <c r="A46" t="inlineStr">
        <is>
          <t>in-2d83266a27b7642c</t>
        </is>
      </c>
      <c r="B46" t="inlineStr">
        <is>
          <t>Staff Software Engineer, AI Data Generation Platform</t>
        </is>
      </c>
      <c r="C46" t="inlineStr">
        <is>
          <t>Google</t>
        </is>
      </c>
      <c r="D46" t="inlineStr">
        <is>
          <t>indeed</t>
        </is>
      </c>
      <c r="E46">
        <f>HYPERLINK("https://www.indeed.com/viewjob?jk=2d83266a27b7642c", "https://www.indeed.com/viewjob?jk=2d83266a27b7642c")</f>
        <v/>
      </c>
      <c r="F46">
        <f>HYPERLINK("https://careers.google.com/jobs/results/82569166208279238-staff-software-engineer/", "https://careers.google.com/jobs/results/82569166208279238-staff-software-engineer/")</f>
        <v/>
      </c>
      <c r="G46" t="inlineStr">
        <is>
          <t>Sunnyvale, CA, US</t>
        </is>
      </c>
      <c r="H46" s="2" t="n">
        <v>46049</v>
      </c>
      <c r="I46"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leading ML design and optimizing ML infrastructure (e.g., model deployment, model evaluation, data processing, debugging, fine tuning).
* 2 years of experience with state of the art GenAI techniques (e.g., LLMs, Multi\-Modal, Large Vision Models) or with GenAI\-related concepts (language modeling, computer vision).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Our organization accelerates the path to AI by engineering robust data\-acquisition systems that deliver high\-fidelity datasets including human\-generated data, evaluations, synthetic data at scale, and data to fill critical voids in areas like agentic workflows, coding, and other specialized domains. Our organization builds systems to secure such high\-quality data and also improve velocity for ML researchers and product developers to use the data efficiently for model training/fine\-tuning and product adoption.
In this role, you will make direct contributions to infrastructure and model customization. Your work will also focus on emerging areas like reinforcement learning techniques for building infrastructure for agentic workflows.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build scalable, general\-purpose data tooling and infrastructure to support variety of applied use\-cases for building agents.
* Learn novel Generative AI use cases to learn in depth their data needs and identify solutions leveraging the AI Data Platform.
* Build and optimize infrastructure for agentic environment data creation addressing unique and emerging technical tests of modeling techniques involving reinforcement learning.
* Work cross functionally with Data Science, Product, other infrastructure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7">
      <c r="A47" t="inlineStr">
        <is>
          <t>in-ae360d296bf0a47a</t>
        </is>
      </c>
      <c r="B47" t="inlineStr">
        <is>
          <t>Software Engineer III, Infrastructure, Audience Data Processing</t>
        </is>
      </c>
      <c r="C47" t="inlineStr">
        <is>
          <t>Google</t>
        </is>
      </c>
      <c r="D47" t="inlineStr">
        <is>
          <t>indeed</t>
        </is>
      </c>
      <c r="E47">
        <f>HYPERLINK("https://www.indeed.com/viewjob?jk=ae360d296bf0a47a", "https://www.indeed.com/viewjob?jk=ae360d296bf0a47a")</f>
        <v/>
      </c>
      <c r="F47">
        <f>HYPERLINK("https://careers.google.com/jobs/results/104228497303446214-software-engineer-iii/", "https://careers.google.com/jobs/results/104228497303446214-software-engineer-iii/")</f>
        <v/>
      </c>
      <c r="G47" t="inlineStr">
        <is>
          <t>Mountain View, CA, US</t>
        </is>
      </c>
      <c r="H47" s="2" t="n">
        <v>46049</v>
      </c>
      <c r="I47" t="inlineStr">
        <is>
          <t>### **Minimum qualifications:**
* Bachelor’s degree or equivalent practical experience.
* 2 years of experience with software development in C\+\+, SQL, compute infrastructure, Flume, or 1 year of experience with an advanced degree.
* 2 years of experience with developing large\-scale infrastructure, distributed systems or networks, or experience with compute technologies, storage or hardware architecture.
### **Preferred qualifications:**
* Master's degree or PhD in Computer Science or related technical fields.
* 2 years of experience with data structures and algorithms.
* Experience with Flume and large\-scale data processing pipelines.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We're an Infrastructure team, we operate in a fast\-paced environment with evolving requirements. Our focus is on supporting client data processing needs, enhancing operational excellence and developer velocity, and significantly improving resource efficiency.
As a Software Engineer in the Audience Data Processing Infrastructure team, you will innovate and optimize planet\-scale data processing flows to support Google Ads.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in C\+\+ for infrastructure responsible for managing and optimizing processing of planet\-scale data processing.
* Investigate data storage and processing use cases, techniques, and identifying opportunities for future innovation.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8">
      <c r="A48" t="inlineStr">
        <is>
          <t>in-db72d38cde2f958b</t>
        </is>
      </c>
      <c r="B48" t="inlineStr">
        <is>
          <t>Software Engineer, Display, Pixel Software</t>
        </is>
      </c>
      <c r="C48" t="inlineStr">
        <is>
          <t>Google</t>
        </is>
      </c>
      <c r="D48" t="inlineStr">
        <is>
          <t>indeed</t>
        </is>
      </c>
      <c r="E48">
        <f>HYPERLINK("https://www.indeed.com/viewjob?jk=db72d38cde2f958b", "https://www.indeed.com/viewjob?jk=db72d38cde2f958b")</f>
        <v/>
      </c>
      <c r="F48">
        <f>HYPERLINK("https://careers.google.com/jobs/results/97464645366751942-software-engineer/", "https://careers.google.com/jobs/results/97464645366751942-software-engineer/")</f>
        <v/>
      </c>
      <c r="G48" t="inlineStr">
        <is>
          <t>Mountain View, CA, US</t>
        </is>
      </c>
      <c r="H48" s="2" t="n">
        <v>46049</v>
      </c>
      <c r="I48" t="inlineStr">
        <is>
          <t>### **Minimum qualifications:**
* Bachelor’s degree or equivalent practical experience.
* 2 years of experience with software development in one or more programming languages, or 1 year of experience with an advanced degree.
* Experience with Embedded Systems, Linux Drivers, C/C\+\+.
### **Preferred qualifications:**
* Master's degree or PhD in Computer Science, or a related technical field.
* 2 years of experience with data structures and algorithms.
* Experience with Embedded Development, Android, Linux Driver, Bootloader.
* Experience developing accessible technologies.
* Familiarity with modern display or graphics software stack fundamentals.
* Familiarity with C/C\+\+, Python and Java.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Pixel software teams work closely with Pixel Hardware, Silicon, Android Platform, and external partner teams to bring the best of Android to users, on Google’s Pixel phones.
Within Pixel software, our Pixel display software team is responsible for all things display on Pixel phones, foldables, and tablets. Our responsibilities span across Google Tensor and display panels, from power and performance to color management and image enhancement.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complete development cycles of new Pixel display projects, from requirements and design through implementation and establishing test plans.
* Architect and implement features such as new UI experiences, color management and High Dynamic Range (HDR) rendering, image enhancement methods, and more.
* Develop the team’s infrastructure by implementing new systems in areas such as telemetry, on\-device diagnostics, and updatability.
* Collaborate closely with Android platform teams on enabling new generations of Pixel: SurfaceFlinger, display and graphics Hardware Abstraction Layers (HALs), WindowManager, etc.
* Develop expertise in display technologies and SoCs, and productize them in future Pixel devices.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9">
      <c r="A49" t="inlineStr">
        <is>
          <t>in-589796a62f0bbcf5</t>
        </is>
      </c>
      <c r="B49" t="inlineStr">
        <is>
          <t>Node React Full Stack Senior Software Engineer I</t>
        </is>
      </c>
      <c r="C49" t="inlineStr">
        <is>
          <t>RELX Group</t>
        </is>
      </c>
      <c r="D49" t="inlineStr">
        <is>
          <t>indeed</t>
        </is>
      </c>
      <c r="E49">
        <f>HYPERLINK("https://www.indeed.com/viewjob?jk=589796a62f0bbcf5", "https://www.indeed.com/viewjob?jk=589796a62f0bbcf5")</f>
        <v/>
      </c>
      <c r="F49">
        <f>HYPERLINK("https://relx.wd3.myworkdayjobs.com/en-US/relx/job/Philadelphia-PA/Node-React-Full-Stack-Senior-Software-Engineer-I_R107105-1", "https://relx.wd3.myworkdayjobs.com/en-US/relx/job/Philadelphia-PA/Node-React-Full-Stack-Senior-Software-Engineer-I_R107105-1")</f>
        <v/>
      </c>
      <c r="G49" t="inlineStr">
        <is>
          <t>Philadelphia, PA, US</t>
        </is>
      </c>
      <c r="H49" s="2" t="n">
        <v>46049</v>
      </c>
      <c r="I49" t="inlineStr">
        <is>
          <t>Are you an experienced full stack developer (React Node) looking to work on our cutter edge Micro Focus Front End?
Are you a collaborative Software Engineer looking to work for a mission driven global organization?
About the role – As a full stack developer you will be collaborating be collaborating with UX design to develop client\-side applications utilizing our cutting\-edge Micro Services Front end.
About the team – This team, CK AI . This team ensures sustained expertise in Nursing personas and workflows and helps maintain continuity within the CK AI app core team.
Requirements* Possess current Front End and Back End Developer skills in both React and Node. Only candidates with this skill set will be considered viable for this role.
* Experience working in a Micro Focus Front end.
* Have taken an application(s) through the full project life cycle process.
* Possess extensive experience utilizing the Agile delivery process for software development.
* Experience collaborating with both technical and not technical professionals to help drive innovation.
* Possess an understanding of crucial applications/products in the Science, Medicine, Education business vertical.
Responsibilities* Designing, developing, and maintaining complex applications using React (front end) and Node.js (back end).
* Ensuring seamless integration between client\-side and server\-side components to deliver responsive, scalable, and secure web applications.
* Developing user interfaces and front\-end modules within the Micro Focus framework, maintaining high standards for accessibility, performance, and usability.
* Implementing and optimizing UI components that align with enterprise design systems and technical standards.
* Lead applications through the entire software development life cycle (SDLC) — from requirements gathering and system design to deployment and maintenance.
* Ensure high\-quality releases through continuous integration, code reviews, and automated testing.
Elsevier employs 10,000 people worldwide, including over 2,500 technologists. We have supported the work of our research and health partners for more than 140 years. Growing from our roots in publishing, we offer knowledge and valuable analytics that help our users make breakthroughs and drive societal progress.
Digital solutions such as ScienceDirect, Scopus, SciVal, ClinicalKey and Sherpath support strategic research management, R\&amp;D performance, clinical decision support, medical education, and nursing education. Researchers and healthcare professionals rely on over 2,800 journals, including The Lancet and Cell; 46,000\+ eBook titles; and iconic reference works, such as *Gray's Anatomy*. With the Elsevier Foundation and our external Inclusion \&amp; Diversity Advisory Board, we work in partnership with diverse stakeholders to advance inclusion and diversity in science, research and healthcare in developing countries and around the world.  
U.S. National Base Pay Range: $86,600 \- $144,400\. Geographic differentials may apply in some locations to better reflect local market rates.
If performed in New Jersey, the base pay range is $97,867 \- $156,333\.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50">
      <c r="A50" t="inlineStr">
        <is>
          <t>in-4b813893702cd008</t>
        </is>
      </c>
      <c r="B50" t="inlineStr">
        <is>
          <t>Senior Software Engineer</t>
        </is>
      </c>
      <c r="C50" t="inlineStr">
        <is>
          <t>TekSynap</t>
        </is>
      </c>
      <c r="D50" t="inlineStr">
        <is>
          <t>indeed</t>
        </is>
      </c>
      <c r="E50">
        <f>HYPERLINK("https://www.indeed.com/viewjob?jk=4b813893702cd008", "https://www.indeed.com/viewjob?jk=4b813893702cd008")</f>
        <v/>
      </c>
      <c r="F50">
        <f>HYPERLINK("https://careers-teksynap.icims.com/jobs/8873/job", "https://careers-teksynap.icims.com/jobs/8873/job")</f>
        <v/>
      </c>
      <c r="G50" t="inlineStr">
        <is>
          <t>National, WV, US</t>
        </is>
      </c>
      <c r="H50" s="2" t="n">
        <v>46049</v>
      </c>
      <c r="I50" t="inlineStr">
        <is>
          <t>We are seeking a **Senior Software Engineer** to join our TekSynap team, supporting the Defense Intelligence Agency (DIA) and the Intelligence Community. The **Senior Software Engineer** designs, develops, documents, tests and debugs application software.  
TekSynap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As part of the application process, you agree that TekSynap Corporation may retain and use your name, e\-mail, and contact information for purposes related to employment consideration.  
**RESPONSIBILITIES**
The **Senior Software Engineer** is expected to be able to:
* Conduct analysis and collaborate with subject matter experts in the planning, design, development, and utilization of electronic data processing systems for information storage, processing, presentation, manipulation, display, or reporting.
* Manage an end product which may be special use, customized, or commercial software.
* Determine computer user needs; analyze system capabilities to resolve problems on program intent, output requirements, input data acquisition, programming techniques and controls; prepare operating instructions; design and develop autonomous services, desktop applications, web applications, scripts, and utility programs.
* Ensure software standards are met.
 **REQUIRED QUALIFICATIONS**
* Active Top Secret clearance with a CI Poly.
* 9\-13 years of relevant experience.
 **DESIRED QUALIFICATIONS*** One or more of the following certifications:
	+ Certified Secure Software Lifecycle Professional (CSSLP)
	+ Professional Software Developer Certification (IEEE CS)
	+ Certified Software Engineer (CSE)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District of Columbia (DC), National Capital Region (NCR)
* Type of environment: Varies
* Noise level: Low
* Work schedule: “Normal work hours” constitute on average 8 hours a day, 40 hours per week (excluding breaks and meal periods) within standard operational hours occurring 0600\-1800, Monday\-Friday, excluding Federal holidays. May be requested to work evenings and weekends to meet program and contract needs.
* Amount of Travel: 20%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Citizenship
Active Top Secret clearance with a CI Poly **OTHER INFORMATION**
Please note this job description is not designed to cover or contain a comprehensive listing of activities, duties or responsibilities that are required of the employee for this job. Duties, responsibilities and activities may change at any time with or without notice.  
TekSynap is a drug\-free workplace. We reserve the right to conduct drug testing in accordance with federal, state, and local laws. All employees and candidates may be subject to drug screening if deemed necessary to ensure a safe and compliant working environment.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t>
        </is>
      </c>
    </row>
    <row r="51">
      <c r="A51" t="inlineStr">
        <is>
          <t>in-350c6f5fcb213d08</t>
        </is>
      </c>
      <c r="B51" t="inlineStr">
        <is>
          <t>Node React Full Stack Senior Software Engineer I</t>
        </is>
      </c>
      <c r="C51" t="inlineStr">
        <is>
          <t>Elsevier</t>
        </is>
      </c>
      <c r="D51" t="inlineStr">
        <is>
          <t>indeed</t>
        </is>
      </c>
      <c r="E51">
        <f>HYPERLINK("https://www.indeed.com/viewjob?jk=350c6f5fcb213d08", "https://www.indeed.com/viewjob?jk=350c6f5fcb213d08")</f>
        <v/>
      </c>
      <c r="F51">
        <f>HYPERLINK("https://relx.wd3.myworkdayjobs.com/en-US/ElsevierJobs/job/Philadelphia-PA/Node-React-Full-Stack-Senior-Software-Engineer-I_R107105", "https://relx.wd3.myworkdayjobs.com/en-US/ElsevierJobs/job/Philadelphia-PA/Node-React-Full-Stack-Senior-Software-Engineer-I_R107105")</f>
        <v/>
      </c>
      <c r="G51" t="inlineStr">
        <is>
          <t>Philadelphia, PA, US</t>
        </is>
      </c>
      <c r="H51" s="2" t="n">
        <v>46049</v>
      </c>
      <c r="I51" t="inlineStr">
        <is>
          <t>Are you an experienced full stack developer (React Node) looking to work on our cutter edge Micro Focus Front End?
Are you a collaborative Software Engineer looking to work for a mission driven global organization?
About the role – As a full stack developer you will be collaborating be collaborating with UX design to develop client\-side applications utilizing our cutting\-edge Micro Services Front end.
About the team – This team, CK AI . This team ensures sustained expertise in Nursing personas and workflows and helps maintain continuity within the CK AI app core team.
Requirements* Possess current Front End and Back End Developer skills in both React and Node. Only candidates with this skill set will be considered viable for this role.
* Experience working in a Micro Focus Front end.
* Have taken an application(s) through the full project life cycle process.
* Possess extensive experience utilizing the Agile delivery process for software development.
* Experience collaborating with both technical and not technical professionals to help drive innovation.
* Possess an understanding of crucial applications/products in the Science, Medicine, Education business vertical.
Responsibilities* Designing, developing, and maintaining complex applications using React (front end) and Node.js (back end).
* Ensuring seamless integration between client\-side and server\-side components to deliver responsive, scalable, and secure web applications.
* Developing user interfaces and front\-end modules within the Micro Focus framework, maintaining high standards for accessibility, performance, and usability.
* Implementing and optimizing UI components that align with enterprise design systems and technical standards.
* Lead applications through the entire software development life cycle (SDLC) — from requirements gathering and system design to deployment and maintenance.
* Ensure high\-quality releases through continuous integration, code reviews, and automated testing.
Elsevier employs 10,000 people worldwide, including over 2,500 technologists. We have supported the work of our research and health partners for more than 140 years. Growing from our roots in publishing, we offer knowledge and valuable analytics that help our users make breakthroughs and drive societal progress.
Digital solutions such as ScienceDirect, Scopus, SciVal, ClinicalKey and Sherpath support strategic research management, R\&amp;D performance, clinical decision support, medical education, and nursing education. Researchers and healthcare professionals rely on over 2,800 journals, including The Lancet and Cell; 46,000\+ eBook titles; and iconic reference works, such as *Gray's Anatomy*. With the Elsevier Foundation and our external Inclusion \&amp; Diversity Advisory Board, we work in partnership with diverse stakeholders to advance inclusion and diversity in science, research and healthcare in developing countries and around the world.  
U.S. National Base Pay Range: $86,600 \- $144,400\. Geographic differentials may apply in some locations to better reflect local market rates.
If performed in New Jersey, the base pay range is $97,867 \- $156,333\.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52">
      <c r="A52" t="inlineStr">
        <is>
          <t>in-b05f2cf370f71cf6</t>
        </is>
      </c>
      <c r="B52" t="inlineStr">
        <is>
          <t>R&amp;D Software Engineer I - Shockwave Medical</t>
        </is>
      </c>
      <c r="C52" t="inlineStr">
        <is>
          <t>Johnson &amp; Johnson</t>
        </is>
      </c>
      <c r="D52" t="inlineStr">
        <is>
          <t>indeed</t>
        </is>
      </c>
      <c r="E52">
        <f>HYPERLINK("https://www.indeed.com/viewjob?jk=b05f2cf370f71cf6", "https://www.indeed.com/viewjob?jk=b05f2cf370f71cf6")</f>
        <v/>
      </c>
      <c r="F52">
        <f>HYPERLINK("https://www.careers.jnj.com/en/jobs/r-054971/rd-software-engineer-i-shockwave-medical/", "https://www.careers.jnj.com/en/jobs/r-054971/rd-software-engineer-i-shockwave-medical/")</f>
        <v/>
      </c>
      <c r="G52" t="inlineStr">
        <is>
          <t>Santa Clara, CA, US</t>
        </is>
      </c>
      <c r="H52" s="2" t="n">
        <v>46049</v>
      </c>
      <c r="I52"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R\&amp;D Product Development**Job Sub Function:**
R\&amp;D Software/Systems Engineering**Job Category:**
Scientific/Technology**All Job Posting Locations:**
Santa Clara, California, United States of America**Job Description:**
Johnson \&amp; Johnson is hiring for a R\&amp;D Software Engineer I – Shockwave Medical to join our team located in Santa Clara, CA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Fueled by innovation at the intersection of biology and technology, we’re developing the next generation of smarter, less invasive, more personalized treatments. Ready to join a team that’s pioneering the development and commercialization of Intravascular Lithotripsy (IVL) to treat complex calcified cardiovascular disease. Our Shockwave Medical portfolio aims to establish a new standard of care for medical device treatment of atherosclerotic cardiovascular disease through its differentiated and proprietary local delivery of sonic pressure waves for the treatment of calcified plaque.
### **Position Overview**
The R\&amp;D Software Engineer I will be focused on Software Engineering and will use design and technical skills in the development of software for innovative electronic products to treat peripheral and heart valve diseases. The R\&amp;D Software Engineer I will participate in development and testing of software across multiple areas for medical device systems and work with cross\-functional development teams that manage projects from concept through commercialization. The R\&amp;D Software Engineer I will perform and support a variety of development and engineering activities focused on software design and development.
### **Essential Job Functions**
* Designs and develops software for medical device product(s) in full compliance with the company’s Design Control requirements and consistent with FDA, ISO, and MDR requirements
* Participates on cross\-functional development teams that manage projects from concept through commercialization
* Responsible for knowing and planning activities consistent with the company’s quality policy and quality objectives
* Responsible for ensuring lab notebooks are documented in a timely manner and consistent with the applicable SOP
* Supports the design and development of embedded firmware and application software for use in medical devices
* Helps to develop driver level code for microcontroller peripherals such as 1\-Wire, I2C, SPI, USB and UART communication protocols
* Implements software features and write unit level test code
* Develops automated test scripts and assist in functional verification
* Initiates and conducts design reviews per medical device standards
* Works with Engineers in the development of design concepts
* Other duties as assigned
### **Requirements**
* Bachelor’s Degree in Computer Science or Electrical Engineering
* Demonstrated experience with microcontroller programming and embedded systems development through academic coursework or personal projects
* Proficient in C programming language, object\-oriented language like C\# is a plus
* Experience with Makefile, Compilers, Linkers and Assembly level code
* Experience in the use of software development tools including emulators, in\-circuit debugging tools, Oscilloscopes and Logic Analyzers
* Experience in the use of issue tracking tools such as JIRA.
* Experience in the use of source control repository systems such as GIT
* Experience in the development of medical devices is a plus
* Experience in the use of source control repository systems such as GIT
* Familiarity with setting up IDE’s for various microcontroller systems
* Experience with using Microsoft tool suite
* Effective communication skills with all levels of management
* Operate independently and adaptability to changing requirements
* Ability to work in a fast\-paced environment, managing multiple priorities
* Employee may be required to lift objects up to 25lbs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
**The anticipated base pay range for this position is :**
$73,000\.00 \- $117,300\.00
Additional Description for Pay Transparency:
Subject to the terms of their respective plans, employees are eligible to participate in the Company’s consolidated retirement plan (pension) and savings plan (401(k)).  
For additional general information on Company benefits, please go to: \- https://www.careers.jnj.com/employee\-benefits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t>
        </is>
      </c>
    </row>
    <row r="53">
      <c r="A53" t="inlineStr">
        <is>
          <t>in-ce281c8f5e023255</t>
        </is>
      </c>
      <c r="B53" t="inlineStr">
        <is>
          <t>Senior Software Engineer, DevOps</t>
        </is>
      </c>
      <c r="C53" t="inlineStr">
        <is>
          <t>Johnson &amp; Johnson</t>
        </is>
      </c>
      <c r="D53" t="inlineStr">
        <is>
          <t>indeed</t>
        </is>
      </c>
      <c r="E53">
        <f>HYPERLINK("https://www.indeed.com/viewjob?jk=ce281c8f5e023255", "https://www.indeed.com/viewjob?jk=ce281c8f5e023255")</f>
        <v/>
      </c>
      <c r="F53">
        <f>HYPERLINK("https://www.careers.jnj.com/en/jobs/r-055040/senior-software-engineer-devops/", "https://www.careers.jnj.com/en/jobs/r-055040/senior-software-engineer-devops/")</f>
        <v/>
      </c>
      <c r="G53" t="inlineStr">
        <is>
          <t>Milpitas, CA, US</t>
        </is>
      </c>
      <c r="H53" s="2" t="n">
        <v>46049</v>
      </c>
      <c r="I53"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R\&amp;D Product Development**Job Sub Function:**
R\&amp;D Software/Systems Engineering**Job Category:**
Scientific/Technology**All Job Posting Locations:**
Irvine, California, United States of America, Milpitas, California, United States of America**Job Description:**
We are searching for the best talent to join our Vision team as a Senior Software Engineer\- DevOps located in Milpitas, California.
Fueled by innovation at the intersection of biology and technology, we’re developing the next generation of smarter, less invasive, more personalized treatments.
Are you passionate about improving and expanding the possibilities of vision treatments? Ready to join a team that’s reimagining how vision is improved? Our Vision team solves the toughest health challenges. Help combine cutting\-edge insights, science, technology, and people to encourage eye care professionals and patients to proactively protect, correct and enhance healthy sight for life. Our products and services address these needs – from the pediatric to aging eye – in a patient’s lifetime.
Your unique talents will help patients on their journey to wellness. Learn more at https://www.jnj.com/medtech
**Purpose:** The Senior Software Engineer will make vital contributions to the Johnson \&amp; Johnson Surgical Vision New Product Development (NPD) pipeline and transform patient care through innovation. This position is responsible for working with our NPD and on market support teams to design and develop product software for use in cutting edge medical devices and associated capital equipment. Candidates must be self\-motivated, independent and have an eagerness to learn and work as a team and a desire to thrive. You are expected to demonstrate sophisticated engineering knowledge, be able to independently resolve approaches to difficult technical problems and communicate broadly across engineering teams.
**You will:**
* Collaborate with product developers, QA, and V\&amp;V teams to ensure safe, auditable releases.
* Incorporate industry standards and best practices to continuously improve our CI/CD pipeline.
* Implement and maintain build reproducibility, artifact provenance, and secure supply\-chain controls.
* Troubleshoot and resolve complex DevSecOps issues across build, test, and release systems
* Automate SBOM generation, management, and publishing for software and firmware builds to meet traceability and compliance needs.
* Automated OS image creation and vendor driver integration to ensure repeatable, consistent system images
* Create product\-specific installers using InstallShield
* Owned and optimized product\-specific Jenkins build pipelines for predictable releases
* Provisioned and maintained VM build servers, build tools, and licensing for stable CI/CD environments
* Manage software component configuration and dependency mapping
* Integrate static code analysis and vulnerability scanning to surface issues earlier and strengthen security
* Deliver faster, more reliable releases, reduce manual effort, and lower operational and security risk
* Mentor engineers on CI/CD, build\-system design, and secure\-development practices.
* Maintain clear documentation for processes, runbooks, and environment configurations.
**Qualifications**
**Education:**
BS or MS degree in Computer Science or related engineering field is required.
**Required:**
* 7\+ years software engineering experience with demonstrated ownership of build/release or DevOps systems (or equivalent).
* Experience with automated Windows OS image creation using tools such as Windows ADK.
* Experience using Windows Docker for build workflows.
* Experience creating windows software installers using tools such as InstallShield
* Knowledge \&amp; hands\-on experience using Conan \&amp; CMake to set up C\+\+ project builds.
* Knowledge \&amp; experience with CI/CD tools (e.g., Jenkins and Groovy scripting).
* Experienced with integration \&amp; configuration of static code analysis tools (SonarQube, Checkmarx, Blackduck).
* Proficiency with Git, Bitbucket, and Git workflows, and familiarity with Atlassian tools such as Jira and Confluence.
* Proficient with PowerShell and other scripting languages (e.g., Python, Bash).
* Experience automating SBOM generation and embedding SBOMs into release artifacts.
* Solid understanding of DevSecOps concepts, secure build pipelines, and artifact provenance.
* Strong troubleshooting skills across build systems, CI servers, container\-based builds, and Windows\-based build environments.
* Strong communication skills and ability to produce clear documentation for processes and audits.
**Preferred:**
* Medical device experience (IEC 62304\) or experience in heavy regulated industry/environment is preferred.
* Experience with sophisticated embedded software development with multiple modules in different language platforms.
**Other:**
* This position is located in Milpitas, CA and may require up to 20% travel, especially to the Irvine area.
\#LI\-AM2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(ra\-employeehealthsup@its.jnj.com) or contact AskGS to be directed to your accommodation resource.*
**Required Skills:**
**Preferred Skills:**
Research and Development, SAP Product Lifecycle Management, Scripting Languages, Software Development Life Cycle (SDLC), Software Development Management, Software Engineering Practices, Software Testing, Technical Credibility, Technologically Savvy**The anticipated base pay range for this position is :**
$106,000\.00 \- $170,200\.00
Additional Description for Pay Transparency: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and Johnson is committed to providing an interview process that is inclusive of our applicants’ needs. If you are an individual with a disability and would like to request an accommodation, please email the Employee Health Support Center (ra\-employeehealthsup@its.jnj.com) or contact AskGS to be directed to your accommodation resource.*</t>
        </is>
      </c>
    </row>
    <row r="54">
      <c r="A54" t="inlineStr">
        <is>
          <t>in-bfda87e3d63dcd02</t>
        </is>
      </c>
      <c r="B54" t="inlineStr">
        <is>
          <t>Senior Software Engineer</t>
        </is>
      </c>
      <c r="C54" t="inlineStr">
        <is>
          <t>SS&amp;C</t>
        </is>
      </c>
      <c r="D54" t="inlineStr">
        <is>
          <t>indeed</t>
        </is>
      </c>
      <c r="E54">
        <f>HYPERLINK("https://www.indeed.com/viewjob?jk=bfda87e3d63dcd02", "https://www.indeed.com/viewjob?jk=bfda87e3d63dcd02")</f>
        <v/>
      </c>
      <c r="F54">
        <f>HYPERLINK("https://wd1.myworkdaysite.com/en-US/recruiting/ssctech/SSCTechnologies/job/San-Francisco-CA/Senior-Software-Engineer_R40587", "https://wd1.myworkdaysite.com/en-US/recruiting/ssctech/SSCTechnologies/job/San-Francisco-CA/Senior-Software-Engineer_R40587")</f>
        <v/>
      </c>
      <c r="G54" t="inlineStr">
        <is>
          <t>San Francisco, CA, US</t>
        </is>
      </c>
      <c r="H54" s="2" t="n">
        <v>46049</v>
      </c>
      <c r="I54"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Senior Software Engineer
Locations: San Francisco, CA / Union, NJ / New York, NY (Hybrid)
Get To Know The Team
This role is part of the Geneva development team focused on building the next generation of SS\&amp;C Advent’s award winning Geneva portfolio management and accounting platform.
Why You Will Love It Here!*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Analyze, design and implement new features as we look to modernize and scale our existing platform
* Maintain existing code
* Collaborate with other senior engineers on design \&amp; implementation
* Work effectively in interdisciplinary teams
* Document and communicate feature implementation \&amp; design
What You Will Bring* Bachelors or higher degree in Computer Science or related field.
* 5\+ years of professional experience developing enterprise applications in C\+\+ on Linux
* Expert in one or more scripting languages such as Python
* Working knowledge of Java
* Solid foundation in object\-oriented design, data structures, design patterns and software architectures.
* Deep understanding of complex C\+\+ features such as memory management, signal handling and parallel processing.
* Knowledge of relational and/or object\-oriented databases
* Experience working in and developing for Unix/Linux environments
* Knowledge of Linux administration and networking concepts
Preferred Experience* Experience with the GNU toolchain
* Experience with Git for source code management
* Basic knowledge of accounting/finance systems
Thank you for your interest in SS\&amp;C! To further explore this opportunity, please apply through our careers page on the corporate website at https://www.ssctech.com/careers/join\-ssc
https://www.ssctech.com/hubfs/website/pdf/Privacy\-Notice\-for\-CA\-Job\-Applicants.pdf
\#LI\-PE1
\#LI\-HYBRID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130,000 USD to 150,000 USD. California: Salary range for the position: 130,000 USD to 150,000 USD.</t>
        </is>
      </c>
    </row>
    <row r="55">
      <c r="A55" t="inlineStr">
        <is>
          <t>in-ea1d070e1b184ea0</t>
        </is>
      </c>
      <c r="B55" t="inlineStr">
        <is>
          <t>Senior Software Engineer, Front-End</t>
        </is>
      </c>
      <c r="C55" t="inlineStr">
        <is>
          <t>Quicken Inc.</t>
        </is>
      </c>
      <c r="D55" t="inlineStr">
        <is>
          <t>indeed</t>
        </is>
      </c>
      <c r="E55">
        <f>HYPERLINK("https://www.indeed.com/viewjob?jk=ea1d070e1b184ea0", "https://www.indeed.com/viewjob?jk=ea1d070e1b184ea0")</f>
        <v/>
      </c>
      <c r="F55">
        <f>HYPERLINK("https://www.quicken.com/careers/senior-software-engineer-front-end", "https://www.quicken.com/careers/senior-software-engineer-front-end")</f>
        <v/>
      </c>
      <c r="G55" t="inlineStr">
        <is>
          <t>Menlo Park, CA, US</t>
        </is>
      </c>
      <c r="H55" s="2" t="n">
        <v>46049</v>
      </c>
      <c r="I55" t="inlineStr">
        <is>
          <t>Job Title:
Senior Software Engineer, Front\-End
Location:
Menlo Park
CA
United States
Department:
Product Development
Job Requisition Number:
1010\-26
Job Summary:
We are looking for a talented **Senior Software Engineer** to join our front\-end engineering team developing web and mobile solutions for our newest product offering, Quicken Business and Personal. You will be part of a dynamic team using the latest technology and tools to build high\-quality applications that delight our customers. This is an exciting opportunity for someone looking to create solutions that have a transformative effect on customers!
Responsibilities:* Own the design and delivery of complex, customer\-facing front\-end features from problem definition through production support.  
	+ Translate ambiguous customer needs into high\-quality, scalable solutions that balance usability, accessibility, performance, and maintainability.
	+ Serve as a technical owner for major features or subsystems, making thoughtful architectural decisions and clearly communicating tradeoffs.
	+ Build and maintain high\-quality front\-end applications using TypeScript, React, and modern front\-end tooling, with a strong emphasis on testing and code quality.
* Partner closely with Product, Design, and cross\-functional teams to shape solutions and influence product direction in service of customer outcomes.  
	+ Communicate complex technical concepts clearly to both technical and non\-technical stakeholders.
	+ Develop deep domain knowledge in small business finance to build intuitive, trustworthy customer experiences.
* Leverage AI\-assisted development tools to improve productivity and solution quality, while applying strong engineering judgment to validate results.
* Support the broader web and mobile functional team through thoughtful code reviews, knowledge sharing, and technical guidance.
Qualifications:* BS or higher in Computer Science, Computer Engineering, Math, or relevant experience
* 5\+ years of software engineering experience, including a successful track record developing customer\-facing SaaS/PaaS products.
* 3\+ years of experience with **React, Redux, all things** **JavaScript/TypeScript** **and the tools of the React ecosystem such as node and** **npm**.
* Strong application design and coding skills.
* Demonstrated ability to own and deliver significant priorities for a business.
* Excellent communication skills – being able to clearly articulate technical concepts and issues to all levels of leadership.
* Confident yet humble in attitude, open to receiving feedback, and adaptable as needed
* Learning mindset, curious about new things
**What we offer**
* Competitive salary and performance bonus
* 401(k) with 5% employer match
* Exceptional health insurance benefits with minimal out of pocket expenses
* Fitness subsidy
* Free in\-office lunches and snacks
* Autonomous work environment
* Amazing customer\-driven culture
* Ability to build products that make a difference in people’s lives
Quicken is committed to fair and equitable compensation practices. The actual salary offered is determined by factors unique to each candidate, including but not limited to years and depth of experience, relevant skills, and work location. This position's expected base pay range is $154,000 \- $188,000\.
Quicken is building a team of innovative and talented individuals passionate about helping people improve their financial lives. We care about our employees' well\-being and pride ourselves on offering a fabulous range of benefits and perks. From comprehensive healthcare coverage, a 401(k) plan with a generous 5% match, fitness subsidies, education reimbursement, and onsite lunches, to name a few \- we've got you covered! At Quicken, we believe happy employees are successful employees, so we're committed to creating a fun and supportive work environment that encourages personal and professional growth, recognizing that a thriving workforce is essential to our collective success! (Benefits and perks may vary based on location.)
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row>
    <row r="56">
      <c r="A56" t="inlineStr">
        <is>
          <t>in-c82a2ee066ffebd4</t>
        </is>
      </c>
      <c r="B56" t="inlineStr">
        <is>
          <t>Staff Software Engineer, Front-End</t>
        </is>
      </c>
      <c r="C56" t="inlineStr">
        <is>
          <t>Quicken Inc.</t>
        </is>
      </c>
      <c r="D56" t="inlineStr">
        <is>
          <t>indeed</t>
        </is>
      </c>
      <c r="E56">
        <f>HYPERLINK("https://www.indeed.com/viewjob?jk=c82a2ee066ffebd4", "https://www.indeed.com/viewjob?jk=c82a2ee066ffebd4")</f>
        <v/>
      </c>
      <c r="F56">
        <f>HYPERLINK("https://www.quicken.com/careers/staff-software-engineer-front-end-0", "https://www.quicken.com/careers/staff-software-engineer-front-end-0")</f>
        <v/>
      </c>
      <c r="G56" t="inlineStr">
        <is>
          <t>Menlo Park, CA, US</t>
        </is>
      </c>
      <c r="H56" s="2" t="n">
        <v>46049</v>
      </c>
      <c r="I56" t="inlineStr">
        <is>
          <t>Job Title:
Staff Software Engineer, Front\-End
Location:
Menlo Park
CA
United States
Department:
Product Development
Job Requisition Number:
1023\-25
Job Summary:
We are looking for a talented **Staff Software Engineer** to join our front\-end engineering team developing web solutions for our newest product offering, Quicken Business and Personal. You will be part of a dynamic team using the latest technology and tools to build high\-quality applications that delight our customers. This is an exciting opportunity for someone looking to create solutions that have a transformative effect on customers!
Responsibilities:* Be a technical lead and hands\-on engineer producing high\-quality front\-end code (Typescript, React) following the best architecture and design standards
* Interact with Product and Design teams to understand the requirements and deliver features
* Work closely with technical leads and other engineers to architect stable \&amp; long\-term solutions that fit well with the rest of the application
* Ensure high quality by thoroughly testing your code including unit testing and partnering closely with the QA team for integrated testing
* Design, build and if necessary, rebuild code that meets high standards for non\-functional requirements like performance and scaling
* Be responsive to customer feedback and take prompt appropriate action whenever needed.
* Prepare meaningful technical documentation for the work you perform
* Develop domain knowledge in personal finance
* Mentor junior developers using expertise in software development methodology and frameworks
Qualifications:* BS or higher in Computer Science, Computer Engineering, Math, or relevant experience
* 8\+ years of software engineering experience, including a successful track record developing customer\-facing SaaS/PaaS products
* 5\+ years of experience with **React, Redux, all things** **JavaScript/TypeScript** **and the tools of the React ecosystem such as node and** **npm**
* Excellent application design and coding skills
* Demonstrated ability to own and deliver significant priorities for a business
* Excellent communication skills – being able to clearly articulate technical concepts and issues to all levels of leadership
* Confident yet humble in attitude, open to receiving feedback, and adjust as needed
* Learning mindset, curious about new things
* Experience mentoring junior engineers
**What we offer**
* Competitive salary and **performance bonus**
* Fantastic culture, strong believers in Autonomy/Mastery/Purpose
* Customer\-driven, we make money by building the best products for our users. No confusion about how to win – create amazing products!
* Ability to work with and lead incredible talent
* Build products that make a huge difference in people’s lives
* Work on a highly recognizable brand that defines the personal finance category
Quicken is committed to fair and equitable compensation practices. The actual salary offered is determined by factors unique to each candidate, including but not limited to years and depth of experience, relevant skills, and work location. This position's expected base pay range is $175,000 \- $190,000\.
Quicken is building a team of innovative and talented individuals passionate about helping people improve their financial lives. We care about our employees' well\-being and pride ourselves on offering a fabulous range of benefits and perks. From comprehensive healthcare coverage, a 401(k) plan with a generous 5% match, fitness subsidies, education reimbursement, and onsite lunches, to name a few \- we've got you covered! At Quicken, we believe happy employees are successful employees, so we're committed to creating a fun and supportive work environment that encourages personal and professional growth, recognizing that a thriving workforce is essential to our collective success! (Benefits and perks may vary based on location.)
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row>
    <row r="57">
      <c r="A57" t="inlineStr">
        <is>
          <t>in-045332c47b456244</t>
        </is>
      </c>
      <c r="B57" t="inlineStr">
        <is>
          <t>Software Engineer, Commercial Technologies (Specialty Networks)</t>
        </is>
      </c>
      <c r="C57" t="inlineStr">
        <is>
          <t>Cardinal Health</t>
        </is>
      </c>
      <c r="D57" t="inlineStr">
        <is>
          <t>indeed</t>
        </is>
      </c>
      <c r="E57">
        <f>HYPERLINK("https://www.indeed.com/viewjob?jk=045332c47b456244", "https://www.indeed.com/viewjob?jk=045332c47b456244")</f>
        <v/>
      </c>
      <c r="F57">
        <f>HYPERLINK("https://jobs.cardinalhealth.com/search/jobdetails/software-engineer-commercial-technologies-specialty-networks/7397ef31-3590-46fd-8f2a-634596776815?utm_source=indeed&amp;utm_campaign=indeed_organic&amp;utm_medium=organic_job_board", "https://jobs.cardinalhealth.com/search/jobdetails/software-engineer-commercial-technologies-specialty-networks/7397ef31-3590-46fd-8f2a-634596776815?utm_source=indeed&amp;utm_campaign=indeed_organic&amp;utm_medium=organic_job_board")</f>
        <v/>
      </c>
      <c r="G57" t="inlineStr">
        <is>
          <t>OH, US</t>
        </is>
      </c>
      <c r="H57" s="2" t="n">
        <v>46049</v>
      </c>
      <c r="I57" t="inlineStr">
        <is>
          <t>*This position has the option to be remote. Candidates must be within a driving distance to the Dublin, OH, or Cleveland, OH, offices.*
***What Specialty Networks*** ***and*** ***Commercial Technologies Software Engineering contributes to Cardinal Health***
Specialty Networks creates clinical and economic value for independent specialty providers and pharmaceutical industry partners across multiple specialties: Urology, Gastroenterology, and Rheumatology. Specialty Networks’ PPS Analytics platform is a commercial SaaS platform that collects data from various clinical and operational practice systems, and uses artificial intelligence and modern data analytics to transform it into meaningful and actionable insights that ensure providers get their patients to the right care at the right time.
The *Commercial Technologies Software Engineering* team delivers applications to our customers. This Software Engineer will build and deploy solutions for our member practices, pharmaceutical partners, and our fellow teammates. This individual will also be responsible for designing and implementing full stack functionality for our web applications. In addition, this position will be expected to coordinate, communicate, and collaborate with members of their own team as well as other teams
***Responsibilities***
* Design solutions for our user community
* Write software that is reliable, maintainable, and extensible
* Author user interface components for web applications
* Mentor junior developers and engage them with relevant development tasks
* Debug and resolve user interface issues
* Implement proper usage of authentication and access control sub\-systems
* Track, maintain, and monitor user activity logs and error logs
* Collaborate with other developers and non\-technical cross\-functional teams
* Participate as a QA resource for other developers
* Manage and troubleshoot dev automation – automated build and release processes
* Assist with software releases
* Assist with architectural evaluations and decisions
***Qualifications***
* 7\+ years of full\-stack software development experience with C\# and modern JavaScript frameworks
* Expert\-level C\# with .NET Core for backend API development and business logic
* Expert\-level Angular (version 12 or higher) and TypeScript for frontend development
* Strong experience designing and consuming RESTful APIs
* Solid expertise with Entity Framework Core and SQL Server for data access and modeling
* Experience with Azure AD B2C authentication and authorization implementation
* Proficiency in modern frontend technologies including HTML5, CSS3/SCSS, and responsive design principles
* Strong communication skills with ability to work effectively with both technical and non\-technical stakeholders
* Comfortable working in environments with ambiguity and evolving requirements
* Proactive problem\-solver who surfaces blockers early and drives solutions
* Collaborative team player who brings innovative ideas for features and technical improvements
***Preferred:***
* Healthcare or clinical application development experience
* Legacy application migration and modernization experience
* Azure cloud services familiarity (App Services, Azure Functions)
* Experience with patient portal or member\-facing applications
* Performance optimization and scalability improvements in production systems
* Azure DevOps and CI/CD pipeline experience
***What is expected of you and others at this level***
* Applies comprehensive knowledge and a thorough understanding of concepts, principles, and technical capabilities to perform varied tasks and projects
* May contribute to the development of policies and procedures
* Works on complex projects of large scope
* Develops technical solutions to a wide range of difficult problems
* Solutions are innovative and consistent with organization objectives
* Completes work; independently receives general guidance on new projects
* Work reviewed for purpose of meeting objectives
* May act as a mentor to less experienced colleagues
**Anticipated Pay Range:** $94,900 \- $160,000
**Bonus Eligible:** 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2/13/2025 \* if interested in opportunity, please submit application as soon as possible.
*\*\*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58">
      <c r="A58" t="inlineStr">
        <is>
          <t>in-13250732568c33d6</t>
        </is>
      </c>
      <c r="B58" t="inlineStr">
        <is>
          <t>Senior Staff Software Engineer, Fleet Infrastructure</t>
        </is>
      </c>
      <c r="C58" t="inlineStr">
        <is>
          <t>Waymo</t>
        </is>
      </c>
      <c r="D58" t="inlineStr">
        <is>
          <t>indeed</t>
        </is>
      </c>
      <c r="E58">
        <f>HYPERLINK("https://www.indeed.com/viewjob?jk=13250732568c33d6", "https://www.indeed.com/viewjob?jk=13250732568c33d6")</f>
        <v/>
      </c>
      <c r="F58">
        <f>HYPERLINK("https://careers.withwaymo.com/jobs/senior-staff-software-engineer-fleet-infrastructure-mountain-view-california-united-states?source=Indeed", "https://careers.withwaymo.com/jobs/senior-staff-software-engineer-fleet-infrastructure-mountain-view-california-united-states?source=Indeed")</f>
        <v/>
      </c>
      <c r="G58" t="inlineStr">
        <is>
          <t>Mountain View, CA, US</t>
        </is>
      </c>
      <c r="H58" s="2" t="n">
        <v>46049</v>
      </c>
      <c r="I5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Want to build the next generation of infrastructure for driverless cars? Join the Waymo Commercialization team, and help design the future of transportation! We are looking for a passionate Senior Staff SWE / Tech Lead who wants to help build the systems that manage and optimize Waymo’s core ride hailing and fleet management systems.
The ideal candidate is someone who can be self\-sufficient and product\-minded. You will be working on cross\-cutting problems that will require strong cross\-team collaboration, both technically (mobile app, cloud backends, and the Waymo Driver) and functionally (operations, product, legal, partnerships, policy \&amp; privacy) to develop and deliver business critical infrastructure.
In this role, you’ll:
* Help build and evolve one or more mission\-critical commercialization tools and systems
* Collaborate with Product, UX, and other engineering teams to develop systems and processes as business needs grow and evolve
* Solve hard, real\-world problems such as demand planning, pickup / dropoff optimization, fleet optimization, field escalation handling, and more
At a minimum we’d like you to have:
* BS degree in Computer Science or equivalent practical experience
* 6\+ years experience working with backend tech (e.g. C\+\+, Spanner)
* TL or technical leadership skills
* Ability to thrive in ambiguity, solving large, open\-ended problems
* Ability to think strategically and architecturally, while balancing short\- and long\-term needs
* Excellent communication and collaboration \- ability to work across multiple teams to achieve long\-term goals
* Location: This position will be in the SF bay area
It’s preferred if you have:
* Passion for working in cross functional environments that include nontechnical stakeholders
* Familiarity with Google infrastructure (e.g. Flume, Borg, Protocol Buffers, OnePlatform)
* Experience with robotics / hardware interfacing
* Experience with operations tooling, developer productivity, or developer tools
* Experience with optimization / OR scheduler
* Experience with Geo (pathfinder, mapfacts, walking directions)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$281,000—$356,000 USD</t>
        </is>
      </c>
    </row>
    <row r="59">
      <c r="A59" t="inlineStr">
        <is>
          <t>in-84272ccb3c94d05a</t>
        </is>
      </c>
      <c r="B59" t="inlineStr">
        <is>
          <t>Principal Software Engineer</t>
        </is>
      </c>
      <c r="C59" t="inlineStr">
        <is>
          <t>Orion Advisor Technology</t>
        </is>
      </c>
      <c r="D59" t="inlineStr">
        <is>
          <t>indeed</t>
        </is>
      </c>
      <c r="E59">
        <f>HYPERLINK("https://www.indeed.com/viewjob?jk=84272ccb3c94d05a", "https://www.indeed.com/viewjob?jk=84272ccb3c94d05a")</f>
        <v/>
      </c>
      <c r="F59">
        <f>HYPERLINK("https://orionadvisor.wd1.myworkdayjobs.com/en-US/Orion_Careers/job/Greater-Omaha-Area/Principal-Software-Engineer_R2549", "https://orionadvisor.wd1.myworkdayjobs.com/en-US/Orion_Careers/job/Greater-Omaha-Area/Principal-Software-Engineer_R2549")</f>
        <v/>
      </c>
      <c r="G59" t="inlineStr">
        <is>
          <t>Omaha, NE, US</t>
        </is>
      </c>
      <c r="H59" s="2" t="n">
        <v>46049</v>
      </c>
      <c r="I59" t="inlineStr">
        <is>
          <t>About this Opportunity:
The Principal Software Engineer (IC6\) leads the design, development, and evolution of Orion’s modern cloud\-native technology stack. This role architects end\-to\-end systems, sets and drives engineering standards, identifies long\-term platform investments, and leverages deep expertise in AWS, serverless patterns, distributed systems, JavaScript/TypeScript, React, and modern application development. Operating with substantial autonomy, the Principal Engineer tackles Orion’s most complex technical challenges, charts the course for major engineering initiatives, and ensures solutions are reliable, scalable, secure, cost\-efficient, and aligned to business outcomes. As we continue to evolve and live our Orion values, we are looking for someone to grow with us.
For External Candidates:  
Candidates must work in\-office at one of the following locations for at least 3 days per week: Omaha, NE; or Lehi, UT.
For Internal Candidates:  
*A*ll internal employees, regardless of their current work arrangement (remote or in\-office), are encouraged to apply.
In this role, you'll get to:* Architect and implement large\-scale, fully serverless applications using AWS Lambda, API Gateway, CloudFront, EventBridge, SQS/SNS, S3, and RDS
* Define the architectural vision for cloud\-native, event\-driven systems across Orion
* Lead design for new platforms, subsystems, and cross\-cutting capabilities that support Orion’s growth and scale
* Build and maintain infrastructure\-as\-code and CI/CD pipelines that support rapid, consistent deployment
* Serve as Orion’s top technical expert in AWS architecture and serverless engineering
* Provide guidance, mentorship, and direction to engineers, senior engineers, and tech leads
* Lead design reviews, complex debugging efforts, and operational excellence initiatives
* Drive adoption of new AWS services, modern distributed system patterns, and emerging technologies—including generative and agentic AI
* Partner with Product, Security, DevOps, and business stakeholders to ensure technical decisions support Orion’s strategic goals.
* Champion secure coding practices, system hardening, and proactive risk mitigation
* Build performant, resilient, scalable systems that self\-heal and optimize cost
* Create and enforce testing strategies, including integrated and automated testing approaches
* Diagnose and solve high\-severity issues across any layer of the stack—front\-end, back\-end, database, networking, or infrastructure
* Shape the engineering culture by promoting best practices, simplification, and continuous improvement
* Influence roadmaps and technology direction through data, experience, and clear communication
* Serve as a trusted advisor across engineering teams and to senior leadership
* Build strong cross\-functional relationships to drive work that impacts multiple areas of the business
* Independently define methods, strategies, and technical approaches for novel or ambiguous initiatives
* Balance creativity and discipline to build solutions that deliver outsized impact
* Maintain a continuous learning practice to stay ahead of rapidly evolving cloud engineering trends
* Operate with a platform\-owner mindset—thinking holistically about reliability, scale, and long\-term maintainability
We're looking for talent who:* Has mastery of modern JavaScript/TypeScript and the Node.js ecosystem
* Has deep experience building rich, modern UIs using React and supporting front\-end libraries
* Has strong understanding of browser capabilities, web performance, and front\-end architecture
* Has advanced SQL and relational database expertise, especially MySQL (schema design, indexing, query optimization)
* Has knowledge of data lakes and distributed data pipeline technologies
* Has expertise across AWS (Lambda, API Gateway, CloudFront, SQS, SNS, SES, EventBridge, S3, RDS)
* Has strong understanding of OAuth2, OpenID Connect, cryptography, and security protocols
* Has mastery of git workflows, CI/CD pipelines, IaC best practices, and SDLC processes
* Has broad architectural pattern knowledge (DDD, CQRS, SOLID, event\-driven patterns)
* Has exceptional debugging and problem\-solving skills across the full stack
* Tackles high\-impact, highly ambiguous problems with no blueprint
* Defines technical frameworks, patterns, and decision structures for other engineers to follow
* Solutions directly influence Orion’s long\-term scalability, reliability, and competitive advantage
* Builds influence networks across teams and guides engineering direction at scale
* Operates with full independence on new, critical, or technically undefined initiatives
* May indirectly lead engineers or project teams through influence and technical direction
* Determines architecture, technical strategies, and methods for complex initiatives
* Has a minimum of 10\+ years of progressive software engineering experience
* Has demonstrated mastery architecting and building in AWS
* Has AWS Solutions Architect certification (or equivalent experience) strongly preferred
* Owns and manages relationships with stakeholders directly and works effectively with people at all levels in an organization
\#LI\-AP1
\#LI\-Onsite
\#LI\-Hybrid
Salary Range:
$123,491\.00 \- $196,279\.00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At Orion, we achieve our best work when we support one another, staying personally accountable to each other and the clients we serve. We create a welcoming environment where everyone is respected, valued, and heard. Our commitment to create raving fans ensures we consistently exceed client expectations. Thinking differently is in our DNA—we innovate always, push boundaries, and reject the status quo to deliver transformative outcomes. Together, we support one another and see it through to success, driving our collective achievements and those of our clients.</t>
        </is>
      </c>
    </row>
    <row r="60">
      <c r="A60" t="inlineStr">
        <is>
          <t>in-e0f1991b15ea1f08</t>
        </is>
      </c>
      <c r="B60" t="inlineStr">
        <is>
          <t>Senior Software Engineer - Full Stack C# Developer</t>
        </is>
      </c>
      <c r="C60" t="inlineStr">
        <is>
          <t>General Dynamics Information Technology</t>
        </is>
      </c>
      <c r="D60" t="inlineStr">
        <is>
          <t>indeed</t>
        </is>
      </c>
      <c r="E60">
        <f>HYPERLINK("https://www.indeed.com/viewjob?jk=e0f1991b15ea1f08", "https://www.indeed.com/viewjob?jk=e0f1991b15ea1f08")</f>
        <v/>
      </c>
      <c r="F60">
        <f>HYPERLINK("https://www.gdit.com/careers/job/46de02367/senior-software-engineer-full-stack-c-developer", "https://www.gdit.com/careers/job/46de02367/senior-software-engineer-full-stack-c-developer")</f>
        <v/>
      </c>
      <c r="G60" t="inlineStr">
        <is>
          <t>Hanover, MD, US</t>
        </is>
      </c>
      <c r="H60" s="2" t="n">
        <v>46049</v>
      </c>
      <c r="I60" t="inlineStr">
        <is>
          <t>Your Impact
Own your opportunity to serve as a critical component of our nation’s safety and security. Make an impact by using your expertise to protect our country from threats.
Job Description
Job Description
Software Engineer Sr Advisor
Deliver simple solutions to complex problems as a Software Engineer Sr Advisor at GDIT. Here, you’ll tailor cutting\-edge solutions to the unique requirements of our clients. With a career in application development, you’ll make the end user’s experience your priority and we’ll make your career growth ours.  
At GDIT, people are our differentiator. As a Software Engineer Sr Advisor you will help ensure today is safe and tomorrow is smarter.
Responsibilities will include:
* Codes, tests, integrates and documents software solutions
* Applies principles and techniques of computer science, engineering, and mathematical analysis to the development of complex solutions
* Participates as a Subject Matter Expert in internal review of software components and systems
* Works on the hardest technical problems facing the company, often these problems are unusually complex and require the utmost creativity and innovation
* Applies and champions the appropriate standards, processes, procedures, and tools throughout the system development life cycle to support the generation of technical engineering products
* Receives no appreciable instruction on day\-to\-day work; more often responsible to define the scope, schedule and expectations for the work they execute or lead; assignments may be self\-initiated
* Provides leadership and/or direction and/or supervision to lower level employees and teams
* Leads large technical tasks and large teams and projects
* Keeps abreast of technology trends and champions new ideas and process improvements
Basic Qualifications:
* Web Development
* Preferred Libraries: JQuery, BootStrap.JS, Knockout.js
* C\# with ASP.Net Web Forms OR ASP.Net MVC
* Alternatively: Strong development skills in Java and a willingness to learn C\#
* Database experience
* Preferred: MongoDB
* HTML
* CSS
* Deployment with a Web Server
* Preferred: IIS
Education and Experience:
* A Bachelor’s in software engineering or a related technical field and a minimum of 10 years of relevant experience or a Master's degree and a minimum of 8 years of relevant experience; Agile experience preferred
* Proficient understanding of software engineering concepts, principles, and theories
* Proficient at applying technical standards and methodologies to resolve issues in creative ways and help company meet financial and business objectives
GDIT IS YOUR PLACE:
* Full\-flex work week to own your priorities
* 401K with company match
* Comprehensive health and wellness packages
* Internal mobility team dedicated to helping you own your career
* Professional growth opportunities including paid education and certifications
* Cutting\-edge technology you can learn from
\#EnhancedTechPoly2025
Work Requirements
Years of Experience
1 \+ years of related experience* may vary based on technical training, certification(s), *or* degree
Certification
Travel Required
None
Citizenship
U.S. Citizenship Required
Salary and Benefit Information
The likely salary range for this position is $111,155 \- $150,385\.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61">
      <c r="A61" t="inlineStr">
        <is>
          <t>in-7b8c76ae20a2fb93</t>
        </is>
      </c>
      <c r="B61" t="inlineStr">
        <is>
          <t>Embedded Software Engineer</t>
        </is>
      </c>
      <c r="C61" t="inlineStr">
        <is>
          <t>Teledyne FLIR</t>
        </is>
      </c>
      <c r="D61" t="inlineStr">
        <is>
          <t>indeed</t>
        </is>
      </c>
      <c r="E61">
        <f>HYPERLINK("https://www.indeed.com/viewjob?jk=7b8c76ae20a2fb93", "https://www.indeed.com/viewjob?jk=7b8c76ae20a2fb93")</f>
        <v/>
      </c>
      <c r="F61">
        <f>HYPERLINK("https://flir.wd1.myworkdayjobs.com/en-US/flircareers/job/US---Tucson-AZ/Embedded-Software-Engineer_REQ27002", "https://flir.wd1.myworkdayjobs.com/en-US/flircareers/job/US---Tucson-AZ/Embedded-Software-Engineer_REQ27002")</f>
        <v/>
      </c>
      <c r="G61" t="inlineStr">
        <is>
          <t>Tucson, AZ, US</t>
        </is>
      </c>
      <c r="H61" s="2" t="n">
        <v>46049</v>
      </c>
      <c r="I61"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The Embedded Software Engineer will design and develop microcode (software and firmware) for next generation scientific CMOS cameras optimized for Life Science applications. With excellent all\-round skills in software development for real time systems using FPGA\-based microprocessors, the successful candidate will be responsible for the complete embedded software design of the camera system from sensor interface to host PC communication.
Key Duties and Responsibilities:* Design, develop, document, integrate, debug and test complex firmware and embedded software for CMOS and CCD cameras.
* Develop efficient code and methodologies to enable fast on\-camera start\-up, configuration and execution of image processing operations.
* Ensure developed code meets real\-time execution requirements and constraints on FPGA\-based microprocessors such as NIOS, Microblaze and ARM cores.
* Support and coordinate with other team members and disciplines on the bring\-up, test and debug of product and prototype camera systems.
* Bring a systematic approach to the software and firmware development process and support established firmware build and release procedures.
Required Skills and Experience:* Minimum of BS degree (MS preferred) in Computer Science /Engineering or similar.
* Ability to test, debug and integrate on embedded systems using JTAG and emulation systems.
* Experience using standard test equipment (oscilloscope, logic analyzer or protocol analyzer) to troubleshoot data flow and timing.
* 3\+ years hands\-on experience with:  
Real\-time embedded C/C\+\+ microcode development.  
Defining and configuring communication interfaces (JTAG, I2C, SPI, USB, RS232 etc.).  
Defining and configuring Serial/Parallel Flash, DDR3/4, EPCS devices, UART interfaces.
Particular consideration will be given to candidates who also have knowledge/experience of:* Intel Quartus or Xilinx Vivado tool chains.
* RTOS and multithreaded code development and execution.
* Configuring and debugging high speed data interfaces including PCIe Gen3, CoaXPress 12, and USB 3\.2 Gen 2\.
Citizenship Requirements
 Due to the type of work at the facility and certain access restrictions, successful applicants must be a U.S. Citizen or Green Card holder.*What can Teledyne offer YOU?*  
A Competitive Salary \&amp; Benefits Package  
Excellent Health, Dental, Vision  
Paid Vacation Time  
Paid Sick Time  
Life Insurance Benefits  
Paid Holidays  
401(k) Eligibility  
Employee Stock Purchase Plan  
Educational Tuition Reimbursement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is>
      </c>
    </row>
    <row r="62">
      <c r="A62" t="inlineStr">
        <is>
          <t>in-4c4086df2a1298f4</t>
        </is>
      </c>
      <c r="B62" t="inlineStr">
        <is>
          <t>Software Developer (Systems Software) - TS/SCI w/ Polygraph</t>
        </is>
      </c>
      <c r="C62" t="inlineStr">
        <is>
          <t>General Dynamics Information Technology</t>
        </is>
      </c>
      <c r="D62" t="inlineStr">
        <is>
          <t>indeed</t>
        </is>
      </c>
      <c r="E62">
        <f>HYPERLINK("https://www.indeed.com/viewjob?jk=4c4086df2a1298f4", "https://www.indeed.com/viewjob?jk=4c4086df2a1298f4")</f>
        <v/>
      </c>
      <c r="F62">
        <f>HYPERLINK("https://www.gdit.com/careers/job/c6d61ef40/software-developer-systems-software-tssci-w-polygraph", "https://www.gdit.com/careers/job/c6d61ef40/software-developer-systems-software-tssci-w-polygraph")</f>
        <v/>
      </c>
      <c r="G62" t="inlineStr">
        <is>
          <t>Herndon, VA, US</t>
        </is>
      </c>
      <c r="H62" s="2" t="n">
        <v>46049</v>
      </c>
      <c r="I62" t="inlineStr">
        <is>
          <t>Your Impact
Own your opportunity to serve as a critical component of our nation’s safety and security. Make an impact by using your expertise to protect our country from threats.
Job Description
Explore a career in software development at GDIT and you’ll find endless opportunities to grow alongside colleagues who share your dedication to advancing innovation.
Transform technology into opportunity as a Software Developer at GDIT. Shape what’s next for mission\-critical government projects while shaping what’s next for your engineering career. The ideal candidate will be a Software Developer in design, development, coding, testing, and debugging new software or providing complex enhancements to existing software. Works with technical staff to understand and to develop resolution of software operational and transformational activities. Successful candidate will have experience with multiple languages (including Java, Python, Ruby) and web frameworks (including Spring and Rails) as well as big data systems.
RESPONSIBILITIES:
* Modernizes legacy Java, Python, and Ruby code as part of the migration to a cloud\-based computing environment.
* Designs, implements, and maintains Infrastructure as Code (IaC) solutions using tools like Terraform to automate provisioning, improve scalability, and ensure environment consistency across development, staging, and production.
* Must be comfortable working with software developers to identify and resolve defects.
* Experience working with GitHub, Jira and Confluence.
* Assists with the transition of existing batch processing systems to a near\-real time streaming pipeline.
* Maintains current knowledge of relevant technology as assigned.
* Identifies and resolves complex hardware/software interface issues.
* Test and documents performance benchmarks and metrics for developed software.
* Designs and implements cloud\-native data processing capabilities using tools such as Hadoop, Hive, and other big data software.
* Supports the design and development of a large scale structured search system
* Works with a cross functional team of developers, QA, DevOps, and security to develop, deliver, and sustain a complex production system.
REQUIRED SKILLS:
* 10\+ years of software development experience with at least two of Java, Python, Ruby, or JavaScript
* Experience with Linux\-based systems and shell scripting.
* Experience developing web applications, including familiarity with frontend JavaScript.
* Experience with relational databases (e.g. MySQL, PostgreSQL)
* Experience with application development and deployments with Amazon Web Services.
* Experience analyzing large volumes of complex structured and unstructured data.
DESIRED SKILLS:
* Experience with Hive and other big data processing technologies.
* Experience developing batch data processing pipelines.
WHAT YOU’LL NEED TO SUCCEED:
* Education: Bachelor’s degree in Computer Science, Engineering, or a related technical discipline, or the equivalent combination of education, technical certifications or training, or work experience.
* Location: Herndon, VA
* Hours: Contract core hours, 9am \- 3pm
* Security Clearance: TS/SCI with Polygraph
* US Citizenship Required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\#WeAreGDIT  
\#JET  
\#GDITEnhanced2026  
\#VA\_2025Alumni
Work Requirements
Years of Experience
10 \+ years of related experience* may vary based on technical training, certification(s), *or* degree
Certification
Travel Required
None
Citizenship
U.S. Citizenship Required
Salary and Benefit Information
The likely salary range for this position is $158,855 \- $214,921\.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63">
      <c r="A63" t="inlineStr">
        <is>
          <t>in-37bd2b30cef66a03</t>
        </is>
      </c>
      <c r="B63" t="inlineStr">
        <is>
          <t>Asset &amp; Wealth Management - Software Engineer - Vice President - Dallas</t>
        </is>
      </c>
      <c r="C63" t="inlineStr">
        <is>
          <t>Goldman Sachs</t>
        </is>
      </c>
      <c r="D63" t="inlineStr">
        <is>
          <t>indeed</t>
        </is>
      </c>
      <c r="E63">
        <f>HYPERLINK("https://www.indeed.com/viewjob?jk=37bd2b30cef66a03", "https://www.indeed.com/viewjob?jk=37bd2b30cef66a03")</f>
        <v/>
      </c>
      <c r="F63">
        <f>HYPERLINK("https://higher.gs.com/roles/160405", "https://higher.gs.com/roles/160405")</f>
        <v/>
      </c>
      <c r="G63" t="inlineStr">
        <is>
          <t>Dallas, TX, US</t>
        </is>
      </c>
      <c r="H63" s="2" t="n">
        <v>46049</v>
      </c>
      <c r="I63" t="inlineStr">
        <is>
          <t>**Goldman Sachs:**
A career with Goldman Sachs is an opportunity to help clients across the globe realize their potential, while you discover your own. As part of one of the world’s leading asset managers with over $3\+ trillion in assets under supervision, you can expect to participate in exciting investment opportunities while collaborating with talented colleagues from all asset classes and regions and building meaningful relationships with your clients. Working in a culture that values integrity and transparency, you will be part of a diverse team that is passionate about our craft, our clients, and building sustainable success. Bringing together traditional and alternative investments, we provide clients around the world with a dedicated partnership and focus on long\-term performance. As primary investment area within Goldman Sachs, we provide investment and advisory services for pension plans, sovereign wealth funds, insurance companies, endowments, foundations, financial advisors and individuals.
**Who We Look For**
Goldman Sachs Engineers are innovators and problem\-solvers, building solutions in risk management, big data, mobile and more. We look for creative collaborators who evolve, adapt to change and thrive in a fast\-paced global environment.
**HOW YOU WILL FULFILL YOUR POTENTIAL**
As the **Client Workflow \&amp; Reference Data Lead Engineer**, you will be responsible for designing, managing, and supporting key client onboarding platforms utilized by asset management clients. Your responsibilities will include leading the architecture and design of next\-generation client onboarding and associated workflow systems, overseeing and supporting critical platforms leveraged by asset management clients, and managing a team of engineers while providing technical guidance and mentorship. You will serve as the subject matter expert for business relationships and stakeholder engagement, ensuring robust support and continuous improvement of existing client workflow and reference data systems. This role combines technical architecture expertise with leadership responsibilities, requiring both deep technical knowledge and strong stakeholder management skills to drive the evolution of client onboarding capabilities, with core focus areas including platform development and enhancement, workflow system optimization and automation, reference data management and governance, cross\-functional collaboration with business stakeholders, and technical leadership and team development.
**Qualifications \&amp; Requirements**
**Education:**
* Master's or Bachelor's degree in Computer Science or related Engineering field
**Experience:**
* 7\+ years of combined experience in an engineering capacity
* 5\+ years of hands\-on experience with workflow solutions such as ServiceNow, Salesforce, or Appian
* 4\+ years in a system architecture role with responsibilities including tool selection, design decisions, performance optimization, risk mitigation, and team development
* Proven experience delivering high\-quality technical solutions to multiple global stakeholders in fast\-paced environments and managing junior developers
**Technical Skills:**
* Strong knowledge of customer service management workflow solutions
* Proficiency in one or more SQL dialects
* Comprehensive experience with all stages of the development lifecycle: inception, analysis, design, review, testing, and deployment
**Leadership \&amp; Soft Skills:**
* Strong creative leader who is self\-motivated with an analytical mindset
* Ability to multi\-task and solve complex technical problems under time pressure and resource constraints
* Client and product\-focused mindset with experience collaborating with product and/or business managers to propose products and their associated features
* Excellent written and verbal communication skills, including experience working directly with both technical and non\-technical stakeholders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employment/affirmative action employer Female/Minority/Disability/Veteran/Sexual Orientation/Gender Identity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Asset \&amp; Wealth Management</t>
        </is>
      </c>
    </row>
    <row r="64">
      <c r="A64" t="inlineStr">
        <is>
          <t>in-e8aac10fd9547572</t>
        </is>
      </c>
      <c r="B64" t="inlineStr">
        <is>
          <t>Senior Software Developer</t>
        </is>
      </c>
      <c r="C64" t="inlineStr">
        <is>
          <t>Skywalk Global</t>
        </is>
      </c>
      <c r="D64" t="inlineStr">
        <is>
          <t>indeed</t>
        </is>
      </c>
      <c r="E64">
        <f>HYPERLINK("https://www.indeed.com/viewjob?jk=e8aac10fd9547572", "https://www.indeed.com/viewjob?jk=e8aac10fd9547572")</f>
        <v/>
      </c>
      <c r="F64">
        <f>HYPERLINK("https://skywalkglobal.net/careers/8658/7", "https://skywalkglobal.net/careers/8658/7")</f>
        <v/>
      </c>
      <c r="G64" t="inlineStr">
        <is>
          <t>Atlanta, GA, US</t>
        </is>
      </c>
      <c r="H64" s="2" t="n">
        <v>46049</v>
      </c>
      <c r="I64" t="inlineStr">
        <is>
          <t>Job Summary
Lead software developer proficient in Angular and Spring Boot and able to take the lead on software development projects.
ON\-SITE INTERVIEWS ONLY!
**JOB SUMMARY:**
Individuals within the Software Development job family work closely with clients, business analysts and team members to understand the business requirements that drive the analysis and design and/or development of quality technical solutions. These solutions must be aligned with Georgia Technology Authority (GTA) and State Agency IT strategies and are compliant with the organization’s architectural standards. Software Developers are involved in the full systems life cycle and therefore are responsible for designing, coding, testing, implementing and supporting applications that are delivered on time and within budget. Responsibilities beyond development of applications may include participation in component and data architecture design, technology planning, product evaluation, issue troubleshooting and resolution, advanced testing processes and buy vs. build recommendations. Software Developers may also use various middleware to develop solutions. Individuals also provide input to project plans related to the Software Development initiative. Applications Developers develop integrated solutions within and across the enterprise.
**RESPONSIBILITIES:**
Responsible for technical leadership in the analysis, design, development, integration, testing and enhancement of software, applications or middleware. Actively involved in researching, troubleshooting or resolving complex support issues. Responsibilities include, but may not be limited to, the following:
* Consults in the project planning process with clients, business analysts, architects and team members.
* Monitors project milestones and critical dates to identify potential project schedule risks. Identifies ways to resolve schedule issues. Keeps management aware of project progress and status.
* May lead the technical evaluation and selection process for software or middleware packages. Supports any communication and training necessary for successful adoption of selected tools or software.
* Ascertains work effort for various tasks within a project and assigns work to other members of the project when leading a project.
* Communicates with business analysts, quality assurance, project owners, and stakeholders about the project, including status, roadblocks, etc.
* Provides input for buy vs. build recommendations. Researches the feasibility or availability of custom, open source and commercial (COTS) solution alternatives. Provides input on system options, risk, cost versus benefit, and impacts on business processes and goals. Provides input to business cases and may assist in procurement activities for buy decisions.
* Proactively analyzes existing applications to identify weaknesses and develop opportunities for improvements. May initiate the identification, analysis, implementation, communication and adoption of technical process improvements to benefit the team. This may include recognizing the potential for streamlining or automation of existing processes, determining the value of new or different approaches to application implementations, suggesting or proposing changes to applications to solve or address existing problems. Supports any change management necessary for implemented process improvements.
* Identifies system and/or business requirements. Able to elicit, analyze, document and communicate business or technical requirements for designated systems or applications. Has the ability to work with business and technology stakeholders to translate business requirements into technical designs. Provides input to the architect on design approaches.
* Recommends procedures to solve problems considering computer equipment capacity and limitations, operating time, form of desired results, and integration of components.
* Creates and helps to implement conversion, upgrade and migration designs. Recommends or applies system patches and/or certificates in a timely manner and validates that they are kept up to date for designated applications or systems.
* Assists with documenting or demonstrating examples to ensure code, data or document repositories are appropriately utilized, accessed, maintained and updated.
* Develops software and/or applications specifications. Makes recommendations and provides input for decisions or considerations involving new code development or existing code reuse. Recommends and develops methods to efficiently reuse existing components. Identifies better sources of data feeds and interfaces.
* Provides input and assistance to architects when requested on software or system specifications, selecting and adopting technologies or tools, prototyping solutions, communicating technical decisions and assisting other developers with the adoption and understanding of agreed upon technical approaches or direction.
* Provides technical leadership for the definition, development and modification of individual or integrated software modules as well as enterprise applications using disciplined software development processes.
* Familiar with web development, web platforms and content management. Understands and may have working knowledge of graphics design, mobile\-first and user\-first web design approaches as well as other user interface (UI) or user experience (UX) implementation techniques.
* Develops and helps to define integrated solutions aimed at modernizing, consolidating and coordinating the independently designed applications within and across the enterprise. Codes, integrates and tests components, middleware, data, systems and their interfaces to create seamless communications across services.
* Determines how existing applications, legacy systems, databases, Web interfaces, enterprise server software and/or hardware logic, which may be currently operational on multiple platforms, work together to meet new and emerging requirements.
* Adheres to technical or quality standards and procedures. Reviews modules for quality assurance and checks compliance with software architecture standards. Assists in defining and communicating development guidelines and standards to be utilized in software development and integration. Selects and effectively applies appropriate architecture or design standards, methods and tools. Reviews the designs and code of other developers in collaboration with architects.
* Provides technical guidance and support for unit testing of software modules to ensure software meets specifications.
* Coordinates with configuration management on integration build activities across systems or environments and understands how to perform or support integration builds in preparation for both integration and quality assurance testing. Provides input for deployment documents and related artifacts for production environment deployments.
* Participates in and supports both integration testing and quality assurance testing activities which includes assisting with the test planning process, performing technical testing of integrated solutions to verify appropriate outcomes or results of interfaces, functions, features and data, as well as identifying or reporting defects, change requests or enhancements. Helps others to resolve or fix identified defects or issues and also fixes them. May also assist with or participate in regression testing, user acceptance testing or performance/load testing.
* Documents changes to architecture, integration and/or conversion plans. May develop and maintain system and software architecture diagrams.
* Supports maintenance of software, as needed.
* Makes applications or modules production ready by including or referencing supporting libraries, incorporating supporting configuration or properties files, updating version control documentation, completing required forms, following move to production procedures, etc.
* Provides Tier III (integration) support. Troubleshoots existing information systems to identify errors or deficiencies and develops solutions. Dissects problems or issues to identify and diagnose root causes and determine resolutions. Assists with communicating resolutions and helping reporters of issues to understand or adopt resolutions.
* Provides technical leadership, coaching, and mentoring to team members. Provides technical guidance along with business process expertise for projects. Creates technical documentation related to coding, testing, integration, support or best practices. Develops reports and presentations for management, as needed or requested.
* May provide input to help define, analyze, plan, forecast, measure, monitor, maintain and improve systems and services availability, which includes hardware, software, network, data/storage, core infrastructure/operations, virtual and cloud solutions such as SaaS/IaaS (software or infrastructure as a service) and security controls. Assists architects with managing systems and services to ensure that they meet performance targets and business needs.
* Has knowledge of the security, confidentiality and integrity of information systems and complies with adopted organizational standards or other relevant legislation and regulations. Understands how to incorporate appropriate security controls as a core part of designed solutions or services.
* Supports architects in preparations for user, client or partner engagements. Understands the needs of users, clients or partners and may assist to interpret those needs into solution proposals. Able to engage in direct interactions with end users. Supports sales/marketing demos, prototypes, meetings or other such initiatives to generate awareness or revenue for existing or potential products and services.
Skills:
Demonstrated experience leading projects and acting as a team lead Required 2 Years
programming/systems analysis experience Required 5 Years
demonstrated project experience using Angular (11\+) Required 3 Years
demonstrated project experience using Spring Boot Required 3 Years
demonstrated project experience with Java 8\+ Required 3 Years
demonstrated project experience working with JavaScript and TypeScript Required 3 Years
demonstrated project experience with responsive and adaptive UI/UX design or development and supporting technologies (HTML5, CSS, Bootstrap, etc) Required 3 Years
Experience working with an RDBMS such as Oracle or PostgreSQL. Required 3 Years
Experience with RESTful Web Services or APIs and supporting tools (Postman, Swagger, JMeter, etc.) Required 3 Years
Experience with data exchange/serialization languages, formats, or technologies (JSON, YAML, XML, etc.) Required 3 Years
preferred demonstrated project experience using React Required 2 Years
preferred demonstrated project experience with J2EE/Jakarta EE Required 2 Years</t>
        </is>
      </c>
    </row>
    <row r="65">
      <c r="A65" t="inlineStr">
        <is>
          <t>in-47854a9ff60af83a</t>
        </is>
      </c>
      <c r="B65" t="inlineStr">
        <is>
          <t>Asset &amp; Wealth Management - Software Engineer - Vice President - New York</t>
        </is>
      </c>
      <c r="C65" t="inlineStr">
        <is>
          <t>Goldman Sachs</t>
        </is>
      </c>
      <c r="D65" t="inlineStr">
        <is>
          <t>indeed</t>
        </is>
      </c>
      <c r="E65">
        <f>HYPERLINK("https://www.indeed.com/viewjob?jk=47854a9ff60af83a", "https://www.indeed.com/viewjob?jk=47854a9ff60af83a")</f>
        <v/>
      </c>
      <c r="F65">
        <f>HYPERLINK("https://higher.gs.com/roles/159540", "https://higher.gs.com/roles/159540")</f>
        <v/>
      </c>
      <c r="G65" t="inlineStr">
        <is>
          <t>New York, NY, US</t>
        </is>
      </c>
      <c r="H65" s="2" t="n">
        <v>46049</v>
      </c>
      <c r="I65" t="inlineStr">
        <is>
          <t>**Goldman Sachs:**
A career with Goldman Sachs is an opportunity to help clients across the globe realize their potential, while you discover your own. As part of one of the world’s leading asset managers with over $3\+ trillion in assets under supervision, you can expect to participate in exciting investment opportunities while collaborating with talented colleagues from all asset classes and regions, and building meaningful relationships with your clients. Working in a culture that values integrity and transparency, you will be part of a diverse team that is passionate about our craft, our clients, and building sustainable success. Bringing together traditional and alternative investments, we provides clients around the world with a dedicated partnership and focus on long\-term performance. As primary investment area within Goldman Sachs, we provide investment and advisory services for pension plans, sovereign wealth funds, insurance companies, endowments, foundations, financial advisors and individuals.
**Who We Look For**
Goldman Sachs Engineers are innovators and problem\-solvers, building solutions in risk management, big data, mobile and more. We look for creative collaborators who evolve, adapt to change and thrive in a fast\-paced global environment.
**HOW YOU WILL FULFILL YOUR POTENTIAL**
As the Regional Client Workflow \&amp; Reference Data Lead Engineer, you will be responsible for designing, managing and supporting key onboarding platforms leveraged by asset management clients. Responsibilities include advancing these highly\-available distributed systems, with focuses on availability, resiliency, performance and advanced monitoring with governance controls as well as managing a regional team of engineers and business relationships as local subject matter expert.
* Application SDLC, deployment and runtime management with a goal of reducing product cycle time
* Infrastructure Services – proxies, load balancing, cloud integration
* Risk Management – Resiliency design \&amp; planning, collection and analysis of availability metrics
**Skills and experience we are looking for**
* Master’s or bachelor’s degree in computer science or related Engineering Field
* 7\+ years combined experience in an Engineering Capacity
* 5\+ years of Java development and other programming languages with experience in Object Oriented Analysis, Design and testing best practices
* Knowledge in one or more SQL dialects
* 4\+ years in a system architecture role responsible for tool selection, design decisions, optimizing performance, risk mitigation, and team development
* Strong creative leader, self\-motivated with analytical mindset who can multi\-task to solve interesting and difficult technical problems under time pressure and resource constraints
* Must have a client and product mindset with experience collaborating with product and/or business managers to propose products and their associate features.
* Experience in delivering high quality technical solutions to multiple global stakeholders in a fast paced environment and managing junior developers
* Ensure that teams follow best practices for system design and conformance to high standards for coding, testing, debugging and implementation
* Effectively partner with external teams to ensure we meet our goals for system integration, application deployment, feed management and reporting
* Ensure systems can scale to handle increasing business volumes, optimize performance and throughput. Good understanding of distributed systems
* Experience with all stages of the development lifecycle: inception, analysis, design, review, testing, and deployment
* Experience building and sustaining long\-term relationships with clients and colleagues in a diverse global organization
* Excellent written and verbal communication skills, including experience working directly with both technical and non\-technical stakeholder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employment/affirmative action employer Female/Minority/Disability/Veteran/Sexual Orientation/Gender Identity
**Salary Range**
The expected base salary for this New York, New York, United States\-based position is $130000\-$250000\.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New York
JOB FUNCTION
Software Engineering
DIVISION
Asset \&amp; Wealth Management
SALARY RANGE
USD 130,000 \- 250,000</t>
        </is>
      </c>
    </row>
    <row r="66">
      <c r="A66" t="inlineStr">
        <is>
          <t>in-f27361386da1ebe7</t>
        </is>
      </c>
      <c r="B66" t="inlineStr">
        <is>
          <t>Senior Staff Software Engineer, Fleet Infrastructure</t>
        </is>
      </c>
      <c r="C66" t="inlineStr">
        <is>
          <t>Waymo</t>
        </is>
      </c>
      <c r="D66" t="inlineStr">
        <is>
          <t>indeed</t>
        </is>
      </c>
      <c r="E66">
        <f>HYPERLINK("https://www.indeed.com/viewjob?jk=f27361386da1ebe7", "https://www.indeed.com/viewjob?jk=f27361386da1ebe7")</f>
        <v/>
      </c>
      <c r="F66">
        <f>HYPERLINK("https://careers.withwaymo.com/jobs/senior-staff-software-engineer-fleet-infrastructure-mountain-view-california-united-states", "https://careers.withwaymo.com/jobs/senior-staff-software-engineer-fleet-infrastructure-mountain-view-california-united-states")</f>
        <v/>
      </c>
      <c r="G66" t="inlineStr">
        <is>
          <t>Mountain View, CA, US</t>
        </is>
      </c>
      <c r="H66" s="2" t="n">
        <v>46049</v>
      </c>
      <c r="I66" t="inlineStr">
        <is>
          <t>MOUNTAIN VIEW, CALIFORNIA, UNITED STATES
FULL\-TIME
SOFTWARE ENGINEERING
4543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Want to build the next generation of infrastructure for driverless cars? Join the Waymo Commercialization team, and help design the future of transportation! We are looking for a passionate Senior Staff SWE / Tech Lead who wants to help build the systems that manage and optimize Waymo’s core ride hailing and fleet management systems.
The ideal candidate is someone who can be self\-sufficient and product\-minded. You will be working on cross\-cutting problems that will require strong cross\-team collaboration, both technically (mobile app, cloud backends, and the Waymo Driver) and functionally (operations, product, legal, partnerships, policy \&amp; privacy) to develop and deliver business critical infrastructure.
In this role, you’ll:
* Help build and evolve one or more mission\-critical commercialization tools and systems
* Collaborate with Product, UX, and other engineering teams to develop systems and processes as business needs grow and evolve
* Solve hard, real\-world problems such as demand planning, pickup / dropoff optimization, fleet optimization, field escalation handling, and more
At a minimum we’d like you to have:
* BS degree in Computer Science or equivalent practical experience
* 6\+ years experience working with backend tech (e.g. C\+\+, Spanner)
* TL or technical leadership skills
* Ability to thrive in ambiguity, solving large, open\-ended problems
* Ability to think strategically and architecturally, while balancing short\- and long\-term needs
* Excellent communication and collaboration \- ability to work across multiple teams to achieve long\-term goals
* Location: This position will be in the SF bay area
It’s preferred if you have:
* Passion for working in cross functional environments that include nontechnical stakeholders
* Familiarity with Google infrastructure (e.g. Flume, Borg, Protocol Buffers, OnePlatform)
* Experience with robotics / hardware interfacing
* Experience with operations tooling, developer productivity, or developer tools
* Experience with optimization / OR scheduler
* Experience with Geo (pathfinder, mapfacts, walking directions)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$281,000—$356,000 USD</t>
        </is>
      </c>
    </row>
    <row r="67">
      <c r="A67" t="inlineStr">
        <is>
          <t>in-2730e24aef3892fb</t>
        </is>
      </c>
      <c r="B67" t="inlineStr">
        <is>
          <t>Software Developer</t>
        </is>
      </c>
      <c r="C67" t="inlineStr">
        <is>
          <t>BUSINESS IMAGING SYSTEMS</t>
        </is>
      </c>
      <c r="D67" t="inlineStr">
        <is>
          <t>indeed</t>
        </is>
      </c>
      <c r="E67">
        <f>HYPERLINK("https://www.indeed.com/viewjob?jk=2730e24aef3892fb", "https://www.indeed.com/viewjob?jk=2730e24aef3892fb")</f>
        <v/>
      </c>
      <c r="F67">
        <f>HYPERLINK("https://www.paycomonline.net/v4/ats/web.php/jobs/ViewJobDetails?job=244222&amp;clientkey=06AFFA9A065991BF3D00B50BA13BB4CB&amp;source=Indeed", "https://www.paycomonline.net/v4/ats/web.php/jobs/ViewJobDetails?job=244222&amp;clientkey=06AFFA9A065991BF3D00B50BA13BB4CB&amp;source=Indeed")</f>
        <v/>
      </c>
      <c r="G67" t="inlineStr">
        <is>
          <t>Oklahoma City, OK, US</t>
        </is>
      </c>
      <c r="H67" s="2" t="n">
        <v>46049</v>
      </c>
      <c r="I67" t="inlineStr">
        <is>
          <t>This is a full\-time, 100% onsite position in Edmond, OK
**Job Summary**: Software Developers are responsible for the development and support of BIS software products. Develops new systems and tools for use with big data intake and analysis. Manages data extraction and builds new data pipelines from various sources, both structured and unstructured. Designs, develops and executes solutions to solve operational and strategic problems. Develops automation for setup and maintenance of big data platforms.
Responsibilities:  
* Work with team members to extend the feature set and functionality of existing proprietary, patented software GROOPER, a BIS trademarked software product
* Understand client requirements and how they translate to new application features
* Collaborate with development team and IT staff to set specifications for new applications
* Write high\-quality source code to program complete applications on schedule
* Correct malfunctions in BIS software products discovered by the Quality Assurance team, Solution Technicians, Help Desk staff, etc.
* Understand client requirements and how they translate in application features
* Collaborate with a team of IT professionals to set specifications for new applications
* Design creative prototypes according to specifications
* Perform unit and integration testing before launch
* Conduct functional and non\-functional testing
* Troubleshoot and debug applications
* Evaluate existing applications to reprogram, update and add new features
* Develop technical documents and handbooks accurately representing application design and code
* Demonstrate punctuality, maintain attendance reliability and dependability
* Responsible for promoting, maintaining, and enforcing information security
Additional Functions:  
* Other relative duties as assigned by management
**Your Experience \&amp; Qualifications:**
* Bachelor’s degree in computer science or electronics and communications engineering required
* Master’s degree in computer science engineering or management information systems preferred
* Experience with Microsoft development tools including Visual Studio required
* Experience with database maintenance and design using MS SQL Server required
* Experience and familiarity with the following are a plus:
	+ object\-oriented programming
	+ inheritance and object serialization
	+ Experience with computer vision,
	+ parallel processing
	+ digital image processing
	+ AI
	+ Machine Learning
	+ Natural Language Processing
* Working knowledge of Grooper software preferred
**Physical Requirements:**  
* Sitting for long periods of time
* Lifting up to 35 pounds
* Repetitive motion involving hands and fingers
**Travel Requirements:**  
* Never</t>
        </is>
      </c>
    </row>
    <row r="68">
      <c r="A68" t="inlineStr">
        <is>
          <t>in-b5722a19b4006d03</t>
        </is>
      </c>
      <c r="B68" t="inlineStr">
        <is>
          <t>Senior Software Engineer</t>
        </is>
      </c>
      <c r="C68" t="inlineStr">
        <is>
          <t>Red Hat</t>
        </is>
      </c>
      <c r="D68" t="inlineStr">
        <is>
          <t>indeed</t>
        </is>
      </c>
      <c r="E68">
        <f>HYPERLINK("https://www.indeed.com/viewjob?jk=b5722a19b4006d03", "https://www.indeed.com/viewjob?jk=b5722a19b4006d03")</f>
        <v/>
      </c>
      <c r="F68">
        <f>HYPERLINK("https://redhat.wd5.myworkdayjobs.com/en-US/jobs/job/Raleigh/Senior-Software-Engineer_R-053097-1", "https://redhat.wd5.myworkdayjobs.com/en-US/jobs/job/Raleigh/Senior-Software-Engineer_R-053097-1")</f>
        <v/>
      </c>
      <c r="G68" t="inlineStr">
        <is>
          <t>Raleigh, NC, US</t>
        </is>
      </c>
      <c r="H68" s="2" t="n">
        <v>46049</v>
      </c>
      <c r="I68" t="inlineStr">
        <is>
          <t>Red Hat is looking for a Sr. Software Engineer to join our Products \&amp; Global Engineering Tooling and Licensing Team, focused on, integrating, and supporting internal and external engineering tools and platforms used across our Products \&amp; Global Engineering Organizations. This role blends software development, systems administration, and operational ownership, with a strong emphasis on improving developer experience, scalability, and cost transparency.
What you will do* Design, develop, and maintain tooling and services that support engineering productivity and operations.
* Integrate third\-party developer tools (e.g., code review, IDE tooling, cloud services) into existing platforms and workflows.
* Build and support automation for onboarding, access management, reporting, and governance of engineering tools.
* Partner with Cloud Operations, FinOps, Security, Legal, and Sourcing teams to ensure tooling solutions are compliant, scalable, and costs are tracked and reported
* Own services end\-to\-end, including documentation, monitoring, and operational support.
* Contribute to data pipelines and dashboards that provide usage, cost, and adoption insights.
* Participate in backlog refinement, sprint planning, and other team ceremonies.
What you will bring* 7\+ years of professional software engineering experience.
* Strong experience with one or more modern programming languages (e.g., Python, Go, Java, TypeScript).
* Experience building and operating backend services, APIs, or automation tooling.
* Experience working with CI/CD systems, Git\-based workflows, and developer tooling ecosystems.
* Strong problem\-solving skills and comfort working in environments with evolving requirements.
* Excellent communication skills and ability to collaborate across technical and non\-technical teams.
Preferred / Nice\-to\-Have Skills* Experience designing, implementing, and supporting security integrations, including Single Sign\-On (SSO) and authentication/authorization frameworks
* Familiarity with FinOps concepts, cost reporting, or cloud usage analytics.
* Experience with data platforms (Snowflake, Superset, SQL\-based analytics).
* Agile/Scrum experience and comfort working in iterative delivery models.
* Background in platform engineering or SRE\-adjacent roles.
* Familiarity with cloud platforms (AWS, GCP, Azure, or IBM Cloud).
Why Join This Team* Work on high\-impact tooling used by multiple engineering organizations.
* Influence how AI, cloud, and developer tools are adopted at scale.
* Balance hands\-on engineering with strategic problem solving.
* Collaborate with a supportive team that values autonomy, clarity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69">
      <c r="A69" t="inlineStr">
        <is>
          <t>in-230148bdde07d3ab</t>
        </is>
      </c>
      <c r="B69" t="inlineStr">
        <is>
          <t>Senior Full Stack Engineer</t>
        </is>
      </c>
      <c r="C69" t="inlineStr">
        <is>
          <t>IRIS Software Group</t>
        </is>
      </c>
      <c r="D69" t="inlineStr">
        <is>
          <t>indeed</t>
        </is>
      </c>
      <c r="E69">
        <f>HYPERLINK("https://www.indeed.com/viewjob?jk=230148bdde07d3ab", "https://www.indeed.com/viewjob?jk=230148bdde07d3ab")</f>
        <v/>
      </c>
      <c r="F69">
        <f>HYPERLINK("https://irissoftwareandservicesinc.applicantstack.com/x/detail/a2apvyfjkz07/aaac", "https://irissoftwareandservicesinc.applicantstack.com/x/detail/a2apvyfjkz07/aaac")</f>
        <v/>
      </c>
      <c r="G69" t="inlineStr">
        <is>
          <t>US</t>
        </is>
      </c>
      <c r="H69" s="2" t="n">
        <v>46049</v>
      </c>
      <c r="I69" t="inlineStr">
        <is>
          <t>Senior Software Engineer
**Location:** Remote US East Coast Locations
About Us
IRIS Software Group is one of the UK's leading privately held software companies, transforming how businesses, schools, and organisations operate through cloud\-native solutions. Serving 100,000\+ customers across 135 countries, we deliver mission\-critical software in accountancy, HR \&amp; payroll, education, and business operations.
We're on an AI\-first journey, modernising processes with cloud\-native architecture, advanced analytics, and intelligent automation. Recognised as a Great Place to Work and Best Workplace for Women, we empower exceptional people to create solutions that impact millions globally.
The Role
We're looking for a Senior Software Engineer to join our Agile team, delivering innovative cloud\-native solutions for millions of users. You'll lead technical initiatives, own features end\-to\-end, drive best practices, and mentor other engineers.
Key Responsibilities
•
Design and deliver scalable, complex systems, APIs, and data pipelines.
•
Lead technical discussions, influence architecture, and drive quality standards.
•
Partner with cross\-functional teams to deliver solutions aligned with business goals.
•
Champion TDD/BDD, automated testing, security practices, and production support.
•
Mentor junior engineers and drive continuous improvement, including responsible AI adoption.
Skills \&amp; Experience
•
5–7 years professional software development experience.
•
Strong backend (.NET Core, C\#) and frontend (React, Angular, Vue.js, Blazor) skills.
•
Experience with cloud platforms (Azure or AWS), CI/CD, container orchestration (Docker/Kubernetes).
•
Knowledge of SQL/NoSQL, clean architecture, SOLID principles, scalable internet\-facing solutions.
•
Technical leadership, mentoring, and cross\-team collaboration experience.
Why Join Us?
•
Competitive salary, generous holidays, private healthcare, life assurance, pension.
•
**Career growth:** senior leadership development, certifications, conferences, community leadership.
•
Flexible working, great work\-life balance, innovative culture, mentoring opportunities.
Make an impact. Lead innovation. Transform experiences. Join IRIS Software Group today.</t>
        </is>
      </c>
    </row>
    <row r="70">
      <c r="A70" t="inlineStr">
        <is>
          <t>in-ad9a6841480ea91f</t>
        </is>
      </c>
      <c r="B70" t="inlineStr">
        <is>
          <t>Senior Full Stack Engineer</t>
        </is>
      </c>
      <c r="C70" t="inlineStr">
        <is>
          <t>NATIONAL ASSOCIATION OF REALTORS®</t>
        </is>
      </c>
      <c r="D70" t="inlineStr">
        <is>
          <t>indeed</t>
        </is>
      </c>
      <c r="E70">
        <f>HYPERLINK("https://www.indeed.com/viewjob?jk=ad9a6841480ea91f", "https://www.indeed.com/viewjob?jk=ad9a6841480ea91f")</f>
        <v/>
      </c>
      <c r="F70">
        <f>HYPERLINK("https://realtors.applicantstack.com/x/detail/a2yfvt47ske8/aaac", "https://realtors.applicantstack.com/x/detail/a2yfvt47ske8/aaac")</f>
        <v/>
      </c>
      <c r="G70" t="inlineStr">
        <is>
          <t>Chicago, IL, US</t>
        </is>
      </c>
      <c r="H70" s="2" t="n">
        <v>46049</v>
      </c>
      <c r="I70" t="inlineStr">
        <is>
          <t>**Position Summary:**  
As a Senior Full Stack Engineer on the Data Team within Strategic Business, Innovation, and Technology, this role will own and help modernize core platforms that support the National Association of REALTORS® nationwide membership, identity, and data ecosystem. This role focuses on building, operating, and improving production systems that manage trusted member, association, and office data used across NAR and its affiliated organizations.
This role will work on cloud\-native services that support both the centralized member data platform and NAR's e\-commerce and payments infrastructure. The role is hands\-on and senior, with architecture and implementation, and expectations around operating what you build in production. This role will work closely with teams across NAR, including Data Science, product, security, and compliance, to ensure systems are reliable, well\-integrated, and built to support analytics and reporting. Success in this role means delivering durable, secure platforms, improving existing systems where needed, and helping set engineering standards as NAR continues to modernize its core data and technology foundations.
**Duties and Responsibilities:**  
* Build, deploy, and operate Azure\-based, cloud\-native services supporting membership, identity, and e\-commerce products.
* Deliver and operate payment and checkout systems that meet PCI compliance requirements, in partnership with security and compliance teams.
* Lead the design, development, and delivery of scalable web applications and APIs across NAR's membership and e\-commerce ecosystem.
* Architect and implement frontend and backend solutions using modern frameworks, Azure platform services, and cloud\-native design patterns.
* Design and maintain secure, well\-versioned APIs and integrations with internal systems and external partners.
* Ensure high code quality through code reviews, automated testing, and adherence to engineering best practices.
* Troubleshoot, debug, and optimize applications for performance, scalability, reliability, and cost efficiency in Azure.
* Mentor engineers in advanced coding practices, cloud architecture, security, and AI\-enabled development techniques.
* Stay current with Azure platform capabilities, cloud security standards, and industry trends, applying them to continuously improve solutions.
* Lead Agile/Scrum ceremonies, contributing to technical planning, estimation, and delivery commitments .
* Create and maintain clear technical documentation for cloud services, APIs, and integrations.
* Perform other duties as assigned.
**Qualifications:**  
* Bachelor's or Master's degree in Computer Science, Engineering, or a related field.
* 5\+ years of professional experience delivering and operating full stack software in production environments.
* Experience with modern front\-end frameworks for web applications, such as Nuxt or React, including building and maintaining user\-facing workflows like dues payment and administration.
* Experience building and supporting backend services and APIs using technologies such as C\#/.NET and Java (Spring Boot), including API\-only services that handle payments and system integrations.
* Practical experience across the full Software Development Lifecycle (SDLC), including Agile/Scrum, from design through deployment and support.
* Experience designing and maintaining RESTful APIs, working with SQL and NoSQL databases, and deploying applications to Microsoft Azure.
* Strong understanding of software architecture, scalability, security best practices, and DevOps processes.
* Ability to work independently, make sound technical decisions, and lead implementation efforts for complex features or services.
* Strong written and verbal communication skills, including the ability to explain technical concepts to non\-technical stakeholders.
* Experience mentoring engineers, leading technical initiatives, and influencing engineering best practices.
**Preferred Qualifications:**  
* 7\+ years of professional software engineering experience, including senior\-level ownership of cloud\-based systems.
* Experience building and operating Azure\-native membership, identity, or e\-commerce platforms.
* Experience with payments systems and familiarity with PCI compliance and secure data handling.
* Strong understanding of API\-driven and event\-based architectures.
* Experience with CI/CD pipelines and infrastructure as code in Azure.
* Proven ability to mentor engineers and influence architectural decisions.
**Compensation:** $145,000 \-$165,000 depending on office location.
NAR provides comprehensive benefits including health/dental/vision insurance.
NAR is on a hybrid schedule and in the office 3 days a week.
**Organizational Overview:**  
The National Association of REALTORS® (NAR) is a team of professionals dedicated to providing world\-class service to approximately 1\.5 million REALTORS® working in the United States and around the world. The real estate industry is fast\-paced and fast\-changing\-\-each year, our members participate in the sale, lease, and management of real estate. As in every industry, our members' value proposition is constantly being challenged by innovation.
It is our mission to empower REALTORS® as they preserve, protect and advance the right to real property for all. We cannot do that without the ideas, passion, and commitment from our talented employees. As our greatest assets, employees are offered their pick of competitive benefits/perks and flexible work options.
.</t>
        </is>
      </c>
    </row>
    <row r="71">
      <c r="A71" t="inlineStr">
        <is>
          <t>in-e0813aef3181aafc</t>
        </is>
      </c>
      <c r="B71" t="inlineStr">
        <is>
          <t>Senior Software Engineer</t>
        </is>
      </c>
      <c r="C71" t="inlineStr"/>
      <c r="D71" t="inlineStr">
        <is>
          <t>indeed</t>
        </is>
      </c>
      <c r="E71">
        <f>HYPERLINK("https://www.indeed.com/viewjob?jk=e0813aef3181aafc", "https://www.indeed.com/viewjob?jk=e0813aef3181aafc")</f>
        <v/>
      </c>
      <c r="F71">
        <f>HYPERLINK("https://apply.workable.com/j/75508B4016", "https://apply.workable.com/j/75508B4016")</f>
        <v/>
      </c>
      <c r="G71" t="inlineStr">
        <is>
          <t>Ann Arbor, MI, US</t>
        </is>
      </c>
      <c r="H71" s="2" t="n">
        <v>46049</v>
      </c>
      <c r="I71" t="inlineStr">
        <is>
          <t>MS2 is a national leader in transportation data management and analysis and has the largest traffic count database in North America. More than 270 agencies in 31 US States, and 3 Canadian Provinces, including 28 state Departments of Transportation, are using MS2 software to manage their transportation data.
MS2 is located in the beautiful city of Ann Arbor, Michigan, the home of high\-tech industries and the University of Michigan. Residents of the city enjoy beautiful parks, mature neighborhoods, amenities of the Huron River and easy access to downtown Detroit or to colorful “Pure Michigan” woods and waterways.
MS2 is a friendly, open, team working to support our clients' software needs. Staff members work on a variety of tasks and are given a high degree of responsibility. We offer an excellent environment for transportation professionals and Software Engineers with competitive compensation and benefit packages. We're a small team and you'll have an opportunity to make a big impact!
We are seeking a Senior Software Engineer to design, build, and maintain the core systems that power MS2's transportation platform. You will partner with product and engineering teams to deliver features across the full stack, from backend services and APIs to database integration and front\-end user experiences. The role emphasizes ownership, technical craftsmanship, and the ability to solve complex problems independently while collaborating with an experienced, supportive team.
**Responsibilities:**
* Own delivery of moderately to highly complex features across the SDLC, from discovery and design through implementation, release, and support.
* Design and implement well\-structured, maintainable, and testable solutions in alignment with agreed technical patterns and project goals.
* Translate business requirements into clear technical specifications (workflows, APIs, data models), including tradeoffs, risks, and effort.
* Collaborate closely with product, QA, and other engineers to align on approach and execution.
* Act as a primary owner for one or more services, modules, or core capabilities, including code health, operational readiness, and ongoing improvements.
* Contribute to system reliability and supportability through automated testing, monitoring/alerting, performance tuning, and root\-cause analysis.
* Troubleshoot, debug, and upgrade existing systems, including participation in incident response and prevention (follow\-up fixes and improvements).
* Participate in code reviews and design reviews, and help raise engineering quality through feedback, standards, and shared learning.
* Mentor and support Software Engineers through pairing, technical guidance, and coaching on best practices.
* Partner with engineering leadership to break down work, estimate, surface dependencies and risks, and drive delivery of assigned initiatives.
**Requirements**
* Bachelor’s degree in computer science, engineering, or equivalent practical experience.
* 6\+ years of professional software engineering experience (or equivalent demonstrated capability).
* Strong experience building production software with C\#/.NET.
* Strong SQL skills and experience working with relational databases in production environments.
* Demonstrated experience writing and maintaining automated tests (unit and integration) and working within CI/CD workflows.
* Excellent verbal and written communication skills, with the ability to explain technical decisions and tradeoffs clearly.
* Strong analytical and problem\-solving skills, including diagnosing issues in complex systems.
**Preferred:**
* Experience with JavaScript, TypeScript, and React.
* Experience with GIS systems including ESRI and map visualization tools such as Google Maps or Mapnik.
* Git / GitHub experience.
* Proven experience owning and optimizing production systems for performance, reliability, and maintainability over time.
* ASP.NET (Web Forms, MVC, or Core) experience.
* Experience writing low\-level software communicating with TCP/IP.
**Benefits**
**We offer a competitive salary and benefits package.**
We promote a strong work/life balance at MS2\. We encourage our employees to pursue their professional interests and take ownership of projects from start to finish. You’ll be working with big data and cloud\-based solutions using the latest technologies as part of a fun and energetic team. We get along so well, we even have regular nights out and company sponsored dinners to celebrate our successes! It’s a great place to work.
**Salary:**
$110,000 \- $145,000 a year, to be determined based on candidate's individual skills and experience
**Benefits:**
* Participation in the company's annual bonus program
* 401(k) with matching
* Dental insurance
* Employee assistance program
* Flexible schedule
* Flexible spending account
* Health insurance
* Life insurance
* Paid time off
* Professional development assistance
* Referral program
* Disability insurance
* Vision insurance
**We Want You to Be You at MS2\.**
At MS2 a diverse, inclusive, and equitable workplace is one where all employees, whatever their race, gender, color, ethnicity, national origin, age, sexual orientation or identity, education, disability, religion, or veteran status, feel valued and respected. We are committed to a nondiscriminatory approach and provide equal opportunity for employment and advancement in all of our departments and programs. We respect and value diverse life experiences and heritages and ensure that all voices are valued and heard.
**MS2 is committed to maintaining a welcoming environment with equitable treatment for all, and we strive to:**
* Provide a working environment where all employees feel safe, comfortable, and valued.
* See diversity, inclusion, and equity as connected to our mission and critical to ensure the well\-being of our staff and the agencies we serve.
* Examine and dismantle any inequities within our policies, systems, programs, and services, and continually update and report our progress to our employees.
* Explore potential underlying, unquestioned assumptions that interfere with inclusiveness.
* Encourage company\-wide thinking about how systemic inequities impact our organization’s work, and how best to address that in a way that is consistent with our mission.
* Help to challenge assumptions about what it takes to be a strong leader at our organization, and who is well\-positioned to provide leadership.
* Practice and encourage respectful and transparent communication in all interactions.
* Commit time and resources to expand more diverse leadership at all levels of our organization.
* Lead with respect and tolerance. We expect all employees to embrace this notion and to express it in workplace interactions and through everyday practices.
MS2 wants every employee to feel our commitment to showing respect for everyone, and we encourage open communication that enables each person to be their best self.
MS2 is an Equal Opportunity Employer. All qualified applicants will receive consideration for employment without regard to race, color, religion, sex, sexual orientation, gender identity, national origin, disability, or veteran status.
**Hybrid work**
We expect staff to work from our office in Ann Arbor generally at least one day per week. Relocation assistance is available to successful candidates who are interested in moving to the Ann Arbor area.</t>
        </is>
      </c>
    </row>
    <row r="72">
      <c r="A72" t="inlineStr">
        <is>
          <t>in-dd77d53a2875487c</t>
        </is>
      </c>
      <c r="B72" t="inlineStr">
        <is>
          <t>Software Engineer (Backend)</t>
        </is>
      </c>
      <c r="C72" t="inlineStr">
        <is>
          <t>Confiz</t>
        </is>
      </c>
      <c r="D72" t="inlineStr">
        <is>
          <t>indeed</t>
        </is>
      </c>
      <c r="E72">
        <f>HYPERLINK("https://www.indeed.com/viewjob?jk=dd77d53a2875487c", "https://www.indeed.com/viewjob?jk=dd77d53a2875487c")</f>
        <v/>
      </c>
      <c r="F72">
        <f>HYPERLINK("https://confiz.simplicant.com/jobs/59507-software-engineer-backend/detail?utm_campaign=job-board&amp;utm_medium=web&amp;utm_source=indeed", "https://confiz.simplicant.com/jobs/59507-software-engineer-backend/detail?utm_campaign=job-board&amp;utm_medium=web&amp;utm_source=indeed")</f>
        <v/>
      </c>
      <c r="G72" t="inlineStr">
        <is>
          <t>Seattle, WA, US</t>
        </is>
      </c>
      <c r="H72" s="2" t="n">
        <v>46049</v>
      </c>
      <c r="I72" t="inlineStr">
        <is>
          <t>Confiz is seeking an experienced Software Engineer (Backend) to design, build, and maintain scalable technology solutions that support critical business needs and deliver strong customer experiences. This role focuses on backend systems, including applications, services, infrastructure, and operational components, with minimal supervision.
As a Backend Engineer, you will partner with Product, Program, and Engineering teams to develop solutions that support restaurant operations, including a point\-of\-sale system and labor management tools across multiple concepts.
**Responsibilities**
* Plan, design, and develop robust, maintainable, and reusable backend code to support configuration, deployment, monitoring, performance, scalability, availability, security, and alerting across test, integration, and production environments.
* Develop, maintain, and enhance automated test cases and deployment procedures.
* Design, prototype, and build solutions with a strong delivery mindset; lead by example through hands\-on development.
* Understand business, stakeholder, and technical requirements and assist in analyzing existing solutions to meet those needs.
* Contribute to the creation of simple, modular, and extensible functional designs aligned with defined requirements.
* Assess gaps, updates, and modifications between business expectations and existing products or solutions.
* Analyze defects from past projects to prevent recurrence of similar issues.
* Lead and uphold industry engineering standards; contribute to their continuous improvement and actively participate in communities of practice.
* Demonstrate an operational mindset by supporting and ensuring the reliability of systems and solutions within your scope.
* Maintain a customer\-focused approach, considering both engineering teams and business users when developing features.
* Apply test\-driven development principles with a strong focus on quality and system reliability.
**Qualifications**
* Bachelor’s or Master’s degree in an engineering discipline (preferably Computer Science) or equivalent experience.
* 4\+ years of professional experience delivering high\-quality software, ideally across the full stack.
* Strong proficiency in an object\-oriented programming language, such as Java.
* Proven experience with Java and the Spring Boot framework.
* Experience building RESTful APIs and microservices\-based architectures.
* Experience with automated testing at all levels (unit, integration, regression, load).
* Familiarity with messaging technologies and patterns (Kafka, SQS).
* Experience with modern CI/CD pipelines and infrastructure tools (GitHub CI/CD, Terraform).
* Familiarity with operational tools, logging, and metrics (e.g., New Relic, Splunk) Experience with cloud platforms such as AWS or GCP.
* Strong verbal and written communication skills.</t>
        </is>
      </c>
    </row>
    <row r="73">
      <c r="A73" t="inlineStr">
        <is>
          <t>in-50c5d7c6886e9296</t>
        </is>
      </c>
      <c r="B73" t="inlineStr">
        <is>
          <t>Senior Software Engineer, Command Center</t>
        </is>
      </c>
      <c r="C73" t="inlineStr">
        <is>
          <t>Motional</t>
        </is>
      </c>
      <c r="D73" t="inlineStr">
        <is>
          <t>indeed</t>
        </is>
      </c>
      <c r="E73">
        <f>HYPERLINK("https://www.indeed.com/viewjob?jk=50c5d7c6886e9296", "https://www.indeed.com/viewjob?jk=50c5d7c6886e9296")</f>
        <v/>
      </c>
      <c r="F73">
        <f>HYPERLINK("https://grnh.se/867ffra13us", "https://grnh.se/867ffra13us")</f>
        <v/>
      </c>
      <c r="G73" t="inlineStr">
        <is>
          <t>Las Vegas, NV, US</t>
        </is>
      </c>
      <c r="H73" s="2" t="n">
        <v>46049</v>
      </c>
      <c r="I73" t="inlineStr">
        <is>
          <t>**Motional's Las Vegas office is located less than 10 miles from the Las Vegas strip at 730 E Pilot Road and is home to one of the largest fleets of self\-driving vehicles. The city's grid system of roads and being one of America's "smart cities" allows for extensive research and development testing.**
**This role is based in our Las Vegas office and requires in\-office days each week.**
#### **Mission Summary:**
Join us on the ground floor as we launch our commercial Autonomous Vehicle (AV) ride service. We are looking for a mission\-driven Senior Software Engineer to join our Command Center team. You will be the vital link between our real\-world AV operations and our core development team, ensuring our vehicles run smoothly and our technology rapidly evolves.
#### **What will you be doing:**
#### **AV operations integration \&amp; support**
* Act as the primary engineering presence at the Las Vegas AV operation center, providing real\-time technical support and troubleshooting to ensure daily mission success.
* Resolve production incidents to reduce downtime and strengthen feedback loops between on\-road operations and global engineering teams.
* Become the go\-to technical expert, surfacing operational insights that influence our product roadmap and support commercial launch readiness.
#### **Command Center feature development**
* Design and develop software tools that enhance AV fleet operations, including cloud platform, over\-the\-air deployment, and fleet management systems.
* Build and maintain foundational technologies including ride\-hail partner integration and the global scaling of the autonomous vehicle service.
* Collaborate cross\-functionally to deliver scalable, efficient solutions aligned with both engineering and operational requirements.
#### **What we're looking for:**
* 5\+ years of professional experience as a software engineer, with a proven track record of designing and building distributed systems.
* Strong Product Mindset: You focus on real\-world impact. You can identify bottlenecks within a busy operational workflow and design software solutions that bring order and efficiency.
* Experience supporting production systems with a customer\-centric mindset and strong communication skills.
* Experience working independently and collaborating effectively with a globally distributed team across different time zones.
* Proficiency in Golang / Python for web service and scripting.
* Experience building cloud services using SQL and NoSQL databases.
* Comfortable working in a fast\-paced, continuous delivery environment.
* A Bachelor's or Master's in Computer Science, Engineering, or a related field (or equivalent practical experience).
#### **Bonus Points (not required):**
* Experience with Amazon Web Services (AWS), Docker, and Terraform.
* Experience with OLAP databases (e.g., ClickHouse) or building observability tools for monitoring and tracing.
* Previous experience in the Autonomous Vehicle (AV), Robotics, or IoT industries.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74">
      <c r="A74" t="inlineStr">
        <is>
          <t>in-7f0e1f786709481a</t>
        </is>
      </c>
      <c r="B74" t="inlineStr">
        <is>
          <t>Sr. Software Engineer II (6131)</t>
        </is>
      </c>
      <c r="C74" t="inlineStr">
        <is>
          <t>Metrostar Systems</t>
        </is>
      </c>
      <c r="D74" t="inlineStr">
        <is>
          <t>indeed</t>
        </is>
      </c>
      <c r="E74">
        <f>HYPERLINK("https://www.indeed.com/viewjob?jk=7f0e1f786709481a", "https://www.indeed.com/viewjob?jk=7f0e1f786709481a")</f>
        <v/>
      </c>
      <c r="F74">
        <f>HYPERLINK("https://grnh.se/hbc6rwa23us", "https://grnh.se/hbc6rwa23us")</f>
        <v/>
      </c>
      <c r="G74" t="inlineStr">
        <is>
          <t>Tysons, VA, US</t>
        </is>
      </c>
      <c r="H74" s="2" t="n">
        <v>46049</v>
      </c>
      <c r="I74" t="inlineStr">
        <is>
          <t>As **Sr. Software Engineer II**, you'll bring creative architect solutions to end customers, with the goal to make an impact across the federal government.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**What you'll need to succeed:**
* Must have an active Top Secret security clearance, and the ability to obtain and maintain a TS/SCI w/ CI Poly
* A bachelor's degree in Computer Science, Information Technology Management or Engineering, or other comparable degree; or equivalent experience in leu of degree
* A minimum of 7 years of experience in the Information Technology field, focusing on development projects using DevSecOps and AWS cloud environments
* At least 6 years of specific experience with full stack engineering (defined as proficient in database development/integration as well as server and client application development/integration), including at least 6 years of experience deploying production enterprise applications in AWS
* Strong, repeat experience designing, developing, and deploying applications leveraging AWS cloud services in IL6\+ classified environments
* Proven experience in large\-scale, high\-performance enterprise big data application deployment and solution architecture on complex heterogeneous environments in AWS
* Strong experience with automation and engineering tasks, implementation, data, infrastructure/operations, and security engineer tasks in cloud environments
* The ability to perform, but not limited to, automation and engineering tasks, testing, implementation, data, AI/ML, infrastructure/operations, and security engineer tasks in cloud environments
* You have 3\+ years of experience with multiple of the following: Go, Python, Java, JavaScript, React, AngularJS, TypeScript, NextJS
**SALARY RANGE:** $155,000\.00 \- $215,000\.00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75">
      <c r="A75" t="inlineStr">
        <is>
          <t>in-f3a3618b315812da</t>
        </is>
      </c>
      <c r="B75" t="inlineStr">
        <is>
          <t>Sr. Software Engineer II (6131)</t>
        </is>
      </c>
      <c r="C75" t="inlineStr">
        <is>
          <t>Metrostar Systems</t>
        </is>
      </c>
      <c r="D75" t="inlineStr">
        <is>
          <t>indeed</t>
        </is>
      </c>
      <c r="E75">
        <f>HYPERLINK("https://www.indeed.com/viewjob?jk=f3a3618b315812da", "https://www.indeed.com/viewjob?jk=f3a3618b315812da")</f>
        <v/>
      </c>
      <c r="F75">
        <f>HYPERLINK("https://grnh.se/cgrsq69e3us", "https://grnh.se/cgrsq69e3us")</f>
        <v/>
      </c>
      <c r="G75" t="inlineStr">
        <is>
          <t>St. Louis, MO, US</t>
        </is>
      </c>
      <c r="H75" s="2" t="n">
        <v>46049</v>
      </c>
      <c r="I75" t="inlineStr">
        <is>
          <t>As **Sr. Software Engineer II**, you'll bring creative architect solutions to end customers, with the goal to make an impact across the federal government.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**What you'll need to succeed:**
* Must have an active Top Secret security clearance, and the ability to obtain and maintain a TS/SCI w/ CI Poly
* A bachelor's degree in Computer Science, Information Technology Management or Engineering, or other comparable degree; or equivalent experience in leu of degree
* A minimum of 7 years of experience in the Information Technology field, focusing on development projects using DevSecOps and AWS cloud environments
* At least 6 years of specific experience with full stack engineering (defined as proficient in database development/integration as well as server and client application development/integration), including at least 6 years of experience deploying production enterprise applications in AWS
* Strong, repeat experience designing, developing, and deploying applications leveraging AWS cloud services in IL6\+ classified environments
* Proven experience in large\-scale, high\-performance enterprise big data application deployment and solution architecture on complex heterogeneous environments in AWS
* Strong experience with automation and engineering tasks, implementation, data, infrastructure/operations, and security engineer tasks in cloud environments
* The ability to perform, but not limited to, automation and engineering tasks, testing, implementation, data, AI/ML, infrastructure/operations, and security engineer tasks in cloud environments
* You have 3\+ years of experience with multiple of the following: Go, Python, Java, JavaScript, React, AngularJS, TypeScript, NextJS
**SALARY RANGE:** $155,000\.00 \- $215,000\.00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76">
      <c r="A76" t="inlineStr">
        <is>
          <t>in-9f1828fd83ae50ce</t>
        </is>
      </c>
      <c r="B76" t="inlineStr">
        <is>
          <t>Sr. Software Engineer II (6131)</t>
        </is>
      </c>
      <c r="C76" t="inlineStr">
        <is>
          <t>Metrostar Systems</t>
        </is>
      </c>
      <c r="D76" t="inlineStr">
        <is>
          <t>indeed</t>
        </is>
      </c>
      <c r="E76">
        <f>HYPERLINK("https://www.indeed.com/viewjob?jk=9f1828fd83ae50ce", "https://www.indeed.com/viewjob?jk=9f1828fd83ae50ce")</f>
        <v/>
      </c>
      <c r="F76">
        <f>HYPERLINK("https://grnh.se/7ff1ven03us", "https://grnh.se/7ff1ven03us")</f>
        <v/>
      </c>
      <c r="G76" t="inlineStr">
        <is>
          <t>Aurora, CO, US</t>
        </is>
      </c>
      <c r="H76" s="2" t="n">
        <v>46049</v>
      </c>
      <c r="I76" t="inlineStr">
        <is>
          <t>As **Sr. Software Engineer II**, you'll bring creative architect solutions to end customers, with the goal to make an impact across the federal government.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senior level executives at a public facing Federal agency and provide subject matter expertise in security architecture and other key domain
**What you'll need to succeed:**
* Must have an active Top Secret security clearance, and the ability to obtain and maintain a TS/SCI w/ CI Poly
* A bachelor's degree in Computer Science, Information Technology Management or Engineering, or other comparable degree; or equivalent experience in leu of degree
* A minimum of 7 years of experience in the Information Technology field, focusing on development projects using DevSecOps and AWS cloud environments
* At least 6 years of specific experience with full stack engineering (defined as proficient in database development/integration as well as server and client application development/integration), including at least 6 years of experience deploying production enterprise applications in AWS
* Strong, repeat experience designing, developing, and deploying applications leveraging AWS cloud services in IL6\+ classified environments
* Proven experience in large\-scale, high\-performance enterprise big data application deployment and solution architecture on complex heterogeneous environments in AWS
* Strong experience with automation and engineering tasks, implementation, data, infrastructure/operations, and security engineer tasks in cloud environments
* The ability to perform, but not limited to, automation and engineering tasks, testing, implementation, data, AI/ML, infrastructure/operations, and security engineer tasks in cloud environments
* You have 3\+ years of experience with multiple of the following: Go, Python, Java, JavaScript, React, AngularJS, TypeScript, NextJS
**SALARY RANGE:** $155,000\.00 \- $215,000\.00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77">
      <c r="A77" t="inlineStr">
        <is>
          <t>in-4ddb8238c83cfa46</t>
        </is>
      </c>
      <c r="B77" t="inlineStr">
        <is>
          <t>Software Engineer (Backend)</t>
        </is>
      </c>
      <c r="C77" t="inlineStr">
        <is>
          <t>MissionSquare Retirement</t>
        </is>
      </c>
      <c r="D77" t="inlineStr">
        <is>
          <t>indeed</t>
        </is>
      </c>
      <c r="E77">
        <f>HYPERLINK("https://www.indeed.com/viewjob?jk=4ddb8238c83cfa46", "https://www.indeed.com/viewjob?jk=4ddb8238c83cfa46")</f>
        <v/>
      </c>
      <c r="F77">
        <f>HYPERLINK("https://icmarc.wd108.myworkdayjobs.com/en-US/MissionSquare/job/District-of-Columbia---Remote/Software-Engineer--Backend-_R100152", "https://icmarc.wd108.myworkdayjobs.com/en-US/MissionSquare/job/District-of-Columbia---Remote/Software-Engineer--Backend-_R100152")</f>
        <v/>
      </c>
      <c r="G77" t="inlineStr">
        <is>
          <t>Washington, DC, US</t>
        </is>
      </c>
      <c r="H77" s="2" t="n">
        <v>46049</v>
      </c>
      <c r="I77" t="inlineStr">
        <is>
          <t>Join a great place to work with MissionSquare, a financial services corporation with approximately $79 billion in assets under management and administration and over 600 employees. Founded in 1972, MissionSquare is dedicated to the retirement needs of public sector employees. We focus on delivering results\-oriented retirement and retiree health savings plans, education, investment options, personalized guidance, and related services to public sector participants in more than 9,200 plans and nearly 2 million participant accounts. We strive to make the administration of retirement programs as easy and cost\-effective as possible. We have an extraordinary talent base and invite you to consider joining MissionSquare.
$85,660\.00 \- $137,060\.00
The Software Engineer (Backend) designs, develops, and maintains MissionSquare’s next\-generation web solutions. This role collaborates within Agile teams—including product, QA, and engineering—to deliver secure, scalable, and high\-performing backend applications. The position ensures interoperability, reliability, and quality through disciplined engineering practices and continuous improvement.
\*\*\*MissionSquare cannot sponsor or hire candidates with H1B, STEM or OPT visas for this role.\*\*\*  
Essential Functions for this role include:* Design, develop, and maintain scalable, high\-performance backend applications using frameworks such as Node.js and Java/Spring Boot.
* Build and integrate secure, maintainable RESTful APIs for enterprise\-grade systems.
* Design and implement integrations with internal platforms and external third\-party systems to ensure interoperability and data integrity.
* Collaborate with product, QA, and platform teams to ensure seamless interoperability across applications.
* Develop and execute unit and integration tests; contribute to test planning to ensure quality and reliability.
* Provide production support, troubleshoot issues, and lead root\-cause analysis in collaboration with technical teams.
* Participate in Agile ceremonies (stand\-ups, planning, reviews), communicate blockers, and report progress.
* Research emerging technologies (including AI) and recommend adoption strategies to improve automation, analytics, and developer productivity.
* Document technical designs, decisions, and implementation details; maintain comprehensive system documentation.
* Evaluate and recommend frameworks, libraries, and testing tools based on functionality, quality, and performance.
* Perform other related duties as assigned.
If you have the following skills, we encourage you to apply:* BA/BS in Computer Science, Information Systems, Engineering, or related field; or equivalent experience.
* 3–5 years of professional backend engineering experience, including enterprise\-scale API development and integrations.
* Experience in financial services or regulated industries highly desirable.
* Node.js, Java/Spring Boot; backend architecture and API design.
* SQL/Oracle fundamentals; familiarity with stored procedures for data access patterns.
* Cloud platforms and CI/CD (AWS/Azure; pipelines, build/deploy automation).
* Secure coding and SDLC controls; OWASP awareness.
* Git\-based workflows (CodeCommit/GitHub); branching, code reviews, release management.
* AI\-assisted development (GitHub Copilot or similar).
* YAML/JSON literacy for configuration and data interchange.
* Jira or similar ALM tooling.
* Strong written and verbal communication for technical and non\-technical stakeholders.
* Debugging and troubleshooting across the stack; test planning and execution.
* Continuous improvement mindset; ability to learn and apply emerging technologies.
* Independently drive complex problem solving and root\-cause analysis.
* Work autonomously and within teams; manage priorities and deliver results.
 To benefit your career and support your wellbeing, we offer:* Competitive Total Rewards package, including base pay, incentive programs, benefits, and a 401(k) plan with matching contributions
* Flexible and hybrid work schedules to support work\-life balance
* Tuition reimbursement to support continued education
* Professional and career development opportunities, including courses and certifications
* Comprehensive wellness programs promoting physical, mental, and emotional health
* Volunteerism initiatives to encourage community engagement
Equal Employment Opportunity
As a company, MissionSquare is an Equal Opportunity Employer. We strive to create an environment that reflects the value and diversity of our employees and fosters respect among them. We believe that talent from diverse backgrounds will further enhance our ability, and mission, to serve those who serve their communities.
All qualified applicants will receive consideration for employment without regard to race, color, religion, sex, national origin, or any other protected classifications under any applicable law.  
This employer is required to notify all applicants of their rights pursuant to federal employment laws. For further information, please review the Know Your Rights notice from the Department of Labor.</t>
        </is>
      </c>
    </row>
    <row r="78">
      <c r="A78" t="inlineStr">
        <is>
          <t>in-b7d6bc67ed4822d3</t>
        </is>
      </c>
      <c r="B78" t="inlineStr">
        <is>
          <t>Senior Software Developer - Mobile Technologies</t>
        </is>
      </c>
      <c r="C78" t="inlineStr">
        <is>
          <t>Boats Group</t>
        </is>
      </c>
      <c r="D78" t="inlineStr">
        <is>
          <t>indeed</t>
        </is>
      </c>
      <c r="E78">
        <f>HYPERLINK("https://www.indeed.com/viewjob?jk=b7d6bc67ed4822d3", "https://www.indeed.com/viewjob?jk=b7d6bc67ed4822d3")</f>
        <v/>
      </c>
      <c r="F78">
        <f>HYPERLINK("https://www.boatsgroup.com/careers/?gnk=job&amp;gni=8a78859e9b80c289019be1fc2eae77b9&amp;gns=Indeed+Free", "https://www.boatsgroup.com/careers/?gnk=job&amp;gni=8a78859e9b80c289019be1fc2eae77b9&amp;gns=Indeed+Free")</f>
        <v/>
      </c>
      <c r="G78" t="inlineStr">
        <is>
          <t>Miami, FL, US</t>
        </is>
      </c>
      <c r="H78" s="2" t="n">
        <v>46049</v>
      </c>
      <c r="I78" t="inlineStr">
        <is>
          <t>**Senior Software Developer \- Mobile Technologies (Miami/Hybrid)**  
**About The Role**  
Boats Group runs some of the most heavily trafficked marketplaces in the boating world, and React Native is a first\-class platform here—not an experiment or a wrapper. Our mobile apps power discovery, messaging, lead flow, and transactions for millions of users and thousands of dealers globally.
As a Senior Mobile Engineer (React Native), you’ll work on a long\-lived React Native codebase where architecture, performance, and developer experience actually matter. You’ll help shape how we structure shared components, manage state, handle offline and flaky\-network scenarios, and integrate cleanly with native iOS and Android when it counts.
This is a role for engineers who enjoy going deep: profiling performance, eliminating re\-render bottlenecks, designing scalable patterns, and making pragmatic tradeoffs between shared and platform\-specific code. You’ll collaborate closely with backend and product partners, but you’ll also have real ownership over mobile technical direction—what we standardize, what we refactor, and what we never let regress.
If you’re excited by React Native at scale, care about clean abstractions and production\-grade quality, and want your work in the hands of a massive, real user base, Boats Group gives you both the challenge and the leverage.
**What You’ll do**
* Build and ship production\-grade React Native applications used by a large, real\-world audience
Own features from idea architecture implementation* App Store / Play Store
* Collaborate closely with product, design, backend, and architecture partners
* Help define mobile engineering standards, patterns, and long\-term technical direction
* Mentor other engineers through thoughtful code reviews and technical leadership
* Translate business goals into elegant, scalable mobile solutions
**What You Must Have**
* BS in Computer Science/related field of study or equivalent experience developing and maintaining complex enterprise web applications in a dynamic and fast\-paced environment
* An understanding of web services (RESTful and RPC based), JSON payloads with stateless restful polyglot services
* Experience in advanced implementations using React Native
* A solid understanding of continuous integration, continuous deployment and unit testing
* Experience developing and maintaining production ready React Native applications
* Experience publishing these apps to their respective stores (and working through their respective approval processes)
* An understanding of agile software development practices
**What You Should Have**
* Experience building cloud\-backed applications on AWS
* Search technologies like Elasticsearch/OpenSearch
* Queueing technologies
* A strong opinion on mobile UX\-and the ability to back it up with execution
**What You'll Receive**
* **Hybrid Work Flexibility:** Embrace a balanced work model with remote work on Mondays and Fridays and in\-office collaboration from Tuesday to Thursday.
* **Generous Time Off:** With a strong focus on work/life balance, we offer all employees paid time off starting on day one, multiple paid holidays throughout the year, your birthday off, and a winter break at the end of the year
* **Volunteering Time:** Participate in our volunteer program with 4 paid days annually to contribute to your community.
* **Modern Office Perks:** Our vibrant Miami office features cutting\-edge amenities, such as an electric sit/stand desk, dual monitors, a gym, and a variety of snacks and beverages.
* **Comprehensive Benefits Package:** Enjoy top\-tier Medical, Dental, Vision, and Life insurance, along with a 401(k) plan featuring a 4% match.
* **Commuter Benefits:** Park conveniently in our building’s garage at no charge to you. For train commuters, we subsidize most, if not all, of your monthly pass expenses.
* **Professional Development:** Take advantage of online training, live courses, and additional funds for courses, seminars, and certifications to enhance your skills.
* **Team\-Centric Atmosphere:** Be part of a close\-knit team that prioritizes relationship\-building and personal connections.</t>
        </is>
      </c>
    </row>
    <row r="79">
      <c r="A79" t="inlineStr">
        <is>
          <t>in-a0f85019c4de5557</t>
        </is>
      </c>
      <c r="B79" t="inlineStr">
        <is>
          <t>Senior Software Engineer | The Synthesizer</t>
        </is>
      </c>
      <c r="C79" t="inlineStr">
        <is>
          <t>Infinity Labs LLC</t>
        </is>
      </c>
      <c r="D79" t="inlineStr">
        <is>
          <t>indeed</t>
        </is>
      </c>
      <c r="E79">
        <f>HYPERLINK("https://www.indeed.com/viewjob?jk=a0f85019c4de5557", "https://www.indeed.com/viewjob?jk=a0f85019c4de5557")</f>
        <v/>
      </c>
      <c r="F79">
        <f>HYPERLINK("https://recruitingbypaycor.com/career/JobIntroduction.action?id=8a7885a89be7cb6b019c054257936805&amp;source=Indeed+Free", "https://recruitingbypaycor.com/career/JobIntroduction.action?id=8a7885a89be7cb6b019c054257936805&amp;source=Indeed+Free")</f>
        <v/>
      </c>
      <c r="G79" t="inlineStr">
        <is>
          <t>Dayton, OH, US</t>
        </is>
      </c>
      <c r="H79" s="2" t="n">
        <v>46049</v>
      </c>
      <c r="I79" t="inlineStr">
        <is>
          <t>**Job:** Senior Software Engineer \| The Synthesizer  
**Location:** Dayton, OH
**Who** ***You*** **Are:**
Our Software Engineers are people with a passion for bringing order to chaos. You will have a lot of hardcore programming chops but mostly you have great instincts and a knack for understanding what customers really want when they talk about their requirements. Let’s face it, building things is a lot of fun, especially when you can unleash your imagination and put your own personal stamp on the project. You are a person that will take chances and build without fear. We are not designing and developing boring, cookie\-cutter solutions; you will be a champion of bleeding\-edge designs to make sure that we deliver the innovative solutions that customers only dream of. The bottom line: If you’ve ever watched Inception and thought, “wow, I’d love to create my own world” then you should apply to be one of our Software Engineers. We want to turn you loose and see what you build. Are you up to the challenge?
**Who** ***We*** **Are:**
Infinity Labs is an innovation\-focused company with expertise in modeling, simulation, and analysis (MS\&amp;A), research and development (R\&amp;D), cyber operational technology, and training. Our project portfolio is exceptionally broad and encompasses a wide spectrum of physical scale and applications (e.g., materials, components, subsystems, platforms, and system of systems). We integrate science and systems as part of our overall solutioning approach, and we investigate advanced concepts and technologies with disruptive application potential. The sophistication of our work directly reflects the ingenuity and proficiency of our team. Our workforce shapes the future, and our employees are our greatest asset.
**What You'll Do:**
As part of our Modeling, Simulation, and Analysis (MS\&amp;A) Team, you will create custom applications and plugins that enable advanced MS\&amp;A analysis for our customers, including verification and validation support, visualization, data storage and manipulation, and more. For you to be successful you will need to understand our customers’ missions and their capabilities. Many of our engineers share these qualities:
* Proactive – they see a problem and jump in to solve it
* Excel as a member in a fast\-paced team focused environment
* Exceptional software architecture and development skills
* Ability to interact with customers and respond to agile requirements
* A strong understanding of how the different levels of the M\&amp;S Pyramid are connected
* The ability to tackle hard problems through the understanding and mastery of systems and systems\-of\-systems
**Qualifications/What You’ll Bring:**
* 10\+ years of intermediate experience in Software Engineering
* 5\+ years of experience developing within the Advanced Framework for Simulation, Integration, and Modeling (AFSIM)
* Python and C\+\+ programming skills
* Ability to independently develop creative solutions to complex software engineering problems
**Nice to Haves:**
* Database experience (Postgres)
* Agile and CI/CD
* Advanced degree in a STEM field
**Education/Credentials:**
* Bachelor's degree in a math, physics, engineering, or related STEM discipline.
* US Citizenship is required for consideration, as this job requires a US government security clearance.
	+ Nice to have \- Top Secret with current SCI access
	+ Acceptable \- No current clearance but eligibility to obtain.
**Physical Demands:**
* Must be able to remain in a stationary position and work on a computer for prolonged periods.
*This job description provides a high\-level review of the responsibilities of the position and is not intended to be a complete list of all responsibilities, duties or skills that may be required for the job. The job description is subject to review and change at any time and other job\-related duties or requirements may be assigned as necessary.*
**What We offer:**
As a nationally recognized Great Place to Work® and Military Times® Best for Vets: 2025 Employer, we prioritize employee well\-being and experience, fostering a culture that values dedicated teams and committed individuals. Our premier total compensation package for eligible employees includes:
* Comprehensive health benefits encompassing medical, dental, and vision coverage.
* Company\-paid disability and life insurance
* Generous 401(k) plan with guaranteed company contribution
* Paid time\-off options including floating holidays, personal time, parental leave, and community service opportunities.
* Investment in employee growth and development through tuition reimbursement and discounted tuition programs with select colleges.
* In\-office perks including free parking, complimentary snacks and beverages, and a newly renovated central office location in Downtown Dayton
Infinity Labs is an equal opportunity employer, including disability/vets.</t>
        </is>
      </c>
    </row>
    <row r="80">
      <c r="A80" t="inlineStr">
        <is>
          <t>in-9a5e7bf623802f87</t>
        </is>
      </c>
      <c r="B80" t="inlineStr">
        <is>
          <t>Senior Software Engineer(Frontend &amp; Mobile)</t>
        </is>
      </c>
      <c r="C80" t="inlineStr">
        <is>
          <t>Press Ganey</t>
        </is>
      </c>
      <c r="D80" t="inlineStr">
        <is>
          <t>indeed</t>
        </is>
      </c>
      <c r="E80">
        <f>HYPERLINK("https://www.indeed.com/viewjob?jk=9a5e7bf623802f87", "https://www.indeed.com/viewjob?jk=9a5e7bf623802f87")</f>
        <v/>
      </c>
      <c r="F80">
        <f>HYPERLINK("https://pressganey.wd1.myworkdayjobs.com/Careers/job/Remote-USA/Senior-Software-Engineer-Frontend---Mobile-_R25_0000001131", "https://pressganey.wd1.myworkdayjobs.com/Careers/job/Remote-USA/Senior-Software-Engineer-Frontend---Mobile-_R25_0000001131")</f>
        <v/>
      </c>
      <c r="G80" t="inlineStr">
        <is>
          <t>Washington, DC, US</t>
        </is>
      </c>
      <c r="H80" s="2" t="n">
        <v>46049</v>
      </c>
      <c r="I80" t="inlineStr">
        <is>
          <t>**Company Description**
Press Ganey is the leading experience measurement, data analytics, and insights provider for complex industries—a status we earned over decades of deep partnership with clients to help them understand and meet the needs of their key stakeholders. Our earliest roots are in U.S. healthcare –perhaps the most complex of all industries. Today we serve clients around the globe in every industry to help them improve the Human Experiences at the heart of their business. We serve our clients through an unparalleled offering that combines technology, data, and expertise to enable them to pinpoint and prioritize opportunities, accelerate improvement efforts and build lifetime loyalty among their customers and employees.
Like all great companies, our success is a function of our people and our culture. Our employees have world\-class talent, a collaborative work ethic, and a passion for the work that have earned us trusted advisor status among the world’s most recognized brands. As a member of the team, you will help us create value for our clients, you will make us better through your contribution to the work and your voice in the process. Ours is a path of learning and continuous improvement; team efforts chart the course for corporate success.
**Our Mission:**
We empower organizations to deliver the best experiences. With industry expertise and technology, we turn data into insights that drive innovation and action.
**Our Values:**
To put Human Experience at the heart of organizations so every person can be seen and understood.
* **Energize the customer relationship:** Our clients are our partners. We make their goals our own, working side by side to turn challenges into solutions.
* **Success starts with me:** Personal ownership fuels collective success. We each play our part and empower our teammates to do the same.
* **Commit to learning:** Every win is a springboard. Every hurdle is a lesson. We use each experience as an opportunity to grow.
* **Dare to innovate:** We challenge the status quo with creativity and innovation as our true north.
* **Better together:** We check our egos at the door. We work together, so we win together.
Press Ganey currently has an exciting opportunity for a Senior Software Engineer. This role will support the Clinical Solutions products.
**Duties \&amp; Responsibilities:**
* Design and implement software front end application enhancements and bug fixes given general instructions
* Participates in iteration and release planning
* Adheres to core design and testing principles
* Understands and interprets detailed technical specifications
* Follows and updates the design specifications as needed
* Learns and follow standards, processes and procedures
* Authors supporting documentation
* Prepares own work for inclusion in the release/deployment management process
* Participates in peer technical reviews
* Troubleshoots identified problems and provides support and follow\-up for issues
* Completes assigned design tasks within the time allotted
Mentors Software Developers:
* Responsible for the quality of work that the team members perform
* Coordinates with other IT and business teams
* Trains other developers on standards, policies, and procedures
Supports Software Applications:
* Coordinates issue resolution process
* Provides support and follow\-up for issues
**Qualifications:**
* Strong software engineering skills on the .NET Core platform
* Web and mobile responsive front\-end technologies including **Angular/React**, JavaScript and CSS
* Experience in **JSON** and **API** development methodologies
* Experience in containerization(dockers/Kubernetes) preferred
* Experience in CI/CD preferred
* GitLab experience highly desirable.
* Strong knowledge of SQL, specifically with **Microsoft SQL Server**
* Experience with test driven development
* Excellent communication (written and verbal) and problem\-solving skills
* Knowledge of agile methodologies and experience working in an agile environment.
* Thorough understanding of data structures and object\-oriented techniques
* Knowledge of basic statistics
* Project task multi\-tasking and prioritization, Individual time management
**Experience:**
* Bachelor’s Degree or comparable broad\-based work experience is required. Advance training or certification in software design/development is an advantage.
* 5\+ years experience with mobile responsive development in Angular and React
* Code reviews and code review participation
* Ability to communicate best practice solutions to other developers
* Ability to present technical ideas and work with development teams to identify best practice solutions
**Don’t meet every single requirement?** Studies have shown that women and people of color are less likely to apply to jobs unless they meet every single qualification. At Press Ganey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**Additional Information for US based jobs:**
Press Ganey Associates LLC is an Equal Employment Opportunity/Affirmative Action employer and well committed to a diverse workforce. We do not discriminate against any employee or applicant for employment because of race, color, sex, age, national origin, religion, sexual orientation, gender identity, veteran status, and basis of disability or any other federal, state, or local protected class.
Pay Transparency Non\-Discrimination Notice – Press Ganey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Additional Job Description
The expected base salary for this position ranges from $ 100,000 to $125,000\. It is not typical for offers to be made at or near the top of the range. Salary offers are based on a wide range of factors including relevant skills, training, experience, education, and, where applicable, licensure or certifications obtained. Market and organizational factors are also considered. In addition to base salary and a competitive benefits package, successful candidates are eligible to receive a discretionary bonus or commission tied to achieved results.
All your information will be kept confidential according to EEO guidelines.
Our privacy policy can be found here: https://www.pressganey.com/legal\-privacy/</t>
        </is>
      </c>
    </row>
    <row r="81">
      <c r="A81" t="inlineStr">
        <is>
          <t>in-85bc85a0ba2f8756</t>
        </is>
      </c>
      <c r="B81" t="inlineStr">
        <is>
          <t>Sr Software Engineer I (Remote)</t>
        </is>
      </c>
      <c r="C81" t="inlineStr">
        <is>
          <t>American Specialty Health</t>
        </is>
      </c>
      <c r="D81" t="inlineStr">
        <is>
          <t>indeed</t>
        </is>
      </c>
      <c r="E81">
        <f>HYPERLINK("https://www.indeed.com/viewjob?jk=85bc85a0ba2f8756", "https://www.indeed.com/viewjob?jk=85bc85a0ba2f8756")</f>
        <v/>
      </c>
      <c r="F81">
        <f>HYPERLINK("https://app.jobvite.com/CompanyJobs/Job.aspx?j=o8Ijzfws&amp;s=Indeed", "https://app.jobvite.com/CompanyJobs/Job.aspx?j=o8Ijzfws&amp;s=Indeed")</f>
        <v/>
      </c>
      <c r="G81" t="inlineStr">
        <is>
          <t>Remote, US</t>
        </is>
      </c>
      <c r="H81" s="2" t="n">
        <v>46049</v>
      </c>
      <c r="I81" t="inlineStr">
        <is>
          <t>American Specialty Health Incorporated is seeking Sr. Software Engineers to join our growing organization. We are looking for creative and analytical problem\-solvers to join one our growing Information Technology teams and help us continue to improve our products and processes so that our members and customers can reach their goals. As a company that heavily relies on cutting\-edge IT operations to serve its members, ASH is seeking ambitious individuals with a strong team mentality and a genuine passion for software engineering. Join a company where programming design and quality is expected, appreciated, and nurtured.**Remote Worker Considerations**
Candidates who are selected for this position will be trained remotely and must be able to work from home (WFH) in a designated work area with company\-provided technology equipment. This remote/WFH position requires you have a stable connection to your Internet Service Provider with the ability to participate by video in online meetings over a reliable and consistent network (minimum internet download of 50 Mbps and 10 Mbps upload speed).**Salary Range**
American Specialty Health complies with state and federal wage and hour laws and compensation depends upon candidate’s qualifications, education, skill set, years of experience, and internal equity. $112,500 to $140,000 Full\-Time Annual Salary Range.**Responsibilities*** Analyze, design, develop, and maintain software applications using latest Microsoft technologies, with minimal supervision.
* Formulates and defines system scope and objectives of complex software applications.
* Develops an understanding of assigned application and internal customer area, standards and techniques, and general business knowledge.
* Unit testing as applicable.
* Provides accurate time estimates of assigned tasks and projects.
* Mentors other engineers.
* Properly refactor legacy components as needed.
* Communicates directly with product owner and end users.
* Participates in the training or development of others, as directed.
* Maintains familiarity with and uses department methodology as appropriate.
* Analyzes alternatives, providing a cost/benefit comparison.
* Monitors and ensures automated processes run as expected. Responsible for remediation.
* Assist in code reviews.
**Qualifications*** Bachelor’s degree in an IT, computer or technical related field or equivalent experience. High school diploma required.
* Minimum of 5 years of progressive experience performing computer programming with experience in ASP.Net, VB.Net, C\#, SQL.
* Experience with web development programming in a client/server setup required.
* Experience with relational database design, writing queries and stored procedures with MySQL or Microsoft SQL required.
* Experience with Object Oriented Analysis and Development within large enterprise level applications required.
* Experience with development and consumption of web services preferred.
* Experience with XSLT, XML.
* HTTP, C\#, SQL optimization experience
* Experience with software design patterns required.
* Experience with designing and architecting complex enterprise level systems required.
* Experience with mentoring other programmers.
* Maintain productivity in a changing environment.
* Completing tasks in a fast paced development cycle.
* Familiarity with software development life cycles such as Agile or SCRUM.
* Ability to design and architect complex enterprise level systems.
* Expertise with SOLID design principles.
**Core Competencies*** Demonstrated ability to interact in a positive, respectful manner and establish and maintain cooperative working relationships.
* Ability to display excellent customer service to meet the needs and expectations of both internal and external customers.
* Excellent listening and interpersonal communication skills to identify critical core competencies based on success factors and organizational environment.
* Ability to effectively organize, prioritize, multi\-task and manage time.
* Demonstrated accuracy and productivity in a changing environment with constant interruptions.
* Demonstrated ability to analyze information, problems, issues, situations and procedures to develop effective solutions.
* Ability to exercise strict confidentiality in all matters.
**Mobility**
Primarily sedentary, able to sit for long periods of time.**Physical Requirements**
Ability to speak, see and hear other personnel and/or objects. Ability to communicate both in oral and written form. Ability to travel within the facility. Capable of using a telephone and computer keyboard. Ability to lift up to 10 lbs.**Environmental Conditions**
Work\-from\-home (WFH) environment.**American Specialty Health is an Equal Opportunity/Affirmative Action Employer.**
All qualified applicants will receive consideration for employment without regard to sex (including pregnancy, childbirth, related medical conditions, breastfeeding, and reproductive health decision\-making), gender, gender identity, gender expression, race, color, religion (including religious dress and grooming practices), creed, national origin, citizenship, ancestry, physical or mental disability, legally\-protected medical condition, marital status, age, sexual orientation, genetic information, military or veteran status, political affiliation, or any other basis protected by applicable local, federal or state law.
Please view Equal Employment Opportunity Posters provided by OFCCP here.
If you are a qualified individual with a disability or a disabled veteran, you have the right to request an accommodation if you are unable or limited in your ability to use or access our career center as a result of your disability. To request an accommodation, contact our Human Resources Department at (800\) 848\-3555 x6702\.
ASH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\#LI\-Remote \#Engineer \#Spftware \#MySQL \#ASP.Net \#VB.Net \#SQL</t>
        </is>
      </c>
    </row>
    <row r="82">
      <c r="A82" t="inlineStr">
        <is>
          <t>in-ced26c079b83d69d</t>
        </is>
      </c>
      <c r="B82" t="inlineStr">
        <is>
          <t>Software Engineer III</t>
        </is>
      </c>
      <c r="C82" t="inlineStr">
        <is>
          <t>Fanatics</t>
        </is>
      </c>
      <c r="D82" t="inlineStr">
        <is>
          <t>indeed</t>
        </is>
      </c>
      <c r="E82">
        <f>HYPERLINK("https://www.indeed.com/viewjob?jk=ced26c079b83d69d", "https://www.indeed.com/viewjob?jk=ced26c079b83d69d")</f>
        <v/>
      </c>
      <c r="F82">
        <f>HYPERLINK("https://fa-exki-saasfaprod1.fa.ocs.oraclecloud.com:443/hcmUI/CandidateExperience/en/job/26428", "https://fa-exki-saasfaprod1.fa.ocs.oraclecloud.com:443/hcmUI/CandidateExperience/en/job/26428")</f>
        <v/>
      </c>
      <c r="G82" t="inlineStr">
        <is>
          <t>US</t>
        </is>
      </c>
      <c r="H82" s="2" t="n">
        <v>46049</v>
      </c>
      <c r="I82" t="inlineStr">
        <is>
          <t>**Overview**
As a Software Engineer III at Fanatics Betting \&amp; Gaming (FBG), you will help us design, develop, test, and maintain scalable, high quality, low latency systems that deliver the best experience possible to our customers. We are one team; we employ the principles of data\-driven development, operational excellence, process calibration, and efficiency to deliver a stable, extensible platform at scale. Through fundamentals and excellence in object\-oriented design, coding patterns, modern open\-source frameworks, and 3rd party platform integrations, we can achieve our goals to rapidly deliver and innovate in this exciting new market.You’ll bring strong technical skills, a collaborative spirit, and a passion for solving complex problems in a fast\-paced, high\-growth industry.
**Responsibilities**
* Contribute to the design, development, testing, documentation, and deployment of frontend and backend services.
* Participate in the on\-call rotation and assist in investigating and resolving production issues
* Collaborate with engineers, product managers, and other stakeholders to deliver features and improvements
* Take part in code reviews and team discussions to build high\-quality, maintainable systems
* Participate in sprint planning, architectural reviews, and efforts to improve engineering processes
* Build familiarity with our systems, platform architecture, and customer use cases
* Stay current with latest technologies, tools, and engineering best practices
* Open to occasional travel to FBG offices or industry events for collaboration and team\-building
* Develop, test, and deploy backend software features through high\-quality, correct production code using Java, Spring Boot, and AWS.
* Help design and implement scalable, low\-latency distributed systems that power engaging iCasino experiences across web and mobile.
* Work closely with internal and external teams to deliver stable, reliable systems aligned with our product roadmap and delivery schedules.
* Collaborate with frontend, mobile, and platform engineers to shape backend services that support seamless, cross\-platform user experiences.
* Participate in architecture reviews, technical design discussions, sprint planning, and code reviews.
* Improve and champion engineering best practices related to quality, maintainability, and system performance.
* Contribute to discovery and design efforts for complex technical projects, translating business outcomes into scalable technical solutions.
* Partner with Product, Design, DevOps, and Security to build and deliver features in a highly regulated production environment.
* Participate in on\-call rotations, assisting with incident response and ongoing support of production systems.
* Operate according to Agile methodologies, sharing progress and blockers in daily stand\-ups and retrospectives.
* Stay curious and open to exploring opportunities across the stack, including frontend tools like React or shared logic via Kotlin Multiplatform.
* Be open to occasional travel to Fanatics offices or industry events for collaboration, planning, or team\-building.
* 
**Required Qualifications**
* 7\+ years of professional software engineering experience, with a focus on frontend as well as backend development
* 3\+ years of experience building full\-stack applications using Java (Spring Framework) and React.
* Expertise in software engineering principles, architectural patterns, and system design
* Experience with Agile/SCRUM methodologies and working in cross\-functional teams
* Strong problem\-solving skills and a proactive, ownership\-oriented mindset
* Clear communicator, capable of explaining technical concepts to peers and non\-engineers
* Ability to navigate shifting priorities in a fast\-paced, high\-growth setting.
* Solid understanding of RESTful service design, distributed systems, data modeling, caching concepts, and database technologies (SQL and/or NoSQL).
* Strong technical skills in a CI/CD environment, with a working knowledge of software design principles related to performance, maintainability, and scalability.
* Demonstrated ability to collaborate with cross\-functional teams (Product, Design, Security, DevOps) and external partners to deliver high\-quality features.
**Preferred Qualifications**
* Hands\-on experience with AWS cloud services and tools supporting deployment, monitoring, and observability (e.g., Terraform, CI/CD, Datadog, CloudWatch).
* Exposure to startup or hyper\-growth environments, with a pragmatic, iterative approach to building MVPs and delivering customer value.
* Familiarity with CI/CD practices, cloud platforms, or DevOps workflows
* Able to effectively work cross\-functionally within an enterprise environment
Ready to build the future of sports betting? If you possess some of these qualifications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$121,600 \- $200,000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We’ll also give you $700 to set up your home office!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83">
      <c r="A83" t="inlineStr">
        <is>
          <t>in-ab4cceb70e840649</t>
        </is>
      </c>
      <c r="B83" t="inlineStr">
        <is>
          <t>Sr Principal Software Engineer</t>
        </is>
      </c>
      <c r="C83" t="inlineStr">
        <is>
          <t>Northrop Grumman</t>
        </is>
      </c>
      <c r="D83" t="inlineStr">
        <is>
          <t>indeed</t>
        </is>
      </c>
      <c r="E83">
        <f>HYPERLINK("https://www.indeed.com/viewjob?jk=ab4cceb70e840649", "https://www.indeed.com/viewjob?jk=ab4cceb70e840649")</f>
        <v/>
      </c>
      <c r="F83">
        <f>HYPERLINK("https://jsv3.recruitics.com/redirect?rx_cid=3658&amp;rx_jobId=R10220726&amp;rx_url=https%3A%2F%2Fjobs.northropgrumman.com%2Fcareers%2Fjob%2F1340069548148%3Fcode%3DJB-17946%26domain%3Dngc.com%26rx_a%3D0%26rx_c%3D%26rx_ch%3Djobp4p%26rx_group%3D288254%26rx_id%3D187260ff-fc44-11f0-84e7-4b37b220176b%26rx_job%3DR10220726%26rx_medium%3Dcpc%26rx_r%3Dnone%26rx_source%3Dindeed%26rx_ts%3D20260128T200415Z%26rx_vp%3Dcpc%26source%3DJB-17946%26utm_audience%3Dprospectivetalentemployees%26utm_campaign%3Dta-general%26utm_content%3Djobfeed%26utm_format%3Dcpl%26utm_medium%3Djobboard%26utm_source%3Dindeed", "https://jsv3.recruitics.com/redirect?rx_cid=3658&amp;rx_jobId=R10220726&amp;rx_url=https%3A%2F%2Fjobs.northropgrumman.com%2Fcareers%2Fjob%2F1340069548148%3Fcode%3DJB-17946%26domain%3Dngc.com%26rx_a%3D0%26rx_c%3D%26rx_ch%3Djobp4p%26rx_group%3D288254%26rx_id%3D187260ff-fc44-11f0-84e7-4b37b220176b%26rx_job%3DR10220726%26rx_medium%3Dcpc%26rx_r%3Dnone%26rx_source%3Dindeed%26rx_ts%3D20260128T200415Z%26rx_vp%3Dcpc%26source%3DJB-17946%26utm_audience%3Dprospectivetalentemployees%26utm_campaign%3Dta-general%26utm_content%3Djobfeed%26utm_format%3Dcpl%26utm_medium%3Djobboard%26utm_source%3Dindeed")</f>
        <v/>
      </c>
      <c r="G83" t="inlineStr">
        <is>
          <t>Orlando, FL, US</t>
        </is>
      </c>
      <c r="H83" s="2" t="n">
        <v>46047</v>
      </c>
      <c r="I83"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Are you ready to put your experience to work at Northrop Grumman? If so, Our Defense Systems wants you to join our team as a Sr Principal Software Engineer. This position is located in Orlando, FL.
As a Sr Principal Software Engineer, on our program at Northrop Grumman, you will have a challenging and rewarding opportunity to be a part of our Cross\-Domain Handling of Releasable Data (CHORD) portfolio. CHORD is a Foreign Military Sales (FMS) two\-domain Cross Domain Solution (CDS). The CHORD portfolio comprises multiple contract awards and with various customers. The successful candidate will be exceptionally meticulous, collaborative, open, transparent, and team\-oriented with a focus on team empowerment \&amp; personal responsibility, flexibility, continuous learning, and a culture of seeking the best performance from everyone.
**Roles/Responsibilities:**
* You will develop, maintain, and enhance complex and secure software systems based upon documented requirements.
* You will be responsible for working individually or as part of a team to review and test software components for adherence to the design requirements and documents test results.
* You will resolves software problem reports, utilizes software development and software design methodologies appropriate to the development and software design methodologies appropriate to the development environment.
* Use your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**Basic Qualifications:**
* Bachelors of Science in Engineering, Computer Science or other STEM discipline, and 8 years of related technical experience; Master’s degree in a STEM field and 6 years of related technical experience, or PHD in a STEM field and 4 years of related technical experience.
* A current DoD Secret Clearance.
* Experience developing software using Java or C\+\+.
* Experience with debugging existing software and correcting defects.
* Experience with the SDLC and agile methodologies.
* A minimum of 5 years of development experience in a Linux environment, preferably RHEL.
**Preferred Qualifications:**
* Expertise in developing, debugging, and maintaining Linux kernel‑mode device drivers, including the ability to design and implement new low‑level drivers or modify existing ones for custom hardware platforms, with a strong grasp of kernel subsystems, interrupt handling, DMA, and device tree configuration.
* Experience using Bash or similar scripting languages to automate tasks.
* Experience configuring and using SonarQube, Fortify, or other code analyzers.
* Experience with automated testing frameworks such as Eggplant and Microsoft Testing Framework.
* Experience with Continuous Integration Technologies such as Jenkins and Bamboo.
* Experience using Visual Studio Code (VS Code).
* Experience with Software Configuration Management tools such as Git.
* Experience creating XML Schema Definitions (XSD) based on complex interface requirements.
* Development experience with Sockets, MQueues, Threading/Multithreading, or Named Pipes.
* Development experience with HTTP, IP, or UDP protocols.
* Development experience with LXC or Containers.
* Demonstrated experience developing Linux software applications.
* Demonstrated experience working with XML Schemas and XML processing tools.
* Knowledge of networking protocols and secure communication techniques.
Primary Level Salary Range: $122,800\.00 \- $184,200\.00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84">
      <c r="A84" t="inlineStr">
        <is>
          <t>in-2014fcfefdab0c9e</t>
        </is>
      </c>
      <c r="B84" t="inlineStr">
        <is>
          <t>Embedded Software Engineer (Secret) - Level 4 (Chandler)</t>
        </is>
      </c>
      <c r="C84" t="inlineStr">
        <is>
          <t>Northrop Grumman</t>
        </is>
      </c>
      <c r="D84" t="inlineStr">
        <is>
          <t>indeed</t>
        </is>
      </c>
      <c r="E84">
        <f>HYPERLINK("https://www.indeed.com/viewjob?jk=2014fcfefdab0c9e", "https://www.indeed.com/viewjob?jk=2014fcfefdab0c9e")</f>
        <v/>
      </c>
      <c r="F84">
        <f>HYPERLINK("https://jsv3.recruitics.com/redirect?rx_cid=3658&amp;rx_jobId=R10220851&amp;rx_url=https%3A%2F%2Fjobs.northropgrumman.com%2Fcareers%2Fjob%2F1340069553202%3Fcode%3DJB-17946%26domain%3Dngc.com%26rx_a%3D0%26rx_c%3D%26rx_ch%3Djobp4p%26rx_group%3D288254%26rx_id%3D183dbc3f-fc44-11f0-84e7-f327e38830e9%26rx_job%3DR10220851%26rx_medium%3Dcpc%26rx_r%3Dnone%26rx_source%3Dindeed%26rx_ts%3D20260128T200415Z%26rx_vp%3Dcpc%26source%3DJB-17946%26utm_audience%3Dprospectivetalentemployees%26utm_campaign%3Dta-general%26utm_content%3Djobfeed%26utm_format%3Dcpl%26utm_medium%3Djobboard%26utm_source%3Dindeed", "https://jsv3.recruitics.com/redirect?rx_cid=3658&amp;rx_jobId=R10220851&amp;rx_url=https%3A%2F%2Fjobs.northropgrumman.com%2Fcareers%2Fjob%2F1340069553202%3Fcode%3DJB-17946%26domain%3Dngc.com%26rx_a%3D0%26rx_c%3D%26rx_ch%3Djobp4p%26rx_group%3D288254%26rx_id%3D183dbc3f-fc44-11f0-84e7-f327e38830e9%26rx_job%3DR10220851%26rx_medium%3Dcpc%26rx_r%3Dnone%26rx_source%3Dindeed%26rx_ts%3D20260128T200415Z%26rx_vp%3Dcpc%26source%3DJB-17946%26utm_audience%3Dprospectivetalentemployees%26utm_campaign%3Dta-general%26utm_content%3Djobfeed%26utm_format%3Dcpl%26utm_medium%3Djobboard%26utm_source%3Dindeed")</f>
        <v/>
      </c>
      <c r="G84" t="inlineStr">
        <is>
          <t>Chandler, AZ, US</t>
        </is>
      </c>
      <c r="H84" s="2" t="n">
        <v>46047</v>
      </c>
      <c r="I84"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**Embedded Software Engineer – Level 4** working for the **Ground Phase Interceptor (GPI)** located in **Chandler, AZ,** you’ll be a linchpin in missions of paramount importance, defining the art of the possible from day one. This position is 100% onsite and cannot accommodate telecommute work.
**Our Embedded Software Engineers:**  
Design, develop, document, test and debug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**In this job, you will:**
* Have Object Oriented (OO) Software development experience in C/C\+\+on Linux environment
* Have embedded real\-time software development, debug and test
* Experience with real time operating systems (RTOS) environments including VxWorks, Integrity, LynxOS, Yocto Linux, or other equivalent RTOS
* Experience with full software development lifecycle
* Excellent written and verbal communication skills
* Demonstrate problem solving and troubleshooting skills
**Basic Qualifications:**
* Bachelor’s degree with 8 years of professional experience – OR – Master’s degree with 6 years of professional experience – OR – PhD with 4 years of professional experience.
* Must have U.S. Citizenship with an active, in scope Secret level clearance at time of application.
**Preferred** **Qualifications:**
* Experience with PowerPC, ARM, and/or RISC\-V architecture
* Experience in design, integration and testing with real time computer in loop and hardware in loop test laboratories
* Experience in developing interfaces to support system hardware integration efforts
* Experience with CI/CD such as Jenkins or Gilab CI
* Active DoD Top Secret security clearance investigated within the last 5 years
**Curious about all the exciting developments with the Northrop Grumman Space Sector? Click the link below:**
https://www.northropgrumman.com/space
We work a 9/80 schedule (9 hours per day Mon\-Thurs, 8 hours every other Friday with the alternate Friday off)
Working at Northrop Grumman is more than just a paycheck. We offer a comprehensive Total Rewards and benefits package designed to help you thrive at work and in life. For more information on our Total Rewards package, please visit our Total Rewards site: https://www.northropgrumman.com/who\-we\-are/total\-rewards\-benefits
Primary Level Salary Range: $118,600\.00 \- $178,000\.00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85">
      <c r="A85" t="inlineStr">
        <is>
          <t>in-870bcc37419566a8</t>
        </is>
      </c>
      <c r="B85" t="inlineStr">
        <is>
          <t>Principal / Sr. Principal Software Engineer</t>
        </is>
      </c>
      <c r="C85" t="inlineStr">
        <is>
          <t>Northrop Grumman</t>
        </is>
      </c>
      <c r="D85" t="inlineStr">
        <is>
          <t>indeed</t>
        </is>
      </c>
      <c r="E85">
        <f>HYPERLINK("https://www.indeed.com/viewjob?jk=870bcc37419566a8", "https://www.indeed.com/viewjob?jk=870bcc37419566a8")</f>
        <v/>
      </c>
      <c r="F85">
        <f>HYPERLINK("https://jsv3.recruitics.com/redirect?rx_cid=3658&amp;rx_jobId=R10220807&amp;rx_url=https%3A%2F%2Fjobs.northropgrumman.com%2Fcareers%2Fjob%2F1340069551155%3Fcode%3DJB-17946%26domain%3Dngc.com%26rx_a%3D0%26rx_c%3D%26rx_ch%3Djobp4p%26rx_group%3D288254%26rx_id%3D18cbcb91-fc44-11f0-84e7-5f6b3d3db0c3%26rx_job%3DR10220807%26rx_medium%3Dcpc%26rx_r%3Dnone%26rx_source%3Dindeed%26rx_ts%3D20260128T200415Z%26rx_vp%3Dcpc%26source%3DJB-17946%26utm_audience%3Dprospectivetalentemployees%26utm_campaign%3Dta-general%26utm_content%3Djobfeed%26utm_format%3Dcpl%26utm_medium%3Djobboard%26utm_source%3Dindeed", "https://jsv3.recruitics.com/redirect?rx_cid=3658&amp;rx_jobId=R10220807&amp;rx_url=https%3A%2F%2Fjobs.northropgrumman.com%2Fcareers%2Fjob%2F1340069551155%3Fcode%3DJB-17946%26domain%3Dngc.com%26rx_a%3D0%26rx_c%3D%26rx_ch%3Djobp4p%26rx_group%3D288254%26rx_id%3D18cbcb91-fc44-11f0-84e7-5f6b3d3db0c3%26rx_job%3DR10220807%26rx_medium%3Dcpc%26rx_r%3Dnone%26rx_source%3Dindeed%26rx_ts%3D20260128T200415Z%26rx_vp%3Dcpc%26source%3DJB-17946%26utm_audience%3Dprospectivetalentemployees%26utm_campaign%3Dta-general%26utm_content%3Djobfeed%26utm_format%3Dcpl%26utm_medium%3Djobboard%26utm_source%3Dindeed")</f>
        <v/>
      </c>
      <c r="G85" t="inlineStr">
        <is>
          <t>Stafford, VA, US</t>
        </is>
      </c>
      <c r="H85" s="2" t="n">
        <v>46047</v>
      </c>
      <c r="I85" t="inlineStr">
        <is>
          <t>RELOCATION ASSISTANCE: No relocation assistance available
CLEARANCE TYPE: SCI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is seeking a Principal / Sr. Principal Software Engineer to work on the Whisper programs in Stafford, Virginia. The Whisper program is a large Antenna based Rf Transmission and receiving network Platform. We use command and control software to remotely control multiple systems worldwide
Responsibilities :
Perform software development and maintenance
Assist with all or part of the following: requirements: application design, code development, testing, code maintenance.
**Basic Qualifications:**
**This position is open as a dual level opportunity. We will consider candidates at a level 3 or level 4:**
Based on your overall experience, education, years of experience, fit to the position, and interview evaluation will determine which level you are selected for.
* **Level 3 bachelor’s** degree with 5 years of experience OR a master’s and 3 years’ experience OR a High School diploma / equivalent with 9 years’ experience may be considered in lieu of degree
* **Level 4:** Bachelor’s degree with 8 years of experience OR a master’s and 6 years’ experience OR a High School diploma / equivalent with 12 years’ experience may be considered in lieu of degree
* **Work on\-site at Stafford Virginia**
* Programming experience with languages such as Java, C , bash, python.
* Familiar with Windows and RHEL
* TS/SCI clearance and ability to obtain a CI polygraph
* Prior to start obtain a (IAT) level II or higher (i.e. Security \+) .
* Familiar with Compliance/Vulnerability Monitoring with tools such as Nessus, HBSS and ACAS
**Preferred Qualifications:**
* Experience with the following technologies: Java Swing; multi\-threaded and distributed Java applications; Java Web application (e.g., Tomcat) servers or Java Applications servers (e.g. JBoss and/or Wildfly are highly desired); relational databases (JDBC, SQL, and MySQL); JEE (Java Enterprise Edition) experience (JDBC, JNI, JNDI, JMS, Servlet/JSP, EJB/JPA); Web service experience (e.g., RESTFul Web services)
* Knowledge of the following: Hycu backup/recovery software or other backup/recovery software; Nutanix virtual environment, or other platforms such as VMWare; Elastic Search Stack (ELK);
* Web (Brower based) GUI front end development (HTML, JavaScript, CSS, Angular)
* Experience with hardening Linux OS and applications to required configurations (e.g. DISA STIGs)
* Configuration Management experience working with software version control tools (Jira’s Bamboo, Stash, GIT, Subversion)
* Risk Management Framework (RMF)
* Linux and / or Windows system administration experience
Primary Level Salary Range: $114,000\.00 \- $171,000\.00
Secondary Level Salary Range: $142,000\.00 \- $213,000\.00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86">
      <c r="A86" t="inlineStr">
        <is>
          <t>in-5408d7c88ea5b77f</t>
        </is>
      </c>
      <c r="B86" t="inlineStr">
        <is>
          <t>FI Senior Software Engineer (38_2026.1)</t>
        </is>
      </c>
      <c r="C86" t="inlineStr">
        <is>
          <t>Affinity Solutions</t>
        </is>
      </c>
      <c r="D86" t="inlineStr">
        <is>
          <t>indeed</t>
        </is>
      </c>
      <c r="E86">
        <f>HYPERLINK("https://www.indeed.com/viewjob?jk=5408d7c88ea5b77f", "https://www.indeed.com/viewjob?jk=5408d7c88ea5b77f")</f>
        <v/>
      </c>
      <c r="F86">
        <f>HYPERLINK("https://affinitysolutions.hrmdirect.com/employment/view.php?req=3623779&amp;jbsrc=1014&amp;location=4f27c01e-c832-dd21-0656-71deb4e368e5", "https://affinitysolutions.hrmdirect.com/employment/view.php?req=3623779&amp;jbsrc=1014&amp;location=4f27c01e-c832-dd21-0656-71deb4e368e5")</f>
        <v/>
      </c>
      <c r="G86" t="inlineStr">
        <is>
          <t>New York, NY, US</t>
        </is>
      </c>
      <c r="H86" s="2" t="n">
        <v>46047</v>
      </c>
      <c r="I86" t="inlineStr">
        <is>
          <t>Affinity Solutions (Affinity) is the leading consumer purchase insights company. We provide a complete view of U.S. and U.K. consumer spending, across and between brands, via exclusive access to fully permissioned data from over 100 million consumers. Our proprietary AI technology, Comet™, transforms these purchase signals into actionable insights for business and marketing leaders to drive optimal outcomes and build lasting customer relationships. Visit www.affinitysolutions.com to discover how we’re shaping the future of consumer purchase insights.
**About Your Role:**
As we continue to innovate and scale, we are looking for an experienced FI Senior Software Engineer to take a leading role in our development projects.
**Your Responsibilities:**
* Lead complex, product\-driven application development and maintenance.
* Work within the Symfony framework to develop highly efficient, scalable, and responsive front\-end and back\-end solutions, adhering to advanced software architecture principles.
* Cover new and existing code with Unit and Integration tests.
* Implement secure coding practices to mitigate advanced XSS, SQL injection, and other security threats.
* Design and develop RESTful APIs interfaces for seamless integration with ecosystem partners
* Optimize system performance and ensure high availability of our data processing platforms
* Manage multiple time\-sensitive projects with a focus on deliverables and deadlines
* Collaborate with product managers to translate product vision into technical requirements and deliverables
* Participate in Agile ceremonies, including sprint planning, daily stand\-ups, and retrospectives
* Mentor junior developers, guiding them through code reviews and promoting a culture of continuous learning and excellence
**Your Qualifications:**
* Degree in Computer Science, Software Engineering, or related field; or equivalent experience in software development with a focus on product development in a technology company
* Proficiency in PHP and TypeScript
* Experience with Symfony Framework (or similar)
* Advanced knowledge of HTML5, CSS3, JavaScript, jQuery, and Ajax
* High level of comfort in a Linux environment, SSH, and Remote Development (over SSH)
* Experience with ORM: Doctrine, Hibernate, Sequelize, TypeORM
* Advanced knowledge of writing Unit tests (test doubles, mocks, data generation)
* Expertise in designing and optimizing high\-performance, scalable databases applications, performance tuning
* Strong understanding of security best practices and experience implementing OAuth 2\.0 and OpenID Connect
* Understanding of Linux command line, SSH, and Remote Development (over SSH)
* Experience implementing SSO using SAML 2\.0 a big plus
* In\-depth understanding of object\-oriented design and advanced programming paradigms
* Mastery of RESTful webservices and API development
* Strong knowledge of distributed systems and microservices architecture
* Familiarity with containerization and orchestration tools (Docker, Kubernetes)
* Expertise in GIT version control system
* Proven track record of leading complex projects and driving innovation
* Exceptional critical thinking, problem\-solving, and communication skills; able to collaborate effectively with cross\-functional teams
**Salary Range:** $140,000 \- $160,000
**Location**: New York City (proximity to commute to office few days a week)  
**Office Hours**: 9 am–5:30 pm
Benefits for full\-time employees of Affinity Solutions begin on the first of the month following your date of hire with a generous employer contribution for medical, dental, and vision. In addition to company paid holidays, wellness time off, other wellness benefits, and employee discounts, you will also get employer paid life insurance and have the option to enroll into an employer\-matched 401K Plan. We strongly encourage work/life balance by providing unlimited vacation days, available starting 90 days from your hire date as a team member.</t>
        </is>
      </c>
    </row>
    <row r="87">
      <c r="A87" t="inlineStr">
        <is>
          <t>in-043c093b286532c8</t>
        </is>
      </c>
      <c r="B87" t="inlineStr">
        <is>
          <t>Software Engineer/Systems Administrator</t>
        </is>
      </c>
      <c r="C87" t="inlineStr">
        <is>
          <t>Cinteot</t>
        </is>
      </c>
      <c r="D87" t="inlineStr">
        <is>
          <t>indeed</t>
        </is>
      </c>
      <c r="E87">
        <f>HYPERLINK("https://www.indeed.com/viewjob?jk=043c093b286532c8", "https://www.indeed.com/viewjob?jk=043c093b286532c8")</f>
        <v/>
      </c>
      <c r="F87">
        <f>HYPERLINK("https://cinteot.breezy.hr/p/87bb386a6ddb-software-engineer-systems-administrator?source=indeed", "https://cinteot.breezy.hr/p/87bb386a6ddb-software-engineer-systems-administrator?source=indeed")</f>
        <v/>
      </c>
      <c r="G87" t="inlineStr">
        <is>
          <t>Springfield, VA, US</t>
        </is>
      </c>
      <c r="H87" s="2" t="n">
        <v>46022</v>
      </c>
      <c r="I87" t="inlineStr">
        <is>
          <t>**Software Engineer / Systems Administrator**
**(location: Springfield, VA)**
The selected individual will be responsible to support the Framework Services / Platform and Security scrum team, performing operations / maintenance of program Window systems software and associated applications. Team members must be able to install, configure, troubleshoot, diagnose, and resolve problems with Microsoft Exchange, Microsoft Windows 2012 Server, and Active Directory and other Windows based applications. Team members must have a strong knowledge of DNS, TCP/IP, WINS, DHCP, networking technologies, and server\-based software applications.  
Duties include setting up accounts, maintaining system documentation, tuning system performance and interaction with vendors to evaluate vendor products.
* Responsible for the enterprise\-level engineering of over 120 servers running Windows 2012 and Windows 10 desktops.
* Writes scripts to automate complex administration procedures using VBScript and PowerShell.
* Utilizes enterprise management software tools such as Microsoft System Management Server and Windows Server Update Services.
* Maintains VMware ESX servers using VirtualCenter and VMotion.
* Administers high\-availability server clusters running Veritas Storage Foundation HA and Microsoft Clustering.
* Manages complex DNS infrastructure using Windows DHCP servers.
* Maintains large Windows terminal server farms supporting over 300\+ users.
* Implements and modifies complex Active Directory Group Policy Objects.
* Updates and tracks customer issues using the Service Now and IBM Clearquest systems.
Applicant selected must possess a current **TS/SCI with Full Scope Poly clearance** (government security investigation and must meet eligibility requirements for access to classified information).
**BASIC QUALIFICATIONS:**
* Windows Admin Experience (Server 2012 – Server 2019, Win Active Directory).
* Scripting Experience (Batch, PowerShell).
* Understanding of LAN and WAN infrastructure.
* Very Good MS Office Suite Skills.
* Very Good interpersonal, writing, and communication skills.
* Project Management skills.
* IC domain knowledge.
* Security \+ certification (or like) or ability/willingness to obtain.
* **Current TS/SCI with Full Scope Poly Clearance.**
* Must have a customer approved security certification:
* + Security\+, SSCP, CISSP, or CASP
* Experience/proficiency in one or more of the following:
	+ Object Oriented (OO) using C\#, Java or C\+\+
	+ PowerShell, Linux Shell Script, SQL, PL/SQL
	+ Web development (PHP, JavaScript,.NET Framework, ASP .NET)
	+ Agile development
	+ Background in Systems Administration on Windows based platforms
	+ Windows Server Operating Systems experience
	+ Red Hat Linux Administration experience
**Education:**
Bachelor (or 4 years additional experience)
**Security Clearance:**
**Top Secret with SCI and Full Scope Poly**
**Benefits:**
* Complete Insurance Coverage
* Blue Cross Medical, Delta Dental, Vision, Life
* 401k with Company Contribute
* Generous Paid Time Off
**Cinteot is an Equal Opportunity Employer**
**All qualified applicants will receive consideration for employment without regard to race, sex, color, religion, sexual orientation, gender identity, national origin, protected veteran status, or on the basis of disability.**</t>
        </is>
      </c>
    </row>
    <row r="88">
      <c r="A88" t="inlineStr">
        <is>
          <t>in-bf535b384636083a</t>
        </is>
      </c>
      <c r="B88" t="inlineStr">
        <is>
          <t>Junior Software Engineer</t>
        </is>
      </c>
      <c r="C88" t="inlineStr">
        <is>
          <t>Cinteot</t>
        </is>
      </c>
      <c r="D88" t="inlineStr">
        <is>
          <t>indeed</t>
        </is>
      </c>
      <c r="E88">
        <f>HYPERLINK("https://www.indeed.com/viewjob?jk=bf535b384636083a", "https://www.indeed.com/viewjob?jk=bf535b384636083a")</f>
        <v/>
      </c>
      <c r="F88">
        <f>HYPERLINK("https://cinteot.breezy.hr/p/3f8e24a0395b-junior-software-engineer?source=indeed", "https://cinteot.breezy.hr/p/3f8e24a0395b-junior-software-engineer?source=indeed")</f>
        <v/>
      </c>
      <c r="G88" t="inlineStr">
        <is>
          <t>Herndon, VA, US</t>
        </is>
      </c>
      <c r="H88" s="2" t="n">
        <v>46022</v>
      </c>
      <c r="I88" t="inlineStr">
        <is>
          <t>**Software Engineer**
**Location \- Herndon, VA**
The selected candidate will formulate/define specifications for complex operating software programming applications or modify/maintain complex existing applications using engineering releases and utilities from the manufacturer. Design, code, test, debug, and document those programs. Provide overall operating system maintenance, such as sophisticated file maintenance routines, large telecommunications networks, computer accounting, and advanced mathematical/scientific software packages. Assist all phases of software systems programming applications. Evaluate new and existing software products.
**Requirements**
**Experience:**
* Accepting all levels of experience (will accept experience with java as an equivalent)
* Must possess dod top secret level clearance (Cinteot will sponsor upgrade to SCI and CI Poly)
* Comptia Security\+ certification or equivalent iat\-ii level certification (must have within 6 months of start date)
* Experience with ms sql server (2008 required, 2012 desired).
* Knowledge of css, javascript, and jquery is a plus.
* Experience using t\-sql with the ability to write sql queries and stored procedures.
* Knowledge of client\-side technologies such as javascript, jquery, html5 and css.
* Knowledge of .net framework and ability to work with c\#, asp.net, wcf, mvc and ado.net.
* Experience with Microsoft visual studio and sql server management studio.
* Experience using team foundation server for source control and build management a plus.
**Skills:**
* Excellent communication, professional, organizational, and interpersonal skills.
* Proven analytical, planning, problem solving and decision\-making skills.
* Proficiency with one or more of the following: Object Oriented Programming (OOP) using Java, C\#, or C\+\+
* Web Development using PHP, JavaScript, ASP.NET,
* Agile development cycle
* Design patterns
* Relational Databases
**Benefits:**
* Complete Insurance Coverage
* Blue Cross Medical, Delta Dental, Vision, Life
* 401k with Company Contribution
* Tuition Reimbursement
* Generous Paid Time Off (including your birthday!)
**Cinteot is an Equal Opportunity Employer**
**All qualified applicants will receive consideration for employment without regard to race, sex, color, religion, sexual orientation, gender identity, national origin, protected veteran status, or on the basis of disability.**</t>
        </is>
      </c>
    </row>
    <row r="89">
      <c r="A89" t="inlineStr">
        <is>
          <t>in-e339180e07cedd80</t>
        </is>
      </c>
      <c r="B89" t="inlineStr">
        <is>
          <t>Software Engineer</t>
        </is>
      </c>
      <c r="C89" t="inlineStr">
        <is>
          <t>Cinteot</t>
        </is>
      </c>
      <c r="D89" t="inlineStr">
        <is>
          <t>indeed</t>
        </is>
      </c>
      <c r="E89">
        <f>HYPERLINK("https://www.indeed.com/viewjob?jk=e339180e07cedd80", "https://www.indeed.com/viewjob?jk=e339180e07cedd80")</f>
        <v/>
      </c>
      <c r="F89">
        <f>HYPERLINK("https://cinteot.breezy.hr/p/08a9c0102185-software-engineer?source=indeed", "https://cinteot.breezy.hr/p/08a9c0102185-software-engineer?source=indeed")</f>
        <v/>
      </c>
      <c r="G89" t="inlineStr">
        <is>
          <t>Herndon, VA, US</t>
        </is>
      </c>
      <c r="H89" s="2" t="n">
        <v>46022</v>
      </c>
      <c r="I89" t="inlineStr">
        <is>
          <t>**Software Engineer**
**Location \- Herndon, VA**
The selected candidate will formulate/define specifications for complex operating software programming applications or modify/maintain complex existing applications using engineering releases and utilities from the manufacturer. Design, code, test, debug, and document those programs. Provide overall operating system maintenance, such as sophisticated file maintenance routines, large telecommunications networks, computer accounting, and advanced mathematical/scientific software packages. Assist all phases of software systems programming applications. Evaluate new and existing software products.
**Requirements**
**Experience:**
* Accepting all levels of experience (will accept experience with java as an equivalent)
* Must possess dod top secret level clearance (Cinteot will sponsor upgrade to SCI and CI Poly)
* Comptia Security\+ certification or equivalent iat\-ii level certification (must have within 6 months of start date)
* Experience with ms sql server (2008 required, 2012 desired).
* Knowledge of css, javascript, and jquery is a plus.
* Experience using t\-sql with the ability to write sql queries and stored procedures.
* Knowledge of client\-side technologies such as javascript, jquery, html5 and css.
* Knowledge of .net framework and ability to work with c\#, asp.net, wcf, mvc and ado.net.
* Experience with Microsoft visual studio and sql server management studio.
* Experience using team foundation server for source control and build management a plus.
**Skills:**
* Excellent communication, professional, organizational, and interpersonal skills.
* Proven analytical, planning, problem solving and decision\-making skills.
* Proficiency with one or more of the following: Object Oriented Programming (OOP) using Java, C\#, or C\+\+
* Web Development using PHP, JavaScript, ASP.NET,
* Agile development cycle
* Design patterns
* Relational Databases
**Benefits:**
* Complete Insurance Coverage
* Blue Cross Medical, Delta Dental, Vision, Life
* 401k with Company Contribution
* Tuition Reimbursement
* Generous Paid Time Off (including your birthday!)
**Cinteot is an Equal Opportunity Employer**
**All qualified applicants will receive consideration for employment without regard to race, sex, color, religion, sexual orientation, gender identity, national origin, protected veteran status, or on the basis of disability.**</t>
        </is>
      </c>
    </row>
    <row r="90">
      <c r="A90" t="inlineStr">
        <is>
          <t>in-f55fc98c3eee88a8</t>
        </is>
      </c>
      <c r="B90" t="inlineStr">
        <is>
          <t>Software Engineer II, Twitch</t>
        </is>
      </c>
      <c r="C90" t="inlineStr">
        <is>
          <t>Amazon.com</t>
        </is>
      </c>
      <c r="D90" t="inlineStr">
        <is>
          <t>indeed</t>
        </is>
      </c>
      <c r="E90">
        <f>HYPERLINK("https://www.indeed.com/viewjob?jk=f55fc98c3eee88a8", "https://www.indeed.com/viewjob?jk=f55fc98c3eee88a8")</f>
        <v/>
      </c>
      <c r="F90">
        <f>HYPERLINK("https://www.amazon.jobs/jobs/3138052/software-engineer-ii-twitch?cmpid=DA_INAD200785B", "https://www.amazon.jobs/jobs/3138052/software-engineer-ii-twitch?cmpid=DA_INAD200785B")</f>
        <v/>
      </c>
      <c r="G90" t="inlineStr">
        <is>
          <t>Seattle, WA, US</t>
        </is>
      </c>
      <c r="H90" s="2" t="n">
        <v>45995</v>
      </c>
      <c r="I9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in-95d7c980d9b20d9d</t>
        </is>
      </c>
      <c r="B91" t="inlineStr">
        <is>
          <t>Software Engineer II, Android</t>
        </is>
      </c>
      <c r="C91" t="inlineStr">
        <is>
          <t>Amazon.com</t>
        </is>
      </c>
      <c r="D91" t="inlineStr">
        <is>
          <t>indeed</t>
        </is>
      </c>
      <c r="E91">
        <f>HYPERLINK("https://www.indeed.com/viewjob?jk=95d7c980d9b20d9d", "https://www.indeed.com/viewjob?jk=95d7c980d9b20d9d")</f>
        <v/>
      </c>
      <c r="F91">
        <f>HYPERLINK("https://www.amazon.jobs/jobs/3138330/software-engineer-ii-android?cmpid=DA_INAD200785B", "https://www.amazon.jobs/jobs/3138330/software-engineer-ii-android?cmpid=DA_INAD200785B")</f>
        <v/>
      </c>
      <c r="G91" t="inlineStr">
        <is>
          <t>Irvine, CA, US</t>
        </is>
      </c>
      <c r="H91" s="2" t="n">
        <v>45995</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in-529664407c5a08c1</t>
        </is>
      </c>
      <c r="B92" t="inlineStr">
        <is>
          <t>Software Engineer II, Android</t>
        </is>
      </c>
      <c r="C92" t="inlineStr">
        <is>
          <t>Amazon.com</t>
        </is>
      </c>
      <c r="D92" t="inlineStr">
        <is>
          <t>indeed</t>
        </is>
      </c>
      <c r="E92">
        <f>HYPERLINK("https://www.indeed.com/viewjob?jk=529664407c5a08c1", "https://www.indeed.com/viewjob?jk=529664407c5a08c1")</f>
        <v/>
      </c>
      <c r="F92">
        <f>HYPERLINK("https://www.amazon.jobs/jobs/3138330/software-engineer-ii-android?cmpid=DA_INAD200785B", "https://www.amazon.jobs/jobs/3138330/software-engineer-ii-android?cmpid=DA_INAD200785B")</f>
        <v/>
      </c>
      <c r="G92" t="inlineStr">
        <is>
          <t>Seattle, WA, US</t>
        </is>
      </c>
      <c r="H92" s="2" t="n">
        <v>45995</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in-8b167a3ba0dce9c0</t>
        </is>
      </c>
      <c r="B93" t="inlineStr">
        <is>
          <t>Software Engineer I</t>
        </is>
      </c>
      <c r="C93" t="inlineStr">
        <is>
          <t>Amazon.com</t>
        </is>
      </c>
      <c r="D93" t="inlineStr">
        <is>
          <t>indeed</t>
        </is>
      </c>
      <c r="E93">
        <f>HYPERLINK("https://www.indeed.com/viewjob?jk=8b167a3ba0dce9c0", "https://www.indeed.com/viewjob?jk=8b167a3ba0dce9c0")</f>
        <v/>
      </c>
      <c r="F93">
        <f>HYPERLINK("https://www.amazon.jobs/jobs/3111761/software-engineer-i?cmpid=DA_INAD200785B", "https://www.amazon.jobs/jobs/3111761/software-engineer-i?cmpid=DA_INAD200785B")</f>
        <v/>
      </c>
      <c r="G93" t="inlineStr">
        <is>
          <t>San Francisco, CA, US</t>
        </is>
      </c>
      <c r="H93" s="2" t="n">
        <v>45946</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in-9b908a4f54b85274</t>
        </is>
      </c>
      <c r="B94" t="inlineStr">
        <is>
          <t>Software Engineer I</t>
        </is>
      </c>
      <c r="C94" t="inlineStr">
        <is>
          <t>Amazon.com</t>
        </is>
      </c>
      <c r="D94" t="inlineStr">
        <is>
          <t>indeed</t>
        </is>
      </c>
      <c r="E94">
        <f>HYPERLINK("https://www.indeed.com/viewjob?jk=9b908a4f54b85274", "https://www.indeed.com/viewjob?jk=9b908a4f54b85274")</f>
        <v/>
      </c>
      <c r="F94">
        <f>HYPERLINK("https://www.amazon.jobs/jobs/3111761/software-engineer-i?cmpid=DA_INAD200785B", "https://www.amazon.jobs/jobs/3111761/software-engineer-i?cmpid=DA_INAD200785B")</f>
        <v/>
      </c>
      <c r="G94" t="inlineStr">
        <is>
          <t>Irvine, CA, US</t>
        </is>
      </c>
      <c r="H94" s="2" t="n">
        <v>45946</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in-d69b6ac251606a6d</t>
        </is>
      </c>
      <c r="B95" t="inlineStr">
        <is>
          <t>Software Engineer II</t>
        </is>
      </c>
      <c r="C95" t="inlineStr">
        <is>
          <t>Amazon.com</t>
        </is>
      </c>
      <c r="D95" t="inlineStr">
        <is>
          <t>indeed</t>
        </is>
      </c>
      <c r="E95">
        <f>HYPERLINK("https://www.indeed.com/viewjob?jk=d69b6ac251606a6d", "https://www.indeed.com/viewjob?jk=d69b6ac251606a6d")</f>
        <v/>
      </c>
      <c r="F95">
        <f>HYPERLINK("https://www.amazon.jobs/jobs/3104730/software-engineer-ii?cmpid=DA_INAD200785B", "https://www.amazon.jobs/jobs/3104730/software-engineer-ii?cmpid=DA_INAD200785B")</f>
        <v/>
      </c>
      <c r="G95" t="inlineStr">
        <is>
          <t>Irvine, CA, US</t>
        </is>
      </c>
      <c r="H95" s="2" t="n">
        <v>45938</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in-cac3e74f7881dda7</t>
        </is>
      </c>
      <c r="B96" t="inlineStr">
        <is>
          <t>Software Engineer II</t>
        </is>
      </c>
      <c r="C96" t="inlineStr">
        <is>
          <t>Amazon.com</t>
        </is>
      </c>
      <c r="D96" t="inlineStr">
        <is>
          <t>indeed</t>
        </is>
      </c>
      <c r="E96">
        <f>HYPERLINK("https://www.indeed.com/viewjob?jk=cac3e74f7881dda7", "https://www.indeed.com/viewjob?jk=cac3e74f7881dda7")</f>
        <v/>
      </c>
      <c r="F96">
        <f>HYPERLINK("https://www.amazon.jobs/jobs/3104730/software-engineer-ii?cmpid=DA_INAD200785B", "https://www.amazon.jobs/jobs/3104730/software-engineer-ii?cmpid=DA_INAD200785B")</f>
        <v/>
      </c>
      <c r="G96" t="inlineStr">
        <is>
          <t>San Francisco, CA, US</t>
        </is>
      </c>
      <c r="H96" s="2" t="n">
        <v>45938</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in-7fe3b7b80e8a7246</t>
        </is>
      </c>
      <c r="B97" t="inlineStr">
        <is>
          <t>Software Engineer II</t>
        </is>
      </c>
      <c r="C97" t="inlineStr">
        <is>
          <t>Amazon.com</t>
        </is>
      </c>
      <c r="D97" t="inlineStr">
        <is>
          <t>indeed</t>
        </is>
      </c>
      <c r="E97">
        <f>HYPERLINK("https://www.indeed.com/viewjob?jk=7fe3b7b80e8a7246", "https://www.indeed.com/viewjob?jk=7fe3b7b80e8a7246")</f>
        <v/>
      </c>
      <c r="F97">
        <f>HYPERLINK("https://www.amazon.jobs/jobs/3104734/software-engineer-ii?cmpid=DA_INAD200785B", "https://www.amazon.jobs/jobs/3104734/software-engineer-ii?cmpid=DA_INAD200785B")</f>
        <v/>
      </c>
      <c r="G97" t="inlineStr">
        <is>
          <t>Irvine, CA, US</t>
        </is>
      </c>
      <c r="H97" s="2" t="n">
        <v>45938</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in-4cb0a85768af36a2</t>
        </is>
      </c>
      <c r="B98" t="inlineStr">
        <is>
          <t>Software Engineer II</t>
        </is>
      </c>
      <c r="C98" t="inlineStr">
        <is>
          <t>Amazon.com</t>
        </is>
      </c>
      <c r="D98" t="inlineStr">
        <is>
          <t>indeed</t>
        </is>
      </c>
      <c r="E98">
        <f>HYPERLINK("https://www.indeed.com/viewjob?jk=4cb0a85768af36a2", "https://www.indeed.com/viewjob?jk=4cb0a85768af36a2")</f>
        <v/>
      </c>
      <c r="F98">
        <f>HYPERLINK("https://www.amazon.jobs/jobs/3104734/software-engineer-ii?cmpid=DA_INAD200785B", "https://www.amazon.jobs/jobs/3104734/software-engineer-ii?cmpid=DA_INAD200785B")</f>
        <v/>
      </c>
      <c r="G98" t="inlineStr">
        <is>
          <t>Culver City, CA, US</t>
        </is>
      </c>
      <c r="H98" s="2" t="n">
        <v>45938</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in-799b3ee6a4a6d246</t>
        </is>
      </c>
      <c r="B99" t="inlineStr">
        <is>
          <t>Software Engineer II</t>
        </is>
      </c>
      <c r="C99" t="inlineStr">
        <is>
          <t>Amazon.com</t>
        </is>
      </c>
      <c r="D99" t="inlineStr">
        <is>
          <t>indeed</t>
        </is>
      </c>
      <c r="E99">
        <f>HYPERLINK("https://www.indeed.com/viewjob?jk=799b3ee6a4a6d246", "https://www.indeed.com/viewjob?jk=799b3ee6a4a6d246")</f>
        <v/>
      </c>
      <c r="F99">
        <f>HYPERLINK("https://www.amazon.jobs/jobs/3104734/software-engineer-ii?cmpid=DA_INAD200785B", "https://www.amazon.jobs/jobs/3104734/software-engineer-ii?cmpid=DA_INAD200785B")</f>
        <v/>
      </c>
      <c r="G99" t="inlineStr">
        <is>
          <t>San Francisco, CA, US</t>
        </is>
      </c>
      <c r="H99" s="2" t="n">
        <v>45938</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in-e64e4e8e729481fc</t>
        </is>
      </c>
      <c r="B100" t="inlineStr">
        <is>
          <t>Software Engineer, Platform Engineering</t>
        </is>
      </c>
      <c r="C100" t="inlineStr">
        <is>
          <t>Twilio</t>
        </is>
      </c>
      <c r="D100" t="inlineStr">
        <is>
          <t>indeed</t>
        </is>
      </c>
      <c r="E100">
        <f>HYPERLINK("https://www.indeed.com/viewjob?jk=e64e4e8e729481fc", "https://www.indeed.com/viewjob?jk=e64e4e8e729481fc")</f>
        <v/>
      </c>
      <c r="F100">
        <f>HYPERLINK("https://jobs.twilio.com/careers/job/1099549826880?domain=twilio.com", "https://jobs.twilio.com/careers/job/1099549826880?domain=twilio.com")</f>
        <v/>
      </c>
      <c r="G100" t="inlineStr">
        <is>
          <t>Remote, US</t>
        </is>
      </c>
      <c r="H100" s="2" t="n">
        <v>45922</v>
      </c>
      <c r="I100"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
 **See yourself at Twilio**
Join the Deployment Orchestration team under Platform Engineering as our next Software Engineer.
**About the job**
This position is needed to augment the Deployment Orchestration team, focusing on providing product teams at Twilio a safe, secure, and automated path to production by focusing on progressive rollout strategies and robust guardrails, ensuring that software engineers can deploy frequently without compromising on stability or security.
In the short term, the team is building a new unified deployment orchestrator to support automated deployments across environments and regions leveraging standard pipelines and tests, while simultaneously consolidating and modernizing existing solutions across multiple compute targets such as AWS EC2 VMs and EKS clusters.
**Responsibilities**
In this role, you’ll:
* Develop, test, and deploy code and configuration to support internal deployment tooling infrastructure
* Write tickets, spikes, and runbooks for the team, as well as internal product documentation for Twilio
* Operationalize Harness as a unified deployment platform, supporting standardized pipeline templates
* Own and operate a mix of industry standard and Twilio bespoke deployment orchestration tooling
* Support product engineering teams with migrations and debugging of deployment pipeline failures
* Ensure system uptime by participating in a 24x7 weekly oncall rotation alongside the rest of the team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5\+ years of full\-time job experience in a software engineering role on a platform engineering team
* Ability to work in an async software development environment leveraging GitHub, Jira, Slack, and Zoom
* Proficiency in any/all of the following programming languages: **Go, Java, Python**, Terraform, YAML, Bash
* Experience with Kubernetes GitOps deployments, including **Argo CD, Argo Rollouts, and Argo Workflows**
* Experience developing in an **AWS cloud environment**, with a focus on **EC2, EKS, ASG, Aurora, and IAM**
* Experience with SaaS and open source observability tools, such as Datadog, Grafana, and Prometheus
**Desired:**
* Familiarity with SaaS CI/CD tooling including but not limited to Harness, Buildkite, and Terraform Cloud
* Fluency with AI platforms such as Claude, ChatGPT, and/or Copilot to accelerate software development
**Location**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$138,700 \- $173,400
* Based in New York, New Jersey, Washington State, or California (outside of the San Francisco Bay area): $146,800 \- $183,600
* Based in the San Francisco Bay area, California: $163,100 \- $203,900\.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01">
      <c r="A101" t="inlineStr">
        <is>
          <t>in-0c7a8a1bb92f842b</t>
        </is>
      </c>
      <c r="B101" t="inlineStr">
        <is>
          <t>Sr Software Engineer</t>
        </is>
      </c>
      <c r="C101" t="inlineStr">
        <is>
          <t>Amazon.com</t>
        </is>
      </c>
      <c r="D101" t="inlineStr">
        <is>
          <t>indeed</t>
        </is>
      </c>
      <c r="E101">
        <f>HYPERLINK("https://www.indeed.com/viewjob?jk=0c7a8a1bb92f842b", "https://www.indeed.com/viewjob?jk=0c7a8a1bb92f842b")</f>
        <v/>
      </c>
      <c r="F101">
        <f>HYPERLINK("https://www.amazon.jobs/jobs/3090674/sr-software-engineer?cmpid=DA_INAD200785B", "https://www.amazon.jobs/jobs/3090674/sr-software-engineer?cmpid=DA_INAD200785B")</f>
        <v/>
      </c>
      <c r="G101" t="inlineStr">
        <is>
          <t>San Francisco, CA, US</t>
        </is>
      </c>
      <c r="H101" s="2" t="n">
        <v>45921</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in-c759d5fc95f5d17a</t>
        </is>
      </c>
      <c r="B102" t="inlineStr">
        <is>
          <t>Sr Software Engineer</t>
        </is>
      </c>
      <c r="C102" t="inlineStr">
        <is>
          <t>Amazon.com</t>
        </is>
      </c>
      <c r="D102" t="inlineStr">
        <is>
          <t>indeed</t>
        </is>
      </c>
      <c r="E102">
        <f>HYPERLINK("https://www.indeed.com/viewjob?jk=c759d5fc95f5d17a", "https://www.indeed.com/viewjob?jk=c759d5fc95f5d17a")</f>
        <v/>
      </c>
      <c r="F102">
        <f>HYPERLINK("https://www.amazon.jobs/jobs/3090674/sr-software-engineer?cmpid=DA_INAD200785B", "https://www.amazon.jobs/jobs/3090674/sr-software-engineer?cmpid=DA_INAD200785B")</f>
        <v/>
      </c>
      <c r="G102" t="inlineStr">
        <is>
          <t>Irvine, CA, US</t>
        </is>
      </c>
      <c r="H102" s="2" t="n">
        <v>45921</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in-e7c10433a87fb99f</t>
        </is>
      </c>
      <c r="B103" t="inlineStr">
        <is>
          <t>Software Engineer II</t>
        </is>
      </c>
      <c r="C103" t="inlineStr">
        <is>
          <t>Amazon.com</t>
        </is>
      </c>
      <c r="D103" t="inlineStr">
        <is>
          <t>indeed</t>
        </is>
      </c>
      <c r="E103">
        <f>HYPERLINK("https://www.indeed.com/viewjob?jk=e7c10433a87fb99f", "https://www.indeed.com/viewjob?jk=e7c10433a87fb99f")</f>
        <v/>
      </c>
      <c r="F103">
        <f>HYPERLINK("https://www.amazon.jobs/jobs/3090680/software-engineer-ii?cmpid=DA_INAD200785B", "https://www.amazon.jobs/jobs/3090680/software-engineer-ii?cmpid=DA_INAD200785B")</f>
        <v/>
      </c>
      <c r="G103" t="inlineStr">
        <is>
          <t>San Francisco, CA, US</t>
        </is>
      </c>
      <c r="H103" s="2" t="n">
        <v>45921</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in-74f316c0138274dd</t>
        </is>
      </c>
      <c r="B104" t="inlineStr">
        <is>
          <t>Software Engineer II</t>
        </is>
      </c>
      <c r="C104" t="inlineStr">
        <is>
          <t>Amazon.com</t>
        </is>
      </c>
      <c r="D104" t="inlineStr">
        <is>
          <t>indeed</t>
        </is>
      </c>
      <c r="E104">
        <f>HYPERLINK("https://www.indeed.com/viewjob?jk=74f316c0138274dd", "https://www.indeed.com/viewjob?jk=74f316c0138274dd")</f>
        <v/>
      </c>
      <c r="F104">
        <f>HYPERLINK("https://www.amazon.jobs/jobs/3090680/software-engineer-ii?cmpid=DA_INAD200785B", "https://www.amazon.jobs/jobs/3090680/software-engineer-ii?cmpid=DA_INAD200785B")</f>
        <v/>
      </c>
      <c r="G104" t="inlineStr">
        <is>
          <t>Irvine, CA, US</t>
        </is>
      </c>
      <c r="H104" s="2" t="n">
        <v>45921</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in-9677bce974624664</t>
        </is>
      </c>
      <c r="B105" t="inlineStr">
        <is>
          <t>Senior Software Engineer - Query Processing, Aurora DSQL</t>
        </is>
      </c>
      <c r="C105" t="inlineStr">
        <is>
          <t>Amazon Web Services</t>
        </is>
      </c>
      <c r="D105" t="inlineStr">
        <is>
          <t>indeed</t>
        </is>
      </c>
      <c r="E105">
        <f>HYPERLINK("https://www.indeed.com/viewjob?jk=9677bce974624664", "https://www.indeed.com/viewjob?jk=9677bce974624664")</f>
        <v/>
      </c>
      <c r="F105">
        <f>HYPERLINK("https://www.amazon.jobs/jobs/2987643/senior-software-engineer--query-processing-aurora-dsql?cmpid=DA_INAD200785B", "https://www.amazon.jobs/jobs/2987643/senior-software-engineer--query-processing-aurora-dsql?cmpid=DA_INAD200785B")</f>
        <v/>
      </c>
      <c r="G105" t="inlineStr">
        <is>
          <t>East Palo Alto, CA, US</t>
        </is>
      </c>
      <c r="H105" s="2" t="n">
        <v>45796</v>
      </c>
      <c r="I10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in-bfa47fd0a8044340</t>
        </is>
      </c>
      <c r="B106" t="inlineStr">
        <is>
          <t>Senior Software Engineer - Query Processing, Aurora DSQL</t>
        </is>
      </c>
      <c r="C106" t="inlineStr">
        <is>
          <t>Amazon Web Services</t>
        </is>
      </c>
      <c r="D106" t="inlineStr">
        <is>
          <t>indeed</t>
        </is>
      </c>
      <c r="E106">
        <f>HYPERLINK("https://www.indeed.com/viewjob?jk=bfa47fd0a8044340", "https://www.indeed.com/viewjob?jk=bfa47fd0a8044340")</f>
        <v/>
      </c>
      <c r="F106">
        <f>HYPERLINK("https://www.amazon.jobs/jobs/2987643/senior-software-engineer--query-processing-aurora-dsql?cmpid=DA_INAD200785B", "https://www.amazon.jobs/jobs/2987643/senior-software-engineer--query-processing-aurora-dsql?cmpid=DA_INAD200785B")</f>
        <v/>
      </c>
      <c r="G106" t="inlineStr">
        <is>
          <t>Seattle, WA, US</t>
        </is>
      </c>
      <c r="H106" s="2" t="n">
        <v>45796</v>
      </c>
      <c r="I10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in-70f664f5084cfa0d</t>
        </is>
      </c>
      <c r="B107" t="inlineStr">
        <is>
          <t>Embedded C++ Software Engineer, Machine Learning Acceleration</t>
        </is>
      </c>
      <c r="C107" t="inlineStr">
        <is>
          <t>Amazon Web Services</t>
        </is>
      </c>
      <c r="D107" t="inlineStr">
        <is>
          <t>indeed</t>
        </is>
      </c>
      <c r="E107">
        <f>HYPERLINK("https://www.indeed.com/viewjob?jk=70f664f5084cfa0d", "https://www.indeed.com/viewjob?jk=70f664f5084cfa0d")</f>
        <v/>
      </c>
      <c r="F107">
        <f>HYPERLINK("https://www.amazon.jobs/jobs/2894488/embedded-c-software-engineer-machine-learning-acceleration?cmpid=DA_INAD200785B", "https://www.amazon.jobs/jobs/2894488/embedded-c-software-engineer-machine-learning-acceleration?cmpid=DA_INAD200785B")</f>
        <v/>
      </c>
      <c r="G107" t="inlineStr">
        <is>
          <t>Cupertino, CA, US</t>
        </is>
      </c>
      <c r="H107" s="2" t="n">
        <v>45691</v>
      </c>
      <c r="I10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in-3de17537276a9842</t>
        </is>
      </c>
      <c r="B108" t="inlineStr">
        <is>
          <t>Embedded C++ Software Engineer, Machine Learning Acceleration</t>
        </is>
      </c>
      <c r="C108" t="inlineStr">
        <is>
          <t>Amazon Web Services</t>
        </is>
      </c>
      <c r="D108" t="inlineStr">
        <is>
          <t>indeed</t>
        </is>
      </c>
      <c r="E108">
        <f>HYPERLINK("https://www.indeed.com/viewjob?jk=3de17537276a9842", "https://www.indeed.com/viewjob?jk=3de17537276a9842")</f>
        <v/>
      </c>
      <c r="F108">
        <f>HYPERLINK("https://www.amazon.jobs/jobs/2894488/embedded-c-software-engineer-machine-learning-acceleration?cmpid=DA_INAD200785B", "https://www.amazon.jobs/jobs/2894488/embedded-c-software-engineer-machine-learning-acceleration?cmpid=DA_INAD200785B")</f>
        <v/>
      </c>
      <c r="G108" t="inlineStr">
        <is>
          <t>Austin, TX, US</t>
        </is>
      </c>
      <c r="H108" s="2" t="n">
        <v>45691</v>
      </c>
      <c r="I10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li-4335826510</t>
        </is>
      </c>
      <c r="B2" t="inlineStr">
        <is>
          <t>Software Engineer – Specialties</t>
        </is>
      </c>
      <c r="C2" t="inlineStr">
        <is>
          <t>athenahealth</t>
        </is>
      </c>
      <c r="D2" t="inlineStr">
        <is>
          <t>linkedin</t>
        </is>
      </c>
      <c r="E2">
        <f>HYPERLINK("https://www.linkedin.com/jobs/view/4335826510", "https://www.linkedin.com/jobs/view/4335826510")</f>
        <v/>
      </c>
      <c r="F2" t="inlineStr"/>
      <c r="G2" t="inlineStr">
        <is>
          <t>Boston, MA</t>
        </is>
      </c>
      <c r="H2" t="inlineStr"/>
      <c r="I2" t="inlineStr">
        <is>
          <t>Join us as we work to create a thriving ecosystem that delivers accessible, high\-quality, and sustainable healthcare for all.
 We are looking for an Engineer to join our Clinicals team within our Core Services Engineering organization. Your job will be to contribute to accurate, unambiguous technical design specifications to the appropriate detail and deliver customer value in the form of high\-quality software components and services. You are a tenacious, but nimble learner, who demonstrates design \&amp; engineering excellence.
 You are a developer with experience building full stack web applications. You are an excellent communicator that is capable of quickly picking up the complicated healthcare space.
 As an engineer on the athenaClinicals Product team, you will have the opportunity to work on a broad range of product components and workflows used by doctors and clinicians, such as; order management, prescriptions, lab/imaging results, medical history documentation, and the coordination of patient care, in both ambulatory and inpatient settings.
**The Team:** 
 Our athenaClinicals team builds code that matters, working on the beating heart of doctors’ workflows that is used by over 100,000 healthcare providers daily. We build the interface that makes the interactions between these providers and the electronic health record as seamless as possible, and elevates what the doctor needs to see, when they need to see it. This team is innovative, passionate, and driven by our mission to help make an impact.
**Job Responsibilities**
* Design and develop code on an agile team of Engineers, a Scrum Master, a Product Owner, and Experience Designer
* Collaborate with team members to promote productivity and effectiveness, share business and technical insights with the broader engineering and product organization
* Develop knowledge and domain expertise. Take ownership of what you and the team build and coordinate your efforts across the teams to ensure proper completion
**Typical Qualifications**
* About 2\-4 years of software engineering experience with significant product development expertise
* Proficient in at least one modern programming language; relational databases, with modern UI frameworks helpful
* We work in Agile environment, so any Agile experience or CI/CD concepts is helpful
* Knowledge of Unix/Linux, SQL, RESTful API, and various other technologies is helpful
***Expected Compensation***
 $96,000 \- $162,000
*The base salary range shown reflects the full range for this role from minimum to maximum. At athenahealth, base pay depends on multiple factors, including job\-related experience, relevant knowledge and skills, how your qualifications compare to others in similar roles, and geographical market rates. Base pay is only one part of our competitive Total Rewards package \- depending on role eligibility, we offer both short and long\-term incentives by way of an annual discretionary bonus plan, variable compensation plan, and equity plans.*
**About Athenahealth**
***Our vision:***
*In an industry that becomes more complex by the day, we stand for simplicity. We offer IT solutions and expert services that eliminate the daily hurdles preventing healthcare providers from focusing entirely on their patients — powered by our vision to create a thriving ecosystem that delivers accessible, high\-quality, and sustainable healthcare for all.*
***Our company culture:***
*Our talented* 
*employees — or athenistas, as we call ourselves — spark the innovation and passion needed to accomplish our vision. We are a diverse group of dreamers and do\-ers with unique knowledge, expertise, backgrounds, and perspectives. We unite as mission\-driven problem\-solvers with a deep desire to achieve our vision and make our time here count. Our award\-winning culture is built around shared values of inclusiveness, accountability, and support.*
***Our DEI commitment:***
*Our vision of accessible, high\-quality, and sustainable healthcare for all requires addressing the inequities that stand in the way. That's one reason we prioritize diversity, equity, and inclusion in every aspect of our business, from attracting and sustaining a diverse workforce to maintaining an inclusive environment for athenistas, our partners, customers and the communities where we work and serve.*
**What We Can Do For You**
*Along with health and financial benefits, athenistas enjoy perks specific to each location, including commuter support, employee assistance programs, tuition assistance, employee resource groups, and collaborative* 
*workspaces* 
 —
 *some offices even welcome dogs.*
*We also encourage a better work\-life balance for athenistas with our flexibility. While we know in\-office collaboration is critical to our vision, we recognize that not all work needs to be done within an office environment,* 
*full\-time. With consistent communication and digital collaboration tools, athenahealth* 
*enables* 
*employees to find a balance that feels fulfilling and productive for each individual situation.*
*In addition to our traditional benefits and perks, we sponsor events throughout the year, including book clubs, external speakers, and hackathons. We provide athenistas with a company culture based on learning, the support of an engaged team, and an inclusive environment where all employees are valued.*
*Learn more about our culture and benefits here: athenahealth.com/careers*
*https://www.athenahealth.com/careers/equal\-opportunity*</t>
        </is>
      </c>
    </row>
    <row r="3">
      <c r="A3" t="inlineStr">
        <is>
          <t>li-4366391213</t>
        </is>
      </c>
      <c r="B3" t="inlineStr">
        <is>
          <t>Software Engineer II- Full-Stack Developer (.Net)</t>
        </is>
      </c>
      <c r="C3" t="inlineStr">
        <is>
          <t>Truist</t>
        </is>
      </c>
      <c r="D3" t="inlineStr">
        <is>
          <t>linkedin</t>
        </is>
      </c>
      <c r="E3">
        <f>HYPERLINK("https://www.linkedin.com/jobs/view/4366391213", "https://www.linkedin.com/jobs/view/4366391213")</f>
        <v/>
      </c>
      <c r="F3" t="inlineStr"/>
      <c r="G3" t="inlineStr">
        <is>
          <t>Charlotte, NC</t>
        </is>
      </c>
      <c r="H3" t="inlineStr"/>
      <c r="I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Bachelor’s degree in computer science, computer engineering or related degree and eight years of experience or an equivalent combination of education and work experience
* Truist\-specific knowledge, process, and skills
* .Net, HTML5, CSS, JavaScript, Angular, ReactJS, Java, Python, .Net, SQLServer, APIs (Rest/Soap), etc.
* Technical development experience with SAAS/Cloud systems/applications
* Platform Operations, System Interactions, security protocols, troubleshooting, problem/ticket resolution.
* Efforts to include analysis, design, coding/creating/development, testing and delivery of highly complex solutions
* Agile lifecycle development/delivery experience, specifically scrum team experience.
* Mobile dev experience a plus (iOS, Android)
* Experience using Rally
* Create and clearly explain Product Backlog Item
* Prioritize the Product Backlog Items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4">
      <c r="A4" t="inlineStr">
        <is>
          <t>li-4208343571</t>
        </is>
      </c>
      <c r="B4" t="inlineStr">
        <is>
          <t>Software Engineer 4 - Member, Commerce &amp; Games Engineering</t>
        </is>
      </c>
      <c r="C4" t="inlineStr">
        <is>
          <t>Netflix</t>
        </is>
      </c>
      <c r="D4" t="inlineStr">
        <is>
          <t>linkedin</t>
        </is>
      </c>
      <c r="E4">
        <f>HYPERLINK("https://www.linkedin.com/jobs/view/4208343571", "https://www.linkedin.com/jobs/view/4208343571")</f>
        <v/>
      </c>
      <c r="F4" t="inlineStr"/>
      <c r="G4" t="inlineStr"/>
      <c r="H4" t="inlineStr"/>
      <c r="I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are looking for distributed systems and software engineers to work on many of our core backend systems that directly impact our API platform, messaging, personalization, sign\-up, partnership, payments, and billing systems.
 As an engineer in this function, you will be applying your software development skills to solve complex problems with real world impact. You will be learning and contributing to scalable, highly\-available, complex distributed systems powering the most sophisticated entertainment service in the world.
 Does this sound like something you’d like to do? Awesome, let’s talk specifics.
**What We Need From You**
* You are skilled in object\-oriented programming and take pride in crafting efficient, maintainable and testable code. You have a solid foundation in computer science and software development concepts.
* You are able to work independently and drive features or components throughout the development lifecycle \- from identifying requirements to launching in production.
* You have exposure to the development, debugging, testing and operation of APIs, distributed systems, and cloud\-based services.
* You are self\-driven, prioritize effectively, and focus on impact.
* You communicate clearly in written and verbal form.
* Your co\-workers think of you as someone who is kind and does excellent work.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5">
      <c r="A5" t="inlineStr">
        <is>
          <t>li-4366791511</t>
        </is>
      </c>
      <c r="B5" t="inlineStr">
        <is>
          <t>Software Engineer, Ad Serving</t>
        </is>
      </c>
      <c r="C5" t="inlineStr">
        <is>
          <t>Roku</t>
        </is>
      </c>
      <c r="D5" t="inlineStr">
        <is>
          <t>linkedin</t>
        </is>
      </c>
      <c r="E5">
        <f>HYPERLINK("https://www.linkedin.com/jobs/view/4366791511", "https://www.linkedin.com/jobs/view/4366791511")</f>
        <v/>
      </c>
      <c r="F5" t="inlineStr"/>
      <c r="G5" t="inlineStr">
        <is>
          <t>New York, NY</t>
        </is>
      </c>
      <c r="H5" t="inlineStr"/>
      <c r="I5"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highly available, real\-time advertising platform is critical to support and grow Roku's ad business. It is the mission of the Ad Engineering Team to build this platform. We are hiring a Software Engineer to be a vital part of this mission. If you bring extensive experience building complex systems, love great technology at scale, enjoy mentoring, jumping in, and figuring things out in any system, this role is for you! 
**About the Role** 
 Roku pioneered TV streaming and continues to innovate and lead the industry. The Roku Channel has us well\-positioned to help shape the future of streaming. Continued success relies on investing in Advertising Engineering. The ideal candidate will have endless curiosity and can pair a global mindset with locally relevant execution. The successful candidate will display a balance of hard and soft skills, including the ability to respond quickly to changing business needs.
 For New York Only \- The estimated annual salary for this position is between $126,000 \- $318,000 annually. Compensation packages are based on factors unique to each candidate, including but not limited to skill set, certifications, and specific geographical location.This role is eligible for health insurance, equity awards, life insurance, disability benefits, parental leave, wellness benefits, and paid time off.
 What you'll be doing: 
 * Work alongside a highly skilled engineering team to design, develop, and maintain large scale, highly performing, real\-time applications
* Own building features, driving directly with product and other engineering teams
* Demonstrate excellent communication skills in working with technical and non\-technical audiences
* Be an evangelist for best practices across all functions – developers, QA, and infrastructure/ops
* Be an evangelist for platform innovation and reuse
* Deliver top\-quality software in a timely fashion
**We're excited if you have:** 
* 4 \- 8 years of experience building large scale and low latency distributed systems
* B.S. or M.S. degree in Computer Science, Engineering, or equivalent
* Command of Java or C\+\+
* Solid understanding of algorithms, data structures, performance optimization techniques, object\-oriented programming, multi\-threading, and real\-time programming
* Experience with distributed caching, SQL/NO SQL, and other databases is a plus
* Experience with Big Data and cloud services such as AWS/GCP is a plus
* Experience in advertising domain a big plus
* Self\-motivated individual with a high level of accountability and ownership
* Critical thinking and practical decision making
* Can do, results\-oriented mindset
* Nonpolitical, collaborative, and team oriented
* Desire to win in a highly competitive industry
* AI literacy and curiosity. You have either 1\) tried Gen AI in your previous work or outside of work or 2\) are curious about Gen AI and have explored it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6">
      <c r="A6" t="inlineStr">
        <is>
          <t>li-4356531802</t>
        </is>
      </c>
      <c r="B6" t="inlineStr">
        <is>
          <t>Software Engineer</t>
        </is>
      </c>
      <c r="C6" t="inlineStr">
        <is>
          <t>Coursedog</t>
        </is>
      </c>
      <c r="D6" t="inlineStr">
        <is>
          <t>linkedin</t>
        </is>
      </c>
      <c r="E6">
        <f>HYPERLINK("https://www.linkedin.com/jobs/view/4356531802", "https://www.linkedin.com/jobs/view/4356531802")</f>
        <v/>
      </c>
      <c r="F6">
        <f>HYPERLINK("https://coursedog.pinpointhq.com/postings/6234728d-ad76-4ff0-b0f0-d50f296b183a/applications/new?utm_medium=job_board&amp;utm_source=linkedIn&amp;urlHash=VKk8", "https://coursedog.pinpointhq.com/postings/6234728d-ad76-4ff0-b0f0-d50f296b183a/applications/new?utm_medium=job_board&amp;utm_source=linkedIn&amp;urlHash=VKk8")</f>
        <v/>
      </c>
      <c r="G6" t="inlineStr"/>
      <c r="H6" t="inlineStr"/>
      <c r="I6" t="inlineStr">
        <is>
          <t>**Department:** 
 Engineering
**Location:** 
 Remote
**Compensation:** 
 $70,000 \- $100,000 / year
**Description**
**About the Role:**
 We are looking for a
 **Software Engineer** 
 to join our Engineering team.
 This role focuses on building and maintaining reliable, scalable software systems across the product. You will work on both backend services and frontend applications, contributing to customer\-facing features and internal tooling with an emphasis on code quality, performance, and maintainability.
 You will collaborate closely with product, design, and other engineering teams while owning problems end to end.
 This role offers a competitive
 **base salary ranging from $70,000–$90,000** 
 , depending on experience. The position includes a performance\-based variable compensation plan, bringing the
 **total on\-target earnings (OTE) to $75,000–$100,000** 
 when goals are met.
**Key Responsibilities**
* Build and maintain backend services and APIs.
* Develop and maintain frontend applications using TypeScript and Vue (or similar frameworks).
* Design, implement, and maintain well\-structured, testable code.
* Review pull requests and provide constructive, actionable feedback.
* Debug and improve existing systems, including legacy components.
* Improve system reliability, performance, and scalability.
* Collaborate with cross\-functional partners to deliver features and resolve issues.
* Contribute to engineering documentation and best practices.
**Skills Knowledge And Expertise**
**Required:**
* Experience with TypeScript and modern JavaScript.
* Experience building frontend applications using Vue.js (or similar frameworks).
* Experience with Node.js for backend development.
* Solid understanding of REST APIs and software design principles.
* Experience with databases such as MongoDB, Redis, and relational databases.
* Strong debugging and problem\-solving skills.
* Ability to work in ambiguous problem spaces and learn new systems quickly.
* Clear communicator with both technical and non\-technical stakeholders.
**Nice to Have:**
* Experience with AWS, queues, or serverless systems (e.g., Lambda).
* Exposure to AI\-powered or AI\-adjacent systems.
* Backend experience beyond Node.js (e.g., Python, Java, .NET).
**Working at Coursedog**
**Healthcare, Dental \&amp; Vision**
 We follow a fixed contribution model to promote equity and transparency. Every employee receives the same annual dollar amount to apply toward medical, dental, and vision coverage. This approach gives you the flexibility to choose the plan that best fits your needs, whether that is a base\-level option or more comprehensive coverage.
 Depending on the selected coverage level, the company covers:
* Employee\-only coverage: 65% to 99% of monthly premiums
* Employee plus dependents: 45% to 75% of monthly premiums
 We partner with Aetna and Guardian, and offer access to best\-in\-class wellness and support programs, including:
* Spring Health (mental health support)
* XP Health (vision benefits)
* Carrot Fertility (family planning support)
* One Medical (primary care)
 We also support pre\-tax savings through
 **Health Savings Accounts (HSA) and Flexible Spending Accounts (FSA).**
**Retirement Planning** 
 To support long\-term financial health, we offer a Safe Harbor 401(k) plan from day one of employment. Coursedog provides a 4% employer match on your total compensation (subject to federal limits) each pay period for employees contributing to a tax\-advantaged retirement account.
**Paid Time Off** 
 We trust our employees to manage their time responsibly. That’s why we offer an unlimited Paid Time Off policy — because flexibility and balance are critical for sustained excellence and personal well\-being.
**Remote\-First Since Inception** 
 We were built for distributed work. Our culture emphasizes flexibility over rigidity, outcomes over hours, and transparency over gatekeeping. We are committed to being a remote\-first organization indefinitely, empowering you to work where and how you thrive best.
**Equity** 
 As a valued contributor to our collective success, you’ll participate in the upside. All employees are granted equity in the company aligned to your role and tenure. Equity grants are reviewed and adjusted with promotions to reflect your evolving impact.
**Paid Parental Leave** 
 We proudly support working parents with industry\-leading benefits. Employees are eligible for up to 12 weeks of fully paid leave. This benefit is available to all eligible employees, regardless of gender or family structure.</t>
        </is>
      </c>
    </row>
    <row r="7">
      <c r="A7" t="inlineStr">
        <is>
          <t>li-4366782587</t>
        </is>
      </c>
      <c r="B7" t="inlineStr">
        <is>
          <t>Senior Software Engineer</t>
        </is>
      </c>
      <c r="C7" t="inlineStr">
        <is>
          <t>MS2soft</t>
        </is>
      </c>
      <c r="D7" t="inlineStr">
        <is>
          <t>linkedin</t>
        </is>
      </c>
      <c r="E7">
        <f>HYPERLINK("https://www.linkedin.com/jobs/view/4366782587", "https://www.linkedin.com/jobs/view/4366782587")</f>
        <v/>
      </c>
      <c r="F7" t="inlineStr"/>
      <c r="G7" t="inlineStr">
        <is>
          <t>Ann Arbor, MI</t>
        </is>
      </c>
      <c r="H7" t="inlineStr"/>
      <c r="I7" t="inlineStr">
        <is>
          <t>MS2 is a national leader in transportation data management and analysis and has the largest traffic count database in North America. More than 270 agencies in 31 US States, and 3 Canadian Provinces, including 28 state Departments of Transportation, are using MS2 software to manage their transportation data.
 MS2 is located in the beautiful city of Ann Arbor, Michigan, the home of high\-tech industries and the University of Michigan. Residents of the city enjoy beautiful parks, mature neighborhoods, amenities of the Huron River and easy access to downtown Detroit or to colorful "Pure Michigan" woods and waterways.
 MS2 is a friendly, open, team working to support our clients' software needs. Staff members work on a variety of tasks and are given a high degree of responsibility. We offer an excellent environment for transportation professionals and Software Engineers with competitive compensation and benefit packages. We're a small team and you'll have an opportunity to make a big impact!
 We are seeking a Senior Software Engineer to design, build, and maintain the core systems that power MS2's transportation platform. You will partner with product and engineering teams to deliver features across the full stack, from backend services and APIs to database integration and front\-end user experiences. The role emphasizes ownership, technical craftsmanship, and the ability to solve complex problems independently while collaborating with an experienced, supportive team.
**Responsibilities:**
* Own delivery of moderately to highly complex features across the SDLC, from discovery and design through implementation, release, and support
* Design and implement well\-structured, maintainable, and testable solutions in alignment with agreed technical patterns and project goals
* Translate business requirements into clear technical specifications (workflows, APIs, data models), including tradeoffs, risks, and effort
* Collaborate closely with product, QA, and other engineers to align on approach and execution
* Act as a primary owner for one or more services, modules, or core capabilities, including code health, operational readiness, and ongoing improvements
* Contribute to system reliability and supportability through automated testing, monitoring/alerting, performance tuning, and root\-cause analysis
* Troubleshoot, debug, and upgrade existing systems, including participation in incident response and prevention (follow\-up fixes and improvements)
* Participate in code reviews and design reviews, and help raise engineering quality through feedback, standards, and shared learning
* Mentor and support Software Engineers through pairing, technical guidance, and coaching on best practices
* Partner with engineering leadership to break down work, estimate, surface dependencies and risks, and drive delivery of assigned initiatives
**Requirements**
* Bachelor's degree in computer science, engineering, or equivalent practical experience
* 6\+ years of professional software engineering experience (or equivalent demonstrated capability)
* Strong experience building production software with C\#/.NET
* Strong SQL skills and experience working with relational databases in production environments
* Demonstrated experience writing and maintaining automated tests (unit and integration) and working within CI/CD workflows
* Excellent verbal and written communication skills, with the ability to explain technical decisions and tradeoffs clearly
* Strong analytical and problem\-solving skills, including diagnosing issues in complex systems
**Preferred:**
* Experience with JavaScript, TypeScript, and React
* Experience with GIS systems including ESRI and map visualization tools such as Google Maps or Mapnik
* Git / GitHub experience
* Proven experience owning and optimizing production systems for performance, reliability, and maintainability over time
* ASP.NET (Web Forms, MVC, or Core) experience
* Experience writing low\-level software communicating with TCP/IP
**Benefits**
**We offer a competitive salary and benefits package.**
 We promote a strong work/life balance at MS2\. We encourage our employees to pursue their professional interests and take ownership of projects from start to finish. You'll be working with big data and cloud\-based solutions using the latest technologies as part of a fun and energetic team. We get along so well, we even have regular nights out and company sponsored dinners to celebrate our successes! It's a great place to work.
**Salary:**
 $110,000 \- $145,000 a year, to be determined based on candidate's individual skills and experience
**Benefits:**
* Participation in the company's annual bonus program
* 401(k) with matching
* Dental insurance
* Employee assistance program
* Flexible schedule
* Flexible spending account
* Health insurance
* Life insurance
* Paid time off
* Professional development assistance
* Referral program
* Disability insurance
* Vision insurance
**We Want You to Be You at MS2\.**
 At MS2 a diverse, inclusive, and equitable workplace is one where all employees, whatever their race, gender, color, ethnicity, national origin, age, sexual orientation or identity, education, disability, religion, or veteran status, feel valued and respected. We are committed to a nondiscriminatory approach and provide equal opportunity for employment and advancement in all of our departments and programs. We respect and value diverse life experiences and heritages and ensure that all voices are valued and heard.
**MS2 is committed to maintaining a welcoming environment with equitable treatment for all, and we strive to:**
* Provide a working environment where all employees feel safe, comfortable, and valued
* See diversity, inclusion, and equity as connected to our mission and critical to ensure the well\-being of our staff and the agencies we serve
* Examine and dismantle any inequities within our policies, systems, programs, and services, and continually update and report our progress to our employees
* Explore potential underlying, unquestioned assumptions that interfere with inclusiveness
* Encourage company\-wide thinking about how systemic inequities impact our organization's work, and how best to address that in a way that is consistent with our mission
* Help to challenge assumptions about what it takes to be a strong leader at our organization, and who is well\-positioned to provide leadership
* Practice and encourage respectful and transparent communication in all interactions
* Commit time and resources to expand more diverse leadership at all levels of our organization
* Lead with respect and tolerance. We expect all employees to embrace this notion and to express it in workplace interactions and through everyday practices
 MS2 wants every employee to feel our commitment to showing respect for everyone, and we encourage open communication that enables each person to be their best self.
 MS2 is an Equal Opportunity Employer. All qualified applicants will receive consideration for employment without regard to race, color, religion, sex, sexual orientation, gender identity, national origin, disability, or veteran status.
**Hybrid work**
 We expect staff to work from our office in Ann Arbor generally at least one day per week. Relocation assistance is available to successful candidates who are interested in moving to the Ann Arbor area.</t>
        </is>
      </c>
    </row>
    <row r="8">
      <c r="A8" t="inlineStr">
        <is>
          <t>li-4366797345</t>
        </is>
      </c>
      <c r="B8" t="inlineStr">
        <is>
          <t>Software Engineer</t>
        </is>
      </c>
      <c r="C8" t="inlineStr">
        <is>
          <t>MS2soft</t>
        </is>
      </c>
      <c r="D8" t="inlineStr">
        <is>
          <t>linkedin</t>
        </is>
      </c>
      <c r="E8">
        <f>HYPERLINK("https://www.linkedin.com/jobs/view/4366797345", "https://www.linkedin.com/jobs/view/4366797345")</f>
        <v/>
      </c>
      <c r="F8" t="inlineStr"/>
      <c r="G8" t="inlineStr">
        <is>
          <t>Ann Arbor, MI</t>
        </is>
      </c>
      <c r="H8" t="inlineStr"/>
      <c r="I8" t="inlineStr">
        <is>
          <t>MS2 is a national leader in transportation data management and analysis and has the largest traffic count database in North America. More than 270 agencies in 31 US States, and 3 Canadian Provinces, including 28 state Departments of Transportation, are using MS2 software to manage their transportation data.
 MS2 is located in the beautiful city of Ann Arbor, Michigan, the home of high\-tech industries and the University of Michigan. Residents of the city enjoy beautiful parks, mature neighborhoods, amenities of the Huron River and easy access to downtown Detroit or to colorful "Pure Michigan" woods and waterways.
 MS2 is a friendly, open team working to support our clients' software needs. Staff members work on a variety of tasks and are given a high degree of responsibility. We offer an excellent environment for transportation professionals and Software Engineers with competitive compensation and benefit packages. We're a small team and you'll have an opportunity to make a big impact!
 We are seeking a Software Engineer who can reliably deliver features end\-to\-end with occasional direction, while growing toward the independence and ownership expected of an Senior Engineer. You will contribute across the SDLC, collaborate closely with product, QA, and other engineers, and steadily take on more complex work over time.
**Responsibilities:**
* Deliver small to moderately complex features across the SDLC, from understanding requirements through implementation, testing, and release
* Write clean, maintainable, and testable code, following team standards and established patterns
* Collaborate with stakeholders and other engineers to clarify requirements and translate them into workable technical tasks (including constraints, risks, and tradeoffs)
* Contribute to system reliability and supportability through automated tests, debugging, and incremental improvements
* Triage and resolve defects in production and non\-production environments, escalating and pairing as needed
* Participate in code reviews as both author and reviewer, and incorporate feedback to improve engineering quality
* Create and maintain lightweight technical documentation (implementation notes, runbooks, and operational considerations)
* Grow ownership over one or more modules, workflows, or services over time, including knowledge sharing with the team
**Requirements**
* Bachelor's degree in computer science, engineering, or equivalent practical experience
* 3\+ years of professional software engineering experience (or equivalent demonstrated capability)
* Experience building production software with C\#/.NET
* Working knowledge of SQL and relational databases (writing queries, understanding schemas, and using SQL to troubleshoot issues)
* Experience writing and maintaining automated tests (unit and/or integration), plus comfort working in CI workflows
* Strong problem\-solving skills and ability to learn unfamiliar systems
* Clear written and verbal communication
**Preferred:**
* Experience identifying and resolving application performance bottlenecks through profiling, data access optimization, and responsiveness improvements
* Git / GitHub experience (pull\-request\-based collaboration)
* Experience working on systems with large datasets, ETLs, or complex data workflows
* Experience with JavaScript/TypeScript and React
* Experience with ASP.NET (Web Forms, MVC, or Core)
* Experience with GIS systems including ESRI and map visualization tools such as Google Maps or Mapnik
* Experience writing low\-level software communicating with TCP/IP
**Benefits**
**We offer a competitive salary and benefits package.**
 We promote a strong work/life balance at MS2\. We encourage our employees to pursue their professional interests and take ownership of projects from start to finish. You'll be working with big data and cloud\-based solutions using the latest technologies as part of a fun and energetic team. We get along so well, we even have regular nights out and company sponsored dinners to celebrate our successes! It's a great place to work.
**Salary:**
 $90,000 \- $112,000 a year, to be determined based on candidate's individual skills and experience.
**Benefits:**
* Participation in the company's annual bonus program
* 401(k) with matching
* Dental insurance
* Employee assistance program
* Flexible schedule
* Flexible spending account
* Health insurance
* Life insurance
* Paid time off
* Professional development assistance
* Referral program
* Disability insurance
* Vision insurance
**We Want You to Be You at MS2\.**
 At MS2 a diverse, inclusive, and equitable workplace is one where all employees, whatever their race, gender, color, ethnicity, national origin, age, sexual orientation or identity, education, disability, religion, or veteran status, feel valued and respected. We are committed to a nondiscriminatory approach and provide equal opportunity for employment and advancement in all of our departments and programs. We respect and value diverse life experiences and heritages and ensure that all voices are valued and heard.
**MS2 is committed to maintaining a welcoming environment with equitable treatment for all, and we strive to:**
* Provide a working environment where all employees feel safe, comfortable, and valued
* See diversity, inclusion, and equity as connected to our mission and critical to ensure the well\-being of our staff and the agencies we serve
* Examine and dismantle any inequities within our policies, systems, programs, and services, and continually update and report our progress to our employees
* Explore potential underlying, unquestioned assumptions that interfere with inclusiveness
* Encourage company\-wide thinking about how systemic inequities impact our organization's work, and how best to address that in a way that is consistent with our mission
* Help to challenge assumptions about what it takes to be a strong leader at our organization, and who is well\-positioned to provide leadership
* Practice and encourage respectful and transparent communication in all interactions
* Commit time and resources to expand more diverse leadership at all levels of our organization
* Lead with respect and tolerance. We expect all employees to embrace this notion and to express it in workplace interactions and through everyday practices
 MS2 wants every employee to feel our commitment to showing respect for everyone, and we encourage open communication that enables each person to be their best self.
 MS2 is an Equal Opportunity Employer. All qualified applicants will receive consideration for employment without regard to race, color, religion, sex, sexual orientation, gender identity, national origin, disability, or veteran status.
**Hybrid work**
 We expect staff to work from our office in Ann Arbor generally at least one day per week. Relocation assistance is available to successful candidates who are interested in moving to the Ann Arbor area.</t>
        </is>
      </c>
    </row>
    <row r="9">
      <c r="A9" t="inlineStr">
        <is>
          <t>li-4366773561</t>
        </is>
      </c>
      <c r="B9" t="inlineStr">
        <is>
          <t>Software Engineer, Java</t>
        </is>
      </c>
      <c r="C9" t="inlineStr">
        <is>
          <t>CLEAR</t>
        </is>
      </c>
      <c r="D9" t="inlineStr">
        <is>
          <t>linkedin</t>
        </is>
      </c>
      <c r="E9">
        <f>HYPERLINK("https://www.linkedin.com/jobs/view/4366773561", "https://www.linkedin.com/jobs/view/4366773561")</f>
        <v/>
      </c>
      <c r="F9" t="inlineStr"/>
      <c r="G9" t="inlineStr">
        <is>
          <t>New York, NY</t>
        </is>
      </c>
      <c r="H9" t="inlineStr"/>
      <c r="I9"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an experienced Software Engineer to help us build the next generation of products which will go beyond just ID and enable our members to leverage the power of a networked digital identity. As a Software Engineer at CLEAR, you will participate in the design, implementation, testing, and deployment of applications to build and enhance our platform\- one that interconnects dozens of attributes and qualifications while keeping member privacy and security at the core.  
***A brief highlight of our tech stack:***
* Java / Kafka / Postgres
* AWS cloud
***What you'll do:***
* Advance our capabilities across a wide array of industries and domains and gain hands\-on experience with privacy, security, data modeling and architecture
* Develop and deliver code across the full stack, driving engineering excellence by defining to best practices in testing, documentation and observability
* Partner with product and other stakeholders to uncover requirements, to innovate, and to solve complex problems
* Have a strong sense of ownership, responsible for architectural decision\-making and striving for continuous improvement in technology and processes at CLEAR
***What you’re great at:***
* 3\+ years of backend software development experience in Java
* Working with cloud\-based application development, and being fluent in at least a few of:
+ Cloud service providers like AWS
+ Containerization technologies like Docker and Kubernetes
+ Collaboration, integration, and deployment tools like Github, Argo, and Jenkins
* Articulating technical concepts to a mixed audience of technical and non\-technical stakeholders
* Collaborating and mentoring less experienced members of the team
* Comfort with ambiguity
* Curiosity about technology, belief in constant learning, and the ability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match.The base salary range for this role is $150,000 \- $180,000,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10">
      <c r="A10" t="inlineStr">
        <is>
          <t>li-4366779965</t>
        </is>
      </c>
      <c r="B10" t="inlineStr">
        <is>
          <t>Senior Software Engineer, Ad Serving</t>
        </is>
      </c>
      <c r="C10" t="inlineStr">
        <is>
          <t>Roku</t>
        </is>
      </c>
      <c r="D10" t="inlineStr">
        <is>
          <t>linkedin</t>
        </is>
      </c>
      <c r="E10">
        <f>HYPERLINK("https://www.linkedin.com/jobs/view/4366779965", "https://www.linkedin.com/jobs/view/4366779965")</f>
        <v/>
      </c>
      <c r="F10" t="inlineStr"/>
      <c r="G10" t="inlineStr">
        <is>
          <t>New York, NY</t>
        </is>
      </c>
      <c r="H10" t="inlineStr"/>
      <c r="I10"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and highly available real\-time advertising platform is crucial for supporting and growing Roku's advertising business. The mission of the Ad Engineering Team is to build this platform. We are hiring a Senior Software Engineer for the Advertising Platform to play a vital role in this mission. If you bring extensive experience building complex systems, love great technology at scale, enjoy mentoring, jumping in, and figuring things out in any system, this role is for you! 
**About the Role** 
 Roku pioneered TV streaming and continues to innovate, leading the industry. The Roku Channel has us well\-positioned to help shape the future of streaming. Continued success relies on investing in Advertising Engineering. The ideal candidate will possess endless curiosity and be able to pair a global mindset with locally relevant execution. The successful candidate will demonstrate a balance of hard and soft skills, including the ability to respond promptly to evolving business needs.
 Building a real\-time, highly scalable, and available advertising platform is critical for our success. Our team’s mission is to build a best\-in\-class advertising platform to support and grow Roku’s exploding ad business. Our platforms are highly performant, deployed at scale, and set new standards for enabling effective advertising while protecting user privacy.
 For New York Only \- The estimated annual salary for this position is between $186,000 \- $360,000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Work alongside a highly skilled engineering team to design, develop, and maintain large\-scale, highly performing, real\-time applications
* Own building features, driving directly with the product, and other engineering teams
* Demonstrate excellent communication skills in working with technical and non\-technical audiences
* Be an evangelist for best practices across all functions – developers, QA, and infrastructure/ops
* Be an evangelist for platform innovation and reuse
* Deliver top\-quality software in a timely fashion
**We're excited if you have:** 
* 10\+ years of experience building large\-scale and low\-latency distributed systems
* Command of Java or C\+\+
* Solid understanding of algorithms, data structures, performance optimization techniques, object\-oriented programming, multi\-threading, and real\-time programming
* Experience with distributed caching, SQL/NoSQL, and other databases is a plus
* Experience with Big Data and cloud services such as AWS/GCP is a plus
* Experience in the advertising domain is a big plus
* B.S. or M.S. degree in Computer Science, Engineering, or equivalent
* Self\-motivated individual with a high level of accountability and ownership
* Critical thinking and practical decision\-making
* Can do, results\-oriented mindset
* Nonpolitical, collaborative, and team\-oriented
* Desire to win in a highly competitive industry
* AI literacy and curiosity. You have either 1\) tried Gen AI in your previous work or outside of work or 2\) are curious about Gen AI and have explored it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1">
      <c r="A11" t="inlineStr">
        <is>
          <t>li-4366796297</t>
        </is>
      </c>
      <c r="B11" t="inlineStr">
        <is>
          <t>Senior Software Engineer, Ad Serving</t>
        </is>
      </c>
      <c r="C11" t="inlineStr">
        <is>
          <t>Roku</t>
        </is>
      </c>
      <c r="D11" t="inlineStr">
        <is>
          <t>linkedin</t>
        </is>
      </c>
      <c r="E11">
        <f>HYPERLINK("https://www.linkedin.com/jobs/view/4366796297", "https://www.linkedin.com/jobs/view/4366796297")</f>
        <v/>
      </c>
      <c r="F11" t="inlineStr"/>
      <c r="G11" t="inlineStr">
        <is>
          <t>Boston, MA</t>
        </is>
      </c>
      <c r="H11" t="inlineStr"/>
      <c r="I11"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and highly available real\-time advertising platform is crucial for supporting and growing Roku's advertising business. The mission of the Ad Engineering Team is to build this platform. We are hiring a Senior Software Engineer for the Advertising Platform to play a vital role in this mission. If you bring extensive experience building complex systems, love great technology at scale, enjoy mentoring, jumping in, and figuring things out in any system, this role is for you! 
**About the Role** 
 Roku pioneered TV streaming and continues to innovate, leading the industry. The Roku Channel has us well\-positioned to help shape the future of streaming. Continued success relies on investing in Advertising Engineering. The ideal candidate will possess endless curiosity and be able to pair a global mindset with locally relevant execution. The successful candidate will demonstrate a balance of hard and soft skills, including the ability to respond promptly to evolving business needs.
 Building a real\-time, highly scalable, and available advertising platform is critical for our success. Our team’s mission is to build a best\-in\-class advertising platform to support and grow Roku’s exploding ad business. Our platforms are highly performant, deployed at scale, and set new standards for enabling effective advertising while protecting user privacy.
 For Massachusetts Only \- The estimated annual salary for this position is between $198,000 \- $286,000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Work alongside a highly skilled engineering team to design, develop, and maintain large\-scale, highly performing, real\-time applications
* Own building features, driving directly with the product, and other engineering teams
* Demonstrate excellent communication skills in working with technical and non\-technical audiences
* Be an evangelist for best practices across all functions – developers, QA, and infrastructure/ops
* Be an evangelist for platform innovation and reuse
* Deliver top\-quality software in a timely fashion
**We're excited if you have:** 
* 10\+ years of experience building large\-scale and low\-latency distributed systems
* Command of Java or C\+\+
* Solid understanding of algorithms, data structures, performance optimization techniques, object\-oriented programming, multi\-threading, and real\-time programming
* Experience with distributed caching, SQL/NoSQL, and other databases is a plus
* Experience with Big Data and cloud services such as AWS/GCP is a plus
* Experience in the advertising domain is a big plus
* B.S. or M.S. degree in Computer Science, Engineering, or equivalent
* Self\-motivated individual with a high level of accountability and ownership
* Critical thinking and practical decision\-making
* Can do, results\-oriented mindset
* Nonpolitical, collaborative, and team\-oriented
* Desire to win in a highly competitive industry
* AI literacy and curiosity. You have either 1\) tried Gen AI in your previous work or outside of work or 2\) are curious about Gen AI and have explored it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2">
      <c r="A12" t="inlineStr">
        <is>
          <t>li-4366789221</t>
        </is>
      </c>
      <c r="B12" t="inlineStr">
        <is>
          <t>Software Engineer</t>
        </is>
      </c>
      <c r="C12" t="inlineStr">
        <is>
          <t>Bradesco Bank</t>
        </is>
      </c>
      <c r="D12" t="inlineStr">
        <is>
          <t>linkedin</t>
        </is>
      </c>
      <c r="E12">
        <f>HYPERLINK("https://www.linkedin.com/jobs/view/4366789221", "https://www.linkedin.com/jobs/view/4366789221")</f>
        <v/>
      </c>
      <c r="F12" t="inlineStr"/>
      <c r="G12" t="inlineStr">
        <is>
          <t>Coral Gables, FL</t>
        </is>
      </c>
      <c r="H12" t="inlineStr"/>
      <c r="I12" t="inlineStr">
        <is>
          <t>**Must be authorized to work in the U.S. without the need for employment\-based visa sponsorship now or in the future.** 
**About the Role** 
 Develop, implement, and maintain software solutions supporting banking operations and digital channels. Collaborate with cross\-functional teams to deliver secure, scalable, and innovative banking products. Participate in the full software development lifecycle, from requirements gathering to deployment and maintenance
**Scope of Responsibilities** 
* Design, develop, and test software applications for banking platforms (web, mobile, backend).
* Integrate banking systems with third\-party services (e.g., payment processors, core banking systems).
* Troubleshoot and resolve technical issues, ensuring high availability and reliability of banking services.
* Implement and maintain security controls to protect sensitive financial data.
* Document technical specifications, workflows, and user guides for developed solutions.
* Participate in Agile ceremonies (sprint planning, daily stand\-ups, retrospectives).
* Mentor junior developers and contribute to team knowledge sharing.
* Collaborate with compliance and risk teams to ensure software meets regulatory requirements.
* Support incident management and root cause analysis for production issues.
* Ensure solutions comply with banking regulations (e.g., PCI\-DSS, GLBA, FFIEC) and internal security standards.
* Drive continuous improvement by adopting best practices in coding, testing, and DevOps.
* Stay updated on emerging technologies relevant to banking (cloud, APIs, cybersecurity, automation).
**Qualifications \&amp; Requirements** 
* Bachelor’s degree in Computer Science, Software Engineering, Information Technology, or related field.
* Proven experience in software development, preferably in banking or financial services.
* Proficiency in programming languages such as Java, Python, C\#, SQL, JavaScript, or similar.
* Experience with cloud platforms (AWS, Azure) and microservices architecture.
* Familiarity with banking systems, APIs, and integration protocols
* Knowledge of cybersecurity principles and compliance standards
* Experience with Agile methodologies and tools (Jira, Confluence, Git).
* Strong analytical and problem\-solving skills.
* Occasional availability for on\-call/emergency support and flexible working hours.
**Language:** 
 Excellent written and verbal communication skills in English, portuguese or Spanish language skills are a plus.
 Bradesco Bank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Search for this job, NO EMPLOYMENT AGENCIES, HEAD HUNTERS, EXECUTIVE SEARCH FIRMS OR REPRESENTATIVE CALLS PLEASE.</t>
        </is>
      </c>
    </row>
    <row r="13">
      <c r="A13" t="inlineStr">
        <is>
          <t>li-4366770487</t>
        </is>
      </c>
      <c r="B13" t="inlineStr">
        <is>
          <t>Software Engineer 2, Post Trade</t>
        </is>
      </c>
      <c r="C13" t="inlineStr">
        <is>
          <t>DriveWealth</t>
        </is>
      </c>
      <c r="D13" t="inlineStr">
        <is>
          <t>linkedin</t>
        </is>
      </c>
      <c r="E13">
        <f>HYPERLINK("https://www.linkedin.com/jobs/view/4366770487", "https://www.linkedin.com/jobs/view/4366770487")</f>
        <v/>
      </c>
      <c r="F13">
        <f>HYPERLINK("https://www.drivewealth.com/company/job?gh_jid=7608349003?gh_jid=7608349003&amp;urlHash=A1G2", "https://www.drivewealth.com/company/job?gh_jid=7608349003?gh_jid=7608349003&amp;urlHash=A1G2")</f>
        <v/>
      </c>
      <c r="G13" t="inlineStr">
        <is>
          <t>New York, NY</t>
        </is>
      </c>
      <c r="H13" t="inlineStr"/>
      <c r="I13" t="inlineStr">
        <is>
          <t>DriveWealth is a global B2B financial technology organization dedicated to democratizing access to financial independence around the world. Our mission is realized through an API\-based platform, empowering our partners to offer seamless investing and trading experiences to clients worldwide, all from their mobile devices.
 Our technology provides partners with a modern, extensible toolkit, enabling traditional investment workflows and innovative techniques like fractional share ownership. DriveWealth has evolved into a global platform offering trading of US equities, mutual funds, ETFs, fixed income, and options.
 We seek enthusiastic professionals to contribute diverse perspectives and experiences to our Brokerage\-as\-a\-Service platform. Our culture blends the pace and opportunity of a tech start\-up with the impact, stability, and significance of Wall Street. We encourage creativity and experimentation while ensuring institutional\-grade execution and regulatory compliance in everything we do. We value diversity and inclusion, celebrating the unique differences of our employees as we scale and grow together. We’re guided by operating principles grounded in accountability, teamwork, integrity, and solutions built to scale. Join us!
**About The Role**
 We are looking for a
 **Software Engineer Level 2** 
 to join our
 **Brokerage Platform as a Service** 
 and API teams. In this role, you will contribute to the design and development of Drivewealth back office platform on cloud using
 **Java, Kafka, Postgres** 
 . You'll work on building
 **event\-driven microservices** 
 , ensuring that our platform can process high volumes of accounts and transactions in real\-time with low latency. You will also help improve the performance and scalability of our systems.
 As a
 **Software Engineer** 
 , you will work closely with senior engineers and technical leads to build and maintain cloud\-native applications that support the growth and scalability of our brokerage platform.
**What You’ll Do**
* Develop and maintain Java applications with a focus on high\-performance, scalable, and resilient systems that can handle large volumes of transactions related to various asset classes like equities, options, mutual funds, fixed income etc
* Contribute to building event\-driven microservices using messaging systems like Kafka to enable asynchronous communication and scalability
* Work on multi\-threaded programming to ensure optimal system performance in concurrent environments
* Collaborate with the team to integrate and improve CI/CD pipelines, ensuring automated, fast, and reliable software delivery
* Participate in automated testing, writing unit and integration tests to ensure code quality and system stability
* Assist with optimizing system performance and troubleshooting any issues related to latency or throughput
* Work with other engineers to ensure high availability and fault tolerance for critical services
* Contribute to technical discussions, learning from senior engineers, and sharing your knowledge with peers
**What You’ll Need**
* Solid understanding of software engineering foundations including data structures, cloud computing, algorithms, databases and curiosity to learn new technologies
* 3\-5 years of experience in software development, with a focus on Java and relational databases and building high\-performance systems
* Exposure to multi\-threading and concurrent programming to build systems that perform efficiently in multi\-core environments
* Exposure to event\-driven architecture and working with messaging systems like Kafka or ActiveMQ
* Understanding of database partitioning and sharding techniques to handle high\-throughput, distributed databases (e.g., PostgreSQL, MySQL)
* Familiarity with cloud\-native architectures and platforms like AWS
* Experience with CI/CD tools and understanding of automated software delivery practices
* Strong problem\-solving skills with the ability to troubleshoot performance bottlenecks and improve system efficiency
* Experience with automated testing frameworks and a focus on maintaining code quality
* A collaborative mindset, with the ability to work effectively within an agile development team
* Good communication skills to clearly explain technical concepts to both technical and non\-technical stakeholders
 Applicants must be authorized to work for any employer in the U.S. DriveWealth is unable to sponsor an employment Visa at this time.
**Special Knowledge (Nice to Have, But Not Rqequired)**
* Familiarity with containerization tools like Docker and basic knowledge of Kubernetes
* Experience with monitoring tools like Prometheus or Grafana
* Interest or experience in financial systems or brokerage platforms
**Basic knowledge of cloud security practices, including securing data and managing access**
**Why Join Us:** 
 As a Software Engineer Level 2, you'll be an integral part of our engineering team, contributing to building a high\-performance platform used by clients in the financial sector. You will have opportunities to work with cutting\-edge technologies, focus on system performance, and gain valuable experience in a fast\-paced, cloud\-native environment. This is a great opportunity for someone looking to grow technically while making a significant impact on the product and business.
**Compensation**
 Compensation package offerings are based on candidate experience and technical qualifications, as it relates to the role. These are identified and determined throughout your interviewing experience.
***Please note** 
 : this role is expected to come into our office on a cadence set by the Hiring Manager/Team.*
 New York, NY (Hybrid) Pay Range
 $130,000—$150,000 USD
**Benefits**
* Competitive medical, dental, and vision insurance options
* Mental health resources
* Generous paid time off with observed holidays (varies per country)
* Paid parental leave for biological and adoptive parents
* Up to $2,500 or local equivalent each year to invest in continued education and personal development
* Up to $900 each year or local equivalent for fitness and wellness reimbursement
* Company\-provided phone (varies by country)
* For HQ in\-office employees, a daily lunch stipend, unlimited snacks, and engaging office space in the Financial District
* Pre\-tax commuter benefits (US only)
* Employer 401K match (US only)
 Benefit offerings vary based on country and are subject to change.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recruiting@drivewealth.com.
**Agency Disclaimer**
 DriveWealth does not accept agency resumes. Please do not forward resumes to our jobs alias, employees, or any other organization location. DriveWealth is not responsible for any fees related to unsolicited resumes.</t>
        </is>
      </c>
    </row>
    <row r="14">
      <c r="A14" t="inlineStr">
        <is>
          <t>li-4366925020</t>
        </is>
      </c>
      <c r="B14" t="inlineStr">
        <is>
          <t>Software Engineer (AI Tooling and Evaluation)</t>
        </is>
      </c>
      <c r="C14" t="inlineStr">
        <is>
          <t>Pangram Labs</t>
        </is>
      </c>
      <c r="D14" t="inlineStr">
        <is>
          <t>linkedin</t>
        </is>
      </c>
      <c r="E14">
        <f>HYPERLINK("https://www.linkedin.com/jobs/view/4366925020", "https://www.linkedin.com/jobs/view/4366925020")</f>
        <v/>
      </c>
      <c r="F14">
        <f>HYPERLINK("https://jobs.ashbyhq.com/pangramlabs/fbcc0c52-9c9f-4f25-8531-d70cf319dcad/application?utm_source=rbKXBklWqw&amp;urlHash=BifX", "https://jobs.ashbyhq.com/pangramlabs/fbcc0c52-9c9f-4f25-8531-d70cf319dcad/application?utm_source=rbKXBklWqw&amp;urlHash=BifX")</f>
        <v/>
      </c>
      <c r="G14" t="inlineStr">
        <is>
          <t>New York, NY</t>
        </is>
      </c>
      <c r="H14" t="inlineStr"/>
      <c r="I14" t="inlineStr">
        <is>
          <t>Pangram Labs is hiring an AI Tooling and Evaluation Engineer to join our AI research team. You’ll work directly with AI research scientists and engineers to build internal tools, platforms, and systems that power the model development lifecycle: from data collection and annotation through evaluation and deployment monitoring.
 This is a full\-stack software engineering role with a research support focus. You will spend most of your time building web applications, APIs, and data pipelines, but you’ll need enough ML fluency to understand what the research team needs and why.
 Roles and Responsibilities:
* Build evaluation infrastructure for standardized model assessments and sign\-off, including dashboards and reporting tools to track performance over time
* Maintain Label Studio deployment for data annotation campaigns
* Build browser based interfaces for exploratory data analysis on training datasets
* Build research support systems to monitor customer usage of the platform
* Improve upon and support synthetic data generation workflows
**Requirements**
* B.S. / M.S. equivalent in Computer Science or a related domain
* 3\+ years of experience as a software engineer, with strong full\-stack skills
* Proficiency in Python and at least 1 modern frontend framework
* Experience building internal tools, admin panels, and dashboards
* Comfortable with databases, REST APIs, and basic DevOps
* Familiarity with ML concepts
* Ability to work autonomously and translate ambiguous research needs into concrete software solutions
 Nice to have
* Experience with ML experiment tracking tools such as Weights \&amp; Biases
* Experience with Label Studio or other annotation platforms
* Background in AI/NLP research
* Experience with data visualization libraries
* Experience with evaluation and/or QA of large scale ML systems
 What we offer
* In\-person role in our Downtown Brooklyn office, occasional remote work is okay
* Flexible hours</t>
        </is>
      </c>
    </row>
    <row r="15">
      <c r="A15" t="inlineStr">
        <is>
          <t>li-4366511937</t>
        </is>
      </c>
      <c r="B15" t="inlineStr">
        <is>
          <t>Software Engineer</t>
        </is>
      </c>
      <c r="C15" t="inlineStr">
        <is>
          <t>Reply</t>
        </is>
      </c>
      <c r="D15" t="inlineStr">
        <is>
          <t>linkedin</t>
        </is>
      </c>
      <c r="E15">
        <f>HYPERLINK("https://www.linkedin.com/jobs/view/4366511937", "https://www.linkedin.com/jobs/view/4366511937")</f>
        <v/>
      </c>
      <c r="F15" t="inlineStr"/>
      <c r="G15" t="inlineStr"/>
      <c r="H15" t="inlineStr"/>
      <c r="I15" t="inlineStr">
        <is>
          <t>At Root16 Reply, our company is built around two things…our people and our clients. While other firms spend most of their time worrying about things like expanding their footprint and bottom line, we’re more concerned about doing what’s right for our employees and our clients. We want to do everything in our power to make sure our clients, our team, and our organization, are successful. We’re looking to build true partnerships, and tackle challenges with our clients head\-on; bringing our people, vision, and experience to the forefront. We take great pride in our work, and have fun doing it.
* Applicants must be authorized to work for any employer in the US. We do not provide sponsorship or hire students on F\-1 student Visas and OPT's who will require future sponsorship.
**Who We Are**
* We are technologists
* We are customer engagement enthusiasts
* We are listeners and researchers
* We are doers, thinkers and problem solvers
* We are collaborative and cooperative
* We are accountable to one another \- and for one another
**What We Look For**
* People who are smart, honest and genuine
* People who take pride in their work
* People willing to do what it takes and think outside the box
* People who are life\-long learners and help others learn along the way
* People who laugh and don't take themselves too seriously
* People who do right by others
* People who appreciate the abilities and differences of others
* People who want to participate in building a positive work culture
**What We Offer**
* Collaborative environment without politics, micro\-management or burdensome tools and processes
* Remote or hybrid, flexible work environment with social events
* Empowerment to make your mark
* Growth defined by experiences, not tenure or rank
* Invest in Your Nest benefit to upgrade home office
* Wellness benefit for gym membership or exercise equipment
* Learning allowance for classes, training or personal pursuit
* Discretionary Unlimited PTO, 11 paid holidays, birthday off and summer hours
* Monthly cell phone / internet allowance
* Excellent medical, vision and dental benefits plus 401k with company match
* Education, certifications and training
* Casual dress
**Responsibilities**
* Active participation in the design and implementation of our software solutions – we use our experience to help translate client requirements into technical design and tasks
* Collaboration with teammates, clients, stakeholders, and executives
* Assist with providing estimates on assigned tasks
* Independently write good code (simple, reliable and scalable)
* Address moderate to complex problems during development and support, document and communicate results appropriately
* Participate in white\-boarding sessions and impact analysis, and explore methods and tools to improve the overall development process
* Learn new client information quickly, and translate data modeling, process modeling, and revision control systems
* Develop long\-term relationships and networks both internally and externally
**Requirements**
* Bachelor’s degree (Computer Science or Engineering) or related experience
* 2 \- 4 years of experience developing applications (Microsoft environment preferred, but not necessary)
* C\# experience
* HTML / CSS experience
* JavaScript (React / Angular) experience
* Familiar with REST APIs
* Familiar with relational databases
* Common version control practices using Git
* Experience with Agile development and Jira or Azure Dev Ops
* Self\-starter and able to effectively prioritize multiple tasks and projects
* Energized by working at an entrepreneurial company
* Self\-motivated, dependable and reliable teammate
* Passion for learning new technologies and solving new problems
* \*No C2C or 3rd party applications will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li-4366908400</t>
        </is>
      </c>
      <c r="B16" t="inlineStr">
        <is>
          <t>Software Developer</t>
        </is>
      </c>
      <c r="C16" t="inlineStr">
        <is>
          <t>Coilcraft, Inc.</t>
        </is>
      </c>
      <c r="D16" t="inlineStr">
        <is>
          <t>linkedin</t>
        </is>
      </c>
      <c r="E16">
        <f>HYPERLINK("https://www.linkedin.com/jobs/view/4366908400", "https://www.linkedin.com/jobs/view/4366908400")</f>
        <v/>
      </c>
      <c r="F16">
        <f>HYPERLINK("https://www.adzuna.com/details/5602014055?v=C5C75014559E5A8F6CA11828C13DC051BD1B3AE9&amp;frd=6d227638b5d2cbe804307e7dcd147f67&amp;r=21153964&amp;ccd=15283dca8aaf56562205ad2436d62bd6&amp;utm_source=linkedin7&amp;utm_medium=organic&amp;chnlid=1931&amp;title=Software%20Developer&amp;a=e&amp;urlHash=uHHq", "https://www.adzuna.com/details/5602014055?v=C5C75014559E5A8F6CA11828C13DC051BD1B3AE9&amp;frd=6d227638b5d2cbe804307e7dcd147f67&amp;r=21153964&amp;ccd=15283dca8aaf56562205ad2436d62bd6&amp;utm_source=linkedin7&amp;utm_medium=organic&amp;chnlid=1931&amp;title=Software%20Developer&amp;a=e&amp;urlHash=uHHq")</f>
        <v/>
      </c>
      <c r="G16" t="inlineStr">
        <is>
          <t>Cary, IL</t>
        </is>
      </c>
      <c r="H16" t="inlineStr"/>
      <c r="I16" t="inlineStr">
        <is>
          <t>BUILD AND SUPPORT BUSINESS\-CRITICAL SOFTWARE AT COILCRAFT
 Position: Software Engineer Location: Cary, Illinois
 Are you a software engineer who enjoys building practical, business\-critical applications and supporting real users? Do you like working in a stable environment where your code directly supports manufacturing, operations, and enterprise systems? Coilcraft is a successful, privately held global manufacturer headquartered in Cary, Illinois, with a worldwide reputation for high\-quality passive electronic components. Our products support industries including telecommunications, computing, automotive, broadband communications, and consumer electronics. We are seeking a Software Engineer to join our team and help design, build, and support internal business applications that integrate with third\-party systems and support company\-wide operations.
**About The Role And Your Impact**
* Develop and program business applications that integrate seamlessly with third\-party systems
* Maintain, enhance, and support both newly developed and existing applications
* Code and support large\-scale data conversions during system upgrades and migrations
* Provide guidance and technical support to both technical and non\-technical users
* Collaborate with internal stakeholders to understand business requirements and translate them into effective software solutions
 Who We're Looking For
* Bachelor's or Associate degree in Computer Science, Information Technology, or a related field, or equivalent practical experience
* Proficiency with ASP.NET MVC
* Experience with C\# or Java programming languages
* Strong working knowledge of relational database management systems (RDBMS), particularly SQL
* Natural problem\-solving ability with attention to detail
* Excellent written and verbal communication skills
**Preferred Skills**
* Experience with SQL Server Reporting Services (SSRS)
* Familiarity with Content Management Systems (CMS)
* Experience working with Internet Information Services (IIS)
* Exposure to enterprise or manufacturing\-related systems
 Why You'll Love Working at Coilcraft
* Stability: Join a privately held company with a 75\+ year history and long\-tenured employees
* Meaningful Work: Build applications that directly support real business operations
* Collaborative Environment: Work closely with IT, engineering, and business teams
* Balanced Pace: Enterprise\-focused development with an emphasis on reliability and quality
* Comprehensive Benefits: Health insurance, 401(k) with company match, profit sharing, and more
**Benefits**
* 401(k) Matching
* Dental Insurance
* Disability Insurance
* Employee Assistance Program
* Flexible Spending Account
* Health Insurance
* Health Savings Account
* Life Insurance
* Paid Holidays
* Paid Time Off
* Profit Sharing
* Vision Insurance
 EOE/Minorities/Females/Veterans/Disabled This position may require compliance with ITAR export regulations; applicants must be U.S. citizens or have permanent resident status.
***Job Posted by ApplicantPro***</t>
        </is>
      </c>
    </row>
    <row r="17">
      <c r="A17" t="inlineStr">
        <is>
          <t>li-4366795548</t>
        </is>
      </c>
      <c r="B17" t="inlineStr">
        <is>
          <t>Software Engineer, Platform Engineering</t>
        </is>
      </c>
      <c r="C17" t="inlineStr">
        <is>
          <t>Twilio</t>
        </is>
      </c>
      <c r="D17" t="inlineStr">
        <is>
          <t>linkedin</t>
        </is>
      </c>
      <c r="E17">
        <f>HYPERLINK("https://www.linkedin.com/jobs/view/4366795548", "https://www.linkedin.com/jobs/view/4366795548")</f>
        <v/>
      </c>
      <c r="F17" t="inlineStr"/>
      <c r="G17" t="inlineStr"/>
      <c r="H17" t="inlineStr"/>
      <c r="I1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technologies to maintain an efficient, fair and transparent hiring process. Our hiring process is never completely automated, and uses AI in conjunction with our recruiting professionals.
**See yourself at Twilio**
 Join the Deployment Orchestration team under Platform Engineering as our next Software Engineer.
**About The Job**
 This position is needed to augment the Deployment Orchestration team, focusing on providing product teams at Twilio a safe, secure, and automated path to production by focusing on progressive rollout strategies and robust guardrails, ensuring that software engineers can deploy frequently without compromising on stability or security.
 In the short term, the team is building a new unified deployment orchestrator to support automated deployments across environments and regions leveraging standard pipelines and tests, while simultaneously consolidating and modernizing existing solutions across multiple compute targets such as AWS EC2 VMs and EKS clusters.
**Responsibilities**
 In this role, you’ll:
* Develop, test, and deploy code and configuration to support internal deployment tooling infrastructure
* Write tickets, spikes, and runbooks for the team, as well as internal product documentation for Twilio
* Operationalize Harness as a unified deployment platform, supporting standardized pipeline templates
* Own and operate a mix of industry standard and Twilio bespoke deployment orchestration tooling
* Support product engineering teams with migrations and debugging of deployment pipeline failures
* Ensure system uptime by participating in a 24x7 weekly oncall rotation alongside the rest of the team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2\+ years of full\-time job experience in a software engineering role on a platform engineering team
* Ability to work in an async software development environment leveraging GitHub, Jira, Slack, and Zoom
* Proficiency in any/all of the following programming languages: Go, Java, Python, Terraform, YAML, Bash
* Experience with Kubernetes GitOps deployments, including Argo CD, Argo Rollouts, and Argo Workflows
* Experience developing in an AWS cloud environment, with a focus on EC2, EKS, ASG, Aurora, and IAM
* Experience with SaaS and open source observability tools, such as Datadog, Grafana, and Prometheus
**Desired**
* Familiarity with SaaS CI/CD tooling including but not limited to Harness, Buildkite, and Terraform Cloud
* Fluency with AI platforms such as Claude, ChatGPT, and/or Copilot to accelerate software development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$114,600 \- $143,300
* Based in New York, New Jersey, Washington State, or California (outside of the San Francisco Bay area): $121,400 \- $151,700
* Based in the San Francisco Bay area, California: $134,800 \- $168,500\.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8">
      <c r="A18" t="inlineStr">
        <is>
          <t>li-4366525877</t>
        </is>
      </c>
      <c r="B18" t="inlineStr">
        <is>
          <t>Software Engineer</t>
        </is>
      </c>
      <c r="C18" t="inlineStr">
        <is>
          <t>Buyers Edge Platform</t>
        </is>
      </c>
      <c r="D18" t="inlineStr">
        <is>
          <t>linkedin</t>
        </is>
      </c>
      <c r="E18">
        <f>HYPERLINK("https://www.linkedin.com/jobs/view/4366525877", "https://www.linkedin.com/jobs/view/4366525877")</f>
        <v/>
      </c>
      <c r="F18" t="inlineStr"/>
      <c r="G18" t="inlineStr"/>
      <c r="H18" t="inlineStr"/>
      <c r="I18" t="inlineStr">
        <is>
          <t>We are seeking a backend
 **Software Engineer** 
 to design, develop, and maintain scalable cloud\-native applications. In this role, you will be supporting our RESTful APIs, leveraging AWS Lambda and Amazon API Gateway to build high\-performance, cost\-effective serverless solutions. You will work closely with frontend teams and stakeholders to transform business requirements into robust technical services.
**Who we are:**
 Dinova operates a business dining program with a network of over 24,000 restaurants in the U.S. and Canada and nearly 600 corporate and government partners. The program delivers spend visibility and savings for companies while driving growth for restaurants. Dinova is now a part of Buyers Edge Platform, a leading digital procurement network and solutions provider for the foodservice industry, delivering savings, insights, and technology that help operators, distributors, and manufacturers succeed. Through its portfolio of solutions, including Digital Procurement Network, Fresh Services, Software Solutions, and Supply Chain Management, Buyers Edge is reshaping how the foodservice industry connects and thrives. At the heart of our work is a culture built on a passion for collaboration, technology, and helping foodservice business succeed.
**Your impact:**
* Design and implement secure, scalable REST APIs using Amazon API Gateway and AWS Lambda.
* Develop optimize efficient code for AWS Lambda using Node.js, TypeScript.
* Design, implement, and maintain complex relational database schemas. Write optimized SQL queries to support business with data analytics.
* Integrate backend services with Postgres SQL Aurora.
* Monitor and optimize API latency, execution time, unhandled exceptions using AWS X\-Ray and CloudWatch.
**About you:**
* 3\+ years of experience with AWS Lambda, API Gateway, RDS (PostgreSQL), and IAM.
* 3\+ years of experience with Javascript/Node.js
* Strong experience with AWS Lambda, API Gateway, and event\-driven patterns (SQS/SNS)
* Expertise in PostgreSQL. You should be comfortable with advanced SQL, window functions, and performance tuning.
* Proficiency in using CloudWatch, and X\-Ray to trace requests across distributed systems.
* Experience configuring Bitbucket Pipelines, including parallel steps, service containers (for local DB testing), and deployment permissions.
* A bachelor's degree in computer science, Information Technology, or related field is a plus.
 Not sure you meet every qualification? Studies show that diverse applicants often hesitate to apply unless they check every box. At Buyers Edge Platform, we value authenticity and inclusion—if you're excited about the role, we encourage you to apply. You might be exactly who we’re looking for!
**What's in this for you:**
* Great benefits from day one. We offer medical, dental, vision, FSA, company\-paid life insurance, and more—plus a 401(k) with company match.
* Grow with us. Enjoy strong training, development, and competitive pay.
* Work\-life balance. Our flexible PTO policy lets you take time when you need it—no accrual required.
 We welcome all.
 We are committed to creating a diverse environment and are proud to be an equal opportunity employer. All qualified applicants will receive consideration for employment without regard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row>
    <row r="19">
      <c r="A19" t="inlineStr">
        <is>
          <t>li-4366516728</t>
        </is>
      </c>
      <c r="B19" t="inlineStr">
        <is>
          <t>Senior Software Engineer</t>
        </is>
      </c>
      <c r="C19" t="inlineStr">
        <is>
          <t>Red Hat</t>
        </is>
      </c>
      <c r="D19" t="inlineStr">
        <is>
          <t>linkedin</t>
        </is>
      </c>
      <c r="E19">
        <f>HYPERLINK("https://www.linkedin.com/jobs/view/4366516728", "https://www.linkedin.com/jobs/view/4366516728")</f>
        <v/>
      </c>
      <c r="F19" t="inlineStr"/>
      <c r="G19" t="inlineStr">
        <is>
          <t>Raleigh, NC</t>
        </is>
      </c>
      <c r="H19" t="inlineStr"/>
      <c r="I19" t="inlineStr">
        <is>
          <t>Red Hat is looking for a Sr. Software Engineer to join our Products \&amp; Global Engineering Tooling and Licensing Team, focused on, integrating, and supporting internal and external engineering tools and platforms used across our Products \&amp; Global Engineering Organizations. This role blends software development, systems administration, and operational ownership, with a strong emphasis on improving developer experience, scalability, and cost transparency.
 What you will do
* Design, develop, and maintain tooling and services that support engineering productivity and operations.
* Integrate third\-party developer tools (e.g., code review, IDE tooling, cloud services) into existing platforms and workflows.
* Build and support automation for onboarding, access management, reporting, and governance of engineering tools.
* Partner with Cloud Operations, FinOps, Security, Legal, and Sourcing teams to ensure tooling solutions are compliant, scalable, and costs are tracked and reported
* Own services end\-to\-end, including documentation, monitoring, and operational support.
* Contribute to data pipelines and dashboards that provide usage, cost, and adoption insights.
* Participate in backlog refinement, sprint planning, and other team ceremonies.
 What you will bring
* 7\+ years of professional software engineering experience.
* Strong experience with one or more modern programming languages (e.g., Python, Go, Java, TypeScript).
* Experience building and operating backend services, APIs, or automation tooling.
* Experience working with CI/CD systems, Git\-based workflows, and developer tooling ecosystems.
* Strong problem\-solving skills and comfort working in environments with evolving requirements.
* Excellent communication skills and ability to collaborate across technical and non\-technical teams.
**Preferred / Nice\-to\-Have Skills**
* Experience designing, implementing, and supporting security integrations, including Single Sign\-On (SSO) and authentication/authorization frameworks
* Familiarity with FinOps concepts, cost reporting, or cloud usage analytics.
* Experience with data platforms (Snowflake, Superset, SQL\-based analytics).
* Agile/Scrum experience and comfort working in iterative delivery models.
* Background in platform engineering or SRE\-adjacent roles.
* Familiarity with cloud platforms (AWS, GCP, Azure, or IBM Cloud).
 Why Join This Team
* Work on high\-impact tooling used by multiple engineering organizations.
* Influence how AI, cloud, and developer tools are adopted at scale.
* Balance hands\-on engineering with strategic problem solving.
* Collaborate with a supportive team that values autonomy, clarity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0">
      <c r="A20" t="inlineStr">
        <is>
          <t>li-4366903337</t>
        </is>
      </c>
      <c r="B20" t="inlineStr">
        <is>
          <t>Senior Software Engineer, Full Stack</t>
        </is>
      </c>
      <c r="C20" t="inlineStr">
        <is>
          <t>Edge Case</t>
        </is>
      </c>
      <c r="D20" t="inlineStr">
        <is>
          <t>linkedin</t>
        </is>
      </c>
      <c r="E20">
        <f>HYPERLINK("https://www.linkedin.com/jobs/view/4366903337", "https://www.linkedin.com/jobs/view/4366903337")</f>
        <v/>
      </c>
      <c r="F20" t="inlineStr"/>
      <c r="G20" t="inlineStr">
        <is>
          <t>Pittsburgh, PA</t>
        </is>
      </c>
      <c r="H20" t="inlineStr"/>
      <c r="I20" t="inlineStr">
        <is>
          <t>**About Edge Case**
 At Edge Case, our mission is to enable the safe deployment of frontier technologies and sophisticated systems. We enable our customers to assure the safety of autonomous systems for real world deployment. We are developing products that define and measure the safety of autonomous systems. Our client base spans diverse markets such as automotive, mining, defense, insurance, and aerospace. Edge Case is founded by the recognized world leaders in autonomous system safety and autonomous vehicle safety. Our experts are writing the standards and developing the products that will bring innovation safely into society.
**The Role**
 We are seeking a highly motivated and experienced Senior Software Engineer for full stack development for our services and infrastructure. In this role, you will be instrumental in designing, developing, and maintaining scalable and robust distributed systems. You will play a key role in our architecture evolution, leveraging AWS services, building fluid front ends, scalable backends and AI workflows.
**Responsibilities**
* Develop full stack features using technologies and languages like Vue, Golang, Python 3, and AWS services
* Design, develop, and maintain high\-performance, scalable, and reliable backend services and APIs.
* Lead the architectural design and implementation of new features and enhancements for distributed systems.
* Collaborate with product managers, frontend engineers, and other stakeholders to translate business requirements into technical solutions.
* Utilize and optimize a wide range of AWS services to build and deploy applications.
* Establish and maintain robust CI/CD pipelines to ensure continuous integration and automated deployments.
* Participate in code reviews, providing constructive feedback and ensuring code quality.
* Troubleshoot and resolve complex production issues, ensuring system stability and performance.
* Stay up\-to\-date with emerging technologies and industry best practices.
**Requirements**
* For US applications: Authorization to work in the United States is a precondition of employment. The company will not consider candidates who require sponsorship for a work\-authorized visa.
* Bachelor's or Master's degree in Computer Science, Engineering, or a related field.
* 5\+ years of professional experience in backend software development.
* Proven experience designing and building large\-scale distributed systems.
* Strong proficiency in React, Vue or other front end technologies
* Extensive hands\-on experience with Amazon Web Services (AWS), including but not limited to EC2, S3, Lambda, RDS, SQS, SNS, DynamoDB, VPC, etc.
* Experience with relational and/or NoSQL databases.
* Excellent problem\-solving skills and the ability to work independently and as part of a team.
* Strong communication and interpersonal skills.
**Bonus Points**
* Experience with microservices architecture.
* Knowledge of monitoring and logging tools (e.g., Prometheus, Grafana, ELK stack, CloudWatch).
* Understanding of LLM frameworks
* Contributions to open\-source projects.
* Experience with agile development methodologies.
 Why Edge Case Research?
* Collaborative Culture: Join a dynamic, cross\-functional team that values collaboration and innovation.
* Competitive Compensation \&amp; Benefits: We offer a competitive salary, benefits package, and opportunities for professional growth and development.
**Pay Rate**
 The annual base salary range for this position is $125,000\-145,000\. Please note that the salary information is a general guideline only. Edge Case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Parental Leave, Paid time off, and Holidays.
 Washington state applicants only: Full\-time employees accrue at least 13 hours per month of Paid Time Off (PTO) to be used for incidental absences and other reasons; and receive at least 96 hours for holidays.
 Edge Case Research is an Equal Opportunity Employer. We do not discriminate on the basis of race, religion, color, sex, gender identity, sexual orientation, age, non\-disqualifying physical or mental disability, national origin, veteran status or any other basis covered by appropriate law. ECR values all employees’ talents and supports an environment that is inclusive and respectful.</t>
        </is>
      </c>
    </row>
    <row r="21">
      <c r="A21" t="inlineStr">
        <is>
          <t>li-4366781557</t>
        </is>
      </c>
      <c r="B21" t="inlineStr">
        <is>
          <t>Software Engineer</t>
        </is>
      </c>
      <c r="C21" t="inlineStr">
        <is>
          <t>Valorem Reply</t>
        </is>
      </c>
      <c r="D21" t="inlineStr">
        <is>
          <t>linkedin</t>
        </is>
      </c>
      <c r="E21">
        <f>HYPERLINK("https://www.linkedin.com/jobs/view/4366781557", "https://www.linkedin.com/jobs/view/4366781557")</f>
        <v/>
      </c>
      <c r="F21" t="inlineStr"/>
      <c r="G21" t="inlineStr"/>
      <c r="H21" t="inlineStr"/>
      <c r="I21" t="inlineStr">
        <is>
          <t>At Root16 Reply, our company is built around two things…our people and our clients. While other firms spend most of their time worrying about things like expanding their footprint and bottom line, we’re more concerned about doing what’s right for our employees and our clients. We want to do everything in our power to make sure our clients, our team, and our organization, are successful. We’re looking to build true partnerships, and tackle challenges with our clients head\-on; bringing our people, vision, and experience to the forefront. We take great pride in our work, and have fun doing it.
* Applicants must be authorized to work for any employer in the US. We do not provide sponsorship or hire students on F\-1 student Visas and OPT's who will require future sponsorship.
**Who we are:**
* We are technologists
* We are customer engagement enthusiasts
* We are listeners and researchers
* We are doers, thinkers and problem solvers
* We are collaborative and cooperative
* We are accountable to one another \- and for one another
**What we look for:**
* People who are smart, honest and genuine
* People who take pride in their work
* People willing to do what it takes and think outside the box
* People who are life\-long learners and help others learn along the way
* People who laugh and don't take themselves too seriously
* People who do right by others
* People who appreciate the abilities and differences of others
* People who want to participate in building a positive work culture
**What we offer:**
* Collaborative environment without politics, micro\-management or burdensome tools and processes
* Remote or hybrid, flexible work environment with social events
* Empowerment to make your mark
* Growth defined by experiences, not tenure or rank
* Invest in Your Nest benefit to upgrade home office
* Wellness benefit for gym membership or exercise equipment
* Learning allowance for classes, training or personal pursuit
* Discretionary Unlimited PTO, 11 paid holidays, birthday off and summer hours
* Monthly cell phone / internet allowance
* Excellent medical, vision and dental benefits plus 401k with company match
* Education, certifications and training
* Casual dress
**Responsibilities:**
* Active participation in the design and implementation of our software solutions – we use our experience to help translate client requirements into technical design and tasks
* Collaboration with teammates, clients, stakeholders, and executives
* Assist with providing estimates on assigned tasks
* Independently write good code (simple, reliable and scalable)
* Address moderate to complex problems during development and support, document and communicate results appropriately
* Participate in white\-boarding sessions and impact analysis, and explore methods and tools to improve the overall development process
* Learn new client information quickly, and translate data modeling, process modeling, and revision control systems
* Develop long\-term relationships and networks both internally and externally
**Requirements:**
* Bachelor’s degree (Computer Science or Engineering) or related experience
* 2 \- 4 years of experience developing applications (Microsoft environment preferred, but not necessary)
* C\# experience
* HTML / CSS experience
* JavaScript (React / Angular) experience
* Familiar with REST APIs
* Familiar with relational databases
* Common version control practices using Git
* Experience with Agile development and Jira or Azure Dev Ops
* Self\-starter and able to effectively prioritize multiple tasks and projects
* Energized by working at an entrepreneurial company
* Self\-motivated, dependable and reliable teammate
* Passion for learning new technologies and solving new problems
* \*No C2C or 3rd party applications will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
      <c r="A22" t="inlineStr">
        <is>
          <t>li-4366919372</t>
        </is>
      </c>
      <c r="B22" t="inlineStr">
        <is>
          <t>Senior Software Engineer</t>
        </is>
      </c>
      <c r="C22" t="inlineStr">
        <is>
          <t>Astera Institute</t>
        </is>
      </c>
      <c r="D22" t="inlineStr">
        <is>
          <t>linkedin</t>
        </is>
      </c>
      <c r="E22">
        <f>HYPERLINK("https://www.linkedin.com/jobs/view/4366919372", "https://www.linkedin.com/jobs/view/4366919372")</f>
        <v/>
      </c>
      <c r="F22">
        <f>HYPERLINK("https://jobs.ashbyhq.com/astera/53c455a3-8e24-4908-a77d-b61532756af9/application?utm_source=jJY7ZZ9OaX&amp;urlHash=LdlD", "https://jobs.ashbyhq.com/astera/53c455a3-8e24-4908-a77d-b61532756af9/application?utm_source=jJY7ZZ9OaX&amp;urlHash=LdlD")</f>
        <v/>
      </c>
      <c r="G22" t="inlineStr"/>
      <c r="H22" t="inlineStr"/>
      <c r="I22" t="inlineStr">
        <is>
          <t>****About Astera:****
 Astera is a private foundation with a $2\.5B endowment on a mission to steer science and technology toward an abundant future for all. Unlike traditional foundations, we operate like a high\-velocity startup with unprecedented access to computational resources and complete freedom from funding pressures or profit motives. This allows us to focus on ambitious goals and attract incredibly creative scientists and engineers from leading academic institutions and from frontier AI labs.
 Obelisk is our large\-scale AI research program, pursuing a neuroscience\-informed approach to engineering AGI. This is not yet\-another\-lab scaling LLMs in a hope of achieving general intelligence. We are integrating neuroscience, AI, and bioengineering to understand and digitally model the architecture of the human brain.
****Position Summary:****
 We are looking for an ambitious Senior Software Engineer to help us reverse\-engineer the human brain.
 This role spans a broad spectrum of activities:
* Architect high\-performance infrastructure for training large\-scale models and running complex simulations.
* Design and optimize custom RL environments informed by neuroscience.
* Write clean, fast, production\-grade code that boosts our research velocity.
* Turn research prototypes into scalable production systems.
* Tackle any technical bottleneck, from low\-level optimization to high\-level system design, to unblock the research team.
**Qualifications:**
* High\-Velocity Craftsmanship: You produce clean, maintainable, and well\-tested code at a startup pace. You know how to balance engineering rigor with the need to iterate quickly on research prototypes.
* System Architecture Intuition: You have deep experience architecting complex systems from scratch. You understand the trade\-offs, and you can design infrastructure that survives the chaos of research.
* Extreme Adaptability: You might be an expert in distributed systems today, but you are ready to become a novice in neuroscience tomorrow. You have a track record of diving into complex domains and mastering them quickly.
* Mastery of Hard Problems: You have a track record of tackling difficult engineering challenges, whether it is massive scale distributed systems or low\-level optimization. You do not shy away from what your peers consider hardcore.
****Location \&amp; Visa:****
* This role is in\-person in Emeryville, CA.
* Visa sponsorship may be available for qualified candidates.
 Compensation Range: $100K \- $400K</t>
        </is>
      </c>
    </row>
    <row r="23">
      <c r="A23" t="inlineStr">
        <is>
          <t>li-4366923035</t>
        </is>
      </c>
      <c r="B23" t="inlineStr">
        <is>
          <t>Senior Backend Engineer</t>
        </is>
      </c>
      <c r="C23" t="inlineStr">
        <is>
          <t>Clarion</t>
        </is>
      </c>
      <c r="D23" t="inlineStr">
        <is>
          <t>linkedin</t>
        </is>
      </c>
      <c r="E23">
        <f>HYPERLINK("https://www.linkedin.com/jobs/view/4366923035", "https://www.linkedin.com/jobs/view/4366923035")</f>
        <v/>
      </c>
      <c r="F23" t="inlineStr"/>
      <c r="G23" t="inlineStr">
        <is>
          <t>New York, NY</t>
        </is>
      </c>
      <c r="H23" t="inlineStr"/>
      <c r="I23" t="inlineStr">
        <is>
          <t>**About Clarion**
 At Clarion, we’re rebuilding how healthcare communicates in the age of AI.
 Today, clinics miss 30–40% of patient calls, while staff are overwhelmed by administrative work. We believe AI agents should handle these workflows—scheduling, billing, prescription refills, and follow\-ups—so healthcare teams can focus on actual patient care.
 We’re building the communication infrastructure modern healthcare needs. Our AI agents don’t just answer calls—they complete workflows end\-to\-end, ensuring patients never go unheard. To date, we’ve handled hundreds of thousands of patient interactions across virtual care companies, health systems, and a $5B health insurance company.
 Clarion was founded by a Stanford/Harvard\-trained physician (founding team at Two Chairs and Ophelia) and an ex\-Amazon Alexa engineer who led AI/ML teams at Salesforce. We’ve raised $5\.4M from Accel, Y Combinator, Sequoia (Scout), and leading healthcare founders. We’re an in\-person team in New York, moving fast to solve one of healthcare’s most critical problems.
 Why This Role Is Special
* Real traction, early\-stage impact: Dozens of paying customers, rapidly growing revenue, and the opportunity to own foundational backend systems at a critical inflection point.
* Mission\-critical problem: Healthcare communication failures affect millions daily—your work directly powers systems patients and providers rely on.
* Elite technical context: Work closely with founders who deeply understand both healthcare operations and large\-scale AI systems, enabling fast decisions and real ownership.
 What You’ll Own
* Core backend systems: Design, build, and own the services, data models, and business logic powering Clarion’s AI agents and healthcare workflows.
* Workflow orchestration: Build infrastructure for multi\-step, asynchronous workflows—including agentic AI workflows with conditional logic, retries, and graceful failure handling.
* Healthcare integrations: Own high\-stakes integrations with EHRs and legacy healthcare platforms via APIs and RPA.
* Platform foundations: Create internal abstractions and tooling that allow the team to deploy and customize AI assistants for new customers quickly and reliably.
* Security and compliance: Implement and maintain backend authentication, authorization, and HIPAA\-compliant architecture required for enterprise healthcare.
 Interesting Technical Challenges
* Generative AI at Scale: Design and operate production systems using LLMs with real\-time monitoring, safety controls, and enterprise reliability.
* Agentic workflows: Architect backend systems that coordinate AI agents across complex healthcare workflows with strong guarantees.
* Enterprise reliability: Build systems supporting thousands of concurrent patient interactions with high uptime and fast incident detection.
* Fragmented healthcare systems: Design resilient abstractions across modern APIs and legacy EHRs while maintaining security and compliance.
 What We’re Looking For
* 5\+ years of experience designing, building, and scaling backend systems in high\-reliability production environments.
* Strong backend expertise across APIs, relational databases, async workflows, and distributed systems.
* High ownership and agency—you thrive in ambiguity and take responsibility for system outcomes.
* Ability to communicate clearly, collaborate cross\-functionally, and surface risks early.
* Bonus: experience with security, auth, or regulated environments (HIPAA familiarity is a plus).
 You’ll be a great fit if you enjoy owning critical backend systems end\-to\-end, solving complex problems under real\-world constraints, and building infrastructure that directly impacts patient care.
 Interview Process
 We move quickly and communicate clearly at every stage:
* Intro Chat (30 min, Virtual): Background, role context, and mutual fit.
* Technical Deep Dive (1 hr, Virtual): Backend systems and architecture with the CTO and a senior engineer.
* Onsite Team Day (Half Day, NYC): Collaborate on real problems, present a past project, meet the team, and assess mutual fit.
 Decisions are typically made
 **within 24 hours** 
 of each stage.
 Compensation Range: $170K \- $250K</t>
        </is>
      </c>
    </row>
    <row r="24">
      <c r="A24" t="inlineStr">
        <is>
          <t>li-4366768607</t>
        </is>
      </c>
      <c r="B24" t="inlineStr">
        <is>
          <t>Senior Software Engineer, Agent</t>
        </is>
      </c>
      <c r="C24" t="inlineStr">
        <is>
          <t>Descript</t>
        </is>
      </c>
      <c r="D24" t="inlineStr">
        <is>
          <t>linkedin</t>
        </is>
      </c>
      <c r="E24">
        <f>HYPERLINK("https://www.linkedin.com/jobs/view/4366768607", "https://www.linkedin.com/jobs/view/4366768607")</f>
        <v/>
      </c>
      <c r="F24" t="inlineStr"/>
      <c r="G24" t="inlineStr">
        <is>
          <t>San Francisco, CA</t>
        </is>
      </c>
      <c r="H24" t="inlineStr"/>
      <c r="I24" t="inlineStr">
        <is>
          <t>**About The Role**
 We are building the next\-generation AI\-powered platform and web application for easy and fast creation of audio and video content. Building a revolutionary way to record, transcribe, edit, and mix audio and video on the web comes with a series of unique technical challenges and requires solving hard and complex problems. We are hiring Software Engineers at the
 **senior and staff levels** 
 to join a few open roles on our Agent team, focused on building the future of Agentic Video Editing!
**About The Team**
 Descript's Agent launched in Open Beta in July 2025\. Since then, we've been working on improving the user experience for chat\-based editing, adding more capabilities into our agent, and improving our agent infrastructure to continue to scale as models get better and better. The Agent team is a mix of AI Researchers and Software Engineers committed to our mission to make video editing accessible to anyone. Your peers will be based in San Francisco, New York, and distributed across the US and Canada.
 This is the role for you if any of the following areas sound exciting:
* Experimentation to push the limits on quality for our video editing agent (eg. harness and tool design, token/context optimizations, RL/new model development, multimodal, etc)
* Building a best\-in\-class product experience for agentic video editing interactions and improving user retention (eg. tuning prompt templates and other key user workflows, addressing user feedback, building key product capabilities like chat history, etc)
* Laying the foundations for a best\-in\-class developer experience for building agents (eg. logging, evals framework, online monitoring and feedback loops, etc)
**What You Bring** 
* Minimum Qualifications
+ 5\+ years of professional product engineering or fullstack experience
+ Worked with Typescript, React, and RESTful APIs (or similar)
+ Solid CS fundamentals, including data structures, algorithms, databases (Postgres, Redis)
+ High ownership and growth mindset
+ You thrive in collaborative environments and enjoy working with other functions (e.g. product, design, AI research)
* Extra credit!
+ Experience building creative tools in the past or you're a frequent user of creative media tools. If you join Descript, you'll end up making lots of videos!
+ Experience building agents, working evals infrastructure, or designing product experiences powered by LLMs
*Studies show that women and people of color are less likely to apply to jobs unless they meet every single qualification. If you’re excited about this role but your past experience doesn’t align perfectly with every qualification above, please apply anyways.*
 At our current size and stage, we embrace a flat organizational structure and value the expertise and contributions of every team member. As such, we have a unified job title for our engineering roles where everyone, including those with Staff\-level scope, is considered a Software Engineer. While titles may not change, we are actively seeking Software Engineers with senior\-or\-higher\-equivalent experience to join our team.
 The base salary range for these roles is $180,000\-$286,000/year. Final offer amounts will carefully consider multiple factors, including prior experience, expertise, location, level, and may vary from the amount above.
**About Descript**
 Descript is building a simple, intuitive, fully\-powered editing tool for video and audio — an editing tool built for the age of AI. We are a team of 150 and the backing of some of the world's greatest investors (OpenAI, Andreessen Horowitz, Redpoint Ventures, Spark Capital).
 Descript is the special company that's in possession of both product market fit and the raw materials (passionate user community, great product, large market) for growth, but is still early enough that each new employee has a measurable influence on the direction of the company.
 Benefits include a generous healthcare package, 401k matching program, catered lunches, and flexible vacation time. Our headquarters are located in the Mission District of San Francisco, CA. We're hiring for a mix of remote roles and hybrid roles. For those who are remote, we have a handful of opportunities throughout the year for in person collaboration. For our hybrid roles, we're flexible, and you're an adult—we don't expect or mandate that you're in the office every day. We do believe there are valuable and serendipitous moments of discovery and collaboration that come from working together in person.
 Descript is an equal opportunity workplace—we are dedicated to equal employment opportunities regardless of race, color, ancestry, religion, sex, national origin, sexual orientation, age, citizenship, marital status, disability, gender identity, or Veteran status. We believe in actively building a team rich in diverse backgrounds, experiences, and opinions to better allow our employees, products, and community to thrive.</t>
        </is>
      </c>
    </row>
    <row r="25">
      <c r="A25" t="inlineStr">
        <is>
          <t>li-4366791346</t>
        </is>
      </c>
      <c r="B25" t="inlineStr">
        <is>
          <t>Software Engineer</t>
        </is>
      </c>
      <c r="C25" t="inlineStr">
        <is>
          <t>Helic &amp; Co.</t>
        </is>
      </c>
      <c r="D25" t="inlineStr">
        <is>
          <t>linkedin</t>
        </is>
      </c>
      <c r="E25">
        <f>HYPERLINK("https://www.linkedin.com/jobs/view/4366791346", "https://www.linkedin.com/jobs/view/4366791346")</f>
        <v/>
      </c>
      <c r="F25" t="inlineStr"/>
      <c r="G25" t="inlineStr"/>
      <c r="H25" t="inlineStr"/>
      <c r="I25"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26">
      <c r="A26" t="inlineStr">
        <is>
          <t>li-4366515176</t>
        </is>
      </c>
      <c r="B26" t="inlineStr">
        <is>
          <t>Software Engineer, Display, Pixel Software</t>
        </is>
      </c>
      <c r="C26" t="inlineStr">
        <is>
          <t>Google</t>
        </is>
      </c>
      <c r="D26" t="inlineStr">
        <is>
          <t>linkedin</t>
        </is>
      </c>
      <c r="E26">
        <f>HYPERLINK("https://www.linkedin.com/jobs/view/4366515176", "https://www.linkedin.com/jobs/view/4366515176")</f>
        <v/>
      </c>
      <c r="F26">
        <f>HYPERLINK("https://careers.google.com/jobs/results/97464645366751942-software-engineer/?src=Online/LinkedIn/linkedin_us&amp;utm_source=linkedin&amp;utm_medium=jobposting&amp;utm_campaign=contract&amp;urlHash=3wwa", "https://careers.google.com/jobs/results/97464645366751942-software-engineer/?src=Online/LinkedIn/linkedin_us&amp;utm_source=linkedin&amp;utm_medium=jobposting&amp;utm_campaign=contract&amp;urlHash=3wwa")</f>
        <v/>
      </c>
      <c r="G26" t="inlineStr">
        <is>
          <t>Mountain View, CA</t>
        </is>
      </c>
      <c r="H26" t="inlineStr"/>
      <c r="I26" t="inlineStr">
        <is>
          <t>**Minimum qualifications:**
* Bachelor’s degree or equivalent practical experience.
* 2 years of experience with software development in one or more programming languages, or 1 year of experience with an advanced degree.
* Experience with Embedded Systems, Linux Drivers, C/C\+\+.
**Preferred qualifications:**
* Master's degree or PhD in Computer Science, or a related technical field.
* 2 years of experience with data structures and algorithms.
* Experience with Embedded Development, Android, Linux Driver, Bootloader.
* Experience developing accessible technologies.
* Familiarity with modern display or graphics software stack fundamentals.
* Familiarity with C/C\+\+, Python and Java.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Pixel software teams work closely with Pixel Hardware, Silicon, Android Platform, and external partner teams to bring the best of Android to users, on Google’s Pixel phones.
 Within Pixel software, our Pixel display software team is responsible for all things display on Pixel phones, foldables, and tablets. Our responsibilities span across Google Tensor and display panels, from power and performance to color management and image enhancement.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complete development cycles of new Pixel display projects, from requirements and design through implementation and establishing test plans.
* Architect and implement features such as new UI experiences, color management and High Dynamic Range (HDR) rendering, image enhancement methods, and more.
* Develop the team’s infrastructure by implementing new systems in areas such as telemetry, on\-device diagnostics, and updatability.
* Collaborate closely with Android platform teams on enabling new generations of Pixel: SurfaceFlinger, display and graphics Hardware Abstraction Layers (HALs), WindowManager, etc.
* Develop expertise in display technologies and SoCs, and productize them in future Pixel devices.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li-4366451046</t>
        </is>
      </c>
      <c r="B27" t="inlineStr">
        <is>
          <t>Senior Software Engineer</t>
        </is>
      </c>
      <c r="C27" t="inlineStr">
        <is>
          <t>Vitalize</t>
        </is>
      </c>
      <c r="D27" t="inlineStr">
        <is>
          <t>linkedin</t>
        </is>
      </c>
      <c r="E27">
        <f>HYPERLINK("https://www.linkedin.com/jobs/view/4366451046", "https://www.linkedin.com/jobs/view/4366451046")</f>
        <v/>
      </c>
      <c r="F27">
        <f>HYPERLINK("https://jobs.ashbyhq.com/vitalize/d907ba5f-0f2f-4bb4-931a-1680d6daf81a&amp;urlHash=Vj-0", "https://jobs.ashbyhq.com/vitalize/d907ba5f-0f2f-4bb4-931a-1680d6daf81a&amp;urlHash=Vj-0")</f>
        <v/>
      </c>
      <c r="G27" t="inlineStr">
        <is>
          <t>San Francisco, CA</t>
        </is>
      </c>
      <c r="H27" t="inlineStr"/>
      <c r="I27" t="inlineStr">
        <is>
          <t>TL;DR
 At Vitalize, we’re building toward a future where hospital operations are safe, autonomous, fair, and cost\-effective.
 Today, hospitals still run their most critical workflows (staffing, labor planning, capacity management) on spreadsheets, paper, and gut instinct. This creates massive waste, burnout, and poor patient outcomes.
 Vitalize replaces this with an intelligent operating system for the hospital workforce. We bring real\-time decision support to clinical leaders, eliminate manual work, reduce unnecessary labor spend, and unlock patient capacity across health systems.
 We are a team of Stanford, Cambridge, and Columbia dropouts, former math champs, and repeat founders. We’re live across 20\+ hospitals, approaching eight figures in revenue, and backed by top investors. We’ve 3x’ed revenue in the last 3 months, and are scaling fast. This is a chance to build foundational infrastructure for healthcare at a moment of real momentum.
 Role Overview
 We’re hiring a Senior Software Engineer to help build the core systems that power hospital operations at enterprise scale, and re\-imagine how hospitals work.
 You’ll work closely with the founders, ops team, and customers to own and lead high\-impact features end\-to\-end. Your work will directly affect thousands of clinicians and operational leaders across entire health systems.
 This is a high\-autonomy role. You’ll be expected to operate independently, make technical decisions, and own outcomes. The problems are ambiguous, the constraints are real, and correctness matters.
 Problems You’ll Work On
 * Real\-time workforce intelligence
* Event\-driven infrastructure that reconciles high\-latency, multi\-source healthcare data into a coherent operational model, effectively a dynamic digital twin of the hospital.
* Forecasting and planning
* Systems that predict patient volume and staffing demand based on historical trends and real\-time patient movement.
* Optimization and recommendations
* A decision layer that produces actionable staffing recommendations under tight constraints and partial information.
* Autonomous scheduling
* Prompt\-driven automation for nurse scheduling that replaces brittle manual workflows.
 What You Have
 * 3\+ years of experience shipping production software in a product\-focused engineering role, ideally in fast\-moving SaaS environments.
* Strong proficiency in modern frontend and backend development.
* Proven ability to build and scale user\-facing products that are fast, intuitive, and reliable. You care deeply about UX, correctness, and polish.
* Experience designing backend systems that support multiple products or workflows, with an eye toward extensibility and long\-term maintainability.
* A track record of ownership. You have taken ambiguous problems from idea to production and iterated based on real user feedback.
* Comfort operating in early\-stage environments. You move quickly, unblock yourself, and stay focused when structure is limited and stakes are high.
 Our Stack
 * TypeScript, React, Postgres (nice\-to\-have)
* Vite, tRPC, Effect, Drizzle, Supabase (nice\-to\-have)
 Benefits:
 * Medical, dental, and vision insurance
* 401k and 401k match
* Unlimited PTO
* Bi\-annual company retreats
* Free Lunch and Dinner in\-office
* Relocation Bonus
* Reimbursement for desk setup, gym subscription, and commute</t>
        </is>
      </c>
    </row>
    <row r="28">
      <c r="A28" t="inlineStr">
        <is>
          <t>li-4366518809</t>
        </is>
      </c>
      <c r="B28" t="inlineStr">
        <is>
          <t>Software Engineer, Senior</t>
        </is>
      </c>
      <c r="C28" t="inlineStr">
        <is>
          <t>Toyota North America</t>
        </is>
      </c>
      <c r="D28" t="inlineStr">
        <is>
          <t>linkedin</t>
        </is>
      </c>
      <c r="E28">
        <f>HYPERLINK("https://www.linkedin.com/jobs/view/4366518809", "https://www.linkedin.com/jobs/view/4366518809")</f>
        <v/>
      </c>
      <c r="F28" t="inlineStr"/>
      <c r="G28" t="inlineStr">
        <is>
          <t>Plano, TX</t>
        </is>
      </c>
      <c r="H28" t="inlineStr"/>
      <c r="I28"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based in Plano, TX.**
**Who We’re Looking For**
**Join Toyota’s Elite Development Team!**
 Are you a passionate Full\-Stack, Senior Software Engineer? We’re looking for top developers who take ownership like a CEO, driving innovation and building high\-performance applications with cutting\-edge technology as part of our Innovation Hub under Commercial Lending Tech.
 Be part of a world\-class team shaping the future and setting the trend — apply today!
**Why Join Toyota?**
 At Toyota \-
 **Commercial Lending and Bank** 
 , we push boundaries and ask ourselves every day:
 *Are we doing our best and by heart? Is our architecture truly scalable?* 
 As a Full\-Stack Developer, you’ll have the
 **freedom** 
 to innovate, design, and build solutions
 **your way** 
 —because we trust our engineers to make the right decisions.
 Work on exciting projects that make a real impact. Collaborate with world class colleagues in a dynamic, fast\-moving environment. Use the latest technologies to build scalable, high\-performance applications.
**What You’ll Be Doing**
**As a Full\-Stack Senior Software Engineer at Commercial Lending Tech, you will:**
* Design, develop, and deploy scalable Java \&amp; J2EE applications.
* Build high\-performance microservices using Spring Boot.
* Build Event, Domain, CQRS driven designed Applications.
* Develop dynamic front\-end applications with Vue.js, NUXT, PrimeVue, SSR, AWS Amplify. Write clean, maintainable, and efficient code in TypeScript.
* Deploy and manage cloud\-native applications on AWS.
* Work in an agile team, contributing to code reviews, testing, and best practices.
 If you love tackling challenges, making bold decisions, and shaping the future of technology— We are waiting for you!
 **Join us and make a real impact!**
**What You Bring**
* Bachelor's degree in Computer Science, Engineering, or related field
* 5\+ years of experience with Java, J2EE, Spring Boot and overall backend experience
* Experience with Vue.js, Angular, or React or overall hands\-on front\-end expertise
* JavaScript, TypeScript – Advanced UI development
* AWS – Cloud deployment expertise.
**Added Bonus If You Have**
* Experience with UI frameworks is a plus (PrimeVue, Quasar, or Vuetify).
* Strong understanding of relational and NoSQL databases (Database Design)
* Experience in designing scalable, high\-performance applications (Architectural Design.
* Expertise in handling concurrent processes efficiently (Multithreading).
* Knowledge of Akka framework for distributed computing is a plus.
* Experience with AI tools like GitHub Copilot to accelerate development and improve quality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29">
      <c r="A29" t="inlineStr">
        <is>
          <t>li-4366778782</t>
        </is>
      </c>
      <c r="B29" t="inlineStr">
        <is>
          <t>Software Engineer</t>
        </is>
      </c>
      <c r="C29" t="inlineStr">
        <is>
          <t>Valorem Reply</t>
        </is>
      </c>
      <c r="D29" t="inlineStr">
        <is>
          <t>linkedin</t>
        </is>
      </c>
      <c r="E29">
        <f>HYPERLINK("https://www.linkedin.com/jobs/view/4366778782", "https://www.linkedin.com/jobs/view/4366778782")</f>
        <v/>
      </c>
      <c r="F29" t="inlineStr"/>
      <c r="G29" t="inlineStr">
        <is>
          <t>Philadelphia, PA</t>
        </is>
      </c>
      <c r="H29" t="inlineStr"/>
      <c r="I29" t="inlineStr">
        <is>
          <t>At Root16 Reply, our company is built around two things…our people and our clients. While other firms spend most of their time worrying about things like expanding their footprint and bottom line, we’re more concerned about doing what’s right for our employees and our clients. We want to do everything in our power to make sure our clients, our team, and our organization, are successful. We’re looking to build true partnerships, and tackle challenges with our clients head\-on; bringing our people, vision, and experience to the forefront. We take great pride in our work, and have fun doing it.
* Applicants must be authorized to work for any employer in the US. We do not provide sponsorship or hire students on F\-1 student Visas and OPT's who will require future sponsorship.
**Who we are:**
* We are technologists
* We are customer engagement enthusiasts
* We are listeners and researchers
* We are doers, thinkers and problem solvers
* We are collaborative and cooperative
* We are accountable to one another \- and for one another
**What we look for:**
* People who are smart, honest and genuine
* People who take pride in their work
* People willing to do what it takes and think outside the box
* People who are life\-long learners and help others learn along the way
* People who laugh and don't take themselves too seriously
* People who do right by others
* People who appreciate the abilities and differences of others
* People who want to participate in building a positive work culture
**What we offer:**
* Collaborative environment without politics, micro\-management or burdensome tools and processes
* Remote or hybrid, flexible work environment with social events
* Empowerment to make your mark
* Growth defined by experiences, not tenure or rank
* Invest in Your Nest benefit to upgrade home office
* Wellness benefit for gym membership or exercise equipment
* Learning allowance for classes, training or personal pursuit
* Discretionary Unlimited PTO, 11 paid holidays, birthday off and summer hours
* Monthly cell phone / internet allowance
* Excellent medical, vision and dental benefits plus 401k with company match
* Education, certifications and training
* Casual dress
**Responsibilities:**
* Active participation in the design and implementation of our software solutions – we use our experience to help translate client requirements into technical design and tasks
* Collaboration with teammates, clients, stakeholders, and executives
* Assist with providing estimates on assigned tasks
* Independently write good code (simple, reliable and scalable)
* Address moderate to complex problems during development and support, document and communicate results appropriately
* Participate in white\-boarding sessions and impact analysis, and explore methods and tools to improve the overall development process
* Learn new client information quickly, and translate data modeling, process modeling, and revision control systems
* Develop long\-term relationships and networks both internally and externally
**Requirements:**
* Bachelor’s degree (Computer Science or Engineering) or related experience
* 2 \- 4 years of experience developing applications (Microsoft environment preferred, but not necessary)
* C\# experience
* HTML / CSS experience
* JavaScript (React / Angular) experience
* Familiar with REST APIs
* Familiar with relational databases
* Common version control practices using Git
* Experience with Agile development and Jira or Azure Dev Ops
* Self\-starter and able to effectively prioritize multiple tasks and projects
* Energized by working at an entrepreneurial company
* Self\-motivated, dependable and reliable teammate
* Passion for learning new technologies and solving new problems
* \*No C2C or 3rd party applications will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
      <c r="A30" t="inlineStr">
        <is>
          <t>li-4366508876</t>
        </is>
      </c>
      <c r="B30" t="inlineStr">
        <is>
          <t>Software Engineer</t>
        </is>
      </c>
      <c r="C30" t="inlineStr">
        <is>
          <t>Valon</t>
        </is>
      </c>
      <c r="D30" t="inlineStr">
        <is>
          <t>linkedin</t>
        </is>
      </c>
      <c r="E30">
        <f>HYPERLINK("https://www.linkedin.com/jobs/view/4366508876", "https://www.linkedin.com/jobs/view/4366508876")</f>
        <v/>
      </c>
      <c r="F30" t="inlineStr"/>
      <c r="G30" t="inlineStr">
        <is>
          <t>New York, NY</t>
        </is>
      </c>
      <c r="H30" t="inlineStr"/>
      <c r="I30" t="inlineStr">
        <is>
          <t>**About The Company**
 Valon is building the AI\-native operating system for regulated finance, starting with mortgage servicing.
 We're a Series C company backed by a16z, transforming industries that others have written off as too complex to innovate.
 Rather than build on top of broken legacy systems, we took a different approach: we built and operate our own mortgage servicing business managing $110\+ billion in loans. This wasn't the end goal, it was how we deeply understood the complexity needed to build software that actually works in regulated industries.
 The results speak for themselves. We've transformed mortgage servicing from a 0% margin business into 60%\+ margins while dramatically improving customer experience. Major enterprise contracts are now deploying across the industry.
 ValonOS is our unified platform that makes every process structured and programmable and it is perfectly positioned for the AI era. When everything flows through one system with rich data, AI agents don't just automate tasks, they continuously improve entire operations. Mortgage servicing is just the beginning of our vision to transform regulated industries and beyond.
**Engineering at Valon**
 Our engineering team is here to power the software ecosystem to disrupt one of the most outdated and regulated spaces in the financial sector \- the mortgage industry. We’ve built out the foundation of a modern mortgage servicing platform that can accurately handle billions of dollars at scale, but we’re just getting started. At Valon, we want you to do the best work of your life. You'll be surrounded by a tight\-knit community of exceptional people from places like Stripe, Jane Street, Meta, and Google who care deeply about their work and each other. Our problem space is complex, but you’ll get a lot of autonomy so that you can learn quickly, execute effectively, and deliver the highest level of business impact. Our tech stack is built on Python, React, Docker, Kubernetes, and Google Cloud Platform.
 Our headquarters are in New York City, and this year, we’re excited to open a new office in San Francisco. Plus, we fully support remote work!
**Responsibilities**
* Responsible for learning new concepts and technologies quickly and apply them to challenging problems.
* Designing and building robust and extensible infrastructure to handle evolving and complex federal, state, and agency regulations.
* Dive deep to understand the inner workings of a highly complex industry.
* Work with Product and Design to define the best experience for our customers.
 Ideal Background
* Bachelor’s degree in Computer Science or related field.
* Requires 1 year of software engineering experience building quality software applications at scale, including ability to work cross\-functionally to balance product and technical requirements, building scalable systems from scratch with a fast turnaround.
* Experience with one of the following: web application development, mobile application development, building large\-scale distributed systems, or infrastructure management.
* Must have legal authority to work in the U.S. EEOE.
**Benefits**
* Base Compensation Band: $140,000\-$200,000\. Base salary offered is determined by a number of factors including the candidate’s experience, qualifications, and skills
+ This Base Compensation pay range applies to our New York City located staff and may differ according to location.
* Compensation: Competitive salary with a meaningful stake in the company via equity, and 401k plan
* Health \&amp; well\-being: We’ll invest in your physical and mental well\-being with comprehensive medical, dental, \&amp; vision benefits
* Commuter benefits: We offer pre\-tax deductions for public transportation, rideshare services, and parking expenses to make your commute more affordable and convenient
* Grow together: Company wide orientation for you to successfully onboard and other learning \&amp; development opportunities including regular review cycles that feature 360 degree feedback
* Play together: Quarterly budgets for team and company outings. Use it for team swag, cooking classes, or team dinners!
* Generous time off: Flexible paid time off, sick days, and 11 company holidays
* Baby bonding time!: 12 weeks off for both birthing and non\-birthing parents \- fully paid so you can focus your energy on your newest addition
*Throughout the interview process, please remember that emails will only be from* 
*valon.com* 
*email addresses. We will never ask for any personally identifiable information during the interview process itself. Please reach out to talent@valon.com if you have any requests to verify the authenticity of an outreach.*
*Valon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Valon makes hiring decisions based solely on qualifications, merit, and business needs at the time.*</t>
        </is>
      </c>
    </row>
    <row r="31">
      <c r="A31" t="inlineStr">
        <is>
          <t>li-4366783287</t>
        </is>
      </c>
      <c r="B31" t="inlineStr">
        <is>
          <t>Software Engineer</t>
        </is>
      </c>
      <c r="C31" t="inlineStr">
        <is>
          <t>Flawless Ed</t>
        </is>
      </c>
      <c r="D31" t="inlineStr">
        <is>
          <t>linkedin</t>
        </is>
      </c>
      <c r="E31">
        <f>HYPERLINK("https://www.linkedin.com/jobs/view/4366783287", "https://www.linkedin.com/jobs/view/4366783287")</f>
        <v/>
      </c>
      <c r="F31" t="inlineStr"/>
      <c r="G31" t="inlineStr">
        <is>
          <t>Texas, United States</t>
        </is>
      </c>
      <c r="H31" t="inlineStr"/>
      <c r="I31" t="inlineStr">
        <is>
          <t>The ideal candidate will be responsible for developing high\-quality applications. They will also be responsible for designing and implementing testable and scalable code.
**Responsibilities** 
* Develop quality software and web applications
* Analyze and maintain existing software applications
* Design highly scalable, testable code
* Discover and fix programming bugs
**Qualifications** 
* Bachelor's degree or equivalent experience in Computer Science or related field
* Development experience with programming languages
* SQL database or relational database skills</t>
        </is>
      </c>
    </row>
    <row r="32">
      <c r="A32" t="inlineStr">
        <is>
          <t>li-4366536231</t>
        </is>
      </c>
      <c r="B32" t="inlineStr">
        <is>
          <t>Software Engineer, Edge Services</t>
        </is>
      </c>
      <c r="C32" t="inlineStr">
        <is>
          <t>Apple</t>
        </is>
      </c>
      <c r="D32" t="inlineStr">
        <is>
          <t>linkedin</t>
        </is>
      </c>
      <c r="E32">
        <f>HYPERLINK("https://www.linkedin.com/jobs/view/4366536231", "https://www.linkedin.com/jobs/view/4366536231")</f>
        <v/>
      </c>
      <c r="F32" t="inlineStr"/>
      <c r="G32" t="inlineStr">
        <is>
          <t>Austin, TX</t>
        </is>
      </c>
      <c r="H32" t="inlineStr"/>
      <c r="I32"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At Apple, we create products and services that have changed entire industries. Our diverse team of people and their ideas inspire innovation in everything we do. Imagine what you could do here! Join Apple and help us make the world a better place. Edge Services is responsible for the foundational services that every Apple team and billions of customer devices rely on. Our services need to be highly available, scale for global reach, and just work. If you love designing, engineering, and running systems that will help our customers, then this is the perfect place for you!
**Description**
 The Edge Services team is on the hunt for a software engineer focused to champion the evolution of our production ecosystems. In this role, you will help drive the vision for our visibility, moving beyond simple uptime metrics to build a sophisticated, data\-driven reliability framework. You will play a pivotal role in ensuring our services are resilient, scalable, and observable, bridging the gap between complex distributed systems and seamless user experiences.
 We’re seeking an engineer who is passionate about building system software, solving seemingly insurmountable problems, and deeply committed to delivering an outstanding customer experience.
 You'll go beyond the industry standard, demonstrating creativity in problem\-solving, the ability to think dynamically, and the agility to adapt quickly to new technical areas.
**Responsibilities**
* You will be responsible for designing and implementing observability and alerting strategies.
* Building self\-healing systems, reducing toil through automation, and partnering with development teams to ensure reliability.
* Proactively identify and mitigate performance bottlenecks before they impact customers.
**Minimum Qualifications**
* Systems Expertise: Strong understanding of Linux internals and deep networking expertise, including HTTP/2, HTTP/3 (QUIC), and HTTPS/TLS. You should be comfortable debugging protocol\-level issues and optimizing traffic flow.
* Automation Mindset: Proven ability to automate repetitive tasks and complex workflows using Python or Go
* Observability Logic: Experience configuring and managing modern monitoring suites (e.g., Prometheus, Grafana, ClickHouse) with a focus on creating actionable, high\-signal quality alerting.
* CS Fundamentals: Solid grasp of Data Structures and Algorithms (DSA) to write efficient, performant code and troubleshoot complex system bottlenecks.
* SRE Principles: Practical knowledge of SLIs, SLOs, Error Budgets, Release Management and Incident Management to drive engineering priorities.
**Preferred Qualifications**
* Infrastructure as Code: Experience managing cloud environments (AWS, GCP, or Azure) using Terraform, Ansible, or Pulumi.
* Orchestration: Hands\-on experience scaling and securing containerized workloads via Kubernetes.
* Incident Response: A track record of leading 'blameless post\-mortems' and using those insights to harden the system against future failures.
* Architectural Influence: Ability to consult with product teams on service design to improve long\-term maintainability.
* Reliability Engineering: A proactive engineering mindset focused on shifting from 'fixing things when they break' to 'designing things so they don't break' (or so they fail gracefully).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3">
      <c r="A33" t="inlineStr">
        <is>
          <t>li-4366500555</t>
        </is>
      </c>
      <c r="B33" t="inlineStr">
        <is>
          <t>Java Software Engineer</t>
        </is>
      </c>
      <c r="C33" t="inlineStr">
        <is>
          <t>RouteOne</t>
        </is>
      </c>
      <c r="D33" t="inlineStr">
        <is>
          <t>linkedin</t>
        </is>
      </c>
      <c r="E33">
        <f>HYPERLINK("https://www.linkedin.com/jobs/view/4366500555", "https://www.linkedin.com/jobs/view/4366500555")</f>
        <v/>
      </c>
      <c r="F33" t="inlineStr"/>
      <c r="G33" t="inlineStr"/>
      <c r="H33" t="inlineStr"/>
      <c r="I33" t="inlineStr">
        <is>
          <t>The Software Engineer will join an Agile development team responsible for our web applications, special projects and/or supporting tools. The Software Engineer should be passionate about code quality and software excellence, with extensive development experience. Collaborating closely with other engineers, architects, and team members is a must.
***Job Requirements***
* Build user interface and server\-side components using approved frameworks producing quality code.
* Participate in design and code reviews suggesting improvements and troubleshooting.
* Work with other team members at the architecture, design, and code levels to ensure standards\-based, high performance systems.
* Actively participate at internal community of practice events to help with continuous learning
* Perform all work in accordance with company’s quality programs, standards, and procedures.
* Maintain safety, security, and privacy standards throughout all areas of responsibility.
***Knowledge***
* Knowledge of popular software development processes, i.e., agile, scrum, feature driven development.
* Experience troubleshooting and resolving application defects within a mature production system.
* Working knowledge in distributed systems, service\-oriented architecture, micro service frameworks and relational databases preferably with exposure to stored procedures.
* Test driven development.
***Skills***
* Experience with Java Platform (SE \&amp; EE), testing frameworks like Selenium or Cucumber, XML, Restful APIs, client\-side scripting, ORM frameworks and MVC frameworks.
* Past work with Java messaging is a plus.
***Abilities***
* Ability to work in a collaborative team environment, think critically and problem solve, learn new technologies and adapt to change.
* Ability to communicate effectively throughout organization.
***Other Essential Requirements***
* 5 years’ experience as software engineer with a strong development background.
* College degree in Computer Science, certification or experience.</t>
        </is>
      </c>
    </row>
    <row r="34">
      <c r="A34" t="inlineStr">
        <is>
          <t>li-4366520775</t>
        </is>
      </c>
      <c r="B34" t="inlineStr">
        <is>
          <t>Software Engineer, Senior (UI)</t>
        </is>
      </c>
      <c r="C34" t="inlineStr">
        <is>
          <t>Toyota North America</t>
        </is>
      </c>
      <c r="D34" t="inlineStr">
        <is>
          <t>linkedin</t>
        </is>
      </c>
      <c r="E34">
        <f>HYPERLINK("https://www.linkedin.com/jobs/view/4366520775", "https://www.linkedin.com/jobs/view/4366520775")</f>
        <v/>
      </c>
      <c r="F34" t="inlineStr"/>
      <c r="G34" t="inlineStr">
        <is>
          <t>Plano, TX</t>
        </is>
      </c>
      <c r="H34" t="inlineStr"/>
      <c r="I34"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based in Plano, TX.**
**Who We’re Looking For**
 At TFS, we’re embarking on a technology transformation journey, creating next generation products and platforms. These products enable TFS to provide a best\-in\-class experience to our customers and partners and position us to rapidly scale to realize our vision of mobility for all by enabling freedom of movement for everyone.
**Join Toyota’s Frontend Engineering Team**
 Help shape the future of digital lending by building high‑performance, modern UI experiences within Toyota’s Commercial Lending Tech Innovation Hub. If you love innovating, owning the user experience, and making bold technical decisions, we want you on our team.
**Why Toyota?**
 We’re not just following UI trends—we’re creating them. You’ll have the autonomy to design, experiment, and build cutting\-edge interfaces alongside a fast‑moving, talented team.
**Our Culture At Toyota – Commercial Lending \&amp; Bank Tech**
* Inclusiveness: We believe diverse perspectives are crucial for designing inclusive and user\-friendly interfaces.
* Empowering Peers: We grow together by sharing knowledge and supporting each other in frontend development.
* Inspiring Each Other: Collaboration and mentorship drive innovation in our UI/UX practices.
 Drive UI innovation at Toyota—apply today!
**What You’ll Be Doing**
* Lead the development of dynamic and responsive front\-end applications using Vue.js, NUXT, and PrimeVue.
* Write clean, efficient, and well\-documented code in TypeScript.
* Implement Server\-Side Rendering (SSR) for enhanced performance and SEO.
* Leverage AWS Amplify to build and deploy scalable frontend solutions.
* Work closely with UX/UI designers and backend engineers in an agile environment.
* Champion UI best practices, accessibility standards, and performance optimization.
**What You Bring**
* Expertise in modern JavaScript frameworks (ideally Vue.js \+ NUXT) with strong JavaScript/TypeScript skills.
* Hands\-on experience with UI libraries (PrimeVue, Vuetify, Material UI) and Tailwind CSS.
* Understanding and implementation experience with Server\-Side Rendering (SSR).
* Strong HTML/CSS/SCSS Tokens knowledge and modern web standards.
* Experience deploying and managing frontend applications on AWS.
* Strong understanding of asynchronous programming and state management in frontend applications.
* Proficient with testing frameworks (Jest, Playwright or similar).
* Detail‑oriented with a passion for exceptional UI design.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35">
      <c r="A35" t="inlineStr">
        <is>
          <t>li-4344002521</t>
        </is>
      </c>
      <c r="B35" t="inlineStr">
        <is>
          <t>Senior Backend Engineer</t>
        </is>
      </c>
      <c r="C35" t="inlineStr">
        <is>
          <t>PIP Labs</t>
        </is>
      </c>
      <c r="D35" t="inlineStr">
        <is>
          <t>linkedin</t>
        </is>
      </c>
      <c r="E35">
        <f>HYPERLINK("https://www.linkedin.com/jobs/view/4344002521", "https://www.linkedin.com/jobs/view/4344002521")</f>
        <v/>
      </c>
      <c r="F35" t="inlineStr"/>
      <c r="G35" t="inlineStr">
        <is>
          <t>Palo Alto, CA</t>
        </is>
      </c>
      <c r="H35" t="inlineStr"/>
      <c r="I35" t="inlineStr">
        <is>
          <t>**About PIP Labs \&amp; Story**
 PIP Labs is the team behind Story, a purpose\-built Layer 1 blockchain designed specifically for intellectual property. With Story, creators can register IP on\-chain and set usage terms in seconds, dramatically lowering the barrier of today’s complex and antiquated IP legal systems.
 By making IP programmable, Story transforms intellectual property into a transparent, decentralized, global repository where AI agents, developers, and humans alike can transact, license, and monetize IP with a simple API call.
 In February 2025, we launched the Story mainnet, and our native $IP token is now listed on major global exchanges. As we grow the next era of programmable IP infrastructure, we are expanding our core engineering team and are now looking for a Senior Backend Engineer to take ownership of critical services that keep the Story protocol running.
**About The Role**
 We are looking for a Senior Backend Engineer who can own and maintain Story’s backend systems end to end, including the Story API, indexing pipelines, workflow orchestration services, and the supporting cloud infrastructure behind them.
 This role sits at the intersection of backend engineering and infrastructure. You will primarily work on Story’s backend services in Go, but will also collaborate closely with infrastructure on deployments, cloud migrations, and system reliability. This is a high\-impact role that will immediately take on meaningful responsibilities across the Story platform.
 You will join a small, highly technical team where you will have autonomy, significant ownership, and the opportunity to influence the architecture of Story’s backend as we scale.
**What You'll Do**
* Maintain and extend the Story API, indexing systems, and backend services
* Write high\-quality Go code and improve the performance and reliability of distributed services
* Support day\-to\-day infrastructure needs, including deployments, monitoring, and cloud operations
* Contribute to the GCP to AWS migration and help stand up self\-hosted Temporal
* Debug issues across the stack and own services from design through deployment
* Collaborate with backend, infra, and protocol engineers on architecture, reviews, and best practices
* Take on maintenance and optimization work left by recent team transitions and help re\-establish backend coverage for Story
* Design and implement new backend systems and services from the ground up, shaping core platform capabilities as Story evolves
**Who You Are**
* 5 to 8\+ years of software engineering experience, with strong backend focus
* Proficiency with Go (Golang) in production environments
* Strong understanding of distributed systems, APIs, microservices, and concurrency
* Hands\-on experience with AWS or other major cloud providers
* Experience deploying, maintaining, and debugging production services
* Ability to operate in a fast\-moving, high\-ownership startup environment
* Excellent communication and collaboration skills
* Based in the Bay Area and comfortable with a hybrid work model
**Nice To Have**
* Experience with infrastructure tools such as Terraform, Kubernetes, or CI/CD
* Familiarity with Temporal, workflow systems, or distributed task orchestration
* Experience self\-hosting cloud or open\-source infrastructure components
* Background with blockchain or decentralized systems (not required)
* Contributions to open\-source projects
* Familiarity with Rust or TypeScript microservices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6">
      <c r="A36" t="inlineStr">
        <is>
          <t>li-4366927088</t>
        </is>
      </c>
      <c r="B36" t="inlineStr">
        <is>
          <t>Software Engineer (Workbench Core, Full Stack)</t>
        </is>
      </c>
      <c r="C36" t="inlineStr">
        <is>
          <t>Expel</t>
        </is>
      </c>
      <c r="D36" t="inlineStr">
        <is>
          <t>linkedin</t>
        </is>
      </c>
      <c r="E36">
        <f>HYPERLINK("https://www.linkedin.com/jobs/view/4366927088", "https://www.linkedin.com/jobs/view/4366927088")</f>
        <v/>
      </c>
      <c r="F36" t="inlineStr"/>
      <c r="G36" t="inlineStr"/>
      <c r="H36" t="inlineStr"/>
      <c r="I36" t="inlineStr">
        <is>
          <t>Are you passionate about making it easier for developers to do what they love? Are you also excited about deep diving into platforms to understand bottlenecks so you can tackle performance and stability issues? Do you take pride in building software that helps people work smarter, not harder? If you’re a problem\-solver who loves working across the full stack, we want to hear from you!
 At Expel, we’re looking for a Full\-Stack Software Engineer to join our Workbench Core team. In this role, you’ll help shape and maintain the platform architecture supporting Expel’s Workbench Product. Your work will be essential to ensuring internal product teams can produce clean, secure, and sustainable solutions at scale by delivering the tools, guidance, and platform\-level features they need.
 You’ll collaborate closely with your team and work with partners from User Experience, Quality, Core Engineering, and Product Security to break down complex problems and deliver innovative solutions. Your back\-end and front\-end skills will be key as you bring features to life and ensure our systems run reliably and efficiently.
**Success in this role means:**
* Building high\-quality, scalable software that meets both business and technical goals.
* Ensuring the platform is reliable, fast, and intuitive for our users.
* Being an active participant in our culture of collaboration, innovation, and continuous improvement.
 Our team values being actively inclusive and supportive, innovation through rapid iteration, and intelligent execution over heroics.
**What Expel Can Do For You**
* Provide you with opportunities to tackle real\-world challenges, working on a platform that directly impacts both our customers and internal teams.
* Support your growth as an engineer by offering mentorship, resources for professional development, and the chance to work with modern technologies like React, Typescript, Kubernetes, AWS, GCP, Postgres, and Node.
* Expose you to the exciting world of cybersecurity, giving you insights into how data helps safeguard customers and drives strategic decision\-making.
* Encourage your continuous learning through access to conferences, training programs, and certifications.
* Immerse you in a collaborative and transparent startup environment, where your contributions will be valued and recognized, and you'll have a direct influence on product and company success.
**What You Can Do For Expel**
* Build and maintain high\-quality features that improve the developer experience and efficiency of engineers working on the Workbench product.
* Collaborate with cross\-functional teams like User Experience, Quality, and Core Engineering to deliver features that are scalable, reliable, and intuitive.
* Contribute to the performance and scalability of the platform, ensuring it’s customizable, self\-service, and meets the demands of our users.
* Help troubleshoot and resolve issues in a timely manner, improving the reliability and performance of the system.
* Continuously improve your skills and bring fresh ideas to the table, supporting a culture of learning, innovation, and collaboration.
* Contribute to our engineering culture by participating in code reviews, design discussions, and team activities, fostering a positive and supportive environment.
**What You Should Bring With You**
* 3\+ years of experience in full\-stack development, with hands\-on experience building both back\-end systems and front\-end applications.
* Familiarity with modern front\-end frameworks and experience building user\-facing web applications. Experience with React, Typescript, or Design Systems is a plus.
* Proficiency in multiple programming languages (such as JavaScript, Python, or Go) and a desire to continuously improve your technical skills.
* A basic understanding of databases (like PostgreSQL) and how to work with data for reporting and insights.
* A collaborative attitude—you enjoy working closely with others across teams to solve problems and bring new features to life.
* Strong problem\-solving skills, with a passion for finding efficient, reliable solutions to complex challenges.
* A commitment to quality—you write clean, maintainable code and are eager to follow best practices like testing and code reviews.
* A growth mindset—you’re curious, eager to learn, and excited to grow your expertise in large\-scale application design and development.
**How We Run Teams**
 We build and run teams where everyone is pulling in the same direction and is learning from each other:
* We work out of a shared backlog
* We peer\-review everything
* We pair\-program when it makes sense
* We do blame\-free retros to reinforce what’s going well, so we do more of it, and surface what’s not, so we can do something about it
**Additional Notes**
 Pay range:
 *$118,400 USD* 
 to
 *$171,700 USD* 
 \+ bonus eligibility and equity.
 We believe in paying transparently and equitably. Your salary will ultimately be based on factors such as your experience, skills, team equity, and market data. You’ll also be eligible for unlimited PTO (which we model and encourage), work location flexibility, up to 24 weeks of parental leave, and really excellent health benefits.
 We're only hiring those authorized to work in the United States.
 We're an Equal Opportunity Employer: You will receive consideration for employment without regard to race, sex, color, religion, sexual orientation, gender identity, national origin, protected veteran status, or on the basis of disability.
 We’ll ensure that individuals with disabilities are provided reasonable accommodation to participate in the job application or interview process, to perform crucial job functions, and to receive other benefits and privileges of employment. Please let us know if you need accommodation of any kind.
 Salary Range
 $118,400—$171,700 USD</t>
        </is>
      </c>
    </row>
    <row r="37">
      <c r="A37" t="inlineStr">
        <is>
          <t>li-4366792902</t>
        </is>
      </c>
      <c r="B37" t="inlineStr">
        <is>
          <t>Software Engineer</t>
        </is>
      </c>
      <c r="C37" t="inlineStr">
        <is>
          <t>Lockheed Martin</t>
        </is>
      </c>
      <c r="D37" t="inlineStr">
        <is>
          <t>linkedin</t>
        </is>
      </c>
      <c r="E37">
        <f>HYPERLINK("https://www.linkedin.com/jobs/view/4366792902", "https://www.linkedin.com/jobs/view/4366792902")</f>
        <v/>
      </c>
      <c r="F37" t="inlineStr"/>
      <c r="G37" t="inlineStr">
        <is>
          <t>California, United States</t>
        </is>
      </c>
      <c r="H37" t="inlineStr"/>
      <c r="I37"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An exciting new Lockheed Martin program is seeking experienced Software Engineers to be part of a team developing missile defense technology that could forever change our ability to deter and respond to adversity
 Lockheed Martin Space is seeking a full time Software Engineer. In this role, you will support the software engineering lifecycle following the program Software Development Plan (SDP) to include requirements analysis, object oriented analysis \&amp; design, code \&amp; unit test, integration, and support to formal test/delivery.
 The successful candidate will have experience and/or knowledge of languages such as C or C\+\+. Must be a US Citizen; this position will require Final Secret government security clearance prior to starting. This position is located at a facility that requires special access.
**Desired Skills**
* Knowledge of Agile Software Development \-\-Ability to work in a collaborative and teambased environment
* Excellent written and verbal communication
**Skills**
* Knowledge of Model Base Systems Engineering
 (MBSE)
* Previous experience designing to software requirements
* Experience with full software life cycle development including SW design, architecture and integration \&amp; test
 \#LMSpaceSoftwareEng
 \#spaceembeddedsw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8">
      <c r="A38" t="inlineStr">
        <is>
          <t>li-4366794204</t>
        </is>
      </c>
      <c r="B38" t="inlineStr">
        <is>
          <t>Progress Software Developer</t>
        </is>
      </c>
      <c r="C38" t="inlineStr">
        <is>
          <t>DP World</t>
        </is>
      </c>
      <c r="D38" t="inlineStr">
        <is>
          <t>linkedin</t>
        </is>
      </c>
      <c r="E38">
        <f>HYPERLINK("https://www.linkedin.com/jobs/view/4366794204", "https://www.linkedin.com/jobs/view/4366794204")</f>
        <v/>
      </c>
      <c r="F38" t="inlineStr"/>
      <c r="G38" t="inlineStr">
        <is>
          <t>Middletown, PA</t>
        </is>
      </c>
      <c r="H38" t="inlineStr"/>
      <c r="I38" t="inlineStr">
        <is>
          <t>DP World North America delivers tailored, scalable and progressive solutions to customers in more than 100 global locations. The company has managed supply chain synergies for global automotive and technology premier brands for more than 60 years.
 As a trusted 3PL partner to some of the world’s most influential tech companies, we deliver agile, data\-driven logistics that scale with demand and drive operational excellence.
 We’re seeking a Progress Software Developer to join our high\-impact technology team supporting a major tech giant’s logistics ecosystem. If you thrive in fast\-paced environments and want to build solutions that move billions of dollars in goods worldwide—this is your moment.
***This is an fulltime onsite role to be based in Middletown, PA .***
 Key Objectives
* To undertake the full development lifecycle of a global Progress application.
* To produce high quality software solutions within time and budget.
* To provide support of existing applications to an agreed SLA.
* To work within a team and focus on continuous improvement and learning.
* To create innovative solutions to problems.
* To facilitate and support onsite deployments of major projects.
* To perform other related duties as assigned
 As a Progress Developer, you’ll be accountable for below:
* Abide on the policies and regulations of the company, and within the Technology group.
* Taking ownership of the project targets and delivery dates to meet customer expectations.
* Strictly adhere to each phase of the development lifecycle using internal tools in collaboration with all teams.
* Owning and taking\-up responsibilities.
* Receptive to learning to strengthen skills and reduce mistakes.
* Able to investigate issues and bring possible solutions.
**About The Role**
**How you will contribute**
* Undertake the full development lifecycle of a global Progress application.
* Produce high quality software solutions within time and budget.
* Provide support of existing applications to an agreed SLA.
* Work within a team and focus on continuous improvement and learning.
* Create innovative solutions to problems.
* Facilitate and support onsite deployments of major projects.
* Other duties as assigned
**Your Key Qualifications**
* Degree or third level qualification in IT or equivalent experience.
* Exposure to querying relational databases.
* Experience in development of successfully delivering development projects in a commercial environment.
* Working knowledge of Unix / Linux Operating System and commands.
* The ability to work under pressure and deliver to changing business demands.
* Ability to see bigger picture and understand a global application focus.
* Ability to code to standards and take direction as to general coding method.
**Compensation**
 DP World offers exciting and challenging roles within a growing international organization. We strive to hire and develop the right people, locally and globally, stimulating personal growth and self\-development within an informal atmosphere. We offer a market competitive compensation package.
**About DP World**
 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111,000 employees from 159 nationalities, spanning 77 countries on six continents,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What's more, we're reshaping the future by investing in innovation. From intelligent delivery systems to automated warehouse stacking, we’re at the cutting edge of disruptive technology, pushing the sector towards better ways to trade, minimising disruptions from the factory floor to the customer’s door.
 DP World is on a mission to transcend boundaries and bridge the gap between all nations and cultures – not just in what we do but also in how we behave.
 We are dedicated to creating a culture where everyone feels respected, supported, and empowered to reach their full potential. We believe that embracing inclusion and diversity, drives innovation and growth and helps us connect people, businesses, and societies. Free minds and different perspectives are changing our world, and together we can change what’s possible.
 The DP World family comprises of syncreon, Imperial and P\&amp;O.
**WE MAKE TRADE FLOW**</t>
        </is>
      </c>
    </row>
    <row r="39">
      <c r="A39" t="inlineStr">
        <is>
          <t>li-4366906317</t>
        </is>
      </c>
      <c r="B39" t="inlineStr">
        <is>
          <t>Full Stack Engineer</t>
        </is>
      </c>
      <c r="C39" t="inlineStr">
        <is>
          <t>Protech Talent</t>
        </is>
      </c>
      <c r="D39" t="inlineStr">
        <is>
          <t>linkedin</t>
        </is>
      </c>
      <c r="E39">
        <f>HYPERLINK("https://www.linkedin.com/jobs/view/4366906317", "https://www.linkedin.com/jobs/view/4366906317")</f>
        <v/>
      </c>
      <c r="F39" t="inlineStr"/>
      <c r="G39" t="inlineStr"/>
      <c r="H39" t="inlineStr"/>
      <c r="I39" t="inlineStr">
        <is>
          <t>**Fullstack Software Engineer**
**Location:** 
 New York City, Hybrid
**Salary:** 
 $150–350k \+ Equity
**Start Date:** 
 ASAP
**Company:**
 Our client is one of the fastest\-growing early\-stage fintech startups in the US, automating financial operating systems for small businesses. Backed by a powerful mission and early traction, the company is using cutting\-edge tech to rebuild trust and financial access for the tens of millions of small businesses, that need modern financial software that works for them.
 Small businesses, such as community pharmacies and independent auto dealers, are the heart of the US economy. However, due to the rise of AI, A digital economy, private equity consolidation, and inflationary pressures, a massive operational gap is forming between these SMBs and larger enterprises / tech\-forward industries. These larger companies employ full finance teams and leverage the latest finance software. Small businesses deserve the same resources.
 This role is ideal for someone who wants to be early at a fintech Rocketship, close to product and customers, and have a transformative career experience. You’ll help rewrite the financial future of America’s SMBs — and be deeply proud of what you’ve built.
**About the Product:**
 The platform is transforming how SMBs manage finances. By combining automation, data intelligence, and embedded finance, they’re closing the gap between legacy spreadsheets and the sophisticated tools used by large enterprises.
 Think: vertical SaaS \+ fintech infra \+ AI\-powered insights, purpose\-built for businesses like community pharmacies and auto dealers that are grinding it out daily without the tools they deserve.
**Funding \&amp; ARR:**
 Achieved a $17 million Series A, 6 months after Seed funding. Achieved $7 million in ARR with a team of 10 people in 15 months.
**About the Team:**
 The company is led by two founders from UC Berkeley, who have already had success with founding and investing into companies, who have built relationships with business owners from the ground up, earning their trust in a sector plagued by scepticism. Now, they’re partnered with influential trade associations across the country, to onboard their clients with the entities that will support them. They are operating in all 50 states (plus Puerto Rico), with concentration in states like Tennessee, Oklahoma, and Missouri.
 The team is currently 10 people and operates in\-person from a beautiful Flatiron\-based office in NYC. They’re hands\-on, ambitious, and customer obsessed. This is a team that doesn’t punch the clock, just like their customers don’t. deep product immersion is part of the culture, and they pride themselves on doing what it takes to deliver.
 If you’re looking for a cushy Big Tech gig, this isn’t it. But if you want to stretch yourself, grow fast, and build something that matters — this could be your career\-defining moment.
**About the Role:**
 As a
 **Fullstack Engineer** 
 , you’ll be responsible for shaping the financial backbone of American SMBs by building the systems that unlock financial data and intelligence, automate work\-flows, and co\-pilot their decisions. Your expertise won't just be used to build software. It will empower the tens of millions of hard\-working SMB owners across America.
**Responsibilities:** 
* Own and lead full\-stack development across the lifecycle: architecture, coding, testing, deployment, and production support.
* Collaborate closely with internal stakeholders and SMB customers to translate business challenges into robust technical solutions.
* Refine engineering tools, processes, and systems to scale productivity and improve quality.
* Play a key role in shaping the engineering culture and best practices.
* Contribute beyond engineering — we value builders who lean in on product, design, and business too.
**Tech Stack:**
* **Frontend/Backend:** 
 JavaScript, TypeScript, React, Node.js or Python or GO
* **Infrastructure:** 
 AWS
* **Other Tools:** 
 SQL, CI/CD pipelines, containerized microservices (Docker/Kubernetes a plus)
**Your Experience:**
* 2–15 years of experience as a Fullstack engineer with React \&amp; Node or another modern backend programming language such as Python or GO
* Can be backend of frontend leaning
* Strong foundation in CS (preferably from a top\-tier school or equivalent experience).
* History of early\-stage startup or founding engineer experience.
* Demonstrated experience shipping 0–1 products and architecting end\-to\-end solutions.
* SQL schema design and hands\-on backend development are core strengths.
* Worked in environments with fast\-paced iteration, ambiguity, and a deep customer focus.
* Passionate about the mission and long\-term impact of empowering underserved business owners.
**You will be a cultural fit if…**
* You’ve had fast career progression (Senior/Staff\-level growth early in your career).
* You have a high\-ownership mentality, you treat code, product, and customer outcomes as your responsibility. You drive your own results and are proactive at solving problems.
* You thrive in high\-accountability, high\-reward environments.
* You want to work in person with driven peers to iterate fast, learn fast, and win fast.
* You’ve interned or worked at top\-tier startups or tech companies.
* You’re relentlessly curious and think like a founder, you ask business questions and want to understand “why” just as much as “how.”
* You are an intelligent individual with analytical thinking, problem solving skills and can communicate eloquently.
* You want to push yourself, the company and the team to be the best and have the confidence to give your opinion on topics.
**Benefits:**
* Competitive salary \&amp; equity
* 100% employer\-paid Health, Dental, and Vision insurance
* Relocation reimbursement to NYC
* Daily team\-provided lunch \&amp; dinner (in\-office)
* Paid tech setup (laptop, monitor, peripherals)
* Beautiful Flatiron office
**Interview Process:**
1. **Intro Call** 
 with Co\-Founder
2. **Second Call** 
 with other Co\-Founder
3. **Technical Interview**
* One focused on architecture and a case study with the engineering team
* Once focused on backend Design and coding
1. **Final Pre\-Offer Meeting**
* Culture fit, Q\&amp;A, compensation alignment
* ✔️ Fast decision turnaround — you’ll know where you stand.</t>
        </is>
      </c>
    </row>
    <row r="40">
      <c r="A40" t="inlineStr">
        <is>
          <t>li-4366772227</t>
        </is>
      </c>
      <c r="B40" t="inlineStr">
        <is>
          <t>Software Engineer</t>
        </is>
      </c>
      <c r="C40" t="inlineStr">
        <is>
          <t>James Search Group</t>
        </is>
      </c>
      <c r="D40" t="inlineStr">
        <is>
          <t>linkedin</t>
        </is>
      </c>
      <c r="E40">
        <f>HYPERLINK("https://www.linkedin.com/jobs/view/4366772227", "https://www.linkedin.com/jobs/view/4366772227")</f>
        <v/>
      </c>
      <c r="F40" t="inlineStr"/>
      <c r="G40" t="inlineStr"/>
      <c r="H40" t="inlineStr"/>
      <c r="I40" t="inlineStr">
        <is>
          <t>**Software Engineer – P\&amp;C Insurance \| Technology \&amp; Claims Transformation** 
**Remote \| Competitive Compensation \&amp; Benefits** 
**About Our Client** 
 James Search Group is partnering with a
 **leading Property \&amp; Casualty (P\&amp;C) insurance carrier** 
 seeking a
 **Software Engineer** 
 to support
 **technology and claims transformation initiatives** 
 . This is a critical role within a growing organization focused on modernizing systems and driving operational efficiency.
**Responsibilities** 
* Design, develop, and implement software solutions for claims, underwriting, and reinsurance systems
* Collaborate with business analysts, project managers, and stakeholders to define requirements and technical specifications
* Work on system integrations, API development, and data processing solutions
* Ensure high\-quality code through testing, debugging, and performance optimization
* Maintain and enhance existing applications, ensuring system stability and scalability
* Stay up to date with emerging technologies and best practices in software development
* Document technical processes, system architecture, and development workflows
**Qualifications** 
* 2\-5\+ years of experience in software development within the
 **P\&amp;C insurance industry**
* Strong proficiency in
 **Java, C\#, Python, or similar programming languages**
* Experience with
 **cloud platforms (AWS, Azure, or Google Cloud)**
* Knowledge of
 **database systems (SQL, NoSQL)** 
 and data modeling
* Hands\-on experience with
 **RESTful APIs, microservices architecture, and system integrations**
* Familiarity with
 **insurance industry systems such as claims management, underwriting, or policy administration**
* Understanding of
 **Agile and DevOps methodologies**
* Strong problem\-solving skills and the ability to work in a fast\-paced environment
**Why Join?** 
* Work for a
 **leading P\&amp;C insurance carrier** 
 with a strong industry presence
* **Fully remote position** 
 with flexible work arrangements
* **Competitive salary \+ performance\-based bonus**
* **Comprehensive benefits package** 
 including health, dental, vision, and 401(k)
* Opportunity to work on
 **modern technology solutions** 
 and drive business transformation
**Apply now** 
 or contact James Search Group for more details.</t>
        </is>
      </c>
    </row>
    <row r="41">
      <c r="A41" t="inlineStr">
        <is>
          <t>li-4366505370</t>
        </is>
      </c>
      <c r="B41" t="inlineStr">
        <is>
          <t>Software Engineer – Security &amp; AI (Early Team)</t>
        </is>
      </c>
      <c r="C41" t="inlineStr">
        <is>
          <t>LayerV.ai</t>
        </is>
      </c>
      <c r="D41" t="inlineStr">
        <is>
          <t>linkedin</t>
        </is>
      </c>
      <c r="E41">
        <f>HYPERLINK("https://www.linkedin.com/jobs/view/4366505370", "https://www.linkedin.com/jobs/view/4366505370")</f>
        <v/>
      </c>
      <c r="F41" t="inlineStr"/>
      <c r="G41" t="inlineStr"/>
      <c r="H41" t="inlineStr"/>
      <c r="I41" t="inlineStr">
        <is>
          <t>**About LayerV** 
 Security today is largely
 **reactive** 
 .
 We believe AI makes that approach obsolete.
 LayerV is building a new security layer for an
 **AI\-first internet** 
 , turning the ideas behind
 **OpenNHP** 
 into a real, usable product. Our mission is to
 **reinvent the authenticated internet** 
 by making networks invisible by default and security preemptive rather than reactive.
 This is an early role with real ownership, ambiguity, and impact.
**What You’ll Work On** 
* Turning the
 **OpenNHP protocol** 
 into a production\-grade product
* Designing and building systems for
 **preemptive, identity\-first security**
* Building backend and infrastructure\-heavy software that interacts with networks, identity, and access
* Applying
 **LLMs and AI systems** 
 to security workflows and product features
* Working closely with founders to shape architecture, product direction, and developer experience
**Who This Role Is For** 
 You’re likely a fit if you:
* Have been a
 **software developer for several years** 
 and have shipped real systems
* Have
 **security, networking, or infrastructure experience** 
 (strong plus, not required)
* Are
 **high\-agency** 
 and self\-directed — you don’t need constant direction
* Are comfortable working in ambiguity and early\-stage environments
* Are actively
 **building with LLMs** 
 and can explain how you’ve used them in real applications
* Believe AI fundamentally changes how security must be designed
**What Matters More Than a Résumé** 
 We care deeply about
 **how you think and what you’ve done** 
 , not titles.
**We’ll ask about:** 
* **Three meaningful challenges you’ve overcome**
* How you approach hard, undefined problems
* Examples of products or systems you’ve built
* How you’re using AI and LLMs in practice today
**What This Is (and Isn’t)** 
**This is:** 
* An early, high\-impact engineering role
* Real ownership and influence on product direction
* A chance to work on foundational internet infrastructure
**This is not:** 
* A big\-company role with rigid processes
* A narrowly scoped ticket\-taking position
* A role for someone uncomfortable with ambiguity
**How to Apply** 
 No long application process.
**Send a short note sharing:** 
* What excites you about this problem
* Something you’ve built that you’re proud of
* How you’re using AI or LLMs today
**Learn more:** 
 https://layerv.ai</t>
        </is>
      </c>
    </row>
    <row r="42">
      <c r="A42" t="inlineStr">
        <is>
          <t>li-4366485508</t>
        </is>
      </c>
      <c r="B42" t="inlineStr">
        <is>
          <t>Full Stack Engineer</t>
        </is>
      </c>
      <c r="C42" t="inlineStr">
        <is>
          <t>Kavyos Consulting</t>
        </is>
      </c>
      <c r="D42" t="inlineStr">
        <is>
          <t>linkedin</t>
        </is>
      </c>
      <c r="E42">
        <f>HYPERLINK("https://www.linkedin.com/jobs/view/4366485508", "https://www.linkedin.com/jobs/view/4366485508")</f>
        <v/>
      </c>
      <c r="F42" t="inlineStr"/>
      <c r="G42" t="inlineStr"/>
      <c r="H42" t="inlineStr"/>
      <c r="I42" t="inlineStr">
        <is>
          <t>What you will be responsible for
* **Frontend Development** 
 : Design,develop, and optimizeresponsive and interactive user interfaces using AngularJS or React, from mockups into functional and appealing webpages
* **Backend Development** 
 : Buildand maintain robustAPIs and backendlogic using C\#, .NET Framework, .NET Core, and Azure SQL Server using Entity Framework and Dapper.
* **Requirement Scoping** 
 : Collaborate with product managers, architects, and other engineers to define and document application requirements.
* **Best Practices** 
 : Implement and advocate for industry best practices in coding, security, design patterns, and system architecture.
* **Performance Optimization** 
 : Continuously monitor and enhanceapplication performance across both the frontend and backend.
* **Testing and Quality Assurance** 
 : Writeunit, integration, and end\-to\-end teststo ensure high\-quality application delivery.
* **Technical Leadership** 
 : Mentor junior developers and provide technicalguidance to the engineering team.
* **Documentation** 
 : Maintainclear and concisedocumentation of systems,APIs, and processes.
* **Deployment** 
 : Participate in production deployments and verification.
 Qualifications
* **Experience** 
 : 10\+ years of professional experience in full stack software development, with a focus on enterprise applications.
* **Frontend Expertise** 
 : Strong experience with AngularJS and React, HTML5, JavaScript, CSS, SignalR/ WebSocket, including building reusablecomponents and managingstate.
* **Backend Proficiency** 
 : Extensive experience in C\#, ASP.NET, .NET Framework, .NET Core, and writing SQL queries (T\-SQL, ORM).
* **AI\-Driven Development:** 
 Experience leveraging AI\-assisted development tools (e.g., GitHub Copilot, Azure OpenAI) to improve productivity, code quality, and testing efficiency. Familiarity with AI\-driven best practices, including governance, responsible AI usage, and integrating AI\-powered automation into development workflows.
* **Cloud Knowledge** 
 : Familiarity with deploying and managing applications in Azure.
* **Performance Mindset** 
 : Proventrack record of building performant, secure and scalable web applications.
* **Coding Standards** 
 : Deep understanding of clean code principles, SOLID design, and best security practices.
* **Problem\-Solving Skills** 
 : Stronganalytical and troubleshooting abilities to resolve complex technical challenges.
* **Communication** 
 : Excellent written and verbal communication skills.
* **Education** 
 : Bachelor’s or Master’sdegree in ComputerScience, Software Engineering, or
 related field (or equivalent experience).</t>
        </is>
      </c>
    </row>
    <row r="43">
      <c r="A43" t="inlineStr">
        <is>
          <t>li-4366513165</t>
        </is>
      </c>
      <c r="B43" t="inlineStr">
        <is>
          <t>Senior Software Engineer, Full Stack, YouTube Ads</t>
        </is>
      </c>
      <c r="C43" t="inlineStr">
        <is>
          <t>Google</t>
        </is>
      </c>
      <c r="D43" t="inlineStr">
        <is>
          <t>linkedin</t>
        </is>
      </c>
      <c r="E43">
        <f>HYPERLINK("https://www.linkedin.com/jobs/view/4366513165", "https://www.linkedin.com/jobs/view/4366513165")</f>
        <v/>
      </c>
      <c r="F43" t="inlineStr"/>
      <c r="G43" t="inlineStr">
        <is>
          <t>Mountain View, CA</t>
        </is>
      </c>
      <c r="H43" t="inlineStr"/>
      <c r="I43" t="inlineStr">
        <is>
          <t>**Minimum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 Experience with mobile application development in Android or iOS.
**Preferred qualifications:**
* Master's degree or PhD in Computer Science or related technical field.
* 5 years of experience with data structures and algorithms.
* 1 year of experience in a technical leadership role.
* Experience with data analysis and using SQL to extract and analyze insights from large datasets to inform product strategy or system optimizations.
* Experience developing accessible technologies.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4">
      <c r="A44" t="inlineStr">
        <is>
          <t>li-4366518855</t>
        </is>
      </c>
      <c r="B44" t="inlineStr">
        <is>
          <t>Front-end Software Engineer</t>
        </is>
      </c>
      <c r="C44" t="inlineStr">
        <is>
          <t>Quantifind</t>
        </is>
      </c>
      <c r="D44" t="inlineStr">
        <is>
          <t>linkedin</t>
        </is>
      </c>
      <c r="E44">
        <f>HYPERLINK("https://www.linkedin.com/jobs/view/4366518855", "https://www.linkedin.com/jobs/view/4366518855")</f>
        <v/>
      </c>
      <c r="F44">
        <f>HYPERLINK("https://www.quantifind.com/open-positions/?gh_jid=7559144&amp;gh_src=fuyxe1q61us&amp;urlHash=OyVH", "https://www.quantifind.com/open-positions/?gh_jid=7559144&amp;gh_src=fuyxe1q61us&amp;urlHash=OyVH")</f>
        <v/>
      </c>
      <c r="G44" t="inlineStr">
        <is>
          <t>Palo Alto, CA</t>
        </is>
      </c>
      <c r="H44" t="inlineStr"/>
      <c r="I44" t="inlineStr">
        <is>
          <t>**Who You Are**
 You are an outstanding front\-end software engineer who wants to build React applications on top of a service layer powered by cutting\-edge Machine Learning and AI technologies. You excel at building modern browser\-based JavaScript applications that make Ajax calls to RESTful Microservices. You have worked with React and Redux; you want to go deep with these technologies to build the next generation of web applications. You also enjoy building compelling data visualizations.
 You hold yourself to a high standard when it comes to writing clean, performant, and maintainable code that powers well\-designed web applications. You are very productive and deliver extremely high quality front\-end code where the separation of concerns is clear and follows architectural best practices. You apply software patterns well and take testing your code seriously. You write unit tests while writing production code rather than as an afterthought. Your code meets the rigorous standards needed for Continuous Integration workflows involving multi\-environment feature validation and frequent deployments to customers.
 You care deeply about your work and its impact on your team’s productivity. You work well in cross\-functional settings where you are expected to collaborate with members of wide\-ranging disciplines including Design, DevOps, Product, and Data Science. You value the security of a company with a proven business model and enjoy the opportunities a startup offers. You have a great work ethic and are able to take on major projects from start to finish, either solo or collaborating with other engineers. On a personal note, you are a kind and understanding team member who is friendly and eager to work with others and help them grow in their roles as you grow in yours. You maintain a positive attitude throughout the Agile Sprint cycle and help the team deliver at a steady pace on a week\-to\-week basis.
**Who We Are**
 Quantifind helps some of the world’s biggest banks catch money laundering and fraud. Quantifind also works with government agencies to use the same platform to uncover criminal networks and combat money laundering committed by internationally sanctioned entities. Unlike other players in this space, Quantifind delivers results as software\-as\-a\-service (SaaS) with consumer\-grade user experiences.
 Quantifind is a data science technology company whose AI platform uncovers signals of risk across disparate and unstructured text sources.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SaaS solution offers a way to cut through the inefficiency and enhance effectiveness simultaneously.
 We process terabytes of data each day on our own dedicated Hadoop clusters. We use real\-time data services to enable interactive investigations in our SaaS applications and APIs. We use Kubernetes and Docker for our container ecosystem, and we develop standalone services in Scala and Python and use Spark for MapReduce jobs.
 To help you succeed, we provide a supportive environment that fosters collaboration between teams and team members, where learning and professional growth are considered a key part of your success, and of ours. We offer a flexible work environment with a family friendly work\-life balance.
**What a Great Candidate Looks Like**
* Professional front\-end software engineer experience using React for at least 2 years
* BS or MS in Computer Science
* Outstanding written and verbal communication skills
* Previous experience at a software startup preferred
* Professional experience with JavaScript, HTML5, and CSS3
* Professional experience developing rich, powerful, and reusable components with client\-side JavaScript in React
* Professional experience using Redux to manage application state
* Experience with data visualization
* Strong UX and design sensibilities and attention to detail
* Familiarity with server\-side JavaScript using Express.js is a plus
* Familiarity with SQL databases such as Postgres
* Professional experience writing unit tests and automated integration tests
* Professional experience working with REST APIs
* Previous exposure to Agile software development and Scrum methodology, with the willingness and ability to adapt to a formalized system of ticket management that helps us build and deliver on a well\-organized schedule
**The Opportunity We Offer**
 Quantifind is seeking a Front\-end Engineer for our Front\-end team in Palo Alto, CA. You will create browser\-based, responsive applications built with React components. The Front\-end team works closely with our Data Scientists and Platform Engineers to build an interactive product that helps our customers visualize risk factors.
 Quantifind’s development team is centered in Palo Alto, California, and we have technology hubs in Atlanta, Georgia, and in Washington, D.C. Quantifind is currently using a hybrid mix of working from home and in the office, with regular in\-person touchpoints and shared office space.
**A Highlight Of Our Benefits**
* Competitive salary
* Company Equity
* Exceptional benefits package
* Flexible Vacation \&amp; Paid Time Off
* Employer\-matched 401(k) plan
* A fun environment where work\-life balance is valued
 The California base salary range for this full\-time position is $125,000 to 150,000\.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have a fun place to work and a devotion to succeeding together.
 Will you join us? Apply now!</t>
        </is>
      </c>
    </row>
    <row r="45">
      <c r="A45" t="inlineStr">
        <is>
          <t>li-4366781300</t>
        </is>
      </c>
      <c r="B45" t="inlineStr">
        <is>
          <t>Full Stack Engineer, Treasury</t>
        </is>
      </c>
      <c r="C45" t="inlineStr">
        <is>
          <t>Chainlink Labs</t>
        </is>
      </c>
      <c r="D45" t="inlineStr">
        <is>
          <t>linkedin</t>
        </is>
      </c>
      <c r="E45">
        <f>HYPERLINK("https://www.linkedin.com/jobs/view/4366781300", "https://www.linkedin.com/jobs/view/4366781300")</f>
        <v/>
      </c>
      <c r="F45" t="inlineStr"/>
      <c r="G45" t="inlineStr"/>
      <c r="H45" t="inlineStr"/>
      <c r="I45" t="inlineStr">
        <is>
          <t>**About Chainlink**
 Chainlink is the industry\-standard oracle platform bringing the capital markets onchain and powering the majority of decentralized finance (DeFi). The Chainlink stack provides the essential data, interoperability, compliance, and privacy standards needed to power advanced blockchain use cases for institutional tokenized assets, lending, payments, stablecoins, and more. Since inventing decentralized oracle networks, Chainlink has enabled tens of trillions in transaction value and now secures the vast majority of DeFi.
 Many of the world’s largest financial services institutions have also adopted Chainlink’s standards and infrastructure, including Swift, Euroclear, Mastercard, Fidelity International, UBS, S\&amp;P Dow Jones Indices, FTSE Russell, WisdomTree, ANZ, and top protocols such as Aave, Lido, GMX and many others. Chainlink leverages a novel fee model where offchain and onchain revenue from enterprise adoption is converted to LINK tokens and stored in a strategic Chainlink Reserve. Learn more at chain.link.
**About The Role**
 We are seeking a Full Stack Engineer to join the Treasury team, where you will help architect, build, and scale the systems that power Chainlink’s digital asset treasury operations. This role blends engineering excellence with financial domain knowledge, giving you the opportunity to build production\-grade applications, dashboards, automation workflows, and integrations that support a global crypto treasury operating across multiple chains.
 You will play a key role in transforming how Treasury manages digital assets, support treasury operations and develop tools for automation and risk\-management.
 Your Impact
* Support treasury operations to maintain efficient digital asset management, ensuring workflows run securely and operational needs are met across a multi\-chain environment
* Design, build and maintain full\-stack systems that power Chainlink’s multichain digital asset treasury infrastructure, including internal applications, API services, automation pipelines and operational dashboards
* Automate critical treasury workflows including liquidity rebalancing, payments preparation, reconciliation, risk checks and multi\-chain execution with a purpose to improve scalability and reliability across all digital asset operations
* Contribute to the lifecycle of new treasury tooling and capabilities, including designing backend logic, integrating funding workflows and supporting new product and chain integrations
* Partner closely with Finance, Product and Engineering to improve processes end\-to\-end, troubleshoot issues and deliver high\-quality technical solutions that strengthen treasury management and operational resilience
* Build integrations with bridges, decentralised applications and smart contracts, enabling seamless on\-chain flows that support Treasury’s operational needs
* Provide periodic technical updates and reporting to leadership and cross\-functional stakeholders about system performance, metrics, reliability, and improvements
**Requirements**
* At least 2 years of full\-stack software engineering experience, preferably building backend services, developer tooling, or financial/treasury systems
* Familiarity with blockchain and Web3 ecosystems, with the ability to interact with wallet/contract\-based systems, handle on\-chain data, manage crypto transfer flows and integrate with external blockchain protocols using APIs
* Strong backend (SQL/Bigquery/RDS) and frontend development skills: e.g. Python, TypeScript/Node.js/Next.js/React (or another mainstream language), with experience building production\-grade web services or applications
* Proficient in Go and Rust programming languages
* Experience with CI/CD pipelines, Github/Github Actions and observability tools such as Prometheus/Splunk
* An owner's mindset and willingness to roll up their sleeves with the ability to work on and deliver on multiple workstreams
* Excellent collaboration and communication skills as well as capable of working effectively in distributed, cross\-functional teams
**Preferred Requirements**
* Comfort with distributed\-system tooling and cloud infrastructure: Docker, Kubernetes/containers and production\-scale deployment
* Understanding of smart contracts and solidity
* Understanding financial concepts of payments, liquidity and risk management
* Some background in Finance/Fintech is a plus but not required
*All roles with Chainlink Labs are global and remote\-based. Unless otherwise stated, we ask that you try to overlap some working hours with Eastern Standard Time (EST).*
*We carefully review all applications and aim to provide a response to every candidate within two weeks after the job posting closes.
 **The closing date is listed on the job advert, so we encourage you to take the time to thoughtfully prepare your application.** 
 We want to fully consider your experience and skills, and you will hear from us regarding the status of your application shortly after the closing date.*
**Commitment to Equal Opportunity**
 Chainlink Labs is an equal opportunity employer. All qualified applicants will receive equal consideration for employment in compliance with applicable laws, regulations, or ordinances. If you need assistance or accommodation due to a disability or special need when applying for a role or in our recruitment process, please contact us via this form.
**Global Data Privacy Notice for Job Candidates and Applicants**
 Information collected and processed as part of your Chainlink Labs Careers profile, and any job applications you choose to submit is subject to our Privacy Policy. By submitting your application, you are agreeing to our use and processing of your data as required.</t>
        </is>
      </c>
    </row>
    <row r="46">
      <c r="A46" t="inlineStr">
        <is>
          <t>li-4366913735</t>
        </is>
      </c>
      <c r="B46" t="inlineStr">
        <is>
          <t>Software Engineer</t>
        </is>
      </c>
      <c r="C46" t="inlineStr">
        <is>
          <t>IDR, Inc.</t>
        </is>
      </c>
      <c r="D46" t="inlineStr">
        <is>
          <t>linkedin</t>
        </is>
      </c>
      <c r="E46">
        <f>HYPERLINK("https://www.linkedin.com/jobs/view/4366913735", "https://www.linkedin.com/jobs/view/4366913735")</f>
        <v/>
      </c>
      <c r="F46" t="inlineStr"/>
      <c r="G46" t="inlineStr">
        <is>
          <t>Austin, TX</t>
        </is>
      </c>
      <c r="H46" t="inlineStr"/>
      <c r="I46" t="inlineStr">
        <is>
          <t>IDR is seeking a highly skilled an experienced
 **Software Engineer** 
  to join one of our top clients in the public sector industry. If you are looking for an opportunity to join a large organization and work within a team\-oriented culture, please apply today!
 Position Overview/Responsibilities for the
 **Software Engineer:** 
* Performs highly advanced senior\-level computer programming work. Develops software solutions by studying information needs, conferring with users, and studying systems flow, data usage, and work processes. Investigates problem areas. Prepares and installs solutions by determining and designing system specifications, standards, and programming.
* Write, test, debug, and document complex programs, including client/server and web\-based applications using C\# (.Net), Blazor, and/or SQL.
* Design, develop and implement specialized programs or routines to create, supplement, and enhance front and back\-end web\-based applications software using HTML5, CSS, C\# .NET Blazor, SQL, Stored Procedures, Oracle, and SQL Server.
* Work closely and coordinate with systems analysts, architects, and various business areas to gather/validate requirements, understand technical issues, limitations and model solutions that meet the functional and technical requirements.
* Experience in developing and enhancing licensing systems for state agencies, including migrating licensing functionality to modern platforms while enabling seamless legacy data portability for the State of Texas licensing system. Proficiency in Visual Studio 2022, .NET Core 9\.0, Oracle DB, and DevExpress tools to deliver secure, scalable, and user\-friendly solutions.
* Perform research and analysis required specialized programs or routines to supplement and enhance front and back\-end web\-based applications software using HTML5, CSS, C\# .NET Blazor, SQL, Stored Procedures, Oracle, and SQL Server.
* Recommend improvements to processes for application development projects, as needed.
* Perform other duties as assigned.
**Required Skills for the Software Engineer:** 
* 4\+ years’ experience programming in various coding languages including but not limited to: .Net, HTML, HTML5, ASP, Java, JSP, .NET/C\#, front end and back\-end user interface methodologies technologies, SQL, and stored procedures
* 3\+ years of experience with Agile SDLC methodology
* 3\+ years of experience using Azure Dev Ops, Jira, or similar
**What’s in it for you?**
* Competitive compensation package
* Full Benefits; Medical, Vision, Dental, and more!
* Opportunity to get in with an industry\-leading organization
* Close\-knit and team\-oriented culture
**Why IDR?** 
* 25\+ Years of Proven Industry Experience in 4 major markets
* Employee Stock Ownership Program
* Medical, Dental, Vision, and Life Insurance
* ClearlyRated's Best of Staffing® Client and Talent Award winner 11 years in a row</t>
        </is>
      </c>
    </row>
    <row r="47">
      <c r="A47" t="inlineStr">
        <is>
          <t>li-4366484537</t>
        </is>
      </c>
      <c r="B47" t="inlineStr">
        <is>
          <t>Backend Engineer (Python, Node.js)</t>
        </is>
      </c>
      <c r="C47" t="inlineStr">
        <is>
          <t>Foxglove</t>
        </is>
      </c>
      <c r="D47" t="inlineStr">
        <is>
          <t>linkedin</t>
        </is>
      </c>
      <c r="E47">
        <f>HYPERLINK("https://www.linkedin.com/jobs/view/4366484537", "https://www.linkedin.com/jobs/view/4366484537")</f>
        <v/>
      </c>
      <c r="F47">
        <f>HYPERLINK("https://www.wiraa.com/job-description/us6D1A1A91D37861B57C4B4680B1D3189E?source=Linkedin&amp;urlHash=oCtt", "https://www.wiraa.com/job-description/us6D1A1A91D37861B57C4B4680B1D3189E?source=Linkedin&amp;urlHash=oCtt")</f>
        <v/>
      </c>
      <c r="G47" t="inlineStr"/>
      <c r="H47" t="inlineStr"/>
      <c r="I47" t="inlineStr">
        <is>
          <t>**About The Company**
 Foxglove is at the forefront of building the essential data infrastructure for robots operating in the real world. As robotics technology transitions from research laboratories into production environments, the demand for robust observability, visualization, and data management tools has become critical. Our mission is to empower robotics and autonomous systems teams by providing cutting\-edge tools that facilitate the ingestion, storage, querying, replay, and analysis of vast volumes of multimodal sensor data from live systems and production fleets. Our solutions are instrumental in helping engineers understand robot behavior, diagnose failures, and continuously improve system performance. With a focus on innovation, collaboration, and open\-source principles, Foxglove is dedicated to accelerating the development and deployment of autonomous systems across industries such as manufacturing, logistics, transportation, and field operations.
**About The Role**
 We are seeking an experienced and highly adaptable Forward\-Deployed Engineer to join our dynamic team at Foxglove. This pivotal role is ideal for a product\-minded full\-stack engineer who excels in customer\-facing environments and enjoys tackling complex technical challenges within robotics and observability domains. As a Forward\-Deployed Engineer, you will work directly with strategic clients to integrate and customize Foxglove’s platform within their operational ecosystems. Your responsibilities will include collaborating closely with customer teams to ensure seamless integration, extending our core products based on real\-world needs, and providing technical guidance and support. This role offers a unique blend of hands\-on development, creative problem\-solving, and meaningful customer engagement, positioning you as a trusted engineering partner. Your efforts will directly influence the effectiveness of robotics deployments, enabling clients to harness data insights for operational excellence and innovation.
**Qualifications**
* 5\+ years of professional experience in Python, C\+\+, ROS, and Node.js
* 3\+ years of experience in Robotics or Autonomous systems
* Proven track record in customer\-facing engineering roles, preferably within robotics or autonomous technologies
* Strong experience in rapid prototyping and iterative delivery with external stakeholders
* Solid understanding of network and cloud architecture (AWS, GCP, Azure)
* Experience building and maintaining database\-backed REST APIs
* Ability to own problems end\-to\-end, identify missing components, and communicate complex technical details effectively
* Willingness to travel extensively and work on\-site with clients as needed
 Bonus qualifications include experience with multiple database systems and designing SDKs, integration libraries, or internal tooling that enhance service efficiency.
**Responsibilities**
* Collaborate directly with strategic customers to integrate Foxglove’s platform into their operational workflows
* Extend and customize our core products based on customer feedback and real\-world use cases
* Provide technical support and guidance during deployment and ongoing operations
* Participate in upstream development efforts to improve core platform functionalities
* Develop and maintain robust, scalable software solutions using Python, C\+\+, ROS, and Node.js
* Design, implement, and optimize network and cloud\-based architectures for data ingestion and analysis
* Create and enhance SDKs, APIs, and internal tools to streamline development cycles
* Engage with cross\-functional teams to troubleshoot and resolve technical challenges
* Document technical solutions and best practices for internal and customer use
* Travel to customer sites as required to facilitate onboarding, integration, and support activities
**Benefits**
* Monthly budget of $300 toward commuter benefits or personal workspace setup (remote only)
* Competitive equity grant in a Series B\-funded company
* Comprehensive medical, dental, and vision insurance coverage at 100% for employees and 75% for dependents
* Term life insurance coverage
* 401(k) plan with up to 4% matching contributions
* Four weeks of paid vacation, in addition to holidays and winter break
* All expenses paid for company off\-sites held 1\-2 times per year
 Equal Opportunity
 Foxglove is committed to creating an inclusive environment and is proud to be an equal opportunity employer. We do not discriminate based on race, color, religion, gender, gender identity or expression, sexual orientation, national origin, genetics, disability, age, or veteran status. We believe in fostering diversity and providing equal employment opportunities to all qualified individuals, ensuring a fair and respectful workplace where everyone can thrive.</t>
        </is>
      </c>
    </row>
    <row r="48">
      <c r="A48" t="inlineStr">
        <is>
          <t>li-4366784332</t>
        </is>
      </c>
      <c r="B48" t="inlineStr">
        <is>
          <t>Senior Software Engineer</t>
        </is>
      </c>
      <c r="C48" t="inlineStr">
        <is>
          <t>Cleartech Recruiting</t>
        </is>
      </c>
      <c r="D48" t="inlineStr">
        <is>
          <t>linkedin</t>
        </is>
      </c>
      <c r="E48">
        <f>HYPERLINK("https://www.linkedin.com/jobs/view/4366784332", "https://www.linkedin.com/jobs/view/4366784332")</f>
        <v/>
      </c>
      <c r="F48" t="inlineStr"/>
      <c r="G48" t="inlineStr"/>
      <c r="H48" t="inlineStr"/>
      <c r="I48" t="inlineStr">
        <is>
          <t>Our client is seeking a Software Engineer for their front office group. Fantastic opportunity to join a well known, respected firm in a highly visible and impactful role.
**Responsibilities:** 
* Architect, build, and sustain enterprise\-grade systems emphasizing uptime, resilience, and optimal performance characteristics
* Drive the order and execution management system modernization effort by delivering performant, low\-latency software solutions that adapt to evolving institutional requirements
* Establish standardization approaches that enhance operational visibility and diagnostic capabilities for support personnel, working closely with these teams to automate routine maintenance activities and free capacity for forward\-looking initiatives
* Collaborate with DevOps engineering teams to establish mature, repeatable deployment processes with appropriate controls and automation
**Experience:** 
* Minimum 10 years software development experience, including at least 5 years building technology for investment management or capital markets firms; asset management background preferred
* Deep technical proficiency in C\# programming and SQL database technologies
* Mastery of software engineering lifecycle practices and development frameworks
* Comprehensive knowledge of capital markets structure, financial products, and market data ecosystems
* Bachelor's degree in Computer Science, MIS, Finance, or equivalent technical discipline</t>
        </is>
      </c>
    </row>
    <row r="49">
      <c r="A49" t="inlineStr">
        <is>
          <t>li-4356431670</t>
        </is>
      </c>
      <c r="B49" t="inlineStr">
        <is>
          <t>Software Developer</t>
        </is>
      </c>
      <c r="C49" t="inlineStr">
        <is>
          <t>Charles Schwab</t>
        </is>
      </c>
      <c r="D49" t="inlineStr">
        <is>
          <t>linkedin</t>
        </is>
      </c>
      <c r="E49">
        <f>HYPERLINK("https://www.linkedin.com/jobs/view/4356431670", "https://www.linkedin.com/jobs/view/4356431670")</f>
        <v/>
      </c>
      <c r="F49" t="inlineStr"/>
      <c r="G49" t="inlineStr">
        <is>
          <t>Austin, TX</t>
        </is>
      </c>
      <c r="H49" t="inlineStr"/>
      <c r="I49"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The Financial Planning team within Wealth and Asset Management (WAM) Engineering builds the experiences and platform to support clients in planning for their futures \- to give them a unique way to translate their goals into actions. In Financial Planning, we are looking for a Software Developer. You will be a strong developer on the team with deep technical knowledge as well as the ability to help other team members in solving complex technical issues. You will work closely with architects, technologists, and business partners to align with the team and organization technology strategies.
 If you're looking to bring your expertise to a firm that will provide consistent challenges, promoting development and ownership of your career, this is the role for you.
**Responsibilities Include But Are Not Limited To**
* Designing and implementing REST and SOAP API services and using SQL and NoSQL databases to manage data.
* Writing unit and integration tests and help set up the CI/CD pipeline while working with DevOps.
* Adhering to best\-effort Trunk\-based development which includes writing automation code along with the completion of a feature.
* Openness to learn, and the ability to work collaboratively with the team.
* Participate in engineering practices such as code reviews, service discovery, and environment strategy.
* Provide support, including on\-call support when necessary.
 What you have
**Required Qualifications**
* Bachelor of Science in Computer Science or related field is required
* 5\+ years of hands\-on experience with application and service development using C\# and .NET frameworks (ASP.NET, NET Core)
* 3\+ years' experience in Distributed Databases Microsoft SQL Server(preferred) and NoSQL database: MongoDB etc.
* 3\+ years' experience with event\-driven systems (Kafka, RabbitMQ, message queues, etc.)
* Professional experience with RESTful and SOAP API development
* Professional experience with source code repository tools, such as Bitbucket or GitHub
* Strong communication skills \-you balance written and verbal communication to clearly share your perspective with others on the team
**Preferred Qualifications**
* Experience with application and service development using Java and Springboot
* Experience with Github actions and setting up CI/CD pipelines using tools such as Bamboo
* Experience with both Pivotal Cloud Foundry (PCF) and cloud services such as Google Cloud Platform
* Experience working in a fast\-paced financial services domain is preferred
* Experience working with Microsoft Copilot and Gen\-Ai solutions
* Experience mentoring junior engineers and helping them grow their technical skills through clear feedback and code reviews
* Demonstrated mindset of continuous learning and improvement
* Experience with Java is preferred but not required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50">
      <c r="A50" t="inlineStr">
        <is>
          <t>li-4366531343</t>
        </is>
      </c>
      <c r="B50" t="inlineStr">
        <is>
          <t>Senior Software Engineer</t>
        </is>
      </c>
      <c r="C50" t="inlineStr">
        <is>
          <t>Engtal</t>
        </is>
      </c>
      <c r="D50" t="inlineStr">
        <is>
          <t>linkedin</t>
        </is>
      </c>
      <c r="E50">
        <f>HYPERLINK("https://www.linkedin.com/jobs/view/4366531343", "https://www.linkedin.com/jobs/view/4366531343")</f>
        <v/>
      </c>
      <c r="F50" t="inlineStr"/>
      <c r="G50" t="inlineStr">
        <is>
          <t>Austin, Texas Metropolitan Area</t>
        </is>
      </c>
      <c r="H50" t="inlineStr"/>
      <c r="I50" t="inlineStr">
        <is>
          <t>A top\-tier, global proprietary trading firm is hiring Senior Software Engineers to join its High\-Frequency Trading (HFT) team in Austin, Texas.
 This team is made up of elite engineers and researchers building fully automated trading systems powered by machine learning, running at extreme scale and ultra\-low latency across thousands of financial instruments. If you enjoy solving hard problems where performance truly matters, this is a rare opportunity to own mission\-critical systems end\-to\-end.
**Job responsibilities:** 
* Leading complex engineering projects and setting technical direction.
* Building and optimizing low\-latency trading infrastructure in C\+\+.
* Shipping frequent, high\-impact code changes into production.
* Collaborating with researchers on machine learning\-driven trading systems.
* Improving architecture, performance, reliability, and engineering standards.
**Experience:** 
* Strong engineering fundamentals \&amp; ability to lead large\-scale projects.
* Experience in C/C\+\+.
* Exposure to market data, order routing, execution, simulation, or similar performance\-critical systems.
* Comfortable owning systems end\-to\-end and driving best practices.
 If you're interested in how you could make a difference at a cutting edge High Frequency Trading organization, building systems where nanoseconds matter and ownership is real, apply now.</t>
        </is>
      </c>
    </row>
    <row r="51">
      <c r="A51" t="inlineStr">
        <is>
          <t>li-4364011429</t>
        </is>
      </c>
      <c r="B51" t="inlineStr">
        <is>
          <t>Software Engineer</t>
        </is>
      </c>
      <c r="C51" t="inlineStr">
        <is>
          <t>Raise</t>
        </is>
      </c>
      <c r="D51" t="inlineStr">
        <is>
          <t>linkedin</t>
        </is>
      </c>
      <c r="E51">
        <f>HYPERLINK("https://www.linkedin.com/jobs/view/4364011429", "https://www.linkedin.com/jobs/view/4364011429")</f>
        <v/>
      </c>
      <c r="F51" t="inlineStr"/>
      <c r="G51" t="inlineStr">
        <is>
          <t>Austin, TX</t>
        </is>
      </c>
      <c r="H51" t="inlineStr"/>
      <c r="I51" t="inlineStr">
        <is>
          <t>* Pay Rate: $61\.43/hour on W2
* Contract Length: 11 months with a high possibility of extension
* Location: Austin, TX 78759 (Local Only)
* Work Type: Hybrid – Onsite (Mon, Tue \&amp; Thu) \| Remote (Tue \&amp; Fri) \| No possibilities for fully remote
* Work Hours: 8:00 AM – 5:00 PM, with some flexibility.
 Raise is currently hiring a contract team member on behalf of our client. They’re expanding their team to meet growing needs, making this a unique opportunity to work with an industry leader.
**Overview**
* Our client is seeking an experienced Software Engineer to join our team in Austin, TX.
* In this role, you will help design and build secure software solutions that enable state and local agencies to issue official IDs—such as driver’s licenses and ID cards—and use modern biometric technologies to improve public safety.
* You’ll work in a fast\-paced, collaborative environment where your expertise directly supports mission\-critical projects and advances the future of secure identification.
**Key Responsibilities**
* Collaborate with cross\-functional teams to design, document, develop, and deploy software solutions supporting identity management and biometric applications.
* Participate in the full software development lifecycle, including requirements gathering, solution architecture, coding, testing, deployment, and ongoing maintenance.
* Write high\-quality, efficient, and scalable code that adheres to industry best practices, coding standards, and project timelines.
* Perform rigorous testing, debugging, and optimization of software applications to ensure robust performance, security, and reliability.
* Stay current with emerging technologies, tools, and industry trends, proactively applying new knowledge to improve technical capabilities and enhance team performance.
* Partner with product managers and stakeholders to analyze user needs, develop functional documentation, and translate requirements into precise technical specifications.
* Participate in peer code reviews, offering constructive feedback to maintain code quality, consistency, and adherence to development standards.
* Develop and maintain comprehensive technical documentation, including system specifications, user guides, and technical reports.
* Serve as a Work Package Manager when assigned, taking accountability for scope definition, scheduling, and progress tracking of specific project components.
* Work independently and collaboratively within a team of Software Engineers and Architects to deliver high\-quality solutions.
* Engage directly with customers during project implementation phases and provide advanced (Level 3\) technical support for issue resolution.
* Support sales and proposal efforts by contributing technical expertise to bid preparation and solution design.
**Top 4 Required Skills**
* C\#
* Web API, REST API (XML/JSON)
* 5\-8 years of experience with the above
* Don’t focus on the coding only. “Requirement Management” also very important.
**Minimum Qualifications**
* Bachelor’s degree in Computer Science, Software Engineering, or a related field (or foreign equivalent), or equivalent work experience.
* At least 5 years of experience in software engineering with a solid understanding of modern software development practices and processes.
* Proven experience with programming experience using C\#, .NET, and Java.
* Proven experience with JavaScript development with expertise in Angular (versions 9–15\).
* Proficiency with modern version control systems such as Git or Mercurial (Hg).
* Knowledge of software security principles, including application security and data protection during transmission and at rest.
* Experience with data modeling and database querying using SQL Server and MySQL.
* Familiarity with Agile and Waterfall software development methodologies.
* Understanding of best practices for web API design, usability, and security.
* Strong knowledge of server\-side application architecture and development.
* Ability to work independently and collaboratively as part of a team.
* Effective verbal and written communication skills.
* Strong analytical and problem\-solving abilities, with a willingness to learn and adapt.
* Practical, solution\-focused approach to solving complex problems in a cost\-effective manner.
**Preferred Qualifications**
* Ability to digest complex situations, create appropriate strategies and simplify them for execution.
* Knowledge of PKI and security best practices
* Knowledge of cloud\-based architectures and services (AWS, Azure)
* Takes decisions in uncertain and ambiguous contexts.
* Experience with project documentation (functional and technical requirements)
* Experience with project tracking methods and tools for collaboration (Atlassian Jira, Confluence)
**Regulatory Compliance Requirements**
* Must have U.S. or Dual Citizenship and be able to obtain post\-hire clearance from the Committee on Foreign Investments in the U.S. (CFIUS) and Department of Treasury.
**Looking for meaningful work? We can help**
 Raise is an established hiring firm with over 65 years of experience. We believe strongly in making the world a better place through work, which is why we’re a certified B Corporation and donate 10% of our profits to charity.
 We strive to build teams that reflect the diversity of the communities we work in. We encourage all qualified applicants to apply, including people from traditionally underrepresented groups such as women, visible minorities, Indigenous peoples, people identifying as LGBTQ2SI, veterans, and people with visible/nonvisible disabilities.
 We have a dedicated webpage for accommodations where you can learn more about what we offer, and request accommodation: https://raise.jobs/accommodations/
 In order to submit candidates for roles, our clients will sometimes require personal information to confirm the identity of applicants and their legal status to work. Raise will never ask you for personal or banking information unless you have been selected for a job. If you are ever unsure about the legitimacy of this or another job posting by Raise (or have any other questions), please contact us at \+1 800\-567\-9675 or hello@raiserecruiting.com
 ﻿
**\#USVM**</t>
        </is>
      </c>
    </row>
    <row r="52">
      <c r="A52" t="inlineStr">
        <is>
          <t>li-4026295972</t>
        </is>
      </c>
      <c r="B52" t="inlineStr">
        <is>
          <t>Senior Software Developer</t>
        </is>
      </c>
      <c r="C52" t="inlineStr">
        <is>
          <t>Oracle</t>
        </is>
      </c>
      <c r="D52" t="inlineStr">
        <is>
          <t>linkedin</t>
        </is>
      </c>
      <c r="E52">
        <f>HYPERLINK("https://www.linkedin.com/jobs/view/4026295972", "https://www.linkedin.com/jobs/view/4026295972")</f>
        <v/>
      </c>
      <c r="F52" t="inlineStr"/>
      <c r="G52" t="inlineStr">
        <is>
          <t>Redwood City, CA</t>
        </is>
      </c>
      <c r="H52" t="inlineStr"/>
      <c r="I52" t="inlineStr">
        <is>
          <t>**Job Description**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4\+ years of software engineering or related experience.
 Relocation to: Seattle, Bay Area and Austin available
**Career Level \- IC3, Remote role**
**Responsibilities**
**Basic Qualifications:**
* Computer Science fundamentals in object\-oriented design, data structures, \&amp; algorithm design, etc
* 4\+ years of total experience with software development/ programming experience with at least one object oriented coding language such as Java, C\+\+, C\#, Javascript, Go, etc.
* Systematic problem\-solving approach, strong communication skills, a sense of ownership, and drive.
* Experience with microservice design patterns.
* Exhibits behaviors consistent with OCI values.
 Relocation to: Seattle, Bay Area and Austin available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from $74,800 \- $178,200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3">
      <c r="A53" t="inlineStr">
        <is>
          <t>li-4353586146</t>
        </is>
      </c>
      <c r="B53" t="inlineStr">
        <is>
          <t>Software Engineer</t>
        </is>
      </c>
      <c r="C53" t="inlineStr">
        <is>
          <t>NetApp</t>
        </is>
      </c>
      <c r="D53" t="inlineStr">
        <is>
          <t>linkedin</t>
        </is>
      </c>
      <c r="E53">
        <f>HYPERLINK("https://www.linkedin.com/jobs/view/4353586146", "https://www.linkedin.com/jobs/view/4353586146")</f>
        <v/>
      </c>
      <c r="F53" t="inlineStr"/>
      <c r="G53" t="inlineStr">
        <is>
          <t>Morrisville, NC</t>
        </is>
      </c>
      <c r="H53" t="inlineStr"/>
      <c r="I53"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As a Cloud Infrastructure/Site Reliability Engineer, you operate seamlessly between development and operations. You will engage in and improve the lifecycle of cloud services \- from design to development, deployment, operation, and refinement. You will maintain services by measuring and monitoring availability, latency, and overall system health. You will play an important role in scaling systems sustainably through automation and evolving them by pushing for changes to improve reliability and velocity. You will architect and manage our cloud\-based environments that support our SaaS / IaaS offerings that are implemented on a microservices, container\-based architecture (Kubernetes).
 To be successful in this role, you must be a motivated self\-starter and self\-learner, possess strong problem\-solving skills; mentoring team and be someone who embraces challenges.
 Job Responsibilities
* Work with other Cloud Infrastructure Engineer and developers to ensure maximum performance, reliability and automation of our deployments and infrastructure.
* Work with, consult and influence developers on new features and software architecture to ensure scalability.
* Architect the current platform.
* Develop software, both as components of our solution and outside of the solution, for deployment automation, packaging, and monitoring visibility.
* Identify tasks and areas where automation can be applied to achieve time efficiencies and risk reduction.
* Debug and troubleshoot service bottlenecks throughout the whole software stack.
* Measure and monitor availability, latency, and overall system health.
* Provide advanced escalation support (tier 2 and 3\) to NetApp ‘s Cloud Data Services solutions.
* You will have direct influence on the decisions and outcomes related to solution implementation.
* Good interpersonal communication and customer service skills to work successfully with stakeholders in high stress and/or ambiguous situations
 Job Requirements
* A minimum of 5\+ years of relevant experience automation and/or software development
* Scripting and infrastructure automation using for example, Ansible, Python, Go, Perl or Ruby.
* Development experience in Python or Terraform. Java or .net. would be a plus.
* Deep working knowledge on Containers, Kubernetes, Serverless computing implementation.
* Understanding of SDLC lifecycle and DevOps development methodologies
* Demonstrated Linux/Unix, CORE OS experience.
* Ability to provide architecture solutions
* Experience with cloud hyperscalers like GCP, AWS, Azure\-ANF, or Oracle
 Education
 Bachelor of Science Degree in Computer Science, a master’s degree, or a PhD; or equivalent experience is required.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(PTO),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54">
      <c r="A54" t="inlineStr">
        <is>
          <t>li-4330863123</t>
        </is>
      </c>
      <c r="B54" t="inlineStr">
        <is>
          <t>Full Stack Software Engineer, B2B</t>
        </is>
      </c>
      <c r="C54" t="inlineStr">
        <is>
          <t>BetterHelp</t>
        </is>
      </c>
      <c r="D54" t="inlineStr">
        <is>
          <t>linkedin</t>
        </is>
      </c>
      <c r="E54">
        <f>HYPERLINK("https://www.linkedin.com/jobs/view/4330863123", "https://www.linkedin.com/jobs/view/4330863123")</f>
        <v/>
      </c>
      <c r="F54" t="inlineStr"/>
      <c r="G54" t="inlineStr">
        <is>
          <t>Mountain View, CA</t>
        </is>
      </c>
      <c r="H54" t="inlineStr"/>
      <c r="I54"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in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Full Stack Software Engineer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We're looking for a talented, motivated, smart individual with a passion for software engineering, a strong desire to learn and an interest in providing mentorship to junior level developers. This position is ideal for a seasoned software engineer who has worked on multiple challenging projects, someone who is not afraid to write code to scratch an itch. We love technology and so should you.
**What technologies will you work with?**
 We Use a Combination Of Well Established And More Recent Technologies, Always Innovating, Always Experimenting. We’re Open To New Ideas And Novel Approaches! Our Current Tech Stack Is
* Backend: Linux, nginx, Laravel (PHP), MySQL, Redis
* Frontend: Twig (PHP templates), Bootstrap 3, jQuery, HTML5, CSS3/SASS, and Next.js / React
**What will you do?**
* You will develop end to end. You own your features and see them through to production and beyond.
* You will develop best practices and write clean, secure, readable, scalable code. OOP where appropriate.
* You will collaborate with other team members \- engineers and others.
* You will integrate and build for external and internal API's.
* You will develop new products in PHP and alter existing PHP code to accommodate scale and integration with new technologies and APIs.
* You will write and optimize SQL queries and design schemas.
* You will create and code complex backend algorithms.
* You will profile and optimize new and legacy code.
* You will use CSS and Javascript to complete functionality of new products.
* You will be leveraging Bootstrap 3, jQuery HTML5, CSS3 and other open source technologies.
* You will always be thinking cross\-device and cross\-platform, mobile, tablet and desktop.
* You will ship often and fast. We keep an agile environment with continuous deployment.
* You will care and be involved in our product, mission, and success \- way beyond checking off development tasks.
**What will you NOT do?**
* You will NOT worry about "runway", "cash left", or "how much time we have until the next round". We have the startup DNA but we're fully backed and funded, all the way to success.
* You will NOT be confined to your "job". You will get involved in product, marketing, business strategy, and almost everything we do.
* You will NOT be bogged down by office politics, ego, or bad attitude. Only positive, pleasure\-to\-work\-with people are allowed here!
*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 3\+ years of experience in web development (any stack), solving challenging problems and implementing new features from scratch.
* 3\+ years of experience in SQL. Designing relational DB schemas, complex queries, etc.
* Deep understanding of web development concepts and principles.
* Example of full\-stack projects.
* At least one major demonstrable project with front\-end code, back\-end code and database.
* Ability to design, develop and launch a web application from start to finish.
* Ability to learn quickly and pick up new skills independently.
* Get\-things\-done attitude with eagerness to build something great.
* Familiar with web \&amp; SQL security best practices.
* Comfortable working outside the context of a framework. Frameworks can help you get some things done more quickly, but we find it helpful if candidates are comfortable working outside of a framework so they have a good understanding of what is going on behind the scenes first.
* Experience using git in a team environment.
**Benefits**
* Remote work with regular in\-person bonding experiences sponsored by the company
* Competitive compensation
* Holistic perks program (including free therapy, employee wellness, and more)
* Excellent health, dental, and vision coverage
* 401k benefits with employer matching contribution
* The chance to build something that changes lives – and that people love
* Any piece of hardware or software that will make you happy and productive
* An awesome community of co\-workers
 The base salary range for this position is $110,000 \- $160,000\. In addition to the base salary, this position is eligible for a performance bonus and the extensive benefits listed here (subject to eligibility requirements): Teladoc Health Benefits 2026\.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t>
        </is>
      </c>
    </row>
    <row r="55">
      <c r="A55" t="inlineStr">
        <is>
          <t>li-4366786924</t>
        </is>
      </c>
      <c r="B55" t="inlineStr">
        <is>
          <t>Senior Software Engineer</t>
        </is>
      </c>
      <c r="C55" t="inlineStr">
        <is>
          <t>MeeBoss</t>
        </is>
      </c>
      <c r="D55" t="inlineStr">
        <is>
          <t>linkedin</t>
        </is>
      </c>
      <c r="E55">
        <f>HYPERLINK("https://www.linkedin.com/jobs/view/4366786924", "https://www.linkedin.com/jobs/view/4366786924")</f>
        <v/>
      </c>
      <c r="F55">
        <f>HYPERLINK("https://meeboss.com/job-seeker/job/b83fe7d0b2da3fae1XN92g~~?from=linkedin_job&amp;urlHash=oydq", "https://meeboss.com/job-seeker/job/b83fe7d0b2da3fae1XN92g~~?from=linkedin_job&amp;urlHash=oydq")</f>
        <v/>
      </c>
      <c r="G55" t="inlineStr"/>
      <c r="H55" t="inlineStr"/>
      <c r="I55" t="inlineStr">
        <is>
          <t>**About Us** 
**Join us in building the leading AI\-Powered Mission Control for Corporate Travel. Some of the world's most recognizable companies, representing over $4T in market value, rely on Clarasight's software to reduce risks, save costs, protect revenues, and manage emissions aligned with business objectives and sustainability goals.** 
**About You** 
 You are a builder at heart — curious, pragmatic, and motivated to solve hard technical problems that matter. You thrive in early\-stage startup environments where speed, ownership, and adaptability are critical. You don’t just go along for the ride — you act as a driver, not a passenge
 **r** 
 , taking initiative and shaping outcomes rather than waiting for direction.
 You love working across the stack, from designing intuitive user experiences to architecting robust backend systems, and you’re quick to learn new technologies when the problem demands it. You’re passionate about leveraging software and data to create meaningful impact, and you see the opportunity to contribute directly to decarbonization and enterprise transformation. You approach challenges with creativity, rigor, and a growth mindset, and you want to be part of a small team where your contributions have outsized influence.
**About the Role** 
 We are seeking a
 **Senior Software Engineer** 
 to join our founding team. As one of our first engineering hires, you’ll help shape both our product and our engineering culture. This is a true full\-stack role where you’ll build core product features, contribute to data infrastructure, and take ownership of systems from design through deployment.
 You’ll collaborate closely with product and design, experiment rapidly, and help define best practices that will scale with us. With 2–3 days per week in our Boston office, you’ll be at the center of key technical and strategic decisions as we scale.
**Key Responsibilities** 
**Full\-Stack Development** 
* Design, build, and deploy end\-to\-end features across frontend, backend, and infrastructure.
* Ensure code quality, scalability, and maintainability while balancing speed of delivery.
**Data Engineering \&amp; Systems Design** 
* Contribute to building robust data pipelines and integrations that power financial and emissions insights.
* Collaborate on data modeling, ETL, and analytics foundations to support customer needs.
**Startup Agility** 
* Wear multiple hats and move quickly to meet customer and product demands.
* Make pragmatic technical decisions while keeping long\-term scalability in mind.
**Cross\-Functional Collaboration** 
* Work closely with Product and Design to deliver features that solve real customer problems.
* Partner with business teams to understand enterprise requirements and translate them into technical solutions.
**You’ll Be a Great Fit If You…** 
* Have 3\+ years of professional software engineering experience.
* Bring full\-stack experience (e.g., React/TypeScript, Node.js, Python, or similar).
* Have startup or early\-stage experience and thrive in fast\-paced, ambiguous environments.
* Are excited about automating data engineering processes and already have experience with pipelines, ETL, and analytics systems.
* Are quick to learn new technologies and approaches.
* Are based in the Boston area and available for 2–3 in\-office days per week.
**Nice to Haves** 
* Experience with dbt, DuckDB, or the modern data stack.
* Familiarity with cloud platforms, DevOps, or infrastructure as code.
* Background in sustainability, carbon accounting, or financial systems.
**Diverse Perspectives** 
 We know that innovation thrives on teams where diverse points of view come together to solve hard problems in ways that are just now possible. As such, we explicitly seek people that bring diverse life experiences, diverse educational backgrounds, diverse cultures, and diverse work experiences. Please be prepared to share with us how your perspective will bring something unique and valuable to our team.
**About MeeBoss:** 
 MeeBoss is a startup revolutionizing the online recruiting industry. Our mission is to streamline the hiring process, empowering both job seekers and employers to connect effectively.
 By leveraging cutting\-edge technology, MeeBoss is transforming the way companies attract, engage, and hire top talent. Our solutions are tailored to the needs of modern businesses through direct chat with job\-ready talent and to connect job seekers to the person behind the job, delivering a seamless, personalized experience \- anywhere, anytime. All postings we share are carried out with the prior consent and partnership of our clients.</t>
        </is>
      </c>
    </row>
    <row r="56">
      <c r="A56" t="inlineStr">
        <is>
          <t>li-4356541179</t>
        </is>
      </c>
      <c r="B56" t="inlineStr">
        <is>
          <t>Augmented and Virtual Reality Software Engineer</t>
        </is>
      </c>
      <c r="C56" t="inlineStr">
        <is>
          <t>Rivet Industries</t>
        </is>
      </c>
      <c r="D56" t="inlineStr">
        <is>
          <t>linkedin</t>
        </is>
      </c>
      <c r="E56">
        <f>HYPERLINK("https://www.linkedin.com/jobs/view/4356541179", "https://www.linkedin.com/jobs/view/4356541179")</f>
        <v/>
      </c>
      <c r="F56" t="inlineStr"/>
      <c r="G56" t="inlineStr">
        <is>
          <t>Palo Alto, CA</t>
        </is>
      </c>
      <c r="H56" t="inlineStr"/>
      <c r="I56" t="inlineStr">
        <is>
          <t>**About Rivet**
 Rivet is an American company building integrated task systems — fusing hardened hardware with software, sensors, AI, and networking — for industrial workforces and defense personnel. We create capabilities that multiply the effectiveness of every individual and withstand the world’s toughest environments.
 We serve the people who build, operate, maintain, and defend our way of life. From technicians and engineers to first responders and service members, they embody the hard work, ingenuity, and meritocratic values that drive Western prosperity. Yet too often they are forced to rely on outdated tools that fail under modern pressures. Rivet exists to reset that priority.
 At Rivet, you’ll join a mission\-driven team that fuses disciplines to deliver decisive outcomes where they matter most. Whether shaping our technology, strengthening our partnerships, or building our culture, every role here contributes to equipping the front lines with the modern systems they deserve.
**Who Thrives Here**
* People with a deep disdain for bureaucracy, empire building, groupthink, dogma, corporate babble, and wasted time
* Teammates who want to work exclusively alongside others at the top of their field
* Experienced, no\-nonsense professionals who are execution\-focused and deliver high\-quality solutions above all else
**Role Description**
* Building interfaces for real\-time 3D and XR applications on Android and embedded linux AR devices. This role creates frontend systems using C\#, C\+\+ and frameworks like Unity or Stereokit, leveraging OpenXR for cross\-platform XR support. You will ship performant, reliable user features that integrate cleanly with device services, peripherals and backend APIs.
****Role Objectives****
* Develop 3D/XR interfaces with Unity or StereoKit.
* Implement workflows and visualizations for device and data management.
* Write performant C\# and C\+\+ code for real\-time UI and interaction.
* Integrate with OpenXR for cross\-device compatibility.
* Build companion apps/services for Android\-based devices in Java/Kotlin.
* Use Python for test harnesses, scripts, and build/CI tooling.
* Optimize rendering, input, latency, profile and tune on device.
* Collaborate with backend, hardware, and design for end\-to\-end delivery.
**Role Requirements**
* 3\+ years building 3D/XR or real\-time interactive applications.
* Proficient in C\# and C\+\+; shipped features with Unity or StereoKit.
* Experience on Android or embedded Linux devices; familiarity with AR/XR SDKs (OpenXR; ARCore a plus).
* Solid grasp of performance optimization, profiling, and memory/CPU/GPU tradeoffs.
* Java/Kotlin for Android components and peripheral integration.
* Python for scripting, automation, or test pipelines.
* Ability to partner across hardware, firmware, and cloud; track record of delivered XR or 3D features.
* Experience with Unity, Unreal Engine (or comparable 3d engines) is a plus.</t>
        </is>
      </c>
    </row>
    <row r="57">
      <c r="A57" t="inlineStr">
        <is>
          <t>li-4366510816</t>
        </is>
      </c>
      <c r="B57" t="inlineStr">
        <is>
          <t>Software Developer</t>
        </is>
      </c>
      <c r="C57" t="inlineStr">
        <is>
          <t>Scientific Research Corporation</t>
        </is>
      </c>
      <c r="D57" t="inlineStr">
        <is>
          <t>linkedin</t>
        </is>
      </c>
      <c r="E57">
        <f>HYPERLINK("https://www.linkedin.com/jobs/view/4366510816", "https://www.linkedin.com/jobs/view/4366510816")</f>
        <v/>
      </c>
      <c r="F57" t="inlineStr"/>
      <c r="G57" t="inlineStr">
        <is>
          <t>North Charleston, SC</t>
        </is>
      </c>
      <c r="H57" t="inlineStr"/>
      <c r="I57" t="inlineStr">
        <is>
          <t>* Designing, developing, and implementing systems software solutions that meet DoD specifications and performance standards
* Conducting thorough testing, debugging, and performance analysis to ensure software stability and optimal functionality
* Collaborating with cross\-functional teams to integrate systems software with broader mission\-critical applications and systems
* Preparing comprehensive technical documentation, including design specifications, test procedures, and maintenance reports
* Supporting continuous improvement initiatives by identifying areas for process enhancements and implementing best practices
**FILLING THIS POSITION IS CONTINGENT UPON FUNDING**
**Requirements**
* Five plus years experience in a software developer role
* One plus years experience must be with communication systems, networks, or technologies
* One plus years experience must include agile software development experience
* Bachelor’s degree in a related field
* Demonstrated ability to design, develop, and maintain systems software that adheres to DoD operational and security requirements
* Proficient in system\-level programming, utilizing languages such as C, C\+\+, and/or Java for robust software development
* Skilled in debugging, performance tuning, and rigorous code testing to ensure software reliability and security
* Possess an active DoD secret security clearance
**Desired Skills**
* Familiarity with modern development frameworks and tools (e.g., Git, Jenkins, CI/CD pipelines) to streamline software delivery
* Experience working within agile methodologies, enabling iterative development and rapid integration
* Knowledge of secure coding practices and cybersecurity frameworks to enhance the resilience of systems software
* Strong problem\-solving skills with the ability to analyze complex system issues and recommend effective solutions
**Clearance Information**
**SRC IS A CONTRACTOR FOR THE U.S. GOVERNMENT, THIS POSITION WILL REQUIRE U.S. CITIZENSHIP AS WELL AS, A U.S. GOVERNMENT SECURITY CLEARANCE AT THE SECRET LEVEL**
**Travel Requirements**
* To be determined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Corporation endeavors to make www.scires.com accessible to any and all users. If you would like to contact us regarding the accessibility of our website or need assistance completing the application process, please contact jobs@scires.com for assistance. This contact information is for accommodation requests only and cannot be used to inquire about the status of applications.</t>
        </is>
      </c>
    </row>
    <row r="58">
      <c r="A58" t="inlineStr">
        <is>
          <t>li-4366521308</t>
        </is>
      </c>
      <c r="B58" t="inlineStr">
        <is>
          <t>Software Engineer</t>
        </is>
      </c>
      <c r="C58" t="inlineStr">
        <is>
          <t>Robert Half</t>
        </is>
      </c>
      <c r="D58" t="inlineStr">
        <is>
          <t>linkedin</t>
        </is>
      </c>
      <c r="E58">
        <f>HYPERLINK("https://www.linkedin.com/jobs/view/4366521308", "https://www.linkedin.com/jobs/view/4366521308")</f>
        <v/>
      </c>
      <c r="F58" t="inlineStr"/>
      <c r="G58" t="inlineStr">
        <is>
          <t>El Segundo, CA</t>
        </is>
      </c>
      <c r="H58" t="inlineStr"/>
      <c r="I58" t="inlineStr">
        <is>
          <t>Backend Engineer (AWS, AI\-Enabled SaaS)
**Location:** 
 El Segundo, CA (Onsite, 5 days/week)
**Compensation:** 
**$170,000 base salary (potential to 190k DOE)** 
**Employment Type:** 
 Full\-Time, Exempt
**Reports To:** 
 VP of Software Engineering
 Role Summary
 We are hiring a
 **Backend Engineer** 
 to design, build, and scale backend systems for an AI\-enabled SaaS platform supporting complex e\-commerce and subscription workflows. This is a hands\-on role focused on backend services, data, and system reliability, working closely with product and business stakeholders.
 Responsibilities
* Build and maintain backend services using
 **Node.js and TypeScript**
* Design and optimize
 **PostgreSQL** 
 schemas, queries, and indexes
* Develop
 **event\-driven, batch, and asynchronous workflows**
* Implement end\-to\-end product workflows with proper error handling
* Contribute to backend architecture, system boundaries, and technical standards
* Identify and reduce technical debt
* Use
 **AI tools / LLMs** 
 to accelerate development while maintaining quality
* Support production stability, monitoring, and observability
* Collaborate with product and non\-technical stakeholders
 Required Qualifications
* 6–10\+ years of backend engineering experience
* Strong
 **Node.js / TypeScript** 
 experience
* Advanced
 **PostgreSQL** 
 knowledge
* Experience building non\-trivial backend systems (beyond CRUD)
* Hands\-on
 **AWS** 
 experience (ECS/Fargate, RDS, S3, IAM)
* Experience with containerized, stateless services
* Familiarity with AI\-assisted development or LLM\-based API</t>
        </is>
      </c>
    </row>
    <row r="59">
      <c r="A59" t="inlineStr">
        <is>
          <t>li-4366492537</t>
        </is>
      </c>
      <c r="B59" t="inlineStr">
        <is>
          <t>Software Engineer</t>
        </is>
      </c>
      <c r="C59" t="inlineStr">
        <is>
          <t>RemoteHunter</t>
        </is>
      </c>
      <c r="D59" t="inlineStr">
        <is>
          <t>linkedin</t>
        </is>
      </c>
      <c r="E59">
        <f>HYPERLINK("https://www.linkedin.com/jobs/view/4366492537", "https://www.linkedin.com/jobs/view/4366492537")</f>
        <v/>
      </c>
      <c r="F59" t="inlineStr"/>
      <c r="G59" t="inlineStr"/>
      <c r="H59" t="inlineStr"/>
      <c r="I59"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0">
      <c r="A60" t="inlineStr">
        <is>
          <t>li-4366518061</t>
        </is>
      </c>
      <c r="B60" t="inlineStr">
        <is>
          <t>Senior Software Engineer (Windows Desktop Applications)</t>
        </is>
      </c>
      <c r="C60" t="inlineStr">
        <is>
          <t>Recfront</t>
        </is>
      </c>
      <c r="D60" t="inlineStr">
        <is>
          <t>linkedin</t>
        </is>
      </c>
      <c r="E60">
        <f>HYPERLINK("https://www.linkedin.com/jobs/view/4366518061", "https://www.linkedin.com/jobs/view/4366518061")</f>
        <v/>
      </c>
      <c r="F60" t="inlineStr"/>
      <c r="G60" t="inlineStr">
        <is>
          <t>Santa Clara, CA</t>
        </is>
      </c>
      <c r="H60" t="inlineStr"/>
      <c r="I60" t="inlineStr">
        <is>
          <t>**Job Title:** 
  Senior Software Engineer (Windows Desktop Applications) 
**Location:** 
  Santa Clara, CA 
**Employment Type:** 
  Full\-time
**About the Opportunity** 
 Recfront is partnering with a leading vendor in the Software Defined solutions space (SASE) to hire a
 **Senior Software Engineer** 
 . Our client provides an end\-to\-end solution that simplifies and secures the WAN/branch office network, offering unprecedented business advantages through agility, cost savings, and flexibility.
 They have built a feature\-rich, scalable software platform used for enterprise software\-defined branches, secure SD\-WAN, and next\-gen managed services.
 We are looking for a passionate engineer with extensive experience in developing desktop applications for Microsoft Windows (10/8/7\) to join their engineering team in Santa Clara.
**Key Responsibilities** 
* **Core Development:** 
  Develop Windows components and libraries to be used in .NET\-based applications.
* **Innovation:** 
  Lead the development of proof\-of\-concepts focusing on brand\-new technologies.
* **Technical Leadership:** 
  Provide oversight and execution guidance for new Windows applications across various platforms.
* **Security \&amp; Architecture:** 
  Champion best practices for building secure applications from the ground up. Conduct security reviews from high\-level architecture down to OS\-level parameters, BIOS interactions, and drivers.
* **Problem Solving:** 
  Analyze, debug, and fix complex issues while driving innovation with cross\-functional teams.
**Qualifications \&amp; Skills** 
* **Experience:** 
  8\+ years of hands\-on experience designing and developing scalable applications on Windows Application Platforms.
* **Technical Stack:** 
  Proven success delivering projects using 
 **WPF (Windows Presentation Foundation), Windows Forms (.NET), Win32, Windows Service, C\+\+, C\#, and XML** 
 .
* **Architecture:** 
  Deep architectural knowledge of WCF, XAML, IPC, and Windows Services.
* **System Knowledge:** 
  Good understanding of Windows internals, application packaging, and familiarity with Networking and Security on Windows Desktops.
* **Debugging:** 
  Strong debugging and troubleshooting skills are mandatory.
* **Education:** 
  Bachelor’s degree in Computer Science or equivalent.
**Why Apply?** 
* Work on the cutting edge of SASE and SD\-WAN technology.
* Influence the security architecture of a global software platform.
* Competitive salary and benefits package.
**Application Requirement:** 
 **Applicants must be authorized to work in the US.**</t>
        </is>
      </c>
    </row>
    <row r="61">
      <c r="A61" t="inlineStr">
        <is>
          <t>li-4366488416</t>
        </is>
      </c>
      <c r="B61" t="inlineStr">
        <is>
          <t>Senior Full Stack Engineer (Node/React)</t>
        </is>
      </c>
      <c r="C61" t="inlineStr">
        <is>
          <t>satoriq</t>
        </is>
      </c>
      <c r="D61" t="inlineStr">
        <is>
          <t>linkedin</t>
        </is>
      </c>
      <c r="E61">
        <f>HYPERLINK("https://www.linkedin.com/jobs/view/4366488416", "https://www.linkedin.com/jobs/view/4366488416")</f>
        <v/>
      </c>
      <c r="F61" t="inlineStr"/>
      <c r="G61" t="inlineStr">
        <is>
          <t>Austin, Texas Metropolitan Area</t>
        </is>
      </c>
      <c r="H61" t="inlineStr"/>
      <c r="I61" t="inlineStr">
        <is>
          <t>**About the Company** 
 Our client is building a technology\-first real estate platform designed to help homeowners and property investors make smarter financial decisions around their largest asset: real estate.
 Today, property ownership is burdened by opaque systems, outdated processes, and costly inefficiencies that result in millions of people overpaying every year. This company is changing that by combining modern software, data\-driven insights, and automation to turn a historically manual and intimidating process into a streamlined, customer\-friendly experience.
 The platform is live, customer\-facing, and operating at real scale across multiple states. This is not an experimental build or greenfield prototype. These systems are actively used by customers and continue to evolve rapidly as the company expands its footprint and product capabilities.
 The engineering culture values ownership, pragmatism, and shipping. Engineers are expected to understand the business context behind what they build and work closely with product, operations, and leadership to deliver meaningful outcomes.
**About the Role** 
 We are hiring a
 **Senior Full\-Stack Software Engineer** 
 to help build and scale core web applications that power the company’s customer experience and internal workflows.
 This is a true full\-stack role. You will work across modern React\-based front\-end experiences and Node.js backend services, contributing to features end\-to\-end from user interaction through APIs and data handling.
 The role is intentionally
 **in\-office, five days per week** 
 , to support close collaboration with product, operations, and leadership. It is best suited for engineers who enjoy working closely with teammates, owning features outright, and seeing their work directly impact customers.
 This is not a narrowly scoped frontend or backend role. It is built for engineers who like variety, ownership, and building real product under real constraints.
**What You Will Do** 
* Build and maintain customer\-facing web applications using React and TypeScript
* Develop and support backend services and RESTful APIs using Node.js
* Work with relational databases and SQL for core application workflows
* Collaborate closely with Product, Operations, and Marketing to translate business needs into working software
* Own features end\-to\-end, from design and implementation through deployment and iteration
* Improve performance, reliability, and scalability across the platform
* Participate in code reviews and contribute to strong engineering standards
* Help identify and mitigate technical risks, including security and data protection concerns
**What We Are Looking For** 
* 4\+ years of professional experience in full\-stack web development
* Strong experience with JavaScript or TypeScript and React in production environments
* Hands\-on experience building backend services with Node.js
* Working knowledge of SQL and relational data models
* Experience building and consuming RESTful APIs
* Familiarity with Git and modern CI/CD workflows
* Comfort working in cloud\-based environments
* Strong product instincts and ability to understand business context
* Clear communicator who collaborates well in cross\-functional teams
**Nice to Have** 
* Experience working in early\-stage or growth\-stage product companies
* Prior exposure to data\-heavy or workflow\-driven applications
* AWS experience beyond basic deployments
**This Role Is Not a Fit If** 
* You are looking for a fully remote role
* You prefer a narrowly scoped frontend\-only or backend\-only position
* You thrive only in highly structured, slow\-moving environments
* You are uncomfortable owning features or working closely with non\-engineering partners
**Compensation and Benefits** 
* Base salary range: $130,000–$170,000
* Equity participation
* Comprehensive health, dental, and vision coverage
* Flexible PTO and company holidays
* Paid parental and bonding leave
* Annual learning and professional development stipend
**Why This Role Matters** 
 This role directly impacts how customers interact with and benefit from the platform. The software you build will help real people save real money on one of their most important financial assets. You will have ownership beyond task execution, visibility into outcomes, and the opportunity to shape a product that is actively scaling.
 If you enjoy building meaningful product, working closely with teammates, and seeing your work drive tangible results, this role was built for you.</t>
        </is>
      </c>
    </row>
    <row r="62">
      <c r="A62" t="inlineStr">
        <is>
          <t>li-4366908490</t>
        </is>
      </c>
      <c r="B62" t="inlineStr">
        <is>
          <t>Software Engineer</t>
        </is>
      </c>
      <c r="C62" t="inlineStr">
        <is>
          <t>TransPerfect Connect</t>
        </is>
      </c>
      <c r="D62" t="inlineStr">
        <is>
          <t>linkedin</t>
        </is>
      </c>
      <c r="E62">
        <f>HYPERLINK("https://www.linkedin.com/jobs/view/4366908490", "https://www.linkedin.com/jobs/view/4366908490")</f>
        <v/>
      </c>
      <c r="F62">
        <f>HYPERLINK("https://transperfect.wd5.myworkdayjobs.com/en-US/transperfect/job/US-Houston-TX/Software-Engineer_R2025-243082&amp;urlHash=suvT", "https://transperfect.wd5.myworkdayjobs.com/en-US/transperfect/job/US-Houston-TX/Software-Engineer_R2025-243082&amp;urlHash=suvT")</f>
        <v/>
      </c>
      <c r="G62" t="inlineStr">
        <is>
          <t>Houston, TX</t>
        </is>
      </c>
      <c r="H62" t="inlineStr"/>
      <c r="I62" t="inlineStr">
        <is>
          <t>**TransPerfect Is More Than Just a Job…**
 Our greatest asset is our people, and nothing is more important to us than ensuring that everyone knows that. Each of our 100\+ offices has its own individual identity, and each also has its own unique rewards.</t>
        </is>
      </c>
    </row>
    <row r="63">
      <c r="A63" t="inlineStr">
        <is>
          <t>li-4366923474</t>
        </is>
      </c>
      <c r="B63" t="inlineStr">
        <is>
          <t>Senior Software Engineer</t>
        </is>
      </c>
      <c r="C63" t="inlineStr">
        <is>
          <t>PROCEPT BioRobotics</t>
        </is>
      </c>
      <c r="D63" t="inlineStr">
        <is>
          <t>linkedin</t>
        </is>
      </c>
      <c r="E63">
        <f>HYPERLINK("https://www.linkedin.com/jobs/view/4366923474", "https://www.linkedin.com/jobs/view/4366923474")</f>
        <v/>
      </c>
      <c r="F63" t="inlineStr"/>
      <c r="G63" t="inlineStr">
        <is>
          <t>San Jose, CA</t>
        </is>
      </c>
      <c r="H63" t="inlineStr"/>
      <c r="I63" t="inlineStr">
        <is>
          <t>**Company Overview** 
 Embark on an enriching journey with PROCEPT BioRobotics, where our vision, mission, and values guide everything we do as a company. At PROCEPT, we put the patient first in everything we do and are committed to revolutionizing treatment for benign prostatic hyperplasia (BPH, otherwise known as prostate gland enlargement) through innovation in surgical robotics. As our company succeeds and grows, we improve the quality of life of patients, provide more effective treatment options for surgeons, uphold the trust of our shareholders. That starts with a commitment to our People with a focus on creating an evolving landscape for your career, brimming with transformative opportunities that provide continuous career growth opportunities.
 SUMMARY
 This position will work with the cross\-functional team for developing software for PROCEPT’s future products. Join a team committed to revolutionizing BPH surgical treatment; this position will have the opportunity to excel within a high\-energy, small, focused team environment, maintain a strong sense of shared responsibility and shared reward, and to make work fun and interesting. Collaborate with Firmware, Electrical Engineering (EE), Mechanical, System Analysts, and Clinical teams on design, development, and integration. The candidate will contribute to system design and architecture development, author requirement and verification protocols and perform protocol execution, and deliver complex solutions to market and support fielded product(s).
**What Your Day\-To\-Day Will Involve:** 
* Participate in software engineering design and review activities
* Be capable of owning and completing tasks with the time pressures typical of new product development
* Develop, debug and maintain software for existing and new generation product.
* Work closely with cross\-functional groups and subject domain experts to define product requirements
* Contribute to SW system architecture, SW design and SW unit test documentations
* Participate in code review, SW unit testing, integration testing and functional testing
* Work closely with colleagues to conduct Software/firmware/hardware integration
* Define and review software and hardware verification and validation test plan
* Represent software on customer complaint analysis team
* Maintain trained status for, and comply with, all relevant aspects of the PROCEPT BioRobotics Quality Management System to nsure product and support regulatory compliance
* Understand and adhere to the PROCEPT BioRobotics EHS policy
**The Qualifications We Need You to Possess** 
* Software Engineer position requires a minimum of a Bachelor’s degree (B.S.) in CS or equivalent with 5\+ years of direct experience developing application software for medical devices
* Highly self\-directed and self\-motivated with excellent verbal and written communication skills
* Proficient in Object Oriented Design and API design
* Proficient in C\#, .Net Framework
* Experience with Windows Operating Systems, networking and multi\-threading development
* Experience with SW requirements gathering, software architecture, coding, code review, unit testing, integration testing and functional testing
* Experience with SW Development Life Cycle (SDLC) and change control process and tools
* Highly proactive developer and experienced system debugger
* Familiar with Python, or other scripting language for development and testing automation highly desirable
* Familiarity with Medical Device regulations (e.g. ISO 13485, ISO 14971, IEC 62304\) highly desirable
* Experience with SW development project management highly desirable
* Experience to integrate SW with FW and HW highly desirable
* Familiar with DevOps automation tools desirable
* Experience with HIPAA and GDPR desirable
**SUPERVISORY RESPONSIBILITIES** 
* NO
**PHYSICAL DEMANDS \&amp; WORK ENVIRONMENT** 
* The physical demands described here are representative of those that must be met by an employee to successfully perform the essential functions of this job.
* Reasonable accommodations may be made to enable individuals with disabilities to perform the essential functions.
* To perform this duty the employee must have the ability to sit or stand at and operate a computer terminal and walk or travel safely within the facility.
* The employee may occasionally lift and/or move up to 25 pounds.
 WORK ENVIRONMENT
 * While performing the duties of this job, the employee regularly works in an office environment. The employee will occasionally be exposed to engineering labs.
* The environment is subject to moderate noise from machinery (IE machine shop equipment, the PROCEPT Aquablation unit, computer equipment, printers, etc.), for which proper hearing protection may be assigned and worn.
* The employee may be exposed to hazards including electrical sparking, water, and chemicals, for which proper protective equipment will be assigned and worn
* The above statements are intended to describe the general nature and level of work being performed
* They are not intended to be construed as an exhaustive list of all responsibilities
 For US\-Based Candidates Only
 Work Authorization Status: Citizen / Permanent Resident
 For this role, the anticipated base pay range is $165000\-$195000 per year.
 Plus, eligibility for an annual bonus and equity/RSUs
**Understanding PROCEPT's Culture** 
 At
 **PROCEPT** 
 , we believe every person matters. Every employee, every patient, every caregiver. Because we are here to create a revolution, and we believe in doing that by innovating everywhere with pathological optimism. We believe in being humble and highly engaged in the work we do, while also working together seamlessly for a common goal. At Procept, curiosity, ingenuity and conviction in the power technology will transform the lives of our patients and providers.
 And this doesn’t happen by accident. It starts with our live induction program that serves as an incubator for cross\-functional team building, an immersion in Procept’s history, jam\-packed interactive sessions with executive leadership and a crash\-course in the mission and purpose of what we do. It continues with our one\-of\-a\-kind management program designed to build the best managers in the industry, where our people managers across functions come together to exchange ideas and grow, as both managers and learners, in an environment that challenges, supports and broadens.
 We are fueled by the opportunity to give people their lives back. And we believe that it begins with YOU! At Procept, we push beyond just finding a work/life balance, we strive to find a work/life blend, a professional world that you are honored and impassioned to belong to, one that you can proudly share with your family, friends, and acquaintances.
 An opportunity at PROCEPT BioRobotics won’t just be about finding a job. It will be an opportunity for you to join a community devoted to making a difference in this world!
**BENEFITS OF WORKING AT PROCEPT!** 
**PROCEPT’s** 
 health and wellness benefits for employees are second to none in the industry. As an organization, one of our top priorities is to maintain the health and wellbeing of our employees and their families. We offer a comprehensive benefits package that includes full medical coverage, wellness programs, on\-site gym, a 401(k) plan with employer match, short\-term and long\-term disability coverage, basic life insurance, wellbeing benefits, flexible or paid time off, paid parental leave, paid holidays, and many more!
**EQUAL EMPLOYMENT OPPORTUNITY STATEMENT** 
 PROCEPT BioRobotics is an equal opportunity employer that is committed to diversity and inclusion in the workplace. We prohibit discrimination and harassment of any kind on the basis of race, color, national origin, religion, gender, gender identity, sexual orientation, disability, genetic information, pregnancy, age, or any other protected status set forth in federal, state, or local laws. This policy applies to all employment practices within our organization.
**PAY RANGE TRANSPARENCY** 
 Procept is committed to fair and equitable compensation practices. The pay range(s) for this role represents a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Procept utilizes the full width of the range. The total compensation package for this position may also include eligibility for annual performance bonus, equity, and the benefits listed above.
**WORK ENVIRONMENT** 
 We’ll provide you training for, and ask you to maintain trained status for, and comply with, all relevant aspects of the PROCEPT BioRobotics Quality Management System to ensure product and support regulatory compliance. We would also ask you to understand and adhere to the PROCEPT BioRobotics Quality \&amp; EHS policies.
**PROCEPT BioRobotics – Applicant Privacy Notice
 When you submit an application on this site, PROCEPT BioRobotics collects the personal information you provide. This may include your name, email address, phone number, résumé or CV, LinkedIn profile, and any optional demographic information you choose to share, such as gender or ethnicity. We use this information to review your application and assess your suitability for the role.
 To learn more about how we handle personal information, including your rights under applicable privacy regulations, please read our full Privacy Notice at:
**\[**
**Privacy Policy**
**]**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4">
      <c r="A64" t="inlineStr">
        <is>
          <t>li-4344204907</t>
        </is>
      </c>
      <c r="B64" t="inlineStr">
        <is>
          <t>Senior Software Engineer - Supply Processing</t>
        </is>
      </c>
      <c r="C64" t="inlineStr">
        <is>
          <t>StubHub</t>
        </is>
      </c>
      <c r="D64" t="inlineStr">
        <is>
          <t>linkedin</t>
        </is>
      </c>
      <c r="E64">
        <f>HYPERLINK("https://www.linkedin.com/jobs/view/4344204907", "https://www.linkedin.com/jobs/view/4344204907")</f>
        <v/>
      </c>
      <c r="F64" t="inlineStr"/>
      <c r="G64" t="inlineStr">
        <is>
          <t>Seattle, WA</t>
        </is>
      </c>
      <c r="H64" t="inlineStr"/>
      <c r="I64"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that transform the way millions of users explore, interact with, and participate in live events worldwide. As a Senior Software Engineer, you will be an integral part of developing the team's commercial and product strategy. You will be expected to be equally focused on user needs and to exercise sound commercial judgment (not just technical judgment). Our Senior Software Engineers are essential to our company’s success, so they must demonstrate initiative and enthusiasm in solving the problems they encounter. StubHub is committed to being a phenomenal and inclusive workplace. We expect you to also serve as an advocate and mentor for your team members, demonstrating leadership qualities and setting an example for those around you.
*Location: Hybrid (3 days in office/2 days remote) – New York, NY or Aliso Viejo, CA or Seattle, WA*
**About The Team**
 The Supply team's mission is to simplify the lives of our large\-ticket sellers by making it effortless to onboard and manage their inventory across the entire event lifecycle. We help sellers reduce operational overhead and maximize revenue through intelligent automation, streamlined workflows that move at marketplace speed, and fast, dependable experiences. Behind the scenes, we design and operate enterprise\-grade, high\-throughput systems that power core seller operations and handle large, dynamic datasets at scale. Our work spans multiple layers of the stack \- from robust back\-end services to high\-performance, user\-focused interfaces \- ensuring sellers have a reliable, end\-to\-end platform they trust to run their business.
**What You'll Do**
* Design, develop, test, deploy, and maintain impactful improvements for backend code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5\-6\+ years of professional experience in software development
* Extensive experience developing robust, mission\-critical systems using multiple general\-purpose programming languages (e.g., Java,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65">
      <c r="A65" t="inlineStr">
        <is>
          <t>li-4356531114</t>
        </is>
      </c>
      <c r="B65" t="inlineStr">
        <is>
          <t>Software Engineer (Fullstack)</t>
        </is>
      </c>
      <c r="C65" t="inlineStr">
        <is>
          <t>Cargill</t>
        </is>
      </c>
      <c r="D65" t="inlineStr">
        <is>
          <t>linkedin</t>
        </is>
      </c>
      <c r="E65">
        <f>HYPERLINK("https://www.linkedin.com/jobs/view/4356531114", "https://www.linkedin.com/jobs/view/4356531114")</f>
        <v/>
      </c>
      <c r="F65" t="inlineStr"/>
      <c r="G65" t="inlineStr">
        <is>
          <t>Wayzata, MN</t>
        </is>
      </c>
      <c r="H65" t="inlineStr"/>
      <c r="I65" t="inlineStr">
        <is>
          <t>Job Purpose and Impact
 Software Engineer job maintains and partners to design and develop software applications and systems. With limited supervision, this job collaborates with cross functional teams to implement new software features to meet user needs and business goals and upgrade existing software to improve performance and functionality through writing clean, efficient and scalable code and troubleshooting and debugging moderately complex issues. This job also participates in code reviews to maintain high code quality and share knowledge with software engineering team members.
 Key Accountabilities
* Designs and develops high quality software solutions by writing clean, maintainable and efficient codes.
* Leads the application of internal software deployment platform, methodologies and tools to automate the deployment process, ensuring smooth and reliable releases.
* Partners with cross functional team of product managers, designers and different engineers to gather complex requirements and deliver solutions that meet business needs.
* Writes and maintains complex unit tests and integration tests, and performs debugging to maintain the quality and performance of the software.
* Suggests options for improving the software development and deployment processes, and implements the approved standards to improve efficiency and reliability.
* Builds and maintains comprehensive documentation for complex software applications, deployment processes and system configurations.
* Provides technical support and troubleshooting for complex issues with deployed applications to ensure minimal downtime and fast resolution.
**Qualifications**
* Minimum requirement of 2 years of relevant work experience. Typically reflects 3 years or more of relevant experience.
* Experince with one or more of the following technologies:
+ React/Typescript/UI’s
+ Java Spring Boot/ Python / API’s
+ PostgreSQL
+ CI/CD pipelines
+ AWS Cloud Services
 Compensation Data
 The expected salary for this position is $80,000\-$115,000\.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https://www.cargill.com/page/my\-health/mh\-health\-and\-wellness to learn more (subject to certain collective bargaining agreements for Union positions).</t>
        </is>
      </c>
    </row>
    <row r="66">
      <c r="A66" t="inlineStr">
        <is>
          <t>li-4366518109</t>
        </is>
      </c>
      <c r="B66" t="inlineStr">
        <is>
          <t>Software Engineer Manager II, Infrastructure, Google Ads</t>
        </is>
      </c>
      <c r="C66" t="inlineStr">
        <is>
          <t>Google</t>
        </is>
      </c>
      <c r="D66" t="inlineStr">
        <is>
          <t>linkedin</t>
        </is>
      </c>
      <c r="E66">
        <f>HYPERLINK("https://www.linkedin.com/jobs/view/4366518109", "https://www.linkedin.com/jobs/view/4366518109")</f>
        <v/>
      </c>
      <c r="F66" t="inlineStr"/>
      <c r="G66" t="inlineStr">
        <is>
          <t>Mountain View, CA</t>
        </is>
      </c>
      <c r="H66" t="inlineStr"/>
      <c r="I66" t="inlineStr">
        <is>
          <t>**Minimum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3 years of experience in a technical leadership role.
* 2 years of experience in a people management or team leadership role.
* 2 years of Ads Infrastructure experience.
**Preferred qualifications:**
* Master's degree or PhD in Computer Science or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Apps, Video and Display (AViD) Modeling Infrastructure, a newly established team under AViD Infrastructure, will build end\-to\-end infrastructure to enable AViD ML teams for fast and effective ad personalization modeling, leveraging Large Language Models (LLM) infrastructure technologies in Ads and Google. This team will also be responsible for integrating AViD into larger personalization efforts across Google Ads and driving innovations to fund resource/cost trade\-offs for AViD personalization modeling.
 In this role, you will be passionate about technologies, infrastructure, and business growth, to help shape the future and create new paradigms in AViD personalization.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7">
      <c r="A67" t="inlineStr">
        <is>
          <t>li-4366760707</t>
        </is>
      </c>
      <c r="B67" t="inlineStr">
        <is>
          <t>Software Engineer</t>
        </is>
      </c>
      <c r="C67" t="inlineStr">
        <is>
          <t>Hyra</t>
        </is>
      </c>
      <c r="D67" t="inlineStr">
        <is>
          <t>linkedin</t>
        </is>
      </c>
      <c r="E67">
        <f>HYPERLINK("https://www.linkedin.com/jobs/view/4366760707", "https://www.linkedin.com/jobs/view/4366760707")</f>
        <v/>
      </c>
      <c r="F67" t="inlineStr"/>
      <c r="G67" t="inlineStr"/>
      <c r="H67" t="inlineStr"/>
      <c r="I67" t="inlineStr">
        <is>
          <t>Senior Gameplay Engineer
 Type: Remote \| Salary: $141,900 \- $190,300 annual
 Hyra is working on behalf of Disney Experiences to hire for the position of Senior Gameplay Engineer. This role focuses on developing interactive game experiences within a new digital universe featuring Disney, Pixar, Marvel, and Star Wars intellectual properties. The engineer will collaborate with cross\-functional teams to build cohesive products using modern engine technologies.
 What you'll be doing
 • Implement interactive games and experiences using UEFN and the Verse programming language.
 • Collaborate daily with design, production, and art teams to establish and achieve gameplay goals.
 • Develop gameplay systems within Unreal Engine 5 while navigating ecosystem\-specific technical limitations.
 • Support designers during the game construction process by providing technical solutions and creative workarounds.
 • Maintain code stability and quality while advocating for the end\-user player experience.
 What we're looking for
 • Minimum of 7 years of experience developing console, PC, or mobile games.
 • Advanced proficiency with Unreal Engine 4 or 5 at the native C\+\+ level.
 • Proven track record of authoring significant gameplay systems for a released major product.
 • Professional experience working through both the prototyping and production phases of development.
 • Strong understanding of client\-server architecture, memory management, and performance optimization.
 What Disney Experiences offers
 • Competitive annual salary and performance\-based incentives.
 • Comprehensive medical, dental, and vision health insurance plans.
 • Retirement savings programs and financial wellness resources.
 • Opportunities to work on world\-class intellectual properties in a remote environment.
 Apply via Hyra to be considered for this opportunity.</t>
        </is>
      </c>
    </row>
    <row r="68">
      <c r="A68" t="inlineStr">
        <is>
          <t>li-4366493185</t>
        </is>
      </c>
      <c r="B68" t="inlineStr">
        <is>
          <t>Associate Software Engineer</t>
        </is>
      </c>
      <c r="C68" t="inlineStr">
        <is>
          <t>Brooksource</t>
        </is>
      </c>
      <c r="D68" t="inlineStr">
        <is>
          <t>linkedin</t>
        </is>
      </c>
      <c r="E68">
        <f>HYPERLINK("https://www.linkedin.com/jobs/view/4366493185", "https://www.linkedin.com/jobs/view/4366493185")</f>
        <v/>
      </c>
      <c r="F68" t="inlineStr"/>
      <c r="G68" t="inlineStr">
        <is>
          <t>Columbus, Ohio Metropolitan Area</t>
        </is>
      </c>
      <c r="H68" t="inlineStr"/>
      <c r="I68" t="inlineStr">
        <is>
          <t>**Associate Software Engineer** 
**Columbus, Ohio** 
**6\-Month Contract\-to\-hire** 
 Brooksource is looking for entry\-level Software Engineers to join our client in July 2026\. The Junior Software Engineer will work as part of the larger team to help in the design, development, and integration of applications that support our client's applications.
 We are hiring for multiple positions that will be part of a professional development program including technical and professional training. This role require the individual to be driven, well\-organized and curious. They must be self\-motivated and thrive in a collaborative, fast\-paced environment. If you are interested, please apply!
**Minimum Requirements:** 
* Bachelor's degree in Computer Science or related field
* Experience with OOP: Java, Python, C\#, and/or C/C\+\+
* Experience with APIs, or a good understanding of REST principals and Micro Services architecture
* Experience in writing SQL queries and good understanding in GIT repository
* Exposure to one or more cloud platforms
**Primary Responsibilities:** 
* Participate in the analysis and review of epics, features, and user stories
* Participate in the design and review of technical design of component software features
* Participate in all Agile ceremonies such as Daily Stand Ups, Sprint Planning, SprintDemo/Reviews, Sprint Retrospectives, and Backlog Refinement
* Develop technical solutions based upon user specifications and technology frameworks
* Modify existing software applications as assigned
* Participate in code reviews and the integration testing of solutions
* Participate in the debugging and resolution of issues found during testing
* Assist in the documentation and implementation of software programs and solutions
**This opportunity is open to individual applicants seeking W\-2 employment only. Applicants must be authorized to work in the United States without the need for employer sponsorship, now or in the future. We are not accepting Corp\-to\-Corp (C2C), 1099, or third\-party agency submissions for this role.** 
*Brooksource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row>
    <row r="69">
      <c r="A69" t="inlineStr">
        <is>
          <t>li-4366791808</t>
        </is>
      </c>
      <c r="B69" t="inlineStr">
        <is>
          <t>Software Engineer</t>
        </is>
      </c>
      <c r="C69" t="inlineStr">
        <is>
          <t>Best Job Tool</t>
        </is>
      </c>
      <c r="D69" t="inlineStr">
        <is>
          <t>linkedin</t>
        </is>
      </c>
      <c r="E69">
        <f>HYPERLINK("https://www.linkedin.com/jobs/view/4366791808", "https://www.linkedin.com/jobs/view/4366791808")</f>
        <v/>
      </c>
      <c r="F69" t="inlineStr"/>
      <c r="G69" t="inlineStr"/>
      <c r="H69" t="inlineStr"/>
      <c r="I69" t="inlineStr">
        <is>
          <t>**About The Company**
 Walmart is a globally recognized leader in retail, committed to providing customers with a wide selection of quality products at everyday low prices. Founded in 1962, Walmart has grown into a Fortune 1 company with thousands of stores across the world, including supercenters, grocery stores, and e\-commerce platforms. The company's mission is to save people money so they can live better, which guides its efforts to innovate, improve customer experience, and promote sustainability. Walmart values diversity, integrity, and community engagement, fostering a dynamic and inclusive work environment where employees are empowered to contribute and grow.
**About The Role**
 The role at Walmart offers an exciting opportunity to be part of a leading retail organization that is constantly evolving to meet customer needs and market trends. As a \[Job Title], you will play a critical role in supporting our operational excellence, enhancing customer satisfaction, and driving sales growth. You will be responsible for executing strategic initiatives, managing team performance, and ensuring compliance with company policies. This position requires a proactive and customer\-focused mindset, along with strong leadership and communication skills. The ideal candidate will thrive in a fast\-paced environment, demonstrate adaptability, and possess a passion for delivering outstanding service.
**Qualifications**
 To be successful in this role, candidates should have a minimum of \[X] years of experience in retail, management, or a related field. A bachelor's degree in business administration, retail management, or a similar discipline is preferred. Strong analytical skills, problem\-solving abilities, and proficiency in Microsoft Office Suite are essential. Excellent communication and interpersonal skills are required to effectively lead teams and interact with customers. Candidates should demonstrate a high level of integrity, adaptability, and a commitment to continuous improvement. Prior experience with inventory management, sales analysis, and customer service is highly desirable.
**Responsibilities**
 The primary responsibilities of this role include overseeing daily store operations, ensuring the achievement of sales targets, and maintaining high standards of customer service. You will manage and motivate team members, facilitate training programs, and foster a positive work environment. Responsibilities also involve monitoring inventory levels, implementing merchandising strategies, and ensuring compliance with safety and health regulations. Additionally, you will analyze sales data to identify trends and opportunities for growth, coordinate with suppliers and vendors, and support corporate initiatives. Effective communication with team members, customers, and management is vital to ensure seamless operations and uphold Walmart’s reputation for excellence.
**Benefits**
 Walmart offers a comprehensive benefits package designed to support the well\-being and professional development of its employees. Benefits include competitive salary packages, health, dental, and vision insurance, and a retirement savings plan. Employees also have access to paid time off, employee discounts, and opportunities for career advancement within the organization. Walmart invests in training and development programs to enhance skills and leadership capabilities. The company promotes work\-life balance through flexible scheduling options and wellness initiatives, fostering a supportive and engaging workplace environment.
 Equal Opportunity
 Walmart is an equal opportunity employer committed to creating an inclusive environment for all employees. We celebrate diversity and are dedicated to providing equal employment opportunities regardless of race, color, religion, gender, sexual orientation, gender identity, national origin, age, disability, or veteran status. Our commitment extends to fostering a culture of respect, fairness, and opportunity for everyone. We believe that diverse teams drive innovation and better serve our customers, and we are proud to uphold these values in all aspects of our employment practices.</t>
        </is>
      </c>
    </row>
    <row r="70">
      <c r="A70" t="inlineStr">
        <is>
          <t>li-4366519076</t>
        </is>
      </c>
      <c r="B70" t="inlineStr">
        <is>
          <t>Software Engineer III, Infrastructure, Audience Data Processing</t>
        </is>
      </c>
      <c r="C70" t="inlineStr">
        <is>
          <t>Google</t>
        </is>
      </c>
      <c r="D70" t="inlineStr">
        <is>
          <t>linkedin</t>
        </is>
      </c>
      <c r="E70">
        <f>HYPERLINK("https://www.linkedin.com/jobs/view/4366519076", "https://www.linkedin.com/jobs/view/4366519076")</f>
        <v/>
      </c>
      <c r="F70" t="inlineStr"/>
      <c r="G70" t="inlineStr">
        <is>
          <t>Mountain View, CA</t>
        </is>
      </c>
      <c r="H70" t="inlineStr"/>
      <c r="I70" t="inlineStr">
        <is>
          <t>**Minimum qualifications:**
* Bachelor’s degree or equivalent practical experience.
* 2 years of experience with software development in C\+\+, SQL, compute infrastructure, Flume, or 1 year of experience with an advanced degree.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and algorithms.
* Experience with Flume and large\-scale data processing pipelines.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We're an Infrastructure team, we operate in a fast\-paced environment with evolving requirements. Our focus is on supporting client data processing needs, enhancing operational excellence and developer velocity, and significantly improving resource efficiency.
 As a Software Engineer in the Audience Data Processing Infrastructure team, you will innovate and optimize planet\-scale data processing flows to support Google Ads.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in C\+\+ for infrastructure responsible for managing and optimizing processing of planet\-scale data processing.
* Investigate data storage and processing use cases, techniques, and identifying opportunities for future innovation.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li-4366912753</t>
        </is>
      </c>
      <c r="B71" t="inlineStr">
        <is>
          <t>Software Engineer</t>
        </is>
      </c>
      <c r="C71" t="inlineStr">
        <is>
          <t>TalentAlly</t>
        </is>
      </c>
      <c r="D71" t="inlineStr">
        <is>
          <t>linkedin</t>
        </is>
      </c>
      <c r="E71">
        <f>HYPERLINK("https://www.linkedin.com/jobs/view/4366912753", "https://www.linkedin.com/jobs/view/4366912753")</f>
        <v/>
      </c>
      <c r="F71">
        <f>HYPERLINK("https://talentally.com/job/developer-107/redirect&amp;urlHash=PxuW", "https://talentally.com/job/developer-107/redirect&amp;urlHash=PxuW")</f>
        <v/>
      </c>
      <c r="G71" t="inlineStr">
        <is>
          <t>Torrance, CA</t>
        </is>
      </c>
      <c r="H71" t="inlineStr"/>
      <c r="I71" t="inlineStr">
        <is>
          <t>Computer Systems Analyst for consulting co. Hybrid\-remote work model acceptable, but must be willing to travel to various unanticipated jobsites w/in U.S. @ $134,534/yr. Mail to Delta Computer Consulting, Inc., 25550 Hawthorne Blvd., \#106, Torrance, CA 90505\.
 recblid x3ttltnk41cmwhb5snkumf74kvg1re
 PDN\-a0e76601\-b87b\-4dc2\-966b\-2d0d669cb6b7</t>
        </is>
      </c>
    </row>
    <row r="72">
      <c r="A72" t="inlineStr">
        <is>
          <t>li-4341943029</t>
        </is>
      </c>
      <c r="B72" t="inlineStr">
        <is>
          <t>Senior Software Engineer - Tradebook</t>
        </is>
      </c>
      <c r="C72" t="inlineStr">
        <is>
          <t>Bloomberg</t>
        </is>
      </c>
      <c r="D72" t="inlineStr">
        <is>
          <t>linkedin</t>
        </is>
      </c>
      <c r="E72">
        <f>HYPERLINK("https://www.linkedin.com/jobs/view/4341943029", "https://www.linkedin.com/jobs/view/4341943029")</f>
        <v/>
      </c>
      <c r="F72" t="inlineStr"/>
      <c r="G72" t="inlineStr">
        <is>
          <t>New York, NY</t>
        </is>
      </c>
      <c r="H72" t="inlineStr"/>
      <c r="I72" t="inlineStr">
        <is>
          <t>Location
 New York
 Business Area
 Engineering and CTO
 Ref \#
 10047143
**Description \&amp; Requirements**
**About the Team**
 Bloomberg Tradebook is looking for a strong senior engineer to join us in developing intelligent, performant systems that power our next\-gen trading applications.
 Tradebook offers a global, cross\-asset electronic trading platform that supports equities, futures, and options trading. Our products are premium offerings fully integrated into the Bloomberg Terminal and accessible via various APIs. We partner with major brokers and clients to deliver precision execution and algorithmic performance.
 You’ll work closely with clients, business teams, quants, and product managers in an Agile, engineering\-led environment. The team owns everything from market data processing to execution logic, and you’ll have the opportunity to make immediate, high\-impact contributions.
**What You’ll Work On**
* Develop scalable infrastructure to support high\-throughput, low\-latency systems to trade across global markets.
* Build and optimize trading algorithms for real\-time execution and analytics
* Collaborate with cross\-functional teams to turn trading ideas into scalable production code
* Build testing tools to conduct performance and end\-to\-end testing.
* Own and evolve key system components, ensuring reliability, observability, and speed
* Continuously improve our SDLC through testing, CI/CD, and infrastructure tooling
**What We're Looking For**
* Experience in building distributed and scalable trading applications
* At least 5\+ years of experience as a software engineer, ideally working on production systems in a performance\-sensitive environment
* Strong problem\-solving and analytical skills, with the ability to design large systems and data flows
* Experience with a systems\-level language (e.g., C\+\+, Rust, Java, Go)
* Ability to work autonomously in a fast\-paced Agile environment
**Nice to Have**
* Experience with C\+\+, especially in a performance\-critical or multithreaded context
* Proficiency with Python for scripting, analysis, or prototyping
* Familiarity with trading domain, exchange connectivity, and global market microstructure
* Exposure to signal research, backtesting frameworks, or historical/realtime simulation tools
 Salary Range \= 160000 \- 240000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73">
      <c r="A73" t="inlineStr">
        <is>
          <t>li-4356571308</t>
        </is>
      </c>
      <c r="B73" t="inlineStr">
        <is>
          <t>Senior Software Developer</t>
        </is>
      </c>
      <c r="C73" t="inlineStr">
        <is>
          <t>Rose International</t>
        </is>
      </c>
      <c r="D73" t="inlineStr">
        <is>
          <t>linkedin</t>
        </is>
      </c>
      <c r="E73">
        <f>HYPERLINK("https://www.linkedin.com/jobs/view/4356571308", "https://www.linkedin.com/jobs/view/4356571308")</f>
        <v/>
      </c>
      <c r="F73" t="inlineStr"/>
      <c r="G73" t="inlineStr">
        <is>
          <t>Atlanta, GA</t>
        </is>
      </c>
      <c r="H73" t="inlineStr"/>
      <c r="I73" t="inlineStr">
        <is>
          <t>Date Posted: 01/28/2026
 Hiring Organization: Rose International
 Position Number: 496264
 Industry: Government/Staffing
 Job Title: Senior Software Developer
 Job Location: Atlanta, GA, USA, 30398
 Work Model: Hybrid
 Work Model Details: Hybrid 2 day onsite \&amp; 3 days remote
 Shift: General Shift
 Employment Type: Temporary
 FT/PT: Full\-Time
 Estimated Duration (In months): 5
 Min Hourly Rate($): 58\.57
 Max Hourly Rate($): 58\.57
 Must Have Skills/Attributes: Angular, Java, RESTful, Web
 Experience Desired: Experience using Angular (3 yrs); Experience using Spring Boot (3 yrs)
**Job Description**
 Required Skills:
* Demonstrated experience leading projects and acting as a team lead (2 Years)
* Programming/systems analysis experience (5 Years)
* Demonstrated project experience using Angular (11\+) (3 Years)
* Demonstrated project experience using Spring Boot (3 Years)
* Demonstrated project experience with Java 8\+ (3 Years)
* Demonstrated project experience working with JavaScript and TypeScript (3 Years)
* Demonstrated project experience with responsive and adaptive UI/UX design or development and supporting technologies (HTML5, CSS, Bootstrap, etc.) (3 Years)
* Experience working with an RDBMS such as Oracle or PostgreSQL. (3 Years)
* Experience with RESTful Web Services or APIs and supporting tools (Postman, Swagger, JMeter, etc.) (3 Years)
* Experience with data exchange/serialization languages, formats, or technologies (JSON, YAML, XML, etc.) (3 Years)
* Preferred demonstrated project experience using React (2 Years)
* Preferred demonstrated project experience with J2EE/Jakarta EE (2 Years)
**Short Description**
* Lead software developer proficient in Angular and Spring Boot and able to take the lead on software development projects.
**Responsibilities**
* Responsible for technical leadership in the analysis, design, development, integration, testing and enhancement of software, applications or middleware. Actively involved in researching, troubleshooting or resolving complex support issues.
* Responsibilities include, but may not be limited to, the following:
* Consults in the project planning process with clients, business analysts, architects and team members.
* Monitors project milestones and critical dates to identify potential project schedule risks. Identifies ways to resolve schedule issues. Keeps management aware of project progress and status.
* May lead the technical evaluation and selection process for software or middleware packages. Supports any communication and training necessary for successful adoption of selected tools or software.
* Ascertains work effort for various tasks within a project and assigns work to other members of the project when leading a project.
* Communicates with business analysts, quality assurance, project owners, and stakeholders about the project, including status, roadblocks, etc.
* Provides input for buy vs. build recommendations. Researches the feasibility or availability of custom, open source and commercial (COTS) solution alternatives. Provides input on system options, risk, cost versus benefit, and impacts on business processes and goals. Provides input to business cases and may assist in procurement activities for buy decisions.
* Proactively analyzes existing applications to identify weaknesses and develop opportunities for improvements. May initiate the identification, analysis, implementation, communication and adoption of technical process improvements to benefit the team. This may include recognizing the potential for streamlining or automation of existing processes, determining the value of new or different approaches to application implementations, suggesting or proposing changes to applications to solve or address existing problems. Supports any change management necessary for implemented process improvements.
* Identifies system and/or business requirements. Able to elicit, analyze, document and communicate business or technical requirements for designated systems or applications. Has the ability to work with business and technology stakeholders to translate business requirements into technical designs. Provides input to the architect on design approaches.
* Recommends procedures to solve problems considering computer equipment capacity and limitations, operating time, form of desired results, and integration of components.
* Creates and helps to implement conversion, upgrade and migration designs. Recommends or applies system patches and/or certificates in a timely manner and validates that they are kept up to date for designated applications or systems.
* Assists with documenting or demonstrating examples to ensure code, data or document repositories are appropriately utilized, accessed, maintained and updated.
* Develops software and/or applications specifications. Makes recommendations and provides input for decisions or considerations involving new code development or existing code reuse. Recommends and develops methods to efficiently reuse existing components. Identifies better sources of data feeds and interfaces.
* Provides input and assistance to architects when requested on software or system specifications, selecting and adopting technologies or tools, prototyping solutions, communicating technical decisions and assisting other developers with the adoption and understanding of agreed upon technical approaches or direction.
* Provides technical leadership for the definition, development and modification of individual or integrated software modules as well as enterprise applications using disciplined software development processes.
* Familiar with web development, web platforms and content management. Understands and may have working knowledge of graphics design, mobile\-first and user\-first web design approaches as well as other user interface (UI) or user experience (UX) implementation techniques.
* Develops and helps to define integrated solutions aimed at modernizing, consolidating and coordinating the independently designed applications within and across the enterprise. Codes, integrates and tests components, middleware, data, systems and their interfaces to create seamless communications across services.
* Determines how existing applications, legacy systems, databases, Web interfaces, enterprise server software and/or hardware logic, which may be currently operational on multiple platforms, work together to meet new and emerging requirements.
* Adheres to technical or quality standards and procedures. Reviews modules for quality assurance and checks compliance with software architecture standards. Assists in defining and communicating development guidelines and standards to be utilized in software development and integration. Selects and effectively applies appropriate architecture or design standards, methods and tools. Reviews the designs and code of other developers in collaboration with architects.
* Provides technical guidance and support for unit testing of software modules to ensure software meets specifications.
* Coordinates with configuration management on integration build activities across systems or environments and understands how to perform or support integration builds in preparation for both integration and quality assurance testing. Provides input for deployment documents and related artifacts for production environment deployments.
* Participates in and supports both integration testing and quality assurance testing activities which includes assisting with the test planning process, performing technical testing of integrated solutions to verify appropriate outcomes or results of interfaces, functions, features and data, as well as identifying or reporting defects, change requests or enhancements. Helps others to resolve or fix identified defects or issues and also fixes them. May also assist with or participate in regression testing, user acceptance testing or performance/load testing.
* Documents changes to architecture, integration and/or conversion plans. May develop and maintain system and software architecture diagrams.
* Supports maintenance of software, as needed.
* Makes applications or modules production ready by including or referencing supporting libraries, incorporating supporting configuration or properties files, updating version control documentation, completing required forms, following move to production procedures, etc.
* Provides Tier III (integration) support. Troubleshoots existing information systems to identify errors or deficiencies and develops solutions. Dissects problems or issues to identify and diagnose root causes and determine resolutions. Assists with communicating resolutions and helping reporters of issues to understand or adopt resolutions.
* Provides technical leadership, coaching, and mentoring to team members. Provides technical guidance along with business process expertise for projects. Creates technical documentation related to coding, testing, integration, support or best practices. Develops reports and presentations for management, as needed or requested.
* May provide input to help define, analyze, plan, forecast, measure, monitor, maintain and improve systems and services availability, which includes hardware, software, network, data/storage, core infrastructure/operations, virtual and cloud solutions such as SaaS/IaaS (software or infrastructure as a service) and security controls. Assists architects with managing systems and services to ensure that they meet performance targets and business needs.
* Has knowledge of the security, confidentiality and integrity of information systems and complies with adopted organizational standards or other relevant legislation and regulations. Understands how to incorporate appropriate security controls as a core part of designed solutions or services.
* Supports architects in preparations for user, client or partner engagements. Understands the needs of users, clients or partners and may assist to interpret those needs into solution proposals. Able to engage in direct interactions with end users. Supports sales/marketing demos, prototypes, meetings or other such initiatives to generate awareness or revenue for existing or potential products and services.
**Benefits**
 For information and details on employment benefits offered with this position, please visit here. Should you have any questions/concerns, please contact our HR Department via our secure website.
**California Pay Equity**
 For information and details on pay equity laws in California, please visit the State of California Department of Industrial Relations' website here.
**Rose International is an Equal Opportunity Employer. All qualified applicants will receive consideration for employment without regard to race, color, religion, age, sex, sexual orientation, gender (expression or identity), national origin, arrest and conviction records, disability, veteran status or any other characteristic protected by law. Positions located in San Francisco and Los Angeles, California will be administered in accordance with their respective Fair Chance Ordinances.**
**If you need assistance in completing this application, or during any phase of the application, interview, hiring, or employment process, whether due to a disability or otherwise, please contact our HR Department.**
**Rose International has an official agreement (ID \#132522\), effective June 30, 2008, with the U.S. Department of Homeland Security, U.S. Citizenship and Immigration Services, Employment Verification Program (E\-Verify). (Posting required by OCGA 13/10\-91\.).**</t>
        </is>
      </c>
    </row>
    <row r="74">
      <c r="A74" t="inlineStr">
        <is>
          <t>li-4366505198</t>
        </is>
      </c>
      <c r="B74" t="inlineStr">
        <is>
          <t>Senior Software Engineer</t>
        </is>
      </c>
      <c r="C74" t="inlineStr">
        <is>
          <t>RemoteHunter</t>
        </is>
      </c>
      <c r="D74" t="inlineStr">
        <is>
          <t>linkedin</t>
        </is>
      </c>
      <c r="E74">
        <f>HYPERLINK("https://www.linkedin.com/jobs/view/4366505198", "https://www.linkedin.com/jobs/view/4366505198")</f>
        <v/>
      </c>
      <c r="F74">
        <f>HYPERLINK("https://www.remotehunter.com/apply-with-ai/dd1e2275-950f-4435-8809-ed33594c553a?utm_medium=job_posting&amp;utm_source=linkedin&amp;utm_campaign=software_engineer_remote&amp;utm_category=software_engineer&amp;utm_term=senior_software_engineer&amp;urlHash=ZIbc", "https://www.remotehunter.com/apply-with-ai/dd1e2275-950f-4435-8809-ed33594c553a?utm_medium=job_posting&amp;utm_source=linkedin&amp;utm_campaign=software_engineer_remote&amp;utm_category=software_engineer&amp;utm_term=senior_software_engineer&amp;urlHash=ZIbc")</f>
        <v/>
      </c>
      <c r="G74" t="inlineStr"/>
      <c r="H74" t="inlineStr"/>
      <c r="I74" t="inlineStr">
        <is>
          <t>About the Opportunity:
 This organization is developing next\-generation tools to help educators understand student performance, take timely action, and improve outcomes. The Senior Software Engineer role involves designing and delivering a modern, scalable platform with a single\-page application front\-end framework (VueJS/ReactJS), C\#\-based microservices, and AWS\-native infrastructure, integrating with modern data warehouse and analytics platforms. The role requires close collaboration with product, UX, and data teams to create intuitive, high\-performing features for teachers and school leaders.
 Responsibilities:
 • Design and build front\-end experiences using VueJS/ReactJS
 • Develop rich, responsive applications, dashboards, and reporting workflows
 • Implement reusable components, state management, and scalable front\-end architecture
 • Design and implement backend microservices (primarily in C\#/.NET) for reporting, data access, and business logic
 • Build and consume APIs and data services integrating with modern data warehouses (Clickhouse, Amazon Redshift, BigQuery, Databricks)
 • Collaborate with data engineers to optimize reporting services for performance and scalability
 • Design and implement AWS services (ECS/Lambda, API Gateway, S3, RDS/Redshift, CloudWatch)
 • Advocate and implement best practices for scalability, resilience, security, and cost optimization
 • Champion automated testing, code reviews, and observability (logging, metrics, alerting)
 • Assist in evolving CI/CD pipelines and deployment practices
 • Work with Product Managers and UX Designers to refine requirements and deliver user\-centric solutions
 • Mentor junior and mid\-level engineers and establish engineering standards and practices
 • Participate in technical design discussions and architecture reviews
 Requirements:
 • 5\+ years of professional software engineering experience
 • Strong experience building single\-page applications with React or VueJS (hooks, component patterns, state management, performance optimization)
 • Hands\-on experience designing and building microservices, preferably with C\#/.NET in production
 • AWS experience including design, deployment, and operation of core AWS services
 • Experience working with or integrating against modern data warehouses such as Clickhouse or Amazon Redshift
 • Solid understanding of RESTful APIs, distributed systems, and event\-driven architectures
 • Strong software engineering practices including code reviews, unit and integration testing, version control, and CI/CD
 • Excellent communication skills and ability to work effectively in a cross\-functional, agile team
 Nice to Have:
 • Experience with Python for services, data processing, or automation
 • Background in K–12 education, edtech, or reporting/analytics systems
 • Experience with ETL/ELT tools and patterns (AWS Glue, custom pipelines)
 • Familiarity with Infrastructure as Code (CloudFormation, CDK)
 • Experience with modern data stores (PostgreSQL, SQL Server, DynamoDB, or other NoSQL)
 • Knowledge of observability tools (CloudWatch, Datadog, New Relic)
 • Experience with authentication and authorization frameworks (OAuth2, OpenID Connect, Cognito)
 Benefits \&amp; Perks:
 • Remote First work environment offering flexibility and trust to balance work and life
 • Culture focused on collaboration and inclusivity regardless of location
 • Requirement for reliable internet connection with minimum 10 Mbps download and 5 Mbps upload speeds for remote work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5">
      <c r="A75" t="inlineStr">
        <is>
          <t>li-4366524198</t>
        </is>
      </c>
      <c r="B75" t="inlineStr">
        <is>
          <t>Senior Front-End Software Engineer / Architect</t>
        </is>
      </c>
      <c r="C75" t="inlineStr">
        <is>
          <t>Mainz Brady Group</t>
        </is>
      </c>
      <c r="D75" t="inlineStr">
        <is>
          <t>linkedin</t>
        </is>
      </c>
      <c r="E75">
        <f>HYPERLINK("https://www.linkedin.com/jobs/view/4366524198", "https://www.linkedin.com/jobs/view/4366524198")</f>
        <v/>
      </c>
      <c r="F75" t="inlineStr"/>
      <c r="G75" t="inlineStr"/>
      <c r="H75" t="inlineStr"/>
      <c r="I75" t="inlineStr">
        <is>
          <t>Join a Core Apps team and build a visual collaboration platform. This is a successful, mid\-sized start\-up with current clients and growth trajectory.
 100% remote. I’m looking for a fantastic candidate: base salary is
 **$170K to $195K** 
 Technical Skill Set
 At least 6 years of experience
 Deep proficiency in JavaScript / TypeScript and Angular (or React)
 Real\-time application experience / Web Sockets experience
 Architecture and performance experience – structure front\-end code for scalability
 Optimizing browser performance for data\-intensive or high\-traffic apps
 Graphics / rendering experience is nice to have: WebGL, Canvas API, 2D graphics (ex. PixiJS)
 Collaborative UI experience is nice to have: OT / CRDT
 Testing discipline: Jest, Cypress, etc.
 Ownership mindset
 Full Stack experience is a bonus: AWS, Node, APIs, databases</t>
        </is>
      </c>
    </row>
    <row r="76">
      <c r="A76" t="inlineStr">
        <is>
          <t>li-4366510187</t>
        </is>
      </c>
      <c r="B76" t="inlineStr">
        <is>
          <t>Software Engineer</t>
        </is>
      </c>
      <c r="C76" t="inlineStr">
        <is>
          <t>Haystack</t>
        </is>
      </c>
      <c r="D76" t="inlineStr">
        <is>
          <t>linkedin</t>
        </is>
      </c>
      <c r="E76">
        <f>HYPERLINK("https://www.linkedin.com/jobs/view/4366510187", "https://www.linkedin.com/jobs/view/4366510187")</f>
        <v/>
      </c>
      <c r="F76" t="inlineStr"/>
      <c r="G76" t="inlineStr"/>
      <c r="H76" t="inlineStr"/>
      <c r="I76" t="inlineStr">
        <is>
          <t>Software Engineers \- DevSecOps (Associate and Experienced) \| Berkeley, Missouri, United States \| Hybrid \| $91,800 \- $124,200 USD yearly
 We're working with Boeing on this exciting opportunity. We are seeking talented and motivated DevSecOps Software Engineers to contribute to existing capabilities in the Air Dominance organization, focusing on improving software delivery and operational efficiency.
 The Role
 • Deploy and configure technologies for software development, including CI/CD pipelines and automated testing frameworks.
 • Manage and maintain cloud (AWS/Azure) and on\-premises infrastructures.
 • Create and maintain Infrastructure as Code (IaC), Ansible, and other automation scripts.
 • Set up and maintain development and production environments and application deployments.
 • Develop best practices for provisioning, scaling, configuration management, monitoring, and troubleshooting.
 • Support and manage software development tools like Jira, Gitlab, Artifactory, and SonarQube, including administration, maintenance, and integration.
 What You'll Need
 • 1\-3 years of experience with C\+\+, C\#, Java, or Python.
 • 1\-3 years of experience with Agile Software Development.
 • Experience with Amazon Web Services (AWS) and Infrastructure as Code (IaC) is preferred.
 • Ability to obtain a U.S. Secret Security Clearance (U.S. Citizenship required).
 • Strong problem\-solving skills and a commitment to continuous improvement.
 • Bachelor's degree in engineering, computer science, or a related field is preferred.
 What's On Offer
 • Opportunity to work with a leading aerospace company on cutting\-edge projects.
 • Comprehensive benefits package including health insurance, retirement plans, and paid time off.
 • Relocation assistance available for eligible candidates.
 • Professional growth in a welcoming, respectful, and inclusive environment.
 Apply via Haystack today!</t>
        </is>
      </c>
    </row>
    <row r="77">
      <c r="A77" t="inlineStr">
        <is>
          <t>li-4366503800</t>
        </is>
      </c>
      <c r="B77" t="inlineStr">
        <is>
          <t>Software Engineer</t>
        </is>
      </c>
      <c r="C77" t="inlineStr">
        <is>
          <t>Haystack</t>
        </is>
      </c>
      <c r="D77" t="inlineStr">
        <is>
          <t>linkedin</t>
        </is>
      </c>
      <c r="E77">
        <f>HYPERLINK("https://www.linkedin.com/jobs/view/4366503800", "https://www.linkedin.com/jobs/view/4366503800")</f>
        <v/>
      </c>
      <c r="F77" t="inlineStr"/>
      <c r="G77" t="inlineStr"/>
      <c r="H77" t="inlineStr"/>
      <c r="I77" t="inlineStr">
        <is>
          <t>Application Developer (Scientific Applications) \| Everett, Washington, United States \| On\-site \| $76,500\-$103,500
 We're working with Boeing on this exciting opportunity. This role involves developing, maintaining, and supporting in\-house scientific software tools for a global community of engineers. You'll contribute to all phases of the software development lifecycle, ensuring application compliance and security.
 The Role
 • Actively support all phases of the software development lifecycle, including requirements, design, QA, and service
 • Perform software development, verification, and maintenance for multiple applications and tech stacks
 • Support the advancement of application services and common code reuse using DevOps practices
 • Define and maintain functional software development and quality engineering processes and infrastructure
 • Develop system integration strategies and software architectures that promote common process and tools
 • Identify and analyze software quality metrics to improve quality and manage risk
 What You'll Need
 • Bachelor of Science degree in Engineering or Computer Science
 • Experience with compiled languages: Fortran, C, C\+\+, or C\#
 • Experience with interpretive languages: Python, OpenGL, CMake, or Java
 • Proficiency with common software version control tools (e.g., Git, GitLab)
 • Experience with Agile and/or Waterfall development methodologies
 • Familiarity with On\-Prem and Cloud services and Windows/AIX/Linux operating systems
 What's On Offer
 • Opportunity to work with a leading aerospace company
 • Competitive salary and comprehensive benefits package
 • Professional growth in scientific application development
 • Relocation assistance for eligible candidates
 Apply via Haystack today!</t>
        </is>
      </c>
    </row>
    <row r="78">
      <c r="A78" t="inlineStr">
        <is>
          <t>li-4366789355</t>
        </is>
      </c>
      <c r="B78" t="inlineStr">
        <is>
          <t>Lead Software Engineer (AWS)</t>
        </is>
      </c>
      <c r="C78" t="inlineStr">
        <is>
          <t>The HT Group</t>
        </is>
      </c>
      <c r="D78" t="inlineStr">
        <is>
          <t>linkedin</t>
        </is>
      </c>
      <c r="E78">
        <f>HYPERLINK("https://www.linkedin.com/jobs/view/4366789355", "https://www.linkedin.com/jobs/view/4366789355")</f>
        <v/>
      </c>
      <c r="F78" t="inlineStr"/>
      <c r="G78" t="inlineStr">
        <is>
          <t>Austin, TX</t>
        </is>
      </c>
      <c r="H78" t="inlineStr"/>
      <c r="I78" t="inlineStr">
        <is>
          <t>This is a full\-time position; prefer candidates in Austin, TX but also open to remote candidates in the continental US. Base salary range $130\-145k (no flexibility); bonus, 
 We’re looking for a 
 **Lead Software Engineer** 
  with strong 
 **AWS expertise** 
  to help build and optimize modern, cloud\-native solutions that drive business impact. You’ll collaborate with cross\-functional teams to deliver scalable, high\-performing applications while influencing architecture, process, and technical direction.
 If you thrive in an Agile environment, love solving complex problems, and want to stay on the leading edge of cloud innovation — this role is for you.
**What You’ll Do**
* Design, develop, and deploy solutions using AWS cloud services (Lambda, S3, RDS, DynamoDB, SNS, SQS, etc.).
* Collaborate closely with product owners and engineering teams to deliver high\-quality, scalable systems.
* Optimize existing applications and help evolve architecture for performance and flexibility.
* Troubleshoot and resolve complex technical challenges during development and production.
* Write clean, maintainable code and promote best practices through code reviews.
* Support Agile delivery through sprint planning, stand\-ups, and retrospectives.
* Stay current on emerging AWS technologies and recommend innovative improvements.
**What You Bring**
* 6–10 years of software engineering experience
* Deep understanding of AWS architecture and cloud\-native design patterns
* **Preferred:** 
  AWS Certified Solutions Architect – Professional
* Hands\-on experience with APIs, data integration, and automation
* Strong knowledge of Agile methodologies (Scrum, Kanban)
* Familiarity with GitHub, SQL Server, and ETL processes
* Experience ensuring secure handling of sensitive data (financial or PII)
* Bonus: Exposure to AWS AI/ML tools (Bedrock, SageMaker, Q Developer, Q Business)
**Why Join Us**
* Work with modern cloud technologies and forward\-thinking teams
* Help shape solutions that make a real impact
* Flexible, collaborative work culture
* Opportunity to lead, learn, and grow with a cutting\-edge technical team
 \#TECHIND</t>
        </is>
      </c>
    </row>
    <row r="79">
      <c r="A79" t="inlineStr">
        <is>
          <t>li-4356571001</t>
        </is>
      </c>
      <c r="B79" t="inlineStr">
        <is>
          <t>Satellite Flight Software Developer III</t>
        </is>
      </c>
      <c r="C79" t="inlineStr">
        <is>
          <t>Blue Origin</t>
        </is>
      </c>
      <c r="D79" t="inlineStr">
        <is>
          <t>linkedin</t>
        </is>
      </c>
      <c r="E79">
        <f>HYPERLINK("https://www.linkedin.com/jobs/view/4356571001", "https://www.linkedin.com/jobs/view/4356571001")</f>
        <v/>
      </c>
      <c r="F79">
        <f>HYPERLINK("https://blueorigin.wd5.myworkdayjobs.com/en-US/BlueOrigin/job/Reston-VA/Satellite-Flight-Software-Developer-III_R59074?source=LinkedIn&amp;urlHash=f16q", "https://blueorigin.wd5.myworkdayjobs.com/en-US/BlueOrigin/job/Reston-VA/Satellite-Flight-Software-Developer-III_R59074?source=LinkedIn&amp;urlHash=f16q")</f>
        <v/>
      </c>
      <c r="G79" t="inlineStr">
        <is>
          <t>Los Angeles, CA</t>
        </is>
      </c>
      <c r="H79" t="inlineStr"/>
      <c r="I79"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Emerging Systems Business Unit, which will shape the future of our in\-space infrastructure capabilities.
**Special Mentions**
 This position is part of Blue Origin's TeraWave business unit, a newly announced satellite communications network designed to deliver symmetrical data speeds of up to 6 Tbps anywhere on Earth. TeraWave consists of 5,408 optically interconnected satellites in low Earth orbit (LEO) and medium Earth orbit (MEO), providing enterprise\-grade connectivity for critical operations.
**Responsibilities Include But Are Not Limited To**
* Design, develop, and implement flight software for Blue Origin’s TeraWave satellite constellation of 5,408 optically interconnected satellites in low Earth orbit (LEO) and medium Earth orbit (MEO)
* Develop algorithms for autonomous thermal regulation to maintain optimal operating temperatures across varying orbital conditions and high\-throughput data transmission scenarios
* Architect and implement power management software solutions to optimize energy distribution, battery charging cycles, and solar array utilization and longevity of TeraWave satellite power systems
* Develop propulsion control software for satellite station\-keeping, orbital adjustments, and collision avoidance maneuvers
* Create and maintain software interfaces between thermal, power, and propulsion subsystems to ensure integrated operation
* Design fault detection, isolation, and recovery (FDIR) software for critical satellite subsystems
* Collaborate with hardware engineers to define software requirements and interfaces for thermal, power, and propulsion systems
* Develop simulation environments and models to test software performance in various operational scenarios
* Lead software design reviews and support systems engineering trade studies
* Mentor junior engineers and provide technical guidance on flight software development
* Participate in verification and validation testing of flight software
* Support on\-orbit operations and troubleshooting of deployed satellites
**Minimum Qualifications**
* Bachelor's degree in Computer Science, Software Engineering, Aerospace Engineering, or related technical field
* 7\+ years of experience in spacecraft flight software development
* Strong programming skills in C, C\+\+, and Python
* Experience with real\-time embedded systems and RTOS
* Demonstrated experience in developing software for spacecraft thermal, power, or propulsion subsystems
* Knowledge of spacecraft communication protocols and interfaces
* Experience with software development lifecycle processes in a regulated environment
* Familiarity with software verification and validation techniques for space systems
**Preferred Qualifications**
* Master's degree or PhD in relevant field
* Experience with satellite constellation management
* Knowledge of optical communications systems
* Experience with model\-based systems engineering tools
* Familiarity with NASA cFS, COSMOS, or similar flight software frameworks
* Knowledge of Q/V\-band RF communications
* Experience with software\-defined radios
* Understanding of space radiation effects on electronics and mitigation techniques
* Experience with AI/ML applications in spacecraft autonomy
**Why Blue Origin**
 At Blue Origin, we're not just building the future of space exploration—we're revolutionizing global connectivity through our TeraWave satellite network. As a Satellite Flight Software Developer III, you'll play a crucial role in ensuring the integrity and performance of our constellation of 5,408 satellites designed to deliver unmatched speeds up to 6 Tbps with symmetrical upload and download capabilities. Join us in our mission to provide enterprise\-grade connectivity to locations unreachable by traditional methods, enabling critical operations for enterprise, data center, and government customers worldwide.
 Join our team and be part of building a space\-based network designed for tomorrow, where your expertise will directly contribute to creating a system that provides connectivity anywhere on Earth.
**Compensation Range For**
 CA applicants is $164,652\.00 \- $230,512\.80 CO applicants is $150,931\.00 \- $211,303\.05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80">
      <c r="A80" t="inlineStr">
        <is>
          <t>li-4366532342</t>
        </is>
      </c>
      <c r="B80" t="inlineStr">
        <is>
          <t>Software Engineer</t>
        </is>
      </c>
      <c r="C80" t="inlineStr">
        <is>
          <t>Haystack</t>
        </is>
      </c>
      <c r="D80" t="inlineStr">
        <is>
          <t>linkedin</t>
        </is>
      </c>
      <c r="E80">
        <f>HYPERLINK("https://www.linkedin.com/jobs/view/4366532342", "https://www.linkedin.com/jobs/view/4366532342")</f>
        <v/>
      </c>
      <c r="F80" t="inlineStr"/>
      <c r="G80" t="inlineStr"/>
      <c r="H80" t="inlineStr"/>
      <c r="I80" t="inlineStr">
        <is>
          <t>Associate or Mid\-Level Software Security Engineer \| Everett, Washington, United States \| On\-site \| 105400\-142600 USD yearly
 We're working with Boeing on this exciting opportunity. This role focuses on enhancing product security and resiliency across the software development lifecycle for commercial airplanes, protecting critical systems and the aviation ecosystem. Join a leading team committed to innovation and collaboration.
 The Role
 • Assess and mitigate adversities faced by software subsystems within larger systems.
 • Secure cloud\-based software development environments.
 • Develop and verify security requirements, coordinating with stakeholders to implement necessary measures.
 • Perform Common Vulnerabilities and Exploits (CVE) analysis and coordinate mitigation efforts.
 • Deploy DevSecOps best practices into program pipelines, including tool selection and configuration.
 • Provide technical documentation and support the Product Security Incident Response Team.
 What You'll Need
 • Bachelor's degree in Engineering, Computer Science, or a related field.
 • 2\+ years of relevant experience for Associate level, or 5\+ years for Mid\-Level.
 • 2\+ years of experience collaborating in cross\-functional, geographically dispersed teams.
 • 1\+ years applying confidentiality, integrity, and availability within the SDLC.
 • Software Development Background or experience with DevSecOps CI/CD Pipelines.
 • Ability to obtain a U.S. Security Clearance (U.S. Citizenship required).
 What's On Offer
 • Competitive base pay and variable compensation opportunities.
 • Comprehensive benefits package including health, retirement, and time\-off programs.
 • Opportunity to work within a leading aerospace company on cutting\-edge security challenges.
 • Relocation assistance available for eligible candidates.
 Apply via Haystack today!</t>
        </is>
      </c>
    </row>
    <row r="81">
      <c r="A81" t="inlineStr">
        <is>
          <t>li-4366933059</t>
        </is>
      </c>
      <c r="B81" t="inlineStr">
        <is>
          <t>Senior Software Engineer - Frontend</t>
        </is>
      </c>
      <c r="C81" t="inlineStr">
        <is>
          <t>Procore Technologies</t>
        </is>
      </c>
      <c r="D81" t="inlineStr">
        <is>
          <t>linkedin</t>
        </is>
      </c>
      <c r="E81">
        <f>HYPERLINK("https://www.linkedin.com/jobs/view/4366933059", "https://www.linkedin.com/jobs/view/4366933059")</f>
        <v/>
      </c>
      <c r="F81">
        <f>HYPERLINK("https://careers.procore.com/jobs/senior-software-engineer-frontend-austin-texas-united-states?source=linkedin_limited_listing&amp;utm_source=linkedin_limited_listing&amp;urlHash=81cx", "https://careers.procore.com/jobs/senior-software-engineer-frontend-austin-texas-united-states?source=linkedin_limited_listing&amp;utm_source=linkedin_limited_listing&amp;urlHash=81cx")</f>
        <v/>
      </c>
      <c r="G81" t="inlineStr">
        <is>
          <t>Austin, TX</t>
        </is>
      </c>
      <c r="H81" t="inlineStr"/>
      <c r="I81" t="inlineStr">
        <is>
          <t>We’re looking for a Senior Software Engineer \- Frontend Engineer to join Procore’s Engineering team. In this role, you’ll join our highly collaborative Product and Engineering organization to drive the technical direction of our projects.
 We leverage a robust internal forms engine to build out the sophisticated frontend experiences and complex logic that power safety workflows. As a Senior Frontend Engineer, you’ll focus on architecting seamless user journeys and tackling high\-scale state management challenges that turn critical safety data into actionable insights. This is a unique opportunity to lead technical excellence on a team where your code directly supports the physical well\-being of millions of people.
 This position will report to an Engineering Manager and will be based in our Austin, TX office. We’re looking for someone to join our team immediately.
 What you’ll do:
* Write a highly performant code that minimizes payload size and deferred scripts while consuming the lowest possible amount of resources
* Participate in designing and building a system that is aligned with Procore’s technical vision of a service\-oriented architecture
* Collaborate with Engineering, Product, and UX to design and build solutions that delight users and solve critical business problems
* Experience with development in Docker, AWS, and front\-end microservice environments
* Serve as mentor to junior Engineers on team
 What we’re looking for:
* Bachelor's Degree in Computer Science, a related field, or comparable work experience
* 5\+ years experience in software engineering fundamentals, Test Driven Development and Design principles using React JS, TypeScript and JavaScript is required
* Experience designing and building software in a Service\-Oriented Architecture
* Understanding the tradeoffs between short\-term and long\-term goals and balancing immediate needs with strategic initiatives
* Track record of anticipating technical problems that will fall out of major projects and designing solutions to overcome those problems
* Strong experience documenting and bringing team clarity to complex solutions
* Time\-honed expertise with modern web development across the entire spectrum of development, testing, staging, deploying, and monitoring
* A curious mind that is driven to innovate and solve customer problems
**Additional Information**
**Base Pay Range:**
 140,960\.00 \- 193,820\.00 USD Annual
**For Los Angeles County (unincorporated) Candidates:**
 Procore will consider for employment all qualified applicants, including those with arrest or conviction records, in accordance with the requirements of applicable federal, state, and local laws, including the City of Los Angeles’ Fair Chance Initiative for Hiring Ordinance, the Los Angeles County Fair Chance Ordinance for Employers, and the California Fair Chance Act.
 A criminal history may have a direct, adverse, and negative relationship on the following job duties, potentially resulting in the withdrawal of the conditional offer of employment: 1\. appropriately managing, accessing, and handling confidential information including proprietary and trade secret information, as well as accessing Procore's information technology systems and platforms; 2\. interacting with and occasionally having unsupervised contact with internal/external customers, stakeholders, and/or colleagues; and 3\. exercising sound judgment.</t>
        </is>
      </c>
    </row>
    <row r="82">
      <c r="A82" t="inlineStr">
        <is>
          <t>li-4356630542</t>
        </is>
      </c>
      <c r="B82" t="inlineStr">
        <is>
          <t>Full Stack Software Engineer – AI Systems - Remote</t>
        </is>
      </c>
      <c r="C82" t="inlineStr">
        <is>
          <t>Mutual of Omaha</t>
        </is>
      </c>
      <c r="D82" t="inlineStr">
        <is>
          <t>linkedin</t>
        </is>
      </c>
      <c r="E82">
        <f>HYPERLINK("https://www.linkedin.com/jobs/view/4356630542", "https://www.linkedin.com/jobs/view/4356630542")</f>
        <v/>
      </c>
      <c r="F82">
        <f>HYPERLINK("https://secure.dc4.pageuppeople.com/apply/823/gateway/Default.aspx?c=apply&amp;sJobIDs=504505&amp;SourceTypeID=801&amp;urlHash=RQp_", "https://secure.dc4.pageuppeople.com/apply/823/gateway/Default.aspx?c=apply&amp;sJobIDs=504505&amp;SourceTypeID=801&amp;urlHash=RQp_")</f>
        <v/>
      </c>
      <c r="G82" t="inlineStr">
        <is>
          <t>Omaha, NE</t>
        </is>
      </c>
      <c r="H82" t="inlineStr"/>
      <c r="I82" t="inlineStr">
        <is>
          <t>Join our Enterprise Data Science team as a Full Stack Software Engineer and help build cutting\-edge, AI\-powered solutions that transform the way we do business. This is a hands\-on, collaborative role focused on turning innovative ideas into practical tools. We’re hiring a Full Stack Software Engineer to help build AI\-powered applications that support internal operations across the organization. You’ll work alongside AI engineers, data scientists, and UX architects to develop secure, scalable systems that integrate generative AI and other advanced techniques. This is a hands\-on, collaborative role focused on turning innovative ideas into practical tools.
**WHAT WE CAN OFFER YOU:** 
* Estimated Salary: $125,000\-$140,000, plus annual bonus opportunity, and commission.
* 401(k) plan with a 2% company contribution and 6% company match.
* Work\-life balance with vacation, personal time and paid holidays. See our benefits and perks page for details.
* Applicants for this position must not now, nor at any point in the future, require sponsorship for employment.
**WHAT YOU'LL DO:** 
* Collaborate\-functionally with AI engineers, data scientists, and UX architects to reimagine internal business processes, empowering users to focus on high\-value work while leaning on custom AI tools .
* Contribute across the full engineering lifecycle\&amp;mdash;from early\-stage brainstorming through architecture, development, testing, and deployment\&amp;mdash;within a cross\-functional team.
* Ship AI systems as user\-facing microservices, iterating on interaction patterns that maximize adoption and measurable impact.
* I
 ntegrate AI into enterprise workflows using full\-stack technologies, while aligning with architectural best practices and approved CDKs to ensure scalability, security, and maintainability
 .
* Build robust tooling to support AI quality assurance,
 auditability, observability, and cost control\&amp;mdash;enabling responsible and efficient AI operations across the organization.
**WHAT YOU'LL BRING:** 
* 2\+ years building and deploying production\-grade applications in Python, using infrastructure as code and leveraging AWS services, particularly Bedrock, SageMaker, S3, Lambda, API Gateway, and infrastructure as code (CDK).
* Front\-end development skills paired with a strong grasp of UX principles.
* Understanding of observability, auditability, and responsible AI practices.
* Comfortable navigating ambiguity and under\-defined problems\&amp;mdash;delivering robust, scalable solutions in fast\-moving environments.
* Strong communication and teamwork skills, with a track record of thriving in cross\-functional settings.
**PREFERRED:** 
* Bachelor’s degree in Computer Science, Engineering, or analytical fields (Mathematics, Data Science, etc.), or equivalent experience.
* Proven curiosity and depth in human\-centered AI and cognitive science, with hands\-on experience analyzing user behavior and designing systems that enhance user competence.
* Working knowledge of generative AI orchestration frameworks (e.g., LangGraph, AWS Strands), retrieval\-augmented generation (RAG) architectures (vector databases, rerankers), and enterprise AI deployment pipelines.
* Demonstrated interest in algorithmic innovation beyond generative AI.
**We value diverse experience, skills, and passion for innovation. If your experience aligns with the listed requirements, please apply!** 
 If you have questions about your application or the hiring process, email our Talent Acquisition area at careers@mutualofomaha.com. Please allow at least one week from time of applying if you are checking on the status.
**Stay Safe from Job Scams**
 Mutual of Omaha only accepts applications from mutualofomaha.com/careers. Legitimate communications will come from '@mutualofomaha.com.' We never request sensitive information or extend job offers without conducting interviews. For more details, check our Hiring FAQs. Stay alert for scams and apply securely!
 Fair Chance Notices
 \#Circa
 \#MutualOfOmaha</t>
        </is>
      </c>
    </row>
    <row r="83">
      <c r="A83" t="inlineStr">
        <is>
          <t>li-4366392235</t>
        </is>
      </c>
      <c r="B83" t="inlineStr">
        <is>
          <t>Software Engineer III- Workday Adaptive Developer</t>
        </is>
      </c>
      <c r="C83" t="inlineStr">
        <is>
          <t>Truist</t>
        </is>
      </c>
      <c r="D83" t="inlineStr">
        <is>
          <t>linkedin</t>
        </is>
      </c>
      <c r="E83">
        <f>HYPERLINK("https://www.linkedin.com/jobs/view/4366392235", "https://www.linkedin.com/jobs/view/4366392235")</f>
        <v/>
      </c>
      <c r="F83" t="inlineStr"/>
      <c r="G83" t="inlineStr">
        <is>
          <t>Atlanta, GA</t>
        </is>
      </c>
      <c r="H83" t="inlineStr"/>
      <c r="I8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**This is an excellent opportunity for someone who is strong in Workday development to learn Workday Adaptive.**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****Preferred Qualifications:****
* Banking or financial services experience.
* Previous experience supporting with Human Resources clients.
* In\-depth knowledge and experience with Workday Adaptive and/or Workday Adaptive Certification.
* Hands\-on\-keyboard experience configuring Workday Adaptive.
* Hands\-on experience with Workday Adaptive implementations.
* Experience integrating Skills solutions with Workday or Workday Adaptive. Previous Experience working in Agile environment.
* Five to eight years of professional experience supporting Workday Adaptive in a large Enterprise environment.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84">
      <c r="A84" t="inlineStr">
        <is>
          <t>li-4366903406</t>
        </is>
      </c>
      <c r="B84" t="inlineStr">
        <is>
          <t>Java/C++ Software Engineer II (Onsite)</t>
        </is>
      </c>
      <c r="C84" t="inlineStr">
        <is>
          <t>Raytheon</t>
        </is>
      </c>
      <c r="D84" t="inlineStr">
        <is>
          <t>linkedin</t>
        </is>
      </c>
      <c r="E84">
        <f>HYPERLINK("https://www.linkedin.com/jobs/view/4366903406", "https://www.linkedin.com/jobs/view/4366903406")</f>
        <v/>
      </c>
      <c r="F84" t="inlineStr"/>
      <c r="G84" t="inlineStr">
        <is>
          <t>State College, PA</t>
        </is>
      </c>
      <c r="H84" t="inlineStr"/>
      <c r="I84" t="inlineStr">
        <is>
          <t>**Date Posted:**
 2026\-01\-28
**Country:**
 United States of America
**Location:**
 US\-PA\-STATE COLLEGE\-5A \~ 302 Science Park Rd \~ BLDG 5A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TS/SCI without Polygraph
**Security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In the Java/C\+\+ Software Engineering role, you will design, develop, and test Java or C\+\+ code in a Linux, Agile, DevOps environment. We are at the forefront of aerospace and defense technology. Our Satellite Ground Systems Team plays a pivotal role in ensuring communication, surveillance, and defense capabilities through cutting\-edge satellite systems. We invite you to be part of a team that pushes the boundaries of what's possible. Due to the security clearance requirement, this is an onsite position in our State College, PA office.
**What You Will Do**
* Design, develop, and maintain advanced software applications for our Satellite Ground Systems.
* Collaborate closely with systems engineers, hardware designers, and other software engineers to deliver reliable and high performance software solutions.
* Design, implement, and test Java and Python based applications and software components for satellite ground systems.
* Work in parallel with legacy platform teams to eventually migrate workloads onto your pipelines.
* Collaborate with cross\-functional teams to define software requirements and specifications.
* Work with previously written code and make modifications as necessary.
* Ensure software performance, reliability, and scalability.
* Participate in software design reviews, code reviews, and system integration activities.
* Contribute to the completion of program and project milestones under the specific guidance of their immediate supervisor.
* Follow established Software processes and procedures, development, documentation and maintenance/management of operations concepts, requirements (system, element, segment level), external and internal interfaces, and other software engineering work products/artifacts.
* Learn the workings of satellite ground systems.
* Work with new tools that will keep you state\-of\-the\-art.
**Qualifications You Must Have**
* An active and transferable Top Secret security clearance that can be crossed over to a TS/SCI security clearance is required prior to start date. U.S. citizenship is required, as only U.S. citizens are eligible for a security clearance.
* Typically requires a degree in Science, Technology, Engineering or Mathematics (STEM) and a minimum of 2 years of prior relevant experience.
* Two (2\) years of experience in object\-oriented software design and development using Java or C\+\+ in a Linux or UNIX environment.
* Experience using unit testing tools (e.g., JUnit).
* Experience with Python.
* Experience developing software in an Agile/DevOps environment.
**Qualifications We Prefer**
* Experience working in a DevOps environment using Docker, Kubernetes, Maven, Jira, Git, BitBucket and Confluence.
* Experience working with SonarQube
* Experience working with SQL
* Experience working in an Agile Development environment
* Security\+ certification
* Experience with satellite communication systems and protocols is highly preferred.
* Familiarity with secure coding practices, especially in a defense or aerospace setting.
* Master’s degree in Science, Technology, Engineering or Mathematics (STEM).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an agency of the Department of Defense, handles and adjudicates the security clearance process. More information about Security Clearances can be found on the US Department of State government website here: https://www.state.gov/m/ds/clearances/c10978\.htm
 State College, PA: https://careers.rtx.com/global/en/raytheon\-state\-college,\-pa\-location
 We Are RTX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5">
      <c r="A85" t="inlineStr">
        <is>
          <t>li-4321500999</t>
        </is>
      </c>
      <c r="B85" t="inlineStr">
        <is>
          <t>Software Engineer II , Backend</t>
        </is>
      </c>
      <c r="C85" t="inlineStr">
        <is>
          <t>Jobs via Dice</t>
        </is>
      </c>
      <c r="D85" t="inlineStr">
        <is>
          <t>linkedin</t>
        </is>
      </c>
      <c r="E85">
        <f>HYPERLINK("https://www.linkedin.com/jobs/view/4321500999", "https://www.linkedin.com/jobs/view/4321500999")</f>
        <v/>
      </c>
      <c r="F85">
        <f>HYPERLINK("https://click.appcast.io/t/I5KuOEtSHEI018r7sLVWWVA5r3wVO9Rzf-DiU3YopyQ=&amp;urlHash=oS3J", "https://click.appcast.io/t/I5KuOEtSHEI018r7sLVWWVA5r3wVO9Rzf-DiU3YopyQ=&amp;urlHash=oS3J")</f>
        <v/>
      </c>
      <c r="G85" t="inlineStr">
        <is>
          <t>New York, NY</t>
        </is>
      </c>
      <c r="H85" t="inlineStr"/>
      <c r="I85" t="inlineStr">
        <is>
          <t>**About The Role**
 As an engineer in the Ads Bidding and Pacing team, you will focus on developing \&amp; optimizing Auto Bidding and Budget Pacing systems.
**What You'll Do**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abid\-based budget pacing system that ensures daily/weekly budget delivery.
* Maximize Conversions, which leverages real\-time bidding to meet key advertiser goals.
**Basic Qualifications**
* Bachelor's degree or equivalent in Computer Science, Engineering, Mathematics or related field
* 3 years of Software Engineering work experience
* Strong command of a backend stack (eg. Golang, Java, Node.js, Python, etc)
**Preferred Qualifications**
* Industry experience working on distributed systems: developing reliable, high performance, highly scalable and low latency software
* Demonstrated examples of delivering production\-level features from inception,
* Platform / Backend experience is required
* Demonstrable knowledge of the principles of fault\-tolerance, reliability and durability.
* Any AdTech experience especially in Ads Marketplace /Auction Bidding/Pacing would be very useful.
 For New York, NY\-based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86">
      <c r="A86" t="inlineStr">
        <is>
          <t>li-4356441389</t>
        </is>
      </c>
      <c r="B86" t="inlineStr">
        <is>
          <t>Principal Software Engineer</t>
        </is>
      </c>
      <c r="C86" t="inlineStr">
        <is>
          <t>Ally</t>
        </is>
      </c>
      <c r="D86" t="inlineStr">
        <is>
          <t>linkedin</t>
        </is>
      </c>
      <c r="E86">
        <f>HYPERLINK("https://www.linkedin.com/jobs/view/4356441389", "https://www.linkedin.com/jobs/view/4356441389")</f>
        <v/>
      </c>
      <c r="F86" t="inlineStr"/>
      <c r="G86" t="inlineStr">
        <is>
          <t>Charlotte, NC</t>
        </is>
      </c>
      <c r="H86" t="inlineStr"/>
      <c r="I86" t="inlineStr">
        <is>
          <t>**Ally and Your Career**
 Ally Financial only succeeds when its people do \- and that’s more than some cliché people put on job postings. We live this stuff! We see our people as, well, people \- with interests, families, friends, dreams, and causes that are all important to them. Our focus is on the health and safety of our teammates as well as work\-life balance and diversity and inclusion. From generous benefits to a variety of employee resource groups, we strive to build paths that encourage employees to stretch themselves professionally. We want to help you grow, develop, and learn new things. You’re constantly evolving, so shouldn’t your opportunities be, too?
 Work Schedule: Ally designates roles as (1\) fully on\-site, (2\) hybrid, or (3\) fully remote. Hybrid roles are generally expected to be in the office a certain number of days per week as indicated by your manager. Your hiring manager will discuss this role's specific work requirements with you during the hiring process. All work requirements are subject to change at any time based on leader discretion and/or business need.
**The Opportunity**
 Seeking an innovative and passionate Senior Front\-End React Native Developer to help build the next generation of our award\-winning, online banking applications used by millions of customers. The ideal candidate should be passionate about front\-end technology and have experience developing dynamic, responsive web and native applications.
 At this time, Ally will not sponsor a new applicant for employment authorization for this position.
**The Work Itself**
* As a Front\-End Developer, you will help your team on its journey to create innovative digital banking products for our customers.
* Partner with business, UX design and back\-end API teams to create world\-class customer experiences for the online channel using Agile development methodologies.
* Work with your team to design and implement new features, components and unit tests for front end applications.
* Participate in peer code reviews.
* Review business requirements, design documents, test plans/test cases and performance testing plans.
**Skills**
**The Skills You Bring**
* Bachelor's degree in Computer Science or Information Systems preferred.
* 5\+ years of experience in React, Reactive Native or Native Mobile in IOS or Android development required.
* 1\+ years of experience with being lead on technical projects required.
* Experience using Python for AI development preferred.
* Experience with 508 Compliance/Web Accessibility preferred.
* Excellent communication skills at all levels, from team members to senior management.
* Must have the ability to work in a team within an Agile operating model.
* Ability to exchange constructive and respectful feedback.
* Must be able to help communicate ideas and best practices to more junior developers.
* Must be able to collaborate with wider groups on standards and best practices.
* Enthusiasm and a desire to be part of an innovative team.
* A commitment to quality, and a desire to improve.
**How We'll Have Your Back**
 Ally's compensation program offers market\-competitive base pay and pay\-for\-performance incentives (bonuses) based on achieving personal and company goals. Our Total Rewards program includes industry\-leading compensation and benefits plus additional incentives that are designed to meet your needs and those of your family so you can get the most out of your career and your life, including:
* Time Away: Program starts at 20 paid time off days in addition to 11 paid holidays and 8 hours of volunteer time off yearly (time off days are prorated based on start date and program varies based on full or part\-time status and management level).
* Planning for the Future: plan for the near and long term with an industry\-leading 401K retirement savings plan with matching and company contributions, student loan pay downs and 529 educational save up assistance programs, tuition reimbursement, employee stock purchase plan, and financial learning center and financial coach access.
* Supporting your Health \&amp; Well\-being: flexible health and insurance options including medical, dental and vision, employee, spouse and child life insurance, short\- and long\-term disability, pre\-tax Health Savings Account with employer contributions, Healthcare FSA, critical illness, accident \&amp; hospital indemnity insurance, and a total well\-being program that helps you and your family stay on track physically, socially, emotionally, and financially.
* Building a Family: adoption, surrogacy and fertility assistance as well as paid parental and caregiver leave, Dependent Day Care FSA back\-up child and adult/elder care days and childcare discounts.
* Work\-Life Integration: other benefits including Mentally Fit Employee Assistance Program, subsidized and discounted Weight Watchers® program and other employee discount programs.
* Other compensations: depending on the role for which you are considered, you may be eligible for travel allowances, relocation assistance, a signing bonus and/or equity.
* To view more detailed information about Ally’s Total Rewards, please visit this link: https://www.ally.com/content/dam/pdf/corporate/ally\-total\-rewards\-snapshot.pdf
**Who We Are:**
 Ally Financial is a customer\-centric, leading digital financial services company with passionate customer service and innovative financial solutions. We are relentlessly focused on "Doing it Right" and being a trusted financial\-services provider to our consumer, commercial, and corporate customers. For more information, visit www.ally.com.
 Ally is an equal opportunity employer committed to diversity and inclusion in the workplace. All qualified applicants will receive consideration for employment without regard to age, race, color, sex, religion, national origin, disability, sexual orientation, gender identity or expression, pregnancy status, marital status, military or veteran status, genetic disposition or any other reason protected by law.
 We are committed to working with and providing reasonable accommodation to applicants with physical or mental disabilities. For accommodation requests, email us at hrpolicy@ally.com. Ally will not discriminate against any qualified individual who is capable of performing the essential functions of the job with or without reasonable accommodation.
**Base Pay Range** 
 : $110000 \- $180000 USD
 An individual's position in the range is determined by the specific role, the scope and responsibilities of the role, work experience, education, certification(s), training, and additional qualifications. We review internal pay, the competitive market, and business environment prior to extending an offer.
 Incentive Compensation: This position is eligible to participate in our annual incentive plan.</t>
        </is>
      </c>
    </row>
    <row r="87">
      <c r="A87" t="inlineStr">
        <is>
          <t>li-4356630836</t>
        </is>
      </c>
      <c r="B87" t="inlineStr">
        <is>
          <t>Satellite Flight Software Developer III</t>
        </is>
      </c>
      <c r="C87" t="inlineStr">
        <is>
          <t>Blue Origin</t>
        </is>
      </c>
      <c r="D87" t="inlineStr">
        <is>
          <t>linkedin</t>
        </is>
      </c>
      <c r="E87">
        <f>HYPERLINK("https://www.linkedin.com/jobs/view/4356630836", "https://www.linkedin.com/jobs/view/4356630836")</f>
        <v/>
      </c>
      <c r="F87" t="inlineStr"/>
      <c r="G87" t="inlineStr">
        <is>
          <t>Reston, VA</t>
        </is>
      </c>
      <c r="H87" t="inlineStr"/>
      <c r="I87"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Emerging Systems Business Unit, which will shape the future of our in\-space infrastructure capabilities.
**Special Mentions**
 This position is part of Blue Origin's TeraWave business unit, a newly announced satellite communications network designed to deliver symmetrical data speeds of up to 6 Tbps anywhere on Earth. TeraWave consists of 5,408 optically interconnected satellites in low Earth orbit (LEO) and medium Earth orbit (MEO), providing enterprise\-grade connectivity for critical operations.
**Responsibilities Include But Are Not Limited To**
* Lead the design, development, and implementation of the core flight software architecture for the TeraWave satellite constellation
* Architect and develop robust, scalable software solutions for the 5,408 optically interconnected satellites in low Earth orbit (LEO) and medium Earth orbit (MEO)
* Architect and develop platform\-independent, reusable software frameworks to expedite flight software development across the TeraWave constellation
* Design and implement command and data handling systems that enable the high\-throughput capabilities of the TeraWave network (up to 6 Tbps)
* Develop and maintain critical flight software components for satellite operations, including command processing, telemetry, fault detection, isolation, and recovery
* Create and implement software interfaces between various satellite subsystems (power, communications, attitude control, thermal management)
* Establish software development standards, best practices, and architectural patterns for the TeraWave flight software team
* Collaborate with systems engineers to define software requirements and system interfaces
* Perform code reviews on flight software best practices
* Design and implement real\-time embedded software solutions for satellite operations
* Develop and execute comprehensive test plans to validate flight software functionality
* Troubleshoot complex software issues in simulated and operational environments
* Support integration and testing activities to verify software functionality in simulated and hardware\-in\-the\-loop environments
* Contribute to technical documentation including software design documents, interface control documents, and test procedures
**Minimum Qualifications**
* Bachelor's degree in Computer Science, Software Engineering, Aerospace Engineering, or related technical field
* 7\+ years of experience in developing embedded software for space systems or similar mission\-critical applications
* Demonstrated experience with real\-time operating systems (RTOS) and embedded programming
* Proficiency in C/C\+\+ programming languages
* Experience with flight software architecture design and implementation
* Knowledge of software development lifecycle processes for mission\-critical systems
* Experience with version control systems (Git) and continuous integration/continuous deployment (CI/CD) pipelines
* Familiarity with communication protocols used in spacecraft (CAN, I2C, SPI, RS\-422/485\)
* Experience with software testing methodologies for embedded systems.
**Preferred Qualifications**
* Master's degree or PhD in Computer Science, Software Engineering, or Aerospace Engineering
* Experience with NASA's Core Flight System (cFS) or similar flight software frameworks
* Knowledge of satellite communications systems and protocols
* Experience with high\-throughput data processing systems
* Familiarity with optical inter\-satellite link technologies
* Experience with Rust programming language for embedded systems
* Background in developing software for satellite constellations or distributed space systems
* Experience with hardware\-in\-the\-loop (HITL) testing for spacecraft systems
* Knowledge of radiation\-hardened computing environments and associated software considerations
* Experience with fault\-tolerant computing and redundancy management
* Previous work on communication satellite systems or networks
**Why Blue Origin**
 At Blue Origin, we're not just building the future of space exploration—we're revolutionizing global connectivity through our TeraWave satellite network. As a Satellite Software Developer III, you'll play a crucial role in ensuring the integrity and performance of our constellation of 5,408 satellites designed to deliver unmatched speeds up to 6 Tbps with symmetrical upload and download capabilities. Join us in our mission to provide enterprise\-grade connectivity to locations unreachable by traditional methods, enabling critical operations for enterprise, data center, and government customers worldwide.
 Join our team and be part of building a space\-based network designed for tomorrow, where your expertise will directly contribute to creating a system that provides connectivity anywhere on Earth.
**Compensation Range For**
 CA applicants is $164,652\.00 \- $230,512\.80 CO applicants is $150,931\.00 \- $211,303\.05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88">
      <c r="A88" t="inlineStr">
        <is>
          <t>li-4318533980</t>
        </is>
      </c>
      <c r="B88" t="inlineStr">
        <is>
          <t>Staff Software Engineer, Infrastructure</t>
        </is>
      </c>
      <c r="C88" t="inlineStr">
        <is>
          <t>ClassDojo</t>
        </is>
      </c>
      <c r="D88" t="inlineStr">
        <is>
          <t>linkedin</t>
        </is>
      </c>
      <c r="E88">
        <f>HYPERLINK("https://www.linkedin.com/jobs/view/4318533980", "https://www.linkedin.com/jobs/view/4318533980")</f>
        <v/>
      </c>
      <c r="F88">
        <f>HYPERLINK("https://jobs.ashbyhq.com/ClassDojo/45a910c7-5a10-4dec-8349-73004e575a80/application?utm_source=34ZDPjJqp2&amp;src=Linkedin&amp;urlHash=wUB7", "https://jobs.ashbyhq.com/ClassDojo/45a910c7-5a10-4dec-8349-73004e575a80/application?utm_source=34ZDPjJqp2&amp;src=Linkedin&amp;urlHash=wUB7")</f>
        <v/>
      </c>
      <c r="G88" t="inlineStr">
        <is>
          <t>San Francisco, CA</t>
        </is>
      </c>
      <c r="H88" t="inlineStr"/>
      <c r="I88" t="inlineStr">
        <is>
          <t>ClassDojo's goal is to give every child on Earth an education they love.
 We started by building a powerful network for communication. ClassDojo’s flagship app is the \#1 communication app connecting K\-12 teachers, children, and families globally. Teachers use it to share what’s happening throughout the day through photos, videos, and messages that make parents feel like they’re there. It’s actively used in over 95% of US schools, reaching over 45 million children in 180 countries, with a team of just around 200 people \[1]. We are now beginning to use this network to give kids the best learning experiences in the world, far beyond those a standard school can provide.
 We hire for talent density. Our team comprises the most talented, entrepreneurial, and innovative teammates from around the world, with experience in education and large scale consumer internet companies, including Instagram, Netflix, Dropbox, Stripe, Uber, Y Combinator, and more. We’re building a company where the most talented people want to work. We believe you’ll do the best work of your life here—and you’ll pioneer the future of education, too.
**What You’ll Do**
**Improve our platform**
* Write, debug, and optimize code for our platform—the infrastructure that all of the rest of our teams depend on (languages like Python, Javascript, Typescript or Go are a plus).
* Collaborating with software engineers through pair programming, mob programming, code reviews, and design sessions.
* Seek out opportunities to provide shared value through improvements of our common systems, tooling, and practices
* Support and improve our build and delivery pipelines
* Contribute to technical design and architecture conversations with your expertise and perspective
**Contribute to better practice, processes and teamwork**
* Help to unblock teammates as well as other teams through hands\-on work and guidance.
* Break work down so we can make improvements incrementally
* Help grow other engineers into more senior engineers.
* Systematically improve the quality of our product and process.
* Encourage collaboration and psychological safety.
**You Will Be a Match If**
* You have 10\+ years of professional software experience.
* You have 5\+ years of experience in positions that focused primarily on infrastructure/platform work (Cloud Platform Engineer, Infrastructure Engineer, SRE, etc).
* You have made an impact in the organizations that you've joined.
* You have driven technical excellence through improvements to process, practices, and tools (e.g. experience with test automation, CI/CD, and DevOps practices)
* You have strong communication.
* You're excited to get things done in a fast\-paced environment
* You have an ownership mindset: you are comfortable with both responsibility and accountability
* You're thoughtful about creating and maintaining a world\-class engineering culture
* You enjoy working in a pair programming environment
* You are passionate about education and care about having impact on tens of millions of kids' lives with your work
* You live and work in the Americas timezones
 \[1] Some more context:
*(If you are on LinkedIn, you will not be able to access the hyperlinks below. Once you click apply, you will be directed to our career website (if you are not on there already) and will be able to access the hyperlinks)*
* How ClassDojo Connects Parents, Students, and Teachers
* “Whats New on ClassDojo 2023”
* TechCrunch Article: Second Act comes with First Profits
 Click here if you're interested in learning more about what we've been up to.
 We are committed to equal employment opportunity regardless of race, color, ancestry, religion, sex, national origin, sexual orientation, age, citizenship, marital status, disability, gender identity or Veteran status. In accordance with the San Francisco Fair Chance Ordinance, we will consider for employment qualified applicants with arrest and conviction records. We are happy to accommodate any disabilities or special needs. We are a distributed company, so we hire regardless of location, as long as you are willing to have significant hours overlap with one of the Americas time zones.
 ClassDojo takes a number of factors into consideration when determining compensation, including geographic location, experience, and skillset. Salary ranges (United States):
 CA, WA, NY, NJ, CT states: $171,500 \- $250,000 (USD)
 All other states in the US: $146,000 \- $215,000 (USD)</t>
        </is>
      </c>
    </row>
    <row r="89">
      <c r="A89" t="inlineStr">
        <is>
          <t>li-4344182039</t>
        </is>
      </c>
      <c r="B89" t="inlineStr">
        <is>
          <t>Staff Software Engineer, Product Engineer</t>
        </is>
      </c>
      <c r="C89" t="inlineStr">
        <is>
          <t>Gusto</t>
        </is>
      </c>
      <c r="D89" t="inlineStr">
        <is>
          <t>linkedin</t>
        </is>
      </c>
      <c r="E89">
        <f>HYPERLINK("https://www.linkedin.com/jobs/view/4344182039", "https://www.linkedin.com/jobs/view/4344182039")</f>
        <v/>
      </c>
      <c r="F89" t="inlineStr"/>
      <c r="G89" t="inlineStr"/>
      <c r="H89" t="inlineStr"/>
      <c r="I89"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We’re hiring seasoned engineers to join our teams that work on customer\-facing products, developing features and iterating across our platform. As a Gusto Staff Software Engineer at this level, you’ll oversee projects end\-to\-end by influencing initial feature specs, building backend APIs, writing frontend code, and overseeing ongoing improvements for deployed features. If you’re interested in building elegant software with far\-reaching effects in our modern economy, join us!
**Here’s What You’ll Do Day To Day**
* Architect, build, and test Gusto’s product suite that spans across Payroll, Benefits, HR, Time, Tax Credits, and more
* Mentor other engineers to help solve some of the hardest technical problems out there in very complex domains and at a large scale
* Help scale one of the largest Ruby/Rails and Javascript/React applications in the world
* Collaborate with our Product Management and Design teams to understand customer pain points, come up with solutions, and then prototype, iterate, and launch daily
* Build a product that our customers genuinely love
**Here’s What We’re Looking For**
* Successful applicants typically have 8\+ years of software development experience
* Experience owning multi\-quarter projects that solve complex engineering problems and make measurable customer impact at scale
* Experience building scalable solutions that eliminate customer pain
* Ability to effectively communicate across engineering teams and with business stakeholders
* Experience in, or interest working in, Ruby on Rails
* Ability to mentor engineers to maximize their performance and impact
* Experience with large scale refactors, performance and reliability issues, and a strong sense of ownership over all aspects of your product area
* Passion for creating memorable experiences for customers
* Appreciation for a collaborative, test\-driven environment
* Able to build well\-structured, maintainable, well\-documented code
**Preferred**
* Experience leveraging AI tools or systems to accelerate development, improve testing, and deliver new product capabilities.
* Curiosity and experimentation with emerging AI frameworks, applying and sharing best practices to evaluate and scale AI use safely across teams.
**Please note that travel to Gusto's Denver office for onboarding is required for this position.** 
 If you have any questions regarding this requirement, please share with your recruiter.
 Our cash compensation amount for this role is targeted at $163,000/yr to $204,000/yr in Denver \&amp; most remote locations, $198,000/yr to $247,000/yr for San Francisco, New York \&amp; Seattle and $175,000(CAD)/yr to $219,000(CAD)/yr in Canada.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90">
      <c r="A90" t="inlineStr">
        <is>
          <t>li-4356630608</t>
        </is>
      </c>
      <c r="B90" t="inlineStr">
        <is>
          <t>Software Engineer III (Cloud SRE Engineer)</t>
        </is>
      </c>
      <c r="C90" t="inlineStr">
        <is>
          <t>Ladders</t>
        </is>
      </c>
      <c r="D90" t="inlineStr">
        <is>
          <t>linkedin</t>
        </is>
      </c>
      <c r="E90">
        <f>HYPERLINK("https://www.linkedin.com/jobs/view/4356630608", "https://www.linkedin.com/jobs/view/4356630608")</f>
        <v/>
      </c>
      <c r="F90" t="inlineStr"/>
      <c r="G90" t="inlineStr"/>
      <c r="H90" t="inlineStr"/>
      <c r="I90" t="inlineStr">
        <is>
          <t>For our client, we are seeking a Software Engineer III (cloud SRE Engineer) to join the team of a leader in the Hospitality \&amp; Recreation space. You’ll build and maintain systems that power mission\-critical Hospitality \&amp; Recreation workflows. You’ll collaborate with product and peers to design clean, scalable solutions. This role values craftsmanship, impact, and ownership.
 Location: Remote \- US based candidates only, no visa sponsorship available
 Compensation: $159,000 – $198,000 annually.
**Responsibilities**
* Build and secure the new Hub cloud environment and deployment pipeline
* Design and manage AWS cloud infrastructure; utilize Terraform and Docker
* Ensure reliability, scalability, and performance of all platform systems
* Own observability and incident readiness for the platform
* Implement DevOps tools and methodologies for automation
* Develop automation tools to minimize manual tasks
* Maintain security measures across systems and networks
**Qualifications**
* 6\-10\+ years of experience in managing production services on AWS
* Deep understanding of AWS fundamentals (VPC, IAM, KMS)
* Expertise in Infrastructure\-as\-Code (Terraform, CDK, CloudFormation)
* Experience with container platforms (EKS/ECS) and managed services
* Proven ability to design and automate CI/CD pipelines
* Strong security posture and practices handling sensitive data
**Benefits**
* Flexible remote work options with office access in multiple locations
* Opportunity to work on innovative healthcare technology
* Collaborative culture with a focus on digital communication tools
* Access to a diverse team of experts and leaders in various fields
* Company values emphasizing teamwork, accountability, and innovation
 Our client is an equal opportunity employer. We encourage you to apply even if you don’t meet every qualification—your background could be exactly what this team needs.</t>
        </is>
      </c>
    </row>
    <row r="91">
      <c r="A91" t="inlineStr">
        <is>
          <t>li-4366508868</t>
        </is>
      </c>
      <c r="B91" t="inlineStr">
        <is>
          <t>System Software Developer (Mission Planning)</t>
        </is>
      </c>
      <c r="C91" t="inlineStr">
        <is>
          <t>Cutting Edge Communications, LLC</t>
        </is>
      </c>
      <c r="D91" t="inlineStr">
        <is>
          <t>linkedin</t>
        </is>
      </c>
      <c r="E91">
        <f>HYPERLINK("https://www.linkedin.com/jobs/view/4366508868", "https://www.linkedin.com/jobs/view/4366508868")</f>
        <v/>
      </c>
      <c r="F91" t="inlineStr"/>
      <c r="G91" t="inlineStr">
        <is>
          <t>El Segundo, CA</t>
        </is>
      </c>
      <c r="H91" t="inlineStr"/>
      <c r="I91" t="inlineStr">
        <is>
          <t>**Job Description:** 
 Cutting Edge Communications has an opening for a System Software Engineer specializing in Planning \&amp; Scheduling System Development. As a member of our team, you’ll support our client in a vital role in advancing innovative technologies. This is an exciting opportunity to contribute to groundbreaking missions and work alongside industry leaders in a fast\-paced, high\-energy environment.
 As a System Software Engineer, you will be specializing in planning and scheduling for our advanced satellite operations. The successful candidate will be responsible for developing, implementing, and optimizing scheduling systems to support efficient and effective satellite mission operations.
**Responsibilities:** 
* System Development and Optimization: Design, develop, and enhance software systems for mission planning and scheduling using state\-of\-the\-art scheduling algorithms and technologies.
* Software Implementation: Deploy into a Cloud environment and maintain scheduling applications, ensuring they meet mission requirements and integrate seamlessly with existing ground systems architecture.
* Algorithm Enhancement: Work on optimizing scheduling algorithms to enhance the performance, reliability, and scalability of scheduling systems, reducing latency and increasing throughput.
* Integration and Testing (I\&amp;T): Collaborate with cross\-functional, agile teams to ensure delivered scheduling software solutions are thoroughly tested and integrated into a Cloud environment.
* Process Automation: Implement automation strategies within software modules to improve the efficiency of scheduling operations to include the potential for leveraging AI and machine learning where possible.
* Stakeholder Collaboration: Work closely with mission planners, mission operators, US Government Customers, and other systems engineers to gather requirements and provide technical guidance throughout the design, development, and I\&amp;T process.
* System Monitoring and Troubleshooting: Continuously monitor system performance, identifying and addressing issues in a timely manner to minimize disruption to mission operations.
**Qualifications:** 
* Educational Background: Bachelor’s degree in Computer Science, Software Engineering, or related field. A master’s degree or equivalent experience is preferred.
* Professional Experience: At least 5 years of experience in software development, particularly for planning and scheduling software within the aerospace field.
* Technical Expertise: Proficiency in programming languages such as Python and Java along with experience with scheduling tools like GMAT, STK Scheduler, or related systems.
* Problem\-Solving Abilities: Strong analytical skills with a proven track record of troubleshooting complex software systems and processes.
* Collaborative Skills: Demonstrated, excellent interpersonal and communication skills to facilitate engagement with stakeholders across various technical and operational levels.
* This position requires the ability to obtain a U.S. Security Clearance for which the U.S. Government requires U.S. Citizenship. Possessing an active TS/SCI clearance is required.
 Note: Final pay is based upon years of experience, qualifications such as education and relevant certifications, and market conditions.
**About the Company:** 
*Founded in 1998, Cutting Edge Communications, LLC, is a small business dedicated to technical excellence and responsive customer support. A company of roughly 150\+ individuals in eight states, we combine considerable program and proposal development knowledge with extensive management and engineering experience necessary to win and execute large\-scale aerospace programs. We are a services company that provides exceptional, high quality, experienced personnel that exceed our clients’ expectations. We have led clients in the successful capture of over $35 billion in new contracts, often continuing support after award by providing expertise critical to program success.*</t>
        </is>
      </c>
    </row>
    <row r="92">
      <c r="A92" t="inlineStr">
        <is>
          <t>li-4366916569</t>
        </is>
      </c>
      <c r="B92" t="inlineStr">
        <is>
          <t>Staff Software Developer - AI Innovation Team</t>
        </is>
      </c>
      <c r="C92" t="inlineStr">
        <is>
          <t>BECU</t>
        </is>
      </c>
      <c r="D92" t="inlineStr">
        <is>
          <t>linkedin</t>
        </is>
      </c>
      <c r="E92">
        <f>HYPERLINK("https://www.linkedin.com/jobs/view/4366916569", "https://www.linkedin.com/jobs/view/4366916569")</f>
        <v/>
      </c>
      <c r="F92">
        <f>HYPERLINK("https://becu.wd1.myworkdayjobs.com/External/job/Remote-WA/Staff-Software-Developer\u002d\u002d-AI-Innovation-Team_R-12991?source=APPLICANT_SOURCE-6-33&amp;urlHash=a9vq", "https://becu.wd1.myworkdayjobs.com/External/job/Remote-WA/Staff-Software-Developer\u002d\u002d-AI-Innovation-Team_R-12991?source=APPLICANT_SOURCE-6-33&amp;urlHash=a9vq")</f>
        <v/>
      </c>
      <c r="G92" t="inlineStr">
        <is>
          <t>Washington, United States</t>
        </is>
      </c>
      <c r="H92" t="inlineStr"/>
      <c r="I92"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**PAY RANGE**
 The Target Pay Range for this position is $171,700\.00\-$209,800\.00 annually. The full Pay Range is $133,100\.00 \- $248,300\.00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 401(k) Company Match (up to 3%)
* 4% annual contribution to your 401(k) by BECU
* Medical, Dental and Vision (family contributions as well)
* PTO Program \+ Exchange Program
* Tuition Reimbursement Program
* BECU Cares volunteer time off \+ donation match
**Impact You’ll Make**
 As a Staff Software Developer on BECU’s AI Innovation \&amp; Strategy team, you’ll lead the technical direction of our new AI products designed to empower staff with faster, more accurate, and more confident support for our members. You’ll shape the architecture, elevate our AI foundation, and guide a small, agile team with startup\-style roots. Your work will strengthen the tools employees use every day and improve the quality and speed of member experiences across BECU. You’ll help scale a growing portfolio of AI capabilities while ensuring solutions are safe, resilient, and built for long\-term impact. This is your opportunity to lead with purpose and develop technology that truly makes a difference.
**To join our dynamic team, we require candidates to be residents of WA, OR, ID, AZ, TX, GA, SC, VA, CA, or NC.** 
 If you’re located in Washington state and within a reasonable driving distance from Tukwila, we are requesting that you come into our HQ on Tuesdays \&amp; Wednesdays. For those candidates that live outside the commute distance of TFC and in any of our approved remote work locations, this role will be remote. Remote or onsite, we are committed to ensuring you are fully engaged and included in our collaborative environment.
**What You’ll Do**
* Lead AI Product Development: Serve as the technical lead for our new AI products, guiding their expansion and ensuring they align with evolving organizational and member needs.
* Own the Architecture: Design and develop scalable, cloud‑agnostic systems using Python, AWS, LLMs, and retrieval‑based architectures that support both current and future AI capabilities.
* Advance AI Foundations: Strengthen the underlying infrastructure that powers our AI products, including segmentation, retrieval, and data organization.
* Collaborate Across the Business: Partner with stakeholders in the contact center, retail, cybersecurity, operations, marketing, and other functions to ensure accuracy, effectiveness, and alignment.
* Drive Agile Delivery: Participate in daily stand‑ups and two‑week sprints, leveraging GitHub for project management, issue tracking, and backlog prioritization.
* Influence and Mentor: Provide technical coaching to senior engineers, shape coding standards, and communicate decisions to stakeholders and BECU’s AI Council.
* Champion Innovation: Evaluate emerging technologies, balance exploration with execution, and contribute to the roadmap of future AI products and capabilities.
* Ensure Quality and Security: Apply secure development practices, lead testing efforts, and improve reliability and performance across systems.
* Promote Technical Excellence: Lead code reviews, strengthen CI/CD pipelines, and elevate engineering best practices.
* Represent BECU Expertise: Share knowledge internally and externally, including opportunities for conference presentations and cross‑team consulting.
 This isn’t just about ticking off tasks on a list. It's about making a significant, positive change in BECU’s journey, where your contributions are valued, and your growth is continually fostered.
**What You’ll Gain**
* A leadership role in shaping BECU’s AI strategy and driving the evolution of our new AI products.
* Hands‑on experience with cutting‑edge technologies such as LLMs, retrieval‑augmented systems, agents, and cloud‑agnostic designs.
* Collaboration with a small, fast‑moving team with startup roots—combined with enterprise visibility and influence.
* Direct interaction with stakeholders across multiple departments and ongoing engagement with BECU’s AI Council.
* Opportunities to experiment, innovate, and evaluate emerging technologies in a supportive environment that values thoughtful risk‑taking.
* A culture centered around continuous learning, autonomy, and purposeful work that benefits both employees and members.
**Qualifications**
**Minimum Qualifications:**
* Bachelor’s degree in Computer Science or related discipline, or equivalent work experience.
* Minimum eight years of experience designing software and writing production code in a team environment.
* Demonstrated expertise in Secure Development best practices.
* Proven ability to deliver scalable solutions across multiple languages and environments.
* Expertise with two or more of the following: Python, .NET, C\#, node.js, JavaScript/TypeScript frameworks.
* Experience with public cloud platforms (Azure/AWS/Google Cloud).
* Knowledge of containers and orchestration (Kubernetes preferred).
* Expertise in SOLID principles, OOP, SOA patterns, and distributed systems.
* Experience with CI/CD tools (Azure DevOps, GitHub Actions, Jenkins, TeamCity).
* Deep understanding of TDD and testing methodologies.
* Proficiency with git and branching standards.
* Experience with SQL, large datasets, ETL, and analytics engines.
* Proven experience leading cross‑functional teams through the SDLC.
* Strong verbal and written communication skills.
* Full\-time availability and occasional travel.
**Desired Qualifications**
* Advanced degree in Computer Science or related field.
* Experience presenting at industry conferences.
* Familiarity with agent‑based systems and user interaction models.
* Exposure to cloud platforms beyond AWS.
* Understanding of data segmentation and collection independence.
* Experience in startup or agile, autonomous team environments.
* Ability to drive adoption of emerging technologies within domain.
**JOIN THE JOURNEY**
 Ready to make an indelible impact? Eager to be a part of a collaborative and innovative team where your ideas and contributions don’t just fill a role, but fuel the growth and success of BECU?
**EEO Statement**
 BECU is an equal opportunity employer. All qualified applicants will receive consideration for employment without regard to race, color, religion, sex, national origin, veteran status, disability, sexual orientation, gender identity, or any other protected status.</t>
        </is>
      </c>
    </row>
    <row r="93">
      <c r="A93" t="inlineStr">
        <is>
          <t>li-4366507094</t>
        </is>
      </c>
      <c r="B93" t="inlineStr">
        <is>
          <t>Research Associate: Software Developer-ACME Team</t>
        </is>
      </c>
      <c r="C93" t="inlineStr">
        <is>
          <t>Cooperative Institute for Severe and High-Impact Weather Research &amp; Operations</t>
        </is>
      </c>
      <c r="D93" t="inlineStr">
        <is>
          <t>linkedin</t>
        </is>
      </c>
      <c r="E93">
        <f>HYPERLINK("https://www.linkedin.com/jobs/view/4366507094", "https://www.linkedin.com/jobs/view/4366507094")</f>
        <v/>
      </c>
      <c r="F93" t="inlineStr"/>
      <c r="G93" t="inlineStr">
        <is>
          <t>Norman, OK</t>
        </is>
      </c>
      <c r="H93" t="inlineStr"/>
      <c r="I93" t="inlineStr">
        <is>
          <t>**Description** 
 Discover your potential as a career\-track Research Software Developer with the Applied Computing for the Meteorological Enterprise Team (ACME) Team at The University of Oklahoma’s Cooperative Institute for Severe and High\-Impact Weather Research and Operations (CIWRO), in collaboration with NOAA's National Severe Storms Laboratory (NSSL). This role presents an exciting opportunity to be part of a highly collaborative team interested in transitioning cutting\-edge research into operations. We are seeking an enthusiastic individual who thrives in collaborative environments and is passionate about providing scientific and technical support for real\-time application software for the Multi\-Radar/MultiSensor (MRMS) project (https://www.nssl.noaa.gov/projects/mrms/).
**Overview** 
 The ACME team is a group of software engineers who work closely with scientists at CIWRO, NSSL and other organizations to oversee the integration and transition to operations of updates to the MultiRadar/Multi\-Sensor (MRMS) system to the National Weather Service. The MRMS system was developed to produce severe weather, transportation and precipitation products for improved decision\-making capability to improve hazardous weather forecasts and warnings, along with hydrology, aviation, and numerical weather prediction. MRMS is a system with fully\-automated algorithms that quickly and intelligently integrate data streams from multiple radars, surface and upper air observations, lightning detection systems, satellite observations, and forecast models. Numerous two\-dimensional multiplesensor products offer assistance for hail, wind, tornado, quantitative precipitation estimations, convection icing, and turbulence diagnosis. Based at the National Weather Center in Norman, OK (bit.ly/oklanwc), this position promises not only professional growth and promotion potential but also the chance to impact the broader scientific community through participation in conference and technical meetings.
 Some examples of projects you may work on include:
 • Exploring new platforms and methods of processing life\-saving weather data,
 • Developing or modifying existing software with robust, real\-time capabilities,
 • Extending the capabilities of our distributed computing infrastructure, and
 • Improving how software is built, tested and deployed.
 Our codebase is mostly written in C, C\+\+, and Java and designed to support a wide range of real\-time distributed\-computing applications. As a small team of software developers supporting engineering and meteorological research and development, we pride ourselves on fostering an environment where innovation thrives and individual contributions have a significant impact. Unlike private industry, where rigid hierarchies often stifle creativity, we embrace a culture of collaboration and open dialogue, allowing every team member to shape the direction of our projects. Additionally, our commitment to advancing scientific knowledge and our mission's societal impact offers a deeper sense of purpose and fulfillment in your work. Join us and experience the meaningful difference of working in a dynamic and purpose\-driven environment.
**Key Responsibilities** 
 • Acquire the knowledge and skills necessary to maintain and support the existing MRMS software systems.
 • Work with an interdisciplinary team of engineers and scientists to design, develop, and implement enhancements and improvements to the MRMS software systems.
 • Assist in developing a new infrastructure that will be the basis for the next generation of the MRMS software systems for potential operational use by the NWS.
 • Prepare documentation on all aspects of engineering activities (including system testing and evaluation) and, as appropriate, collaborate with scientists to participate in publishing scientific papers.
 • Perform related duties as assigned.
**Qualifications** 
 • A bachelor’s degree in Computer Science, Computer Engineering, or related field with at least two years of full\-time relevant work experience.
 • Strong computer programming skills with at least two years experience developing applications with C/C\+\+, Object oriented programming and modern scripting languages.
 • Strong ability to research, troubleshoot, and independently resolve unfamiliar problems.
 • Ability to obtain all necessary security clearances for access to NCEP operational computer systems (Permanent Resident status or US citizenship is required) This position requires physical presence in Norman but may permit a hybrid work schedule. Desired Attributes
 • Proficiency in Linux (Unix) environments, AWS or other cloud experience, docker/container exposure. • Programming experience with engineering and/or scientific applications.
 • This position does not require specialized knowledge of remote sensing, radar systems, or atmospheric science, but a curiosity about weather phenomena would be advantageous.
**Benefits and Work\-Life Balance** 
 Joining our team comes with numerous benefits, including:
 • Competitive salary based on experience and comprehensive university benefits (http://hr.ou.edu/).
 • Generous paid leave, encompassing 15 paid holidays and 22 hours of paid time off per month.
 • Reduced membership at The University of Oklahoma’s state\-of\-the\-art fitness and aquatic center (https://www.ou.edu/far).
 We are dedicated to promoting a healthy work\-life balance by:
 • Implementing regular one\-on\-one meetings with science leads to ensure that project scope and priorities remain clear. This transparent communication channel minimizes ambiguity and empowers developers to focus on impactful tasks while aligning with the team's strategic goals.
 • Championing a flexible work culture, offering adaptable work hours and a hybrid work arrangement. This empowering framework enables team members to seamlessly navigate personal commitments while effectively contributing to their professional responsibilities.
**Application Process** 
 To apply, please submit:
 • A cover letter highlighting your interest in the position and describing how you meet the position qualifications,
 • Your up\-to\-date resume/CV, and
 • A list of three professional references.
**Send your application materials to: ciwro\-careers@ou.edu.** 
**Please use the subject line: "ATTN: Research Software Developer \- ACME Team."** 
 Applications will be accepted until the position is filled. The starting date is negotiable. The University of Oklahoma is an equal opportunity/Affirmative Action employer.</t>
        </is>
      </c>
    </row>
    <row r="94">
      <c r="A94" t="inlineStr">
        <is>
          <t>li-4366520463</t>
        </is>
      </c>
      <c r="B94" t="inlineStr">
        <is>
          <t>Software Engineer</t>
        </is>
      </c>
      <c r="C94" t="inlineStr">
        <is>
          <t>Jobs via Dice</t>
        </is>
      </c>
      <c r="D94" t="inlineStr">
        <is>
          <t>linkedin</t>
        </is>
      </c>
      <c r="E94">
        <f>HYPERLINK("https://www.linkedin.com/jobs/view/4366520463", "https://www.linkedin.com/jobs/view/4366520463")</f>
        <v/>
      </c>
      <c r="F94" t="inlineStr"/>
      <c r="G94" t="inlineStr"/>
      <c r="H94" t="inlineStr"/>
      <c r="I94" t="inlineStr">
        <is>
          <t>Dice is the leading career destination for tech experts at every stage of their careers. Our client, Sriven Systems Inc., is seeking the following. Apply via Dice today!
**Role: Software Engineer\-W2**
**100% Remote \- CST Hours**
**Six Month Contract**
**Top Skills' Details**
* SQL Server Database \- MUST HAVE Oracle database \- VERY NICE TO HAVE TOAD VERY NICE TO HAVE
**Job Description**
 A Software Engineer with 3 5 years of experience helps translate business requirements into technical solutions by contributing to design discussions and writing reliable, maintainable code. They understand the key applications in their area and how those systems support business needs. They troubleshoot moderately complex issues, support small development efforts, and may assist or guide less\-experienced team members while continuing to grow technical depth and ownership.
 Implements enhancements to new and existing applications 35%
 Develops, tests, and debugs software features for new and existing applications 30%
 Contributes to task planning, estimation, and small project efforts 20%
 Provides informal guidance or support to junior team members 10%
 Supports production applications as part of a team rotation 5%
**Additional Skills \&amp; Qualifications**
* Strong collaboration skills with cross functional teams and stakeholders Ability to clearly communicate technical concepts in writing and verbally Proactive problem solving and willingness to research solutions Solid understanding of relevant retail and technology concepts Growing expertise in one or more technical domains Ability to contribute to task estimation, planning, and execution Familiarity with architectural guidance, coding standards, and best practices Keeps current with new technologies and shares learnings with the team Works effectively with both on shore and off shore team members
**Business Drivers/Customer Impact**
 Finance \&amp; HR Modernization Project</t>
        </is>
      </c>
    </row>
    <row r="95">
      <c r="A95" t="inlineStr">
        <is>
          <t>li-4356591805</t>
        </is>
      </c>
      <c r="B95" t="inlineStr">
        <is>
          <t>Staff Software Engineer (AppSec)</t>
        </is>
      </c>
      <c r="C95" t="inlineStr">
        <is>
          <t>Harness</t>
        </is>
      </c>
      <c r="D95" t="inlineStr">
        <is>
          <t>linkedin</t>
        </is>
      </c>
      <c r="E95">
        <f>HYPERLINK("https://www.linkedin.com/jobs/view/4356591805", "https://www.linkedin.com/jobs/view/4356591805")</f>
        <v/>
      </c>
      <c r="F95" t="inlineStr"/>
      <c r="G95" t="inlineStr">
        <is>
          <t>Mountain View, CA</t>
        </is>
      </c>
      <c r="H95" t="inlineStr"/>
      <c r="I95" t="inlineStr">
        <is>
          <t>Harness is led by technologist and entrepreneur Jyoti Bansal, founder of AppDynamics (acquired by Cisco for $3\.7B). The company has raised \~$240M in Series E venture funding, is valued at $5\.5B, and backed by top investors including Goldman Sachs, Menlo Ventures, IVP, Google Ventures, J.P. Morgan, Capital One Ventures, Citi Ventures, ServiceNow, Splunk Ventures and more. Harness is building the industry’s leading AI\-powered software delivery platform, enabling teams worldwide to build, test, and deliver software faster, safer, and more reliably. Writing code is only 30–40% of the engineering lifecycle — the rest involves testing, deployments, security, compliance, and optimization. Harness brings AI and automation to this outer loop, turning complex, time\-consuming workflows into streamlined processes at massive global scale.
 The platform includes industry leading products in CI/CD, Feature Flags, Cloud Cost Management, Service Reliability, Chaos Engineering, Software Engineering Insights, Internal Developer Experience, and API discovery, observability, governance, and runtime protection. Over the past year, Harness powered 128M deployments, 81M builds, 1\.2T API calls protected, and $1\.9B in cloud spend optimized, helping customers like United Airlines and Choice Hotels accelerate releases by up to 75% and achieve 10x DevOps efficiency. With employees in over 25 countries, Harness is shaping the future of AI\-driven software delivery — and we’re looking for exceptional talent to help us move even faster.
**Position Summary**
 This role comes under the AppSec Foundations charter, focused on designing and developing core authentication, authorization, and common services infrastructure that powers Harness's security ecosystem. The team is responsible for building foundational RBAC systems, service\-to\-service authentication, audit logging, and common security services that enable secure access control across all Harness modules including AppSec Platform, CI/CD, and other product offerings.
 The Foundations team serves as the security backbone for Harness's multi\-product platform, providing essential authentication and authorization services that ensure secure, scalable access management across the entire software delivery lifecycle.
**About The Role**
* You will design and implement scalable authentication and authorization systems using modern RBAC patterns and industry best practices
* You will build high\-performance, low\-latency microservices for identity management, token validation, and access control that serve millions of API calls
* You will develop audit logging and compliance systems that meet enterprise security requirements and regulatory standards
* You will collaborate closely with AppSec Platform, CI/CD, and other product teams to integrate security services seamlessly
* You will solve complex distributed systems challenges around service\-to\-service authentication, token management, and secrets rotation
* You will work with SRE teams to ensure high availability and operational excellence of critical security infrastructure
* You will contribute to API design and GraphQL schemas that provide secure, efficient access to organizational resources
**About You**
* Education: Bachelor's or Master's degree in Computer Science, Software Engineering, or related technical field
* Experience: 6\-10 years of backend engineering experience with strong focus on security, authentication, and distributed systems
* Core Technologies: Proficiency in JVM\-based languages (Java, Scala, Kotlin) with expertise in building production\-grade microservices
* Security Expertise: Deep understanding of authentication protocols (OAuth 2\.0, OIDC, JWT), RBAC systems, and modern authorization patterns
* API Development: Experience with RESTful APIs, GraphQL, and designing secure API architectures with proper access controls
* Distributed Systems: Strong knowledge of distributed system patterns, service mesh architectures, and microservices design principles
* Database Technologies: Experience with both SQL and NoSQL databases, with understanding of data security and encryption at rest
* Cloud Platforms: Hands\-on experience with cloud platforms (AWS, GCP, Azure) and container orchestration (Kubernetes)
**Preferred Qualifications**
* Experience with secrets management systems (HashiCorp Vault, AWS Secrets Manager, etc.)
* Knowledge of compliance frameworks (SOC 2, FedRAMP, GDPR) and enterprise security requirements
* Understanding of CI/CD security patterns and DevSecOps practices
* Experience with audit logging systems and SIEM integration
* Familiarity with infrastructure as code and GitOps methodologies
* Previous experience in security\-focused engineering roles or enterprise authentication systems
**Technical Focus Areas**
* Authentication and Authorization Infrastructure
* RBAC and Access Control Systems
* Service\-to\-Service Authentication
* Audit Logging and Compliance
* API Security and Token Management
* Secrets Management and Rotation
* Common Security Services
 Pay transparency
 $181,000—$226,000 USD
**Harness In The News**
* Accelerating Our Mission to Bring AI to Everything After Code
* Goldman Sachs leads investment in software delivery startup Harness at $5\.5 billion valuation
* How Harness runs 16 “startups within a startup” at scale \| Jyoti Bansal
* Harness Research Shows AI Visibility Crisis Fueling Security Nightmare
* Harness has been named to the Inc. Power Partner list for software delivery success
 All qualified applicants will receive consideration for employment without regard to race, color, religion, sex or national origin.
**Note on Fraudulent Recruiting/Offers**
 We have become aware that there may be fraudulent recruiting attempts being made by people posing as representatives of Harness. These scams may involve fake job postings, unsolicited emails, or messages claiming to be from our recruiters or hiring managers.
 Please note, we do not ask for sensitive or financial information via chat, text, or social media, and any email communications will come from the domain @harness.io. Additionally, Harness will never ask for any payment, fee to be paid, or purchases to be made by a job applicant. All applicants are encouraged to apply directly to our open jobs via our website. Interviews are generally conducted via Zoom video conference unless the candidate requests other accommodations.
 If you believe that you have been the target of an interview/offer scam by someone posing as a representative of Harness, please do not provide any personal or financial information and contact us immediately at security@harness.io. You can also find additional information about this type of scam and report any fraudulent employment offers via the Federal Trade Commission’s website (https://consumer.ftc.gov/articles/job\-scams), or you can contact your local law enforcement agency.</t>
        </is>
      </c>
    </row>
    <row r="96">
      <c r="A96" t="inlineStr">
        <is>
          <t>li-4356631111</t>
        </is>
      </c>
      <c r="B96" t="inlineStr">
        <is>
          <t>REMOTE Software Engineer (Python/Django)</t>
        </is>
      </c>
      <c r="C96" t="inlineStr">
        <is>
          <t>Jobot</t>
        </is>
      </c>
      <c r="D96" t="inlineStr">
        <is>
          <t>linkedin</t>
        </is>
      </c>
      <c r="E96">
        <f>HYPERLINK("https://www.linkedin.com/jobs/view/4356631111", "https://www.linkedin.com/jobs/view/4356631111")</f>
        <v/>
      </c>
      <c r="F96" t="inlineStr"/>
      <c r="G96" t="inlineStr">
        <is>
          <t>Houston, TX</t>
        </is>
      </c>
      <c r="H96" t="inlineStr"/>
      <c r="I96" t="inlineStr">
        <is>
          <t>Want to learn more about this role and Jobot? Click our Jobot logo and follow
 our LinkedIn page!
 Job details:
**Highly Reputable Nationwide Healthcare Company seeks a Software Engineer!**
 This Jobot Job is hosted by: Ron Calhoun
 Are you a fit? Easy Apply now by clicking the "Easy Apply" button
 and sending us your resume.
 Salary: $100,000 \- $145,000 per year
**A bit about us:**
 Our small, collaborative team has already built many foundational features and is now focused on improving and experimenting beyond a traditional credentialing solutions product.
 We are looking for a Software Engineer who can utilize their broad knowledge of modern software development to create robust scalable, secure, cloud\-native solutions that meet the demanding functional and non\-functional requirements of the platform and business.
 Using your experience, you’ll be able to drive and champion rapidly changing technologies and methodologies and apply them to technological and/or business needs of significant scope.
**Why join us?**
 Competitive base pay plus bonus
 Full remote options
 Flexible work schedule
 401(k) with company match
 Generous Paid Holidays / Vacation
 Life Insurance/Disability
 Education/Training/Tuition/Certification Reimbursement
**Job Details**
 Duties and Responsibilities:
 · Develop software for both cloud\-based and data center hosted platforms
 · Proactively collaborate across our Language Services teams to ensure products are delivered successfully, with high quality, and in line with stated requirements
 · Provide active leadership throughout the entire development lifecycle
 · MUST HAVE prior leadership experience/leading developers
 · Lead technical integration efforts with vendor, customer, and partner systems
 · Lead continuous improvement exercises to enhance platform performance, stability, and scalability
 · Recommend third\-party components and solutions as appropriate as part of the core platform
 · Ensure data models balance performance and flexibility to meet current needs and future requirements
 · Keep up to date with software industry trends, healthcare technology services, video\-conference software, mobile applications, and general Software Engineering best practices
 · Contribute to specification documents, IP development, and externally facing technical documentation
 · Mentor other team members to increase subject matter expertise across the team and organization (this position does not require heavy people management, however)
 · Promote and champion industry and company standards for Software Engineering and data security
 Required Experience:
 · Bachelor’s degree in Computer Science, MIS, or equivalent work experience
 · 5\+ years of professional experience in software development, with significant recent experience using Python
 · Experience with RESTful APIs
 · Minimum 3 years MANDATORY Django experience.
 · AWS experience is MANDATORY
 · Cloud experience is MANDATORY
 · Working knowledge of GitHub and GitHub Actions
 · Clear understanding of application development and data security standards
 · Experience with Agile/Scrum development processes
 · Problem\-solving skills and an aptitude for learning and implementing emerging technologies
 · Ability to work in a self\-directed fashion while being resourceful and adaptable
 Interested in hearing more? Easy Apply now by clicking the "Easy Apply" button.
**Want to learn more about this role
 and Jobot?**
 Click our Jobot logo and follow our LinkedIn page!\\n</t>
        </is>
      </c>
    </row>
    <row r="97">
      <c r="A97" t="inlineStr">
        <is>
          <t>li-4366524046</t>
        </is>
      </c>
      <c r="B97" t="inlineStr">
        <is>
          <t>Software Engineer (Ruby on Rails)</t>
        </is>
      </c>
      <c r="C97" t="inlineStr">
        <is>
          <t>ATC</t>
        </is>
      </c>
      <c r="D97" t="inlineStr">
        <is>
          <t>linkedin</t>
        </is>
      </c>
      <c r="E97">
        <f>HYPERLINK("https://www.linkedin.com/jobs/view/4366524046", "https://www.linkedin.com/jobs/view/4366524046")</f>
        <v/>
      </c>
      <c r="F97" t="inlineStr"/>
      <c r="G97" t="inlineStr">
        <is>
          <t>Texas, United States</t>
        </is>
      </c>
      <c r="H97" t="inlineStr"/>
      <c r="I97"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98">
      <c r="A98" t="inlineStr">
        <is>
          <t>li-4366784456</t>
        </is>
      </c>
      <c r="B98" t="inlineStr">
        <is>
          <t>Senior Software Engineer, Full Stack</t>
        </is>
      </c>
      <c r="C98" t="inlineStr">
        <is>
          <t>Capital One</t>
        </is>
      </c>
      <c r="D98" t="inlineStr">
        <is>
          <t>linkedin</t>
        </is>
      </c>
      <c r="E98">
        <f>HYPERLINK("https://www.linkedin.com/jobs/view/4366784456", "https://www.linkedin.com/jobs/view/4366784456")</f>
        <v/>
      </c>
      <c r="F98">
        <f>HYPERLINK("https://dsp.prng.co/l6eykHb&amp;urlHash=n-Py", "https://dsp.prng.co/l6eykHb&amp;urlHash=n-Py")</f>
        <v/>
      </c>
      <c r="G98" t="inlineStr">
        <is>
          <t>San Jose, CA</t>
        </is>
      </c>
      <c r="H98" t="inlineStr"/>
      <c r="I9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Jose, CA: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9">
      <c r="A99" t="inlineStr">
        <is>
          <t>li-4366532613</t>
        </is>
      </c>
      <c r="B99" t="inlineStr">
        <is>
          <t>Principal Software Engineer</t>
        </is>
      </c>
      <c r="C99" t="inlineStr">
        <is>
          <t>Orion</t>
        </is>
      </c>
      <c r="D99" t="inlineStr">
        <is>
          <t>linkedin</t>
        </is>
      </c>
      <c r="E99">
        <f>HYPERLINK("https://www.linkedin.com/jobs/view/4366532613", "https://www.linkedin.com/jobs/view/4366532613")</f>
        <v/>
      </c>
      <c r="F99" t="inlineStr"/>
      <c r="G99" t="inlineStr">
        <is>
          <t>Lehi, UT</t>
        </is>
      </c>
      <c r="H99" t="inlineStr"/>
      <c r="I99" t="inlineStr">
        <is>
          <t>**About This Opportunity**
 The Principal Software Engineer (IC6\) leads the design, development, and evolution of Orion’s modern cloud\-native technology stack. This role architects end\-to\-end systems, sets and drives engineering standards, identifies long\-term platform investments, and leverages deep expertise in AWS, serverless patterns, distributed systems, JavaScript/TypeScript, React, and modern application development. Operating with substantial autonomy, the Principal Engineer tackles Orion’s most complex technical challenges, charts the course for major engineering initiatives, and ensures solutions are reliable, scalable, secure, cost\-efficient, and aligned to business outcomes. As we continue to evolve and live our Orion values, we are looking for someone to grow with us.
**For External Candidates**
 Candidates must work in\-office at one of the following locations for at least 3 days per week: Omaha, NE; or Lehi, UT.
**For Internal Candidates**
*A* 
 ll internal employees, regardless of their current work arrangement (remote or in\-office), are encouraged to apply.
**In This Role, You'll Get To**
* Architect and implement large\-scale, fully serverless applications using AWS Lambda, API Gateway, CloudFront, EventBridge, SQS/SNS, S3, and RDS
* Define the architectural vision for cloud\-native, event\-driven systems across Orion
* Lead design for new platforms, subsystems, and cross\-cutting capabilities that support Orion’s growth and scale
* Build and maintain infrastructure\-as\-code and CI/CD pipelines that support rapid, consistent deployment
* Serve as Orion’s top technical expert in AWS architecture and serverless engineering
* Provide guidance, mentorship, and direction to engineers, senior engineers, and tech leads
* Lead design reviews, complex debugging efforts, and operational excellence initiatives
* Drive adoption of new AWS services, modern distributed system patterns, and emerging technologies—including generative and agentic AI
* Partner with Product, Security, DevOps, and business stakeholders to ensure technical decisions support Orion’s strategic goals.
* Champion secure coding practices, system hardening, and proactive risk mitigation
* Build performant, resilient, scalable systems that self\-heal and optimize cost
* Create and enforce testing strategies, including integrated and automated testing approaches
* Diagnose and solve high\-severity issues across any layer of the stack—front\-end, back\-end, database, networking, or infrastructure
* Shape the engineering culture by promoting best practices, simplification, and continuous improvement
* Influence roadmaps and technology direction through data, experience, and clear communication
* Serve as a trusted advisor across engineering teams and to senior leadership
* Build strong cross\-functional relationships to drive work that impacts multiple areas of the business
* Independently define methods, strategies, and technical approaches for novel or ambiguous initiatives
* Balance creativity and discipline to build solutions that deliver outsized impact
* Maintain a continuous learning practice to stay ahead of rapidly evolving cloud engineering trends
* Operate with a platform\-owner mindset—thinking holistically about reliability, scale, and long\-term maintainability
**We're Looking For Talent Who**
* Has mastery of modern JavaScript/TypeScript and the Node.js ecosystem
* Has deep experience building rich, modern UIs using React and supporting front\-end libraries
* Has strong understanding of browser capabilities, web performance, and front\-end architecture
* Has advanced SQL and relational database expertise, especially MySQL (schema design, indexing, query optimization)
* Has knowledge of data lakes and distributed data pipeline technologies
* Has expertise across AWS (Lambda, API Gateway, CloudFront, SQS, SNS, SES, EventBridge, S3, RDS)
* Has strong understanding of OAuth2, OpenID Connect, cryptography, and security protocols
* Has mastery of git workflows, CI/CD pipelines, IaC best practices, and SDLC processes
* Has broad architectural pattern knowledge (DDD, CQRS, SOLID, event\-driven patterns)
* Has exceptional debugging and problem\-solving skills across the full stack
* Tackles high\-impact, highly ambiguous problems with no blueprint
* Defines technical frameworks, patterns, and decision structures for other engineers to follow
* Solutions directly influence Orion’s long\-term scalability, reliability, and competitive advantage
* Builds influence networks across teams and guides engineering direction at scale
* Operates with full independence on new, critical, or technically undefined initiatives
* May indirectly lead engineers or project teams through influence and technical direction
* Determines architecture, technical strategies, and methods for complex initiatives
* Has a minimum of 10\+ years of progressive software engineering experience
* Has demonstrated mastery architecting and building in AWS
* Has AWS Solutions Architect certification (or equivalent experience) strongly preferred
* Owns and manages relationships with stakeholders directly and works effectively with people at all levels in an organization
**Salary Range**
 $123,491\.00 \- $196,279\.00
 The pay listed in this posting indicates the estimated pay at the time of this posting; however, may vary depending on geographic location, job\-related knowledge, skills, and experience. In addition, Orion offers a competitive benefits package which includes health, dental, vision, and disability coverage on day one, 401(k) plan with employer match, paid parental leave, pet benefits including pawternity leave and pet insurance, student loan repayment and more.
**About Us**
 At Orion, we achieve our best work when we support one another, staying personally accountable to each other and the clients we serve. We create a welcoming environment where everyone is respected, valued, and heard. Our commitment to
 **create raving** 
**fans** 
 ensures we consistently exceed client expectations. Thinking differently is in our DNA—we
 **innovate always** 
 , push boundaries, and reject the status quo to deliver transformative outcomes. Together, we
 **support one another** 
 and
 **see it through** 
 to success, driving our collective achievements and those of our clients.</t>
        </is>
      </c>
    </row>
    <row r="100">
      <c r="A100" t="inlineStr">
        <is>
          <t>li-4366908951</t>
        </is>
      </c>
      <c r="B100" t="inlineStr">
        <is>
          <t>Scala Backend Software Engineer - Vice President</t>
        </is>
      </c>
      <c r="C100" t="inlineStr">
        <is>
          <t>iCapital</t>
        </is>
      </c>
      <c r="D100" t="inlineStr">
        <is>
          <t>linkedin</t>
        </is>
      </c>
      <c r="E100">
        <f>HYPERLINK("https://www.linkedin.com/jobs/view/4366908951", "https://www.linkedin.com/jobs/view/4366908951")</f>
        <v/>
      </c>
      <c r="F100" t="inlineStr"/>
      <c r="G100" t="inlineStr"/>
      <c r="H100" t="inlineStr"/>
      <c r="I100" t="inlineStr">
        <is>
          <t>**About The Role**
 The Backend Engineer at iCapital will play an integral role in designing and implementing systems that power the iCapital platform. We are looking for engineers who can build APIs and applications that are highly performant and intuitive. More than checking the boxes on specific technologies, we are looking for driven team members with technical depth and a desire to deliver end products for our clients.
 You will work closely with our Investments Product Management team throughout the software development process.
 Our platform sits on top of a micro\-services architecture with services built in Scala, Ruby, Node.js and Python. If you are not already familiar with the technologies used at iCapital, you will have the opportunity to pick up these new tools and technologies while on the job—with support from management and mentors.
**Responsibilities**
* Building cloud native services using Scala using open\-source frameworks Akka, ZIO etc.
* Unit and integration test development using Scala Test
* Active participation in stand\-up meetings
* Active participation in Peer Code Reviews as part of our standard SDLC and Change Management Process
* Support clients through system integrations and production issues
**Qualifications**
* Degree in Software Engineering
* 9\+ years of web\-based application development
* 2\+ years experience in Scala. (Node.js or Java is a plus)
* Demonstrated understanding of relational or NoSQL database concepts and modeling practices
* Passion for actively learning new technologies
* Ability to work independently or as part of a group effort, as required
* Solid problem\-solving abilities
* Excellent communication skills
* Collaborative approach to software development
**Benefits**
 The base salary range for this role is $160,000 to $200,000\.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row>
    <row r="101">
      <c r="A101" t="inlineStr">
        <is>
          <t>li-4243348455</t>
        </is>
      </c>
      <c r="B101" t="inlineStr">
        <is>
          <t>Principal Software Developer- Network Operating Systems (NOS)</t>
        </is>
      </c>
      <c r="C101" t="inlineStr">
        <is>
          <t>Oracle</t>
        </is>
      </c>
      <c r="D101" t="inlineStr">
        <is>
          <t>linkedin</t>
        </is>
      </c>
      <c r="E101">
        <f>HYPERLINK("https://www.linkedin.com/jobs/view/4243348455", "https://www.linkedin.com/jobs/view/4243348455")</f>
        <v/>
      </c>
      <c r="F101" t="inlineStr"/>
      <c r="G101" t="inlineStr"/>
      <c r="H101" t="inlineStr"/>
      <c r="I101" t="inlineStr">
        <is>
          <t>**Job Description**
 The Principal Member of Technical Staff will lead the development and management of software solutions that integrate with advanced networking technologies. This role involves defining high\-level objectives and delivery procedures for software projects, organizing technical milestones, and supporting tasks. The candidate will often serve as the project technical lead, coordinating the efforts of two or three engineers, advising the project/program manager, and collaborating with immediate and skip\-level leadership to ensure alignment with organizational goals. As a technical Subject Matter Expert (SME) with a focus on networking, the Principal Member of Technical Staff will take responsibility for complex projects, including the development of software for network operating systems and related infrastructure. The role requires decomposing high\-level architectures into detailed software designs, leading the development of solutions that involve multiple modules with complex interactions, and ensuring that these solutions are properly supported by monitoring and automation systems. In this capacity, the candidate will act as an SME for root cause analysis and frequently develop scripts to automate complex tasks that bridge software and networking functions. They may also lead software automation design and delivery projects specifically tailored to network operations. The Principal Member of Technical Staff will offer broad guidance to technical and senior technical staff, interpreting input from leaders (technical and managerial) and mentoring junior engineers. The candidate will conduct technical coaching sessions and help team members develop skills in both software engineering and networking. Collaboration with vendor engineering and account managers is critical, particularly in addressing current business or operational challenges related to network operating systems and network automation tools. The candidate will participate in the development of RFQ/RFPs and may lead the adoption of new software tools or platforms that integrate with networking hardware. Active communication with product teams is essential, as the candidate will drive technology to meet product and service requirements, working closely with product teams, networking leadership, and the PMO to assess gaps, solutions, and needs.
**Qualifications:**
* Bachelor’s degree in Computer Science or a related field is preferred.
* At least 8 years of related experience in software engineering with a focus on networking.
* Strong expertise in Network Operating Systems (NOS) and experience working with networking hardware.
* Experience in developing software solutions for large enterprise or cloud provider environments.
* Proficiency in programming languages such as Python, C/C\+\+, Java, or similar.
* Knowledge of networking protocols (e.g., BGP, OSPF, IS\-IS, TCP/IP) and technologies (e.g., VPN, DNS, DHCP, MPLS).
* Experience with network automation, scripting, and tooling (e.g., Python, Ansible).
* Familiarity with network modeling and programming (e.g., YANG, Open Config, NETCONF).
* Experience with software architecture and design, particularly in distributed systems and cloud\-native environments.
* Strong understanding of network security and best practices in software development.
* Experience with CI/CD pipelines, version control systems, and DevOps practices.
* Knowledge of API development and integration, particularly in networking contexts.
* Proven ability as a leading individual contributor and team member, providing direction and mentoring to others.
* Excellent judgment in influencing product roadmap direction, features, and priorities.
* Capable of working under limited supervision.
* Excellent organizational, verbal, and written communication skills.
**Responsibilities**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2">
      <c r="A102" t="inlineStr">
        <is>
          <t>li-4366509672</t>
        </is>
      </c>
      <c r="B102" t="inlineStr">
        <is>
          <t>Alfresco Software Developer</t>
        </is>
      </c>
      <c r="C102" t="inlineStr">
        <is>
          <t>Jobs via Dice</t>
        </is>
      </c>
      <c r="D102" t="inlineStr">
        <is>
          <t>linkedin</t>
        </is>
      </c>
      <c r="E102">
        <f>HYPERLINK("https://www.linkedin.com/jobs/view/4366509672", "https://www.linkedin.com/jobs/view/4366509672")</f>
        <v/>
      </c>
      <c r="F102" t="inlineStr"/>
      <c r="G102" t="inlineStr">
        <is>
          <t>Malvern, PA</t>
        </is>
      </c>
      <c r="H102" t="inlineStr"/>
      <c r="I102" t="inlineStr">
        <is>
          <t>Dice is the leading career destination for tech experts at every stage of their careers. Our client, HAN IT Staffing Inc., is seeking the following. Apply via Dice today!
**Role: Hyland Alfresco Software Developer**
**Any Visa is okay**
**Length of the project: 12 months with possibility for extension.**
**Location: Malvern, PA(Hybrid\- 3 days a week onsite \&amp; must be willing to relocate and be onsite on day 1\)**
**Responsibilities**
 We’re looking for a
 **Hyland Alfresco Software Developer** 
 to help build and enhance our enterprise content management solutions. In this role, you’ll work across Alfresco Content Services (ACS), Alfresco Digital Workspace (ADW), Alfresco Content Accelerator (ACA), and related API integrations to support high volume, cloud hosted document workflows.
**What You’ll Do**
* Develop and extend content models, repository logic, and automation within Alfresco Content Services.
* Build UI extensions and components for Alfresco Digital Workspace (ADF/Angular).
* Configure and enhance Alfresco Content Accelerator (queues, metadata, bulk actions).
* Design and maintain REST/CMIS API integrations with internal and external systems.
* Collaborate with engineering, cloud operations, and product teams to deliver stable, scalable content solutions.
**Qualifications**
**What We’re Looking For a Developer with 8\+ years of industry experience**
* Experience with Alfresco or similar ECM platforms.
* Strong skills in Java, JavaScript/TypeScript, and Angular.
* Familiarity with REST APIs, cloud based deployments, and CI/CD.
* Understanding of content modeling, metadata, permissions, and document lifecycles.
* Ability to troubleshoot across UI, API, and repository layers.</t>
        </is>
      </c>
    </row>
    <row r="103">
      <c r="A103" t="inlineStr">
        <is>
          <t>li-4366527369</t>
        </is>
      </c>
      <c r="B103" t="inlineStr">
        <is>
          <t>Alfresco Software Developer</t>
        </is>
      </c>
      <c r="C103" t="inlineStr">
        <is>
          <t>Jobs via Dice</t>
        </is>
      </c>
      <c r="D103" t="inlineStr">
        <is>
          <t>linkedin</t>
        </is>
      </c>
      <c r="E103">
        <f>HYPERLINK("https://www.linkedin.com/jobs/view/4366527369", "https://www.linkedin.com/jobs/view/4366527369")</f>
        <v/>
      </c>
      <c r="F103">
        <f>HYPERLINK("https://click.appcast.io/t/SfQi13EHGyvjEoxeU_HpyxbgdrNNUUgiuB74vMYh-3A=&amp;urlHash=xO7B", "https://click.appcast.io/t/SfQi13EHGyvjEoxeU_HpyxbgdrNNUUgiuB74vMYh-3A=&amp;urlHash=xO7B")</f>
        <v/>
      </c>
      <c r="G103" t="inlineStr">
        <is>
          <t>Malvern, PA</t>
        </is>
      </c>
      <c r="H103" t="inlineStr"/>
      <c r="I103" t="inlineStr">
        <is>
          <t>Dice is the leading career destination for tech experts at every stage of their careers. Our client, HAN IT Staffing Inc., is seeking the following. Apply via Dice today!
**Role: Hyland Alfresco Software Developer**
**Any Visa is okay**
**Length of the project: 12 months with possibility for extension.**
**Location: Malvern, PA(Hybrid\- 3 days a week onsite \&amp; must be willing to relocate and be onsite on day 1\)**
**Responsibilities**
 We’re looking for a
 **Hyland Alfresco Software Developer** 
 to help build and enhance our enterprise content management solutions. In this role, you’ll work across Alfresco Content Services (ACS), Alfresco Digital Workspace (ADW), Alfresco Content Accelerator (ACA), and related API integrations to support high volume, cloud hosted document workflows.
**What You’ll Do**
* Develop and extend content models, repository logic, and automation within Alfresco Content Services.
* Build UI extensions and components for Alfresco Digital Workspace (ADF/Angular).
* Configure and enhance Alfresco Content Accelerator (queues, metadata, bulk actions).
* Design and maintain REST/CMIS API integrations with internal and external systems.
* Collaborate with engineering, cloud operations, and product teams to deliver stable, scalable content solutions.
**Qualifications**
**What We’re Looking For a Developer with 8\+ years of industry experience**
* Experience with Alfresco or similar ECM platforms.
* Strong skills in Java, JavaScript/TypeScript, and Angular.
* Familiarity with REST APIs, cloud based deployments, and CI/CD.
* Understanding of content modeling, metadata, permissions, and document lifecycles.
* Ability to troubleshoot across UI, API, and repository layers.</t>
        </is>
      </c>
    </row>
    <row r="104">
      <c r="A104" t="inlineStr">
        <is>
          <t>li-4366528291</t>
        </is>
      </c>
      <c r="B104" t="inlineStr">
        <is>
          <t>Principal Backend Engineer</t>
        </is>
      </c>
      <c r="C104" t="inlineStr">
        <is>
          <t>Jobs via Dice</t>
        </is>
      </c>
      <c r="D104" t="inlineStr">
        <is>
          <t>linkedin</t>
        </is>
      </c>
      <c r="E104">
        <f>HYPERLINK("https://www.linkedin.com/jobs/view/4366528291", "https://www.linkedin.com/jobs/view/4366528291")</f>
        <v/>
      </c>
      <c r="F104" t="inlineStr"/>
      <c r="G104" t="inlineStr">
        <is>
          <t>Boston, MA</t>
        </is>
      </c>
      <c r="H104" t="inlineStr"/>
      <c r="I104" t="inlineStr">
        <is>
          <t>RESPONSIBILITIES:
 Kforce has a client in Boston, MA that is seeking a Principal Backend Engineer to work onsite 4 days per week.
 Summary:
 The Operations Systems Technology team builds and maintains the platforms that power core operational functions across investment operations, accounting, treasury, reference data, and global books\-of\-record. The team also develops a modern data and platform layer that supports AI\-driven use cases, helping internal teams unlock insights and automate critical workflows. As a Principal Engineer, you will be a technical leader guiding the architecture, design, and development of distributed, data\-intensive systems.
 Duties:
* Define and lead the technical roadmap for large\-scale operations and data platforms
* Architect distributed, event\-driven systems that power operational \-workflows and data services
* Drive modernization initiatives using cloud\-native tooling, observability frameworks, and infrastructure\-as\-code
* Productionize AI models and automation services
* Lead the design and development of backend components using Python and related frameworks
* Set and enforce engineering best practices to ensure high\-quality, maintainable systems
* Collaborate closely with product, data, and operations teams to translate business needs into technical solutions
* Drive continuous improvement across performance, reliability, and developer experience
* Work with product and operations leaders to align technical strategy with organizational goals
* Provide architectural oversight for systems integrating financial data, AI, and platform services
* Communicate complex technical concepts clearly to both technical and non\-technical audiences
* Mentor engineers to elevate technical depth and leadership skills across teams
* Foster a culture of innovation, collaboration, and continuous learning
* Contribute to recruiting efforts and help build a world\-class engineering organization
 REQUIREMENTS:
* 10\+ years of software engineering experience with proven technical leadership
* Expert\-level Python skills, particularly in building scalable backend or data systems
* Strong hands\-on AWS experience (EKS/ECS, Lambda, S3, DynamoDB, CloudFormation/Terraform)
* Deep understanding of distributed systems: microservices, messaging, caching, concurrency, and resilience
* Experience building or scaling production AI products, automation tools, or inference services
* Familiarity with AI and data platform tools (vector databases, LangChain, LiteLLM, LLM APIs)
* Experience with data modeling and modern data platforms such as Snowflake or data lake architectures
* Strong knowledge of relational databases and data integrity design
* Background in financial systems, accounting, treasury, or operational technology is highly valued
* Excellent communication skills and the ability to work across diverse stakeholders
 Our tech stack includes Python, Kubernetes, and AWS\-embracing modern, cloud\-native design principles to support mission\-critical systems with performance, reliability, and scale.
 Join a high\-impact technology organization that's redefining how modern operational and financial systems are built. If you're passionate about solving complex technical challenges and shaping the future of data\-driven platforms, this role offers the opportunity to lead at enterprise scale.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05">
      <c r="A105" t="inlineStr">
        <is>
          <t>li-4366754917</t>
        </is>
      </c>
      <c r="B105" t="inlineStr">
        <is>
          <t>Software Engineer, USRM Small Commercial (SC) Product Tech (Java/Kotlin)</t>
        </is>
      </c>
      <c r="C105" t="inlineStr">
        <is>
          <t>Liberty Mutual Insurance</t>
        </is>
      </c>
      <c r="D105" t="inlineStr">
        <is>
          <t>linkedin</t>
        </is>
      </c>
      <c r="E105">
        <f>HYPERLINK("https://www.linkedin.com/jobs/view/4366754917", "https://www.linkedin.com/jobs/view/4366754917")</f>
        <v/>
      </c>
      <c r="F105" t="inlineStr"/>
      <c r="G105" t="inlineStr">
        <is>
          <t>Columbus, OH</t>
        </is>
      </c>
      <c r="H105" t="inlineStr"/>
      <c r="I105" t="inlineStr">
        <is>
          <t>**Description**
 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Join our USRM Small Commercial (SC) Product Tech space as a Software Engineer for Rules Software Product (SWP). SC underwriting platforms send data to the Rules SWP throughout the lifecycle of a quote and policy for evaluation by business rules. The Rules SWP team is currently supporting new major product rollouts while modernizing 8\+ supported business capabilities to their target tech solution. Rules SWP team works closely with other business and IT policy quoting teams.
**Qualifications**
* Three years of software engineering experience.
* Experience working in an agile environment utilizing Scrum, Kanban or XP.
* Three years of software engineering experience.
* Experience working in an agile environment utilizing Scrum, Kanban or XP.
* A history of translating business requirements into technical designs.
* Proficiency in software engineering languages and tools, including Java, Kotlin, Spring Boot, React, AWS and RESTful services, spanning horizontal and vertical packages.
* Experience with business rule engines and business rule platforms
* Experience with monitoring \&amp; observability tools (Datadog, Splunk, etc.)
* Familiarity with Docker and Kubernetes
* A Bachelor’s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06">
      <c r="A106" t="inlineStr">
        <is>
          <t>li-4321387003</t>
        </is>
      </c>
      <c r="B106" t="inlineStr">
        <is>
          <t>Lead Full-Stack Software Engineer (Java/Angular)</t>
        </is>
      </c>
      <c r="C106" t="inlineStr">
        <is>
          <t>Jobs via Dice</t>
        </is>
      </c>
      <c r="D106" t="inlineStr">
        <is>
          <t>linkedin</t>
        </is>
      </c>
      <c r="E106">
        <f>HYPERLINK("https://www.linkedin.com/jobs/view/4321387003", "https://www.linkedin.com/jobs/view/4321387003")</f>
        <v/>
      </c>
      <c r="F106" t="inlineStr"/>
      <c r="G106" t="inlineStr"/>
      <c r="H106" t="inlineStr"/>
      <c r="I106" t="inlineStr">
        <is>
          <t>We are seeking a
 **Lead Full\-Stack Software Engineer (Java/Angular)** 
 to drive the design, development, and delivery of innovative software solutions that meet our clients' needs.
 You will work closely with product owners, architects, and engineering teams to align technology choices with our product vision, while mentoring and guiding other engineers. Join us to lead impactful projects and shape the future of our technology landscape.
 Experience the freedom of remote work from anywhere in Georgia, whether from the comfort of your home, our modern offices in Tbilisi and Batumi or a coworking space in Kutaisi.
**Responsibilities**
* Design and develop scalable back\-end software solutions for on\-premises and cloud environments
* Contribute to front\-end development using Angular and TypeScript
* Ensure performance, scalability, and security of applications
* Participate in design workshops with architects
* Prototype new technologies with a fail\-fast approach
* Collaborate with peers to implement software engineering best practices
* Support engineering managers with backlog estimation and planning
* Lead code reviews to ensure code quality
* Coach and mentor software engineers
* Translate business requirements into technical solutions
* Implement and optimize RESTful APIs
* Manage containerization using Docker or Azure Kubernetes Service
* Oversee CI/CD pipeline processes using Azure DevOps
**Requirements**
* 10\+ years back\-end software design and development experience
* 8\+ years Java and Spring Boot experience
* 2\+ years Angular and JavaScript experience
* Strong technical proficiency in secure, clean code design
* Experience designing and implementing optimized RESTful APIs
* Proven knowledge of software testing methodologies
* Experience with containerization using Docker or Azure Kubernetes Service
* Expertise in CI/CD pipelines with Azure DevOps
* Advanced knowledge of agile software engineering practices
* Front\-end development expertise beyond basics
* Experience leading code reviews
* Proactive and collaborative attitude
* Upper\-Intermediate English language proficiency (B2\)
 Nice to have
* Experience with Microservice Architecture Style
* Hands\-on experience with Cypress for testing
* Knowledge of D3 JS for data visualization
* Proficiency with ag\-grid for front\-end grid components
 We offer/Benefits
**We connect like\-minded people**
* Delivering innovative solutions to industry leaders, making a global impact
* Enjoyable working environment, whether it is the vibrant office or the comfort of your own home
* Opportunity to work abroad for up to two months per year
* Relocation opportunities within our offices in 55\+ countries
* Corporate and social events
**We invest in your growth**
* Leadership development, career advising, soft skills and well\-being programs
* Certifications, including Google Cloud Platform, Azure and AWS
* Unlimited access to LinkedIn Learning and Get Abstract
* Free English classes with certified teachers
**We cover it all**
* Participation in the Employee Stock Purchase Plan
* Monetary bonuses for engaging in the referral program
* Comprehensive medical \&amp; family care package
* Five trust days per year (sick leave without a medical certificate)
* Benefits package (sports activities, a variety of stores and services)
 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
 Why Choose Us
 2024 Best Place to Work 2024 2024 Sitecore's Partner Experience Awards
 Looking for something else?
 Find a vacancy that works for you. Send us your CV to receive a personalized offer.
 Find me a job</t>
        </is>
      </c>
    </row>
    <row r="107">
      <c r="A107" t="inlineStr">
        <is>
          <t>li-4366774989</t>
        </is>
      </c>
      <c r="B107" t="inlineStr">
        <is>
          <t>Lead Software Engineer, Full Stack</t>
        </is>
      </c>
      <c r="C107" t="inlineStr">
        <is>
          <t>Capital One</t>
        </is>
      </c>
      <c r="D107" t="inlineStr">
        <is>
          <t>linkedin</t>
        </is>
      </c>
      <c r="E107">
        <f>HYPERLINK("https://www.linkedin.com/jobs/view/4366774989", "https://www.linkedin.com/jobs/view/4366774989")</f>
        <v/>
      </c>
      <c r="F107">
        <f>HYPERLINK("https://dsp.prng.co/1gPINUb&amp;urlHash=5r7g", "https://dsp.prng.co/1gPINUb&amp;urlHash=5r7g")</f>
        <v/>
      </c>
      <c r="G107" t="inlineStr">
        <is>
          <t>San Jose, CA</t>
        </is>
      </c>
      <c r="H107" t="inlineStr"/>
      <c r="I10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Jose, CA: $215,200 \- $245,600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8">
      <c r="A108" t="inlineStr">
        <is>
          <t>li-4358367641</t>
        </is>
      </c>
      <c r="B108" t="inlineStr">
        <is>
          <t>Senior Software Engineer, Machine Learning Accelerator Technology</t>
        </is>
      </c>
      <c r="C108" t="inlineStr">
        <is>
          <t>Amazon Web Services (AWS)</t>
        </is>
      </c>
      <c r="D108" t="inlineStr">
        <is>
          <t>linkedin</t>
        </is>
      </c>
      <c r="E108">
        <f>HYPERLINK("https://www.linkedin.com/jobs/view/4358367641", "https://www.linkedin.com/jobs/view/4358367641")</f>
        <v/>
      </c>
      <c r="F108" t="inlineStr"/>
      <c r="G108" t="inlineStr">
        <is>
          <t>Austin, TX</t>
        </is>
      </c>
      <c r="H108" t="inlineStr"/>
      <c r="I108" t="inlineStr">
        <is>
          <t>**Description**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Annapurna Labs (our organization within AWS UC)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The MLA Technology team is looking for candidates interested in diving deep into the different hardware technologies that power our Machine Learning servers and view the software to drive these technologies as the deliverable.
 Do you like hacking memory using PCIe expansion cards? Great! Do you read data sheets like others read the news? Great! Done some embedded programming? Great! Messed with FPGAs? Great! Hacked your autonomous vacuum cleaner? Great! Let the magic smoke out once or twice? Didn't we all ... Did this make you smile? Awesome.
 Our team writes software focused on hardware for the most advanced servers in the world. If that interests you, come join our team!
 Key job responsibilities
* Members of the team are responsible for software related to machine learning hardware at all points in the hardware life cycle.
* Working with silicon design and hardware design teams across EC2
* Developing software which can be maintained, improved upon, documented, tested, and reused.
 A day in the life
 The MLA Technology team was formed to focus on server software primarily for debug, testing, qualification, and manufacturing. No software is too low level for us. No software is too high level for us. At a high\-level our goal is to find ways to help the organization scale though the use of software and automation as it relates to specific hardware technologies.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**Preferred Qualifications**
* Bachelor's degree in computer science or equivalent
* Experience writing low level drivers, or experience with general troubleshooting/debugging of hardware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A3100161</t>
        </is>
      </c>
    </row>
    <row r="109">
      <c r="A109" t="inlineStr">
        <is>
          <t>li-4321397126</t>
        </is>
      </c>
      <c r="B109" t="inlineStr">
        <is>
          <t>Senior Software Engineer, Minecraft Networking</t>
        </is>
      </c>
      <c r="C109" t="inlineStr">
        <is>
          <t>Jobs via Dice</t>
        </is>
      </c>
      <c r="D109" t="inlineStr">
        <is>
          <t>linkedin</t>
        </is>
      </c>
      <c r="E109">
        <f>HYPERLINK("https://www.linkedin.com/jobs/view/4321397126", "https://www.linkedin.com/jobs/view/4321397126")</f>
        <v/>
      </c>
      <c r="F109">
        <f>HYPERLINK("https://click.appcast.io/t/Mz-h_AuzoqqgFM9uQZE8K5sjkLhLRbL6OIDzdWrgyzY=&amp;urlHash=O9GO", "https://click.appcast.io/t/Mz-h_AuzoqqgFM9uQZE8K5sjkLhLRbL6OIDzdWrgyzY=&amp;urlHash=O9GO")</f>
        <v/>
      </c>
      <c r="G109" t="inlineStr">
        <is>
          <t>Redmond, WA</t>
        </is>
      </c>
      <c r="H109" t="inlineStr"/>
      <c r="I109"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Join our Networking team where you'll architect and implement cutting\-edge networking solutions for multiplayer games. We are looking for a Senior Software Engineer to optimize server performance, ensure seamless player experiences, and innovate in online gameplay technologies in the C\+\+ Minecraft engine. If you're passionate about pushing the boundaries of online gaming and thrive in a collaborative environment, apply now to shape the future.
 In the end, it's the people of Mojang Studios that make this place truly special. When you join, you'll find yourself in the company of incredibly bright, warm, and creative individuals \- all united and working toward a single goal. Come help us reach it!
**Responsibilities**
* Design solutions for systems which result in simple, extensible and maintainable high\-quality code.
* Lead design, implementation, and code reviews across the Minecraft Networking space.
* Leverage data to detect and diagnose problems and validate solutions.
* Engage with teams across the studio on project planning, knowledge\-sharing and code reviews.
* Ensure consistent, maintainable unit and functional tests to help monitor system quality.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4\+ years of experience developing in C\+\+ with an understanding of the architecture of modern game engines.
* 1\+ years experience working in a Networking related field with a strong proficiency in designing, debugging, and programming in the area.
* Ability to prototype, iterate, and take proactive initiative to advance projects.
* Verbal and written communication skills with an emphasis on collaboration and inclusiveness.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2026-01-28T21:09:53Z</dcterms:created>
  <dcterms:modified xsi:type="dcterms:W3CDTF">2026-01-28T21:09:53Z</dcterms:modified>
</cp:coreProperties>
</file>