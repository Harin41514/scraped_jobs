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in-a0013d66864d793e</t>
        </is>
      </c>
      <c r="B2" t="inlineStr">
        <is>
          <t>Program Manager</t>
        </is>
      </c>
      <c r="C2" t="inlineStr">
        <is>
          <t>XpertDox, LLC</t>
        </is>
      </c>
      <c r="D2" t="inlineStr">
        <is>
          <t>indeed</t>
        </is>
      </c>
      <c r="E2">
        <f>HYPERLINK("https://www.indeed.com/viewjob?jk=a0013d66864d793e", "https://www.indeed.com/viewjob?jk=a0013d66864d793e")</f>
        <v/>
      </c>
      <c r="F2">
        <f>HYPERLINK("http://www.indeed.com/job/program-manager-a0013d66864d793e", "http://www.indeed.com/job/program-manager-a0013d66864d793e")</f>
        <v/>
      </c>
      <c r="G2" t="inlineStr">
        <is>
          <t>Scottsdale, AZ, US</t>
        </is>
      </c>
      <c r="H2" s="2" t="n">
        <v>46050</v>
      </c>
      <c r="I2" t="inlineStr">
        <is>
          <t>**Program Manager**
**Type:** Full\-time
**About XpertDox**
XpertDox is a healthcare technology company focused on reducing the administrative burden of medical coding. Our platform, XpertCoding, applies ensemble machine learning and transformer neural networks to automatically assign ICD and CPT codes, improving accuracy, compliance, and revenue cycle efficiency. We work with large\-scale clinical data, including EHRs, clinical notes, and claims, to reduce errors and costs while enabling physicians to focus on patient care. As a small, fast\-moving team, every engineer directly impacts production systems and customer outcomes
**Role Overview**
XpertDox is seeking an experienced and execution\-driven Program Manager to own and scale program execution across the organization. This role will be responsible for end\-to\-end program governance, operational excellence, and cross\-functional alignment, ensuring that all initiatives, especially ticket\-driven delivery work, are executed with speed, quality, and accountability. This leader will define processes, standards, and metrics, manage program managers/coordinators, and act as the single point of truth for execution health across XpertDox. The ideal candidate is both strategic and hands\-on, capable of driving outcomes in a fast\-paced, high\-accountability environment.
**Key Responsibilities**
**Program Execution \&amp; Client Onboarding Leadership**
* Own and manage the full onboarding lifecycle, from kickoff through validation, go\-live, and scale\-up.
* Drive smooth, timely go\-lives by identifying risks and resolving blockers before they impact delivery.
* Lead post–go\-live execution to support scaling, stabilization, and continuous improvement.
**Ticket \&amp; Workflow Ownership**
* Provide complete ownership and oversight of the ticket\-based execution model.
* Ensure every ticket has a clear owner, scope, and next steps before progressing through stages.
* Monitor ticket aging, dependencies, and bottlenecks; drive corrective actions to maintain momentum.
**Cross\-Functional Coordination**
* Partner closely with Technical, Operations, and Client\-facing teams to ensure alignment on priorities.
* Act as the central coordination point between internal teams to deliver high\-quality client outcomes.
* Hold teams accountable while fostering a collaborative, execution\-focused culture.
**Reporting \&amp; Executive Communication**
* Provide clear, regular execution updates to the COO and leadership team.
* Maintain visibility into program health, risks, timelines, and capacity using data\-driven reporting.
* Proactively escalate issues with clear recommendations and resolution plans.
**Qualifications \&amp; Skills**
* 5\+ years of experience in Program Management, Project Management, or Operations.
* Experience in SaaS and healthcare technology.
* Proven experience owning client onboarding, implementation, or go\-live programs.
* Strong understanding of ticket\-based workflows and execution tracking.
* Excellent communication skills with the ability to work with leadership and cross\-functional teams.
* Highly organized, detail\-oriented, and comfortable managing multiple parallel programs.
**What We Offer**
* Competitive compensation aligned with experience and impact.
* Dental, Health, Vision and Life insurance
* Unlimited PTO and Parental leave
* Relocation assistance
* High\-ownership role reporting directly to the COO.
* Opportunity to build XpertDox’s Program Management team.
* Fast\-growing, collaborative environment with real ownership and visibility.
* Exposure to enterprise clients and complex onboarding programs.
**Salary Range**
* $100 \- $140k
* Potential Profits Interest
* Relocation assistance
We want to ensure that all applicants have a fair and equal chance, so we’re using a TestGorilla assessment (https://www.testgorilla.com). This minimizes unconscious bias in our hiring process. Successful candidates will be invited to a job interview.
Ready to join our team? Start by clicking the link below.
**https://app.testgorilla.com/s/jdgffoj1**
Job Type: Full\-time
Pay: $100,000\.00 \- $140,000\.00 per year
Benefits:
* Dental insurance
* Flexible schedule
* Health insurance
* Life insurance
* Paid time off
* Parental leave
* Relocation assistance
* Vision insurance
Application Question(s):
* Have you personally taken full revenue ownership directly from a founder before?
* Have you built or rebuilt a revenue organization between approximately $4M and $10M ARR?
* Have Sales, Marketing, and Client Success all reported directly to you in a prior role?
Education:
* High school or equivalent (Preferred)
Ability to Relocate:
* Scottsdale, AZ 85258: Relocate with an employer provided relocation package (Preferred)
Work Location: In person</t>
        </is>
      </c>
    </row>
    <row r="3">
      <c r="A3" t="inlineStr">
        <is>
          <t>in-341fc27e159b3614</t>
        </is>
      </c>
      <c r="B3" t="inlineStr">
        <is>
          <t>On-Call Program Manager - Healthy Kitchens, Healthy Lives</t>
        </is>
      </c>
      <c r="C3" t="inlineStr">
        <is>
          <t>Culinary Institute of America</t>
        </is>
      </c>
      <c r="D3" t="inlineStr">
        <is>
          <t>indeed</t>
        </is>
      </c>
      <c r="E3">
        <f>HYPERLINK("https://www.indeed.com/viewjob?jk=341fc27e159b3614", "https://www.indeed.com/viewjob?jk=341fc27e159b3614")</f>
        <v/>
      </c>
      <c r="F3">
        <f>HYPERLINK("https://recruiting.ultipro.com/CUL1001CLNRY/JobBoard/882ef99c-43fa-44c0-b531-ad9c64a00dd8/OpportunityDetail?opportunityId=5752c307-1e81-4962-83d9-f9591f881a11&amp;postingId=b8820515-61ee-4d3a-909d-e6e1d426c6d1", "https://recruiting.ultipro.com/CUL1001CLNRY/JobBoard/882ef99c-43fa-44c0-b531-ad9c64a00dd8/OpportunityDetail?opportunityId=5752c307-1e81-4962-83d9-f9591f881a11&amp;postingId=b8820515-61ee-4d3a-909d-e6e1d426c6d1")</f>
        <v/>
      </c>
      <c r="G3" t="inlineStr">
        <is>
          <t>Napa, CA, US</t>
        </is>
      </c>
      <c r="H3" s="2" t="n">
        <v>46050</v>
      </c>
      <c r="I3" t="inlineStr">
        <is>
          <t>The hiring rate for this position is $40\.00 per hour.
Please apply to learn more about the benefits of working for the CIA.
**POSITION SUMMARY**
The On Call Program Manager provides targeted, short\-term support for CIA programs and initiatives. Working closely with the CIA Conferences team, this position assists with program planning, meeting execution, and related deliverables that ensure high\-quality outcomes for in\-person and virtual events. The role is designed to provide flexible support on an as\-needed basis during periods of increased workload or time\-sensitive program requirements.
**ESSENTIAL RESPONSIBILITIES**
* Assist with the coordination of program content, including culinary and/or educational sessions.
* Support development of agendas, talking points, and resource materials.
* Provide project management support for program deliverables, ensuring deadlines are met.
* Conduct research and provide insights on relevant industry issues to inform programming.
* Draft and review program communications, reports, and updates as requested.
* Collaborate with the CIA team on meeting design and logistics.
* Confirm details with presenters and participants, including AV, timing, and materials.
* Prepare meeting handouts, bios, and supporting documents.
* Act as meeting host or facilitator, including capturing notes and ensuring follow\-up.
* Support integration of demonstrations, tastings, or activations with the operations team.
* Provide administrative and facilitation support for working groups or volunteer leadership, including scheduling, note\-taking, and tracking next steps.
* Assist with onboarding or orientation for new participants if required.
* Contribute to engagement tools such as newsletters, member communications, or resource libraries when assigned.
* Incorporate sponsor or partner deliverables into programming and meeting planning.
* Provide suggestions or contacts for potential new partners or sponsors
* Any and all other duties as assigned.
**REQUIRED QUALIFICATIONS**
Education:
* Bachelor’s degree in nutrition, environmental science, public health, communications, or similar field, or equivalent combination of education and experience in K\-12 consulting.
Experience:
* Minimum of one (1\) year of work experience with companies or organizations advancing healthy and sustainable food in K\-12 or similar environments through education, research, culinary innovation, and/or community engagement.
**REQUIRED SKILLS**
* Excellent written, verbal communication, and presentation skills required. Must have demonstrated ability in organizational, time management, problem solving and interpersonal skills.
* Strong computer experience, and MS Office suite products, i.e. Word, Excel, PowerPoint. Strong analytical and conceptual skills.
* Must display a high level of energy and self\-motivation.
* Collegial and positive in outlook and approach.
* Success oriented and goal directed.
* Ability to handle confidential issues with a high level of discretion.
* Entrepreneurial mindset with a strong commitment to service.
* Detail oriented and thorough.
**WORKING CONDITIONS**
* Able to travel periodically to other CIA locations due to business needs.
* Must be available to work nights and weekends as required due to business needs.
* Regular work requires a great deal of sitting and standing for extended periods.
* Regular work requires the use of a computer, sometimes in excess of eight (8\) hours per day.
* Must be available to meet the approved travel specifications for the annual in\-person meeting and follow the availability/expectations outlined by the Strategic Partnership’s team.</t>
        </is>
      </c>
    </row>
    <row r="4">
      <c r="A4" t="inlineStr">
        <is>
          <t>in-0bebfd8f1acc2e74</t>
        </is>
      </c>
      <c r="B4" t="inlineStr">
        <is>
          <t>Information &amp; Security Program Manager</t>
        </is>
      </c>
      <c r="C4" t="inlineStr">
        <is>
          <t>Medicom</t>
        </is>
      </c>
      <c r="D4" t="inlineStr">
        <is>
          <t>indeed</t>
        </is>
      </c>
      <c r="E4">
        <f>HYPERLINK("https://www.indeed.com/viewjob?jk=0bebfd8f1acc2e74", "https://www.indeed.com/viewjob?jk=0bebfd8f1acc2e74")</f>
        <v/>
      </c>
      <c r="F4">
        <f>HYPERLINK("https://ats.rippling.com/medicom-careers/jobs/22943206-bd9d-496f-ae91-a6523539dc7c?jobSite=Indeed", "https://ats.rippling.com/medicom-careers/jobs/22943206-bd9d-496f-ae91-a6523539dc7c?jobSite=Indeed")</f>
        <v/>
      </c>
      <c r="G4" t="inlineStr">
        <is>
          <t>Remote, US</t>
        </is>
      </c>
      <c r="H4" s="2" t="n">
        <v>46050</v>
      </c>
      <c r="I4" t="inlineStr">
        <is>
          <t>**About Medicom**
Medicom is a leading enterprise imaging software company that solves longstanding interoperability challenges for clinicians, staff, patients, and researchers. Its core platform, Connect, supports diverse enterprise imaging interoperability use cases. These include access to prior and unread imaging studies, point\-of\-care workflows, patient access to images, orders and results workflows for teleradiology, telestroke and trauma, and cross\-institution sharing of digital imaging. Medicom's Network is adopted by over 1,000 US healthcare institutions and backed by leading venture capital firms, such as UPMC Enterprises. Data and insights from the Medicom Connect network drive Medicom's Intellect offering, which helps clinicians and researchers advance patient care and develop new therapies.
 **About the role**
Medicom is seeking an Information Security Program Manager to join our Compliance team and lead the company’s information security and regulatory compliance programs. As a healthcare data company, Medicom must meet the highest standards for data protection while supporting rapid product development and growth.
In this role, you will own Medicom’s internal compliance programs and partner closely with Engineering and cross\-functional leaders to ensure security and compliance are embedded into our products, systems, and processes. You will play a critical role in maintaining HIPAA compliance while preparing the organization for additional frameworks such as SOC 2, GDPR, and FedRAMP.
 **What you'll do**
* Own and lead Medicom’s internal compliance and security programs, ensuring ongoing adherence to HIPAA, HITRUST, GDPR, SOC 2, and other evolving regulatory frameworks and standards.
* Partner closely with the Engineering team to incorporate security and compliance requirements into product design, feature development, and system architecture.
* Develop, maintain, and clearly communicate to internal and external stakeholders Medicom’s information security program, including controls, risk areas, and known limitations.
* Lead preparation for new compliance certifications and readiness efforts (e.g., SOC 2 Type 2, GDPR certification, FedRAMP readiness).
* Serve as the primary coordinator for the Confidentiality \&amp; Security Team (CST), including agenda setting, monthly meetings, and executive\-level reporting.
* Manage all aspects of SOC 2 audits, including coordination with third\-party auditors and internal stakeholders.
* Act as a trusted internal advisor, providing guidance, education, and support on compliance and security\-related topics across the organization.
* Monitor changes in relevant laws, regulations, and industry standards, recommending and implementing updates to internal policies and processes.
**Qualifications**
* 8\+ years of experience in compliance, information security, privacy, or risk management, preferably within healthcare, health tech, or SaaS environments.
* CISSP (Certified Information Systems Security Professional) certification strongly preferred or other advanced technical security certifications (e.g. Information Systems Security Architecture Professional, Information Systems Security Engineering Professional)
* Strong working knowledge of industry frameworks and federal, regional, and state regulations such as HIPAA, SOC 2, CCPA, and GDPR; experience with FedRAMP is a plus.
* Proven ability to interpret complex regulatory requirements and translate them into practical, actionable guidance.
* Experience leading external audits, certifications, or regulatory assessments.
* Excellent documentation, organizational, and program management skills.
* Strong written and verbal communication skills, with the ability to align cross\-functional stakeholders.
* Comfortable working independently and proactively in a fast\-paced, growing organization.
 **Equal Opportunity Employer Statement**
Medicom Technologies is an Equal Opportunity Employer. All qualified applicants will receive consideration for employment without regard to race, color, religion, sex, sexual orientation, gender identity, national origin, disability, or protected veteran status.
 **Reasonable Accommodation Notice**
If you require a reasonable accommodation in the application process, please contact careers@medicom.us to discuss your needs.
 **Salary**
Starting at $130k</t>
        </is>
      </c>
    </row>
    <row r="5">
      <c r="A5" t="inlineStr">
        <is>
          <t>in-9ccd7391603ae2e1</t>
        </is>
      </c>
      <c r="B5" t="inlineStr">
        <is>
          <t>Program Manager - Day Hab</t>
        </is>
      </c>
      <c r="C5" t="inlineStr">
        <is>
          <t>The Arc Lexington</t>
        </is>
      </c>
      <c r="D5" t="inlineStr">
        <is>
          <t>indeed</t>
        </is>
      </c>
      <c r="E5">
        <f>HYPERLINK("https://www.indeed.com/viewjob?jk=9ccd7391603ae2e1", "https://www.indeed.com/viewjob?jk=9ccd7391603ae2e1")</f>
        <v/>
      </c>
      <c r="F5">
        <f>HYPERLINK("https://www.applicantpro.com/openings/thearclexington/jobs/3974533-610652", "https://www.applicantpro.com/openings/thearclexington/jobs/3974533-610652")</f>
        <v/>
      </c>
      <c r="G5" t="inlineStr">
        <is>
          <t>Schoharie, NY, US</t>
        </is>
      </c>
      <c r="H5" s="2" t="n">
        <v>46050</v>
      </c>
      <c r="I5" t="inlineStr">
        <is>
          <t>**What does a Program Manager do?**
The Program Manager provides direct supervision of program staff. They are responsible for all regulatory functions and daily program activities including assisting with the development of wellness activities, and ensuring wellness activities through the Engaged and Empowered program are carried out daily.
**Qualifications:**
* Minimum of 4 years of management or supervisory experience working with people with developmental disabilities required.
* A Bachelor's degree in Human Services is preferred.
* A valid NYS driver's license that meets Agency standards.
**What can The Arc Lexington offer you?**
* Competitive starting wages
* Generous paid time off
* Paid training
* A complete, very low\-cost benefits package
**Why work at The Arc Lexington?**
The Arc Lexington always strives to be the best possible employer. This means going to great lengths to ensure it is a great place to work, a place where employees feel valued, nurtured, and respected. Employees find fulfilling, meaningful careers at The Arc Lexington and enjoy being part of our family. The Arc Lexington employees have repeatedly voted us for several awards:
* 2013 \- Albany Times Union Top Workplace Award
* 2014 \- Voted \#1 Large Workplace in the Capital District
* 2014 \- Albany Times Union Top Workplace Award
* 2017 \- Best Company to Work For in New York State
* 2022 \- Albany Times Union Top Workplace Award \&amp; Times Union Meaningfulness Award
**We hope you will join us in making a difference!**
**Apply Today!**
*The Arc Lexington provides equal employment opportunities (EEO) to all employees and applicants for employment without regard to race, color, religion, sex, gender, sexual orientation, national origin, age, physical or mental disability, genetic information, predisposition or carrier status, marital status, military or veteran status or any other status protected by applicable laws ("each a "Protected Characteristic"). This policy applies to all terms and conditions of employment, including hiring, placement, promotion, termination, layoff, recall, transfer, leaves of absence, compensation and training.*</t>
        </is>
      </c>
    </row>
    <row r="6">
      <c r="A6" t="inlineStr">
        <is>
          <t>in-6c1bf38b6509d392</t>
        </is>
      </c>
      <c r="B6" t="inlineStr">
        <is>
          <t>Program Manager</t>
        </is>
      </c>
      <c r="C6" t="inlineStr">
        <is>
          <t>SEAKR Engineering</t>
        </is>
      </c>
      <c r="D6" t="inlineStr">
        <is>
          <t>indeed</t>
        </is>
      </c>
      <c r="E6">
        <f>HYPERLINK("https://www.indeed.com/viewjob?jk=6c1bf38b6509d392", "https://www.indeed.com/viewjob?jk=6c1bf38b6509d392")</f>
        <v/>
      </c>
      <c r="F6">
        <f>HYPERLINK("https://jobs.smartrecruiters.com/SEAKREngineering/744000106159170-program-manager", "https://jobs.smartrecruiters.com/SEAKREngineering/744000106159170-program-manager")</f>
        <v/>
      </c>
      <c r="G6" t="inlineStr">
        <is>
          <t>Centennial, CO, US</t>
        </is>
      </c>
      <c r="H6" s="2" t="n">
        <v>46050</v>
      </c>
      <c r="I6" t="inlineStr">
        <is>
          <t>**Company Description**  
Join SEAKR Engineering, a leading\-edge provider of advanced electronics for space applications. Pushing the boundaries of technology on a mission to change the world for the better from space.
 **Job Description**  
SEAKR is looking for a high\-energy, early to mid\-career program manager who has a passion for leading the design, development, test and delivery of state\-of\-the\-art satellite electronics. The PM is fully empowered to deliver the best possible product to our customers, on time and on budget. With that empowerment comes accountability, and a successful PM at SEAKR must be innovative and tireless towards accomplishing that high standard.
Responsibilities include:
* Delivery of program to schedule, cost, quality and performance parameters via coordination and directing all program activities for a moderate complexity program
* Primary interface with customer community, vendors, and internal personnel
* Motivate and provide leadership for broader program team
* Manage interdepartmental requirements and resources across matrixed engineering department, including engineering, business development, contracts and finance
* Create and maintain baseline schedules, changes logs, scope and costs along with monitor key metrics on program health
* Develop and implement proactive risk management process
* Lead cross functional efforts for major program gate reviews
* Organize and manage change control process and support negotiation and change proposal efforts
* Experience managing projects requiring Earned Value Management in a Cost Plus and Firm Fixed environment
**Qualifications**  
* A Bachelor of Science in Engineering or equivalent is required. An advanced degree is desired.
* 5\-12 years of experience are desired.
* Multi\-dimensional skills such as working well with people, ability to self\-teach, ability to lead and adjudicate technical decision\-making, and drive to dive\-in and help at any level or function when challenges arise are key characteristics for a successful PM candidate.
* Prior Subcontract management experience desired
* Prior experience leading teams on coordinated technical efforts
**Additional Information**  
Compensation: Base salary range is $130,000\- $180,000, depending on qualifications.
SEAKR has very rich medical, dental and vision insurance plans, along with a generous 401(k) retirement plan. In addition to base salary, employees are eligible for a year\-end bonus. SEAKR offers a variety of paid leave, such as vacation, sick, bereavement, and FMLA.
SEAKR is an Equal Opportunity Employer \- All your information will be kept confidential according to EEO guidelines.
US Citizenship Required
Applications will be accepted until 2/13/26</t>
        </is>
      </c>
    </row>
    <row r="7">
      <c r="A7" t="inlineStr">
        <is>
          <t>in-e869f23443cc3306</t>
        </is>
      </c>
      <c r="B7" t="inlineStr">
        <is>
          <t>Exercise Program Manager and Neuromuscular Exercise Specialist</t>
        </is>
      </c>
      <c r="C7" t="inlineStr"/>
      <c r="D7" t="inlineStr">
        <is>
          <t>indeed</t>
        </is>
      </c>
      <c r="E7">
        <f>HYPERLINK("https://www.indeed.com/viewjob?jk=e869f23443cc3306", "https://www.indeed.com/viewjob?jk=e869f23443cc3306")</f>
        <v/>
      </c>
      <c r="F7">
        <f>HYPERLINK("http://www.indeed.com/job/exercise-program-manager-and-neuromuscular-exercise-specialist-e869f23443cc3306", "http://www.indeed.com/job/exercise-program-manager-and-neuromuscular-exercise-specialist-e869f23443cc3306")</f>
        <v/>
      </c>
      <c r="G7" t="inlineStr">
        <is>
          <t>Washington, DC, US</t>
        </is>
      </c>
      <c r="H7" s="2" t="n">
        <v>46050</v>
      </c>
      <c r="I7" t="inlineStr">
        <is>
          <t>**Job Overview**  
We are seeking a highly motivated and knowledgeable Exercise Program Manager and Neuromuscular Exercise Specialist to lead innovative fitness initiatives focused on neuromuscular health and performance. This role involves designing and implementing specialized exercise programs, guiding clients through personalized training, and fostering a supportive environment in a health club or gym setting. The ideal candidate will possess strong expertise in physiology, anatomy, body mechanics, and program design, with a passion for teaching and motivating diverse populations.
​As a at Impact Your Fitness, your role will encompass a variety of tasks aimed at providing exceptional care and support to our clients. This is a tailored exercise experience for the client that requires a functional knowledge of anatomy and bioelectricity. Our methods make Impact Your Fitness a leader in the cutting\-edge field of bio\-electricity and neuromuscular therapy. You'll have the chance to work with pioneering technology that's changing lives and collaborate with industry experts who are shaping the future of healthcare.
**Duties**
* Develop and oversee comprehensive neuromuscular exercise programs tailored to individual needs and goals.
* Lead group fitness classes and personal training sessions emphasizing neuromuscular control, strength, and stability.
* Educate clients on proper body mechanics, movement patterns, and injury prevention techniques.
* Conduct assessments to evaluate clients’ physical capabilities, physiology, and anatomy knowledge to inform program design.
* Collaborate with other health professionals or sports coaches to optimize client outcomes.
* Monitor progress and adjust programs accordingly to ensure safety, effectiveness, and engagement.
* Maintain a safe and welcoming environment by adhering to health club standards and safety protocols.
* Stay current with the latest research in physiology, sports science, and exercise techniques to continually enhance program offerings.
**Experience**
* Proven experience in teaching or coaching within a health club or gym environment.
* Strong background in group fitness instruction and personal training certifications.
* In\-depth knowledge of physiology, anatomy, body mechanics, and sports coaching principles.
* Demonstrated ability to design effective exercise programs that improve neuromuscular function.
* Prior experience working with diverse populations, including athletes or individuals recovering from injury.
* Excellent communication skills with the ability to motivate clients and convey complex concepts clearly.
* Familiarity with program management in a fitness setting is preferred. This position offers an exciting opportunity for a dedicated professional passionate about advancing neuromuscular health through innovative exercise programming while making a positive impact on clients’ well\-being.
Pay: $25\.38 \- $40\.00 per hour
Benefits:
* 401(k)
* Dental insurance
* Health insurance
* Paid time off
* Vision insurance
Work Location: In person</t>
        </is>
      </c>
    </row>
    <row r="8">
      <c r="A8" t="inlineStr">
        <is>
          <t>in-f00b0c519f0f173f</t>
        </is>
      </c>
      <c r="B8" t="inlineStr">
        <is>
          <t>Program Manager - DOE Idaho Operations Office</t>
        </is>
      </c>
      <c r="C8" t="inlineStr">
        <is>
          <t>EMD Strategies, LLC</t>
        </is>
      </c>
      <c r="D8" t="inlineStr">
        <is>
          <t>indeed</t>
        </is>
      </c>
      <c r="E8">
        <f>HYPERLINK("https://www.indeed.com/viewjob?jk=f00b0c519f0f173f", "https://www.indeed.com/viewjob?jk=f00b0c519f0f173f")</f>
        <v/>
      </c>
      <c r="F8">
        <f>HYPERLINK("http://www.indeed.com/job/program-manager-doe-idaho-operations-office-f00b0c519f0f173f", "http://www.indeed.com/job/program-manager-doe-idaho-operations-office-f00b0c519f0f173f")</f>
        <v/>
      </c>
      <c r="G8" t="inlineStr">
        <is>
          <t>Idaho Falls, ID, US</t>
        </is>
      </c>
      <c r="H8" s="2" t="n">
        <v>46050</v>
      </c>
      <c r="I8" t="inlineStr">
        <is>
          <t>**Job Description**
EMD Strategies is seeking an experienced and strategic **Program Manager** to provide comprehensive program management support to the U.S. Department of Energy Idaho Operations Office (DOE\-ID) in conjunction with the Office of Nuclear Energy (NE) programs. This senior\-level position will support critical national objectives including nuclear energy research and development, environmental cleanup, and national security initiatives.
The Program Manager will oversee and coordinate multiple administrative, management, and technical support activities across DOE\-ID's diverse mission portfolio. This role requires a seasoned professional who can manage complex programs, ensure compliance with federal regulations, coordinate across multiple stakeholders, and provide strategic guidance to support DOE\-ID's and DOE\-NE's operational demands.
This position is located at the Willow Creek Building in Idaho Falls, ID, with occasional travel as required. Work schedule is up to 40 hours per week, with overtime authorized in advance as needed. The contract period is one base year with four optional years.
**Key Responsibilities:**
**Program Planning \&amp; Execution:**
* Oversee comprehensive program and project management support activities in tracking multiple program/project statuses, financial matters, and ensuring compliance with DOE guidelines and requirements
* Lead program/project development, business management, and program/project integration activities
* Coordinate procurement support, logistics management, concept development, and strategic planning initiatives
* Direct project execution, monitoring, and reporting activities across multiple programs
* Manage data collection, budgeting, accounting, and performance auditing functions
* Provide oversight for administrative technical support, training, technical writing, and document reviews
**Financial Management \&amp; Analysis:**
* Conduct in\-depth analysis and tracking of program costs, budgets, schedules, and deliverables across multiple DOE programs
* Interface directly with DOE\-ID/HQ financial personnel to provide assistance and information relating to complex DOE financial matters
* Oversee university funding processes and support DOE personnel responsible for university funding coordination
* Perform comprehensive budget data comparisons for consistency related to DOE\-HQ monthly Financial Plan and Guidance Letters
* Lead routine reconciliation of STARS (DOE\-HQ accounting system) information against data recorded in PICS:NE
* Assess and make recommendations relative to local and site\-specific reporting needs
* Analyze complex financial problems and reconcile data entries to ensure accuracy
* Communicate with DOE\-HQ to resolve issues that cannot be resolved locally
**Stakeholder Management \&amp; Coordination:**
* Serve as primary liaison between contractor team and DOE\-ID/DOE\-NE management
* Coordinate with Contracting Officers, CORs, and DOE leadership on task assignments and program requirements
* Interface with DOE\-NE laboratory personnel, IP Counsel, other DOE offices, and external agencies
* Work closely with DOE\-ID customers in all aspects of DOE financial systems and program budget tracking
* Assist Contractor Germantown project analysts in a variety of program coordination activities
* Manage relationships with universities, regulators, and stakeholders
**Compliance \&amp; Reporting:**
* Ensure all program activities comply with federal regulations, DOE Orders, and agency procedures
* Prepare comprehensive reports for managers of DOE\-ID and DOE\-NE/HQ including gathering, analyzing, organizing, and presenting information and data in a logical, persuasive manner
* Oversee preparation of studies, cost estimates, analyses, and evaluations in support of policy development, decision\-making, and administration
* Submit regular accurate Monthly Status Reports and timecards with invoice submissions
* Monitor and bring to management's attention items requiring action from data and reports sent to the office
**Strategic Support:**
* Support concept development, strategic planning, and research activities
* Provide organized, analytical assessments/evaluations in support of policy development and decision\-making
* Design and implement necessary business processes to ensure effective functioning of DOE\-ID offices
* Lead cross\-functional interface and coordination across multiple program areas
* Anticipate program needs and proactively address challenges
**Agreements \&amp; Contract Management:**
* Oversee support for Strategic Partnership Projects (SPP), Cooperative Research and Development Agreements (CRADA), and Agreements to Commercialize Technology (ACT) processing
* Coordinate DOE\-NE laboratory responses to Departmental data calls
* Manage processing of agreements in AMPS system
* Support funding processes for agreements including acceptance and closeout
* Assist in conducting periodic reviews of contractor policies and activities
Job Requirements
**Program Management \&amp; Oversight:**
* Provide comprehensive program management across multiple concurrent projects and initiatives
* Ensure all program activities align with DOE\-ID mission objectives and strategic goals
* Manage program scope, schedule, budget, and quality to meet or exceed performance expectations
* Develop and implement program management plans, processes, and procedures
* Identify program risks and develop mitigation strategies
* Lead program reviews and status meetings with stakeholders
**Financial \&amp; Budget Management:**
* Track and analyze program budgets ranging from hundreds of thousands to millions of dollars
* Prepare detailed financial reports and forecasts for senior management
* Monitor expenditures and ensure programs remain within budget constraints
* Reconcile financial data across multiple systems (STARS, PICS:NE)
* Support development of cost estimates and budget justifications
* Ensure compliance with federal financial management regulations
**Technical Direction \&amp; Coordination:**
* Respond to task assignments issued by the Contracting Officer or COR
* Provide technical direction to support staff across multiple functional areas
* Coordinate work activities across administrative, legal, HR, contract management, and program support functions
* Ensure seamless integration of activities across all program elements
* Review and approve deliverables for quality, accuracy, and completeness
**Communication \&amp; Documentation:**
* Prepare and maintain comprehensive program documentation including word processing files, spreadsheets, databases, and reports
* Develop presentations, briefings, and communications materials for senior executives
* Write and edit technical documents, white papers, and program reports
* Maintain organized departmental files in accordance with applicable DOE procedures
* Facilitate effective communication between all program stakeholders
**Leadership \&amp; Team Management:**
* Provide leadership and guidance to program support staff
* Coordinate activities across multiple labor categories and functional areas
* Foster collaborative working relationships across the organization
* Mentor junior staff and promote professional development
* Build and maintain high\-performing program teams
**Compliance \&amp; Quality Assurance:**
* Ensure all program activities comply with DOE Orders, federal regulations, and agency policies
* Implement quality control measures to ensure accuracy and completeness of deliverables
* Monitor compliance with safety and health requirements
* Maintain awareness of regulatory changes and adjust program activities accordingly
* Support audit and inspection activities as required
**Ad Hoc Support \&amp; Flexibility:**
* Respond to urgent and time\-sensitive requests with minimal advance notice
* Provide materials preparation including presentations, research materials, spreadsheets, charts, and reports
* Support paper and report preparation including talking points and white papers for speaking engagements
* Assist with communications support for internal and external audiences
* Provide business and administrative support as directed by the CO or COR
**Tools/Systems:**
* Microsoft Office Suite (Excel, Project, PowerPoint, Word) \- Advanced proficiency required
* STARS (DOE\-HQ accounting system)
* PICS:NE (Program Information Collection System)
* DOE financial systems and business systems/subsystems
* Federal budgeting and tracking systems
* Project management software and methodologies
* IDMS (Integrated Data Management System)
* Concur (travel management system)
* AMPS (Agreements Management Partnership System)
**Other Qualifications:**
* Expert knowledge of program management methodologies, tools, and best practices
* Advanced analytical and financial management skills
* Extensive knowledge of federal budgeting processes, DOE guidelines, and compliance requirements
* Demonstrated ability to manage multiple complex programs simultaneously
* Strong leadership and team coordination abilities
* Excellent stakeholder management and communication skills (written and verbal)
* Experience working in a DOE or federal government environment highly preferred
* Ability to interface effectively with senior executives and HQ personnel
* Strong problem\-solving and decision\-making capabilities
* Experience managing contracts, cooperative agreements, and interagency partnerships
* Ability to work independently with minimal supervision
* High level of comfort with multitasking and rapidly shifting priorities
* Demonstrated ability to perform detail\-oriented work with accuracy
* Knowledge of Federal Acquisition Regulations (FAR) preferred
* Experience with nuclear energy, environmental cleanup, or national security programs preferred
Job Type: Contract
Pay: From $100,000\.00 per year
Benefits:
* 401(k)
* Dental insurance
* Health insurance
* Paid time off
* Vision insurance
Work Location: In person</t>
        </is>
      </c>
    </row>
    <row r="9">
      <c r="A9" t="inlineStr">
        <is>
          <t>in-b5ad9254930dd7af</t>
        </is>
      </c>
      <c r="B9" t="inlineStr">
        <is>
          <t>Ross &amp; FSS Program Manager</t>
        </is>
      </c>
      <c r="C9" t="inlineStr">
        <is>
          <t>Portland Housing Authority</t>
        </is>
      </c>
      <c r="D9" t="inlineStr">
        <is>
          <t>indeed</t>
        </is>
      </c>
      <c r="E9">
        <f>HYPERLINK("https://www.indeed.com/viewjob?jk=b5ad9254930dd7af", "https://www.indeed.com/viewjob?jk=b5ad9254930dd7af")</f>
        <v/>
      </c>
      <c r="F9">
        <f>HYPERLINK("http://www.indeed.com/job/ross-fss-program-manager-b5ad9254930dd7af", "http://www.indeed.com/job/ross-fss-program-manager-b5ad9254930dd7af")</f>
        <v/>
      </c>
      <c r="G9" t="inlineStr">
        <is>
          <t>Portland, ME, US</t>
        </is>
      </c>
      <c r="H9" s="2" t="n">
        <v>46050</v>
      </c>
      <c r="I9" t="inlineStr">
        <is>
          <t>Portland Housing Authority (PHA) seeks a relationship\-driven, mission\-focused manager to lead the Resident Opportunity \&amp; Self\-Sufficiency (ROSS) and Family Self\-Sufficiency (FSS) programs. This role provides vision and operational leadership to strengthen residents’ economic stability and long\-term self\-sufficiency, while ensuring full compliance with HUD and PHA requirements. Working with substantial independence under senior leadership, the Manager supervises program staff (including the ROSS and FSS Coordinators), delivers direct participant support as needed, and builds strong partnerships across PHA departments and the broader human services community.
**Key Responsibilities**
* Lead the design, implementation, and evaluation of ROSS and FSS programs in alignment with HUD regulations and PHA policy.
* Supervise and support program coordinators; troubleshoot barriers, strengthen practice, and ensure consistent service delivery.
* Conduct eligibility determinations and oversee participant assessment, case management, goal setting, referrals, and progress monitoring.
* Maintain accurate case files, data tracking, financial and program records; prepare required reports for HUD, PHA, and partners.
* Convene and sustain a Program Coordinating Committee (or alternative committee as approved) to secure resources and guide program strategy.
* Serve as a cross\-department liaison (e.g., Public Housing, HCV, Finance, Resident Services) to integrate services and improve outcomes.
* Build and maintain relationships with community providers, employers, and other stakeholders; represent PHA in relevant trainings and committees.
* Manage grant applications and reporting to ensure continued funding and program stability.
* Complete special projects as assigned.
**Requirements**
* Demonstrated familiarity with human services management perspectives, including strengths\-based practice, program development, staff supervision, outcome measurement, and partnership\-building.
* Working knowledge of the needs and lived realities of low\-income and immigrant/refugee communities.
* Strong communication skills (written and verbal) and the ability to collaborate with residents, staff, providers, and community leaders.
* Ability to analyze information, exercise sound independent judgment, and de\-escalate challenging situations with professionalism.
* Knowledge of community resources; ability to organize and coordinate services and activities across partners.
* Working knowledge of HUD/PHA occupancy regulations (Section 8 and Public Housing) and FSS rules/reporting, or the ability to learn quickly.
* Strong documentation and computer skills (Microsoft platforms and standard office software).
* Ability to conduct home visits and occasional work outside standard hours.
**Education / Credentials**
* Bachelor’s degree or equivalent combination of education and experience in housing administration and/or human services.
* Experience providing client\-centered, coaching\-oriented support based on participant strengths, goals, and barriers.
* Ability to obtain Nan McKay HCV FSS Certification and ROSS Training (or equivalent) within 3 months of hire.
* HUD Certified Housing Counselor preferred; multilingual skills preferred.
* Valid Maine driver’s license required; insured vehicle preferred (not required).
\*\*All requirements and skills are considered to be essential, unless otherwise indicated.\*\*
**External and internal applicants, as well as position incumbents who become disabled as defined under the Americans with Disabilities Act, must be able to perform the essential job functions (as listed) either unaided or with the assistance of a reasonable accommodation to be determined by management on a case\-by\-case basis.**
**The job description does not constitute an employment agreement between the employer and the employee and is subject to change by the employer as the needs of the employer and requirements of the job change.**
Job Types: Full\-time, Permanent
Pay: $75,000\.00 \- $90,000\.00 per year
Benefits:
* 401(k)
* 401(k) matching
* Dental insurance
* Employee assistance program
* Flexible spending account
* Health insurance
* Life insurance
* Paid time off
* Professional development assistance
* Retirement plan
* Vision insurance
Work Location: In person</t>
        </is>
      </c>
    </row>
    <row r="10">
      <c r="A10" t="inlineStr">
        <is>
          <t>in-a243644117c0495d</t>
        </is>
      </c>
      <c r="B10" t="inlineStr">
        <is>
          <t>Product Manager - iGaming Growth Enginer</t>
        </is>
      </c>
      <c r="C10" t="inlineStr">
        <is>
          <t>Block Labs</t>
        </is>
      </c>
      <c r="D10" t="inlineStr">
        <is>
          <t>indeed</t>
        </is>
      </c>
      <c r="E10">
        <f>HYPERLINK("https://www.indeed.com/viewjob?jk=a243644117c0495d", "https://www.indeed.com/viewjob?jk=a243644117c0495d")</f>
        <v/>
      </c>
      <c r="F10">
        <f>HYPERLINK("https://jobs.ashbyhq.com/block-labs/b49e27ec-4a5c-421e-a66b-27c25df3fa47?utm_source=1Z7AjZWk2D", "https://jobs.ashbyhq.com/block-labs/b49e27ec-4a5c-421e-a66b-27c25df3fa47?utm_source=1Z7AjZWk2D")</f>
        <v/>
      </c>
      <c r="G10" t="inlineStr">
        <is>
          <t>Malta, MT, US</t>
        </is>
      </c>
      <c r="H10" s="2" t="n">
        <v>46049</v>
      </c>
      <c r="I10" t="inlineStr">
        <is>
          <t>**About Block Labs**
====================
Block Labs is a premier technology studio operating at the bleeding edge of **Web3, Artificial Intelligence, and iGaming**. We don't just ship features; we engineer high\-scale, production\-grade platforms that power the next generation of digital products.
We are a collective of senior engineers, product strategists, and builders who refuse to compromise on architecture. Whether we are designing autonomous multi\-agent AI systems, building decentralized financial infrastructure, or architecting high\-frequency iGaming platforms, our standard is excellence.
We move fast, but we build for the long term. If you are looking to work alongside a team that values deep technical expertise, thoughtful system design, and product ownership, Block Labs is where you belong.
**The Role**
============
We are hiring a senior, strategically minded Product Manager to act as a **mini–business owner**, with end\-to\-end ownership of the **CRM \&amp; Retention** module within a soon\-to\-launch, next\-generation white\-label casino platform.
You will own the "brain" of the platform \- the system responsible for the entire lifecycle of a player, from registration to reactivation. You will move operators away from manual, "spray and pray" campaigns toward hyper\-personalized, real\-time automation.
This is a hands\-on role for a PM who thrives on complex data systems, AI\-leveraged workflows, and measurable commercial outcomes.
**The CRM \&amp; Retention Engine**
===============================
The MVP for our CRM module is preparing for high\-volume scale. It is the central nervous system that turns raw player data into actionable marketing journeys.
What makes it interesting:
* **AI\-Native by design:** We are building tools that use Generative AI to create engagement flows from natural language prompts, removing operational drag.
* **Real\-Time Architecture:** Unlike legacy systems that rely on slow batch processing, this engine triggers messaging based on live behavioral data.
* **High\-Stakes Logic:** This system directly impacts operator LTV (Lifetime Value) and Churn, serving as the primary lever for business growth.
**What You’ll Own**
===================
* **Full product lifecycle** of the CRM module, responsible for the vision and roadmap from ideation to delivery.
* **Commercial success of the module**, obsessing over metrics like Feature Adoption, Flow Efficiency, and Campaign Creation Speed.
* **Cross\-module integration**, ensuring triggers from the Casino, Crypto Wallet, and Bonus engines feed seamlessly into your automation layer.
* The roadmap is yours to shape. You will own the design and evolution of core capabilities, including:
	+ **Real\-Time Segmentation:** A dynamic audience builder that segments players instantly based on live behavior (e.g., "VIPs who haven't deposited in 3 days").
	+ **Multi\-Channel Orchestration:** A unified, innovative canvas to design journeys that trigger Email, SMS, Push, and On\-Site messaging based on logic and real\-time triggers.
	+ **Automated Lifecycle Management:** Set\-and\-forget flows that handle onboarding and churn prevention, equipped with automated monitoring to flag performance drops.
	+ **Generative AI Workflows:** An automated tool allowing operators to generate targeted engagement flows instantly using natural human language prompts.
	+ **AI\-Powered Optimization:** A robust analytics suite that leverages AI to actively recommend specific improvements to campaign performance based on open and conversion rates.
**What You’ll Be Doing**
========================
This is a hands\-on role. You will:
* **Run discovery** and support early clients in setting up flows, actively gathering feedback to deliver features that provide measurable value.
* **Partner with Engineering** to define how specific parameters are calculated and what each data point represents, ensuring complex data is easily readable and actionable for operators.
* **Collaborate with Design** to deliver the most intuitive tool UX, ensuring operators can build complex solutions without friction.
* **Define and maintain product artefacts** (PRDs, Decision Logs) covering problem statements, success metrics, constraints, and decisions.
* **Engage stakeholders with clarity**, acting as the bridge between technical data definitions and commercial operator needs.
**Experience We’re Looking For**
================================
We don’t expect a unicorn \- but we do expect strong fundamentals and relevant exposure.
**Required:**
* 3\+ years in a Product Management role.
* Experience building or deeply integrating with **Customer Data Platforms (CDP)**, **Marketing Automation tools** (e.g., Braze, Segment, Salesforce, Fastrack), or complex CRM infrastructure.
* Demonstrated knowledge leveraging **AI** to automate workflows or improve process efficiency.
* Experience owning products with **complex backend logic** and data dependencies.
**Nice to have:**
* **iGaming retention expertise**, particularly understanding the player’s lifecycle (FTD, active, churned) and wagering mechanics.
* Experience with "Headless" CMS or API\-first marketing tools.
**You Will Enjoy This Role If…**
================================
* You value real autonomy and want to own and shape a critical module end\-to\-end.
* You are an "AI\-Pragmatist" who wants to use AI to solve real operational problems, not just as a buzzword.
* You are motivated by outcomes and impact, and want your success measured through tangible metrics like Feature Adoption and LTV improvement.
**What kind of culture can I expect?**  
Mature, mission\-driven, and low\-ego. We value clarity over noise, outcomes over theatrics, and pace without chaos. If you’re one of the smartest minds in your craft and want to build with other experts, you’ll feel at home here.</t>
        </is>
      </c>
    </row>
    <row r="11">
      <c r="A11" t="inlineStr">
        <is>
          <t>in-2ceb9ef06018beea</t>
        </is>
      </c>
      <c r="B11" t="inlineStr">
        <is>
          <t>Senior Product Manager, CPX</t>
        </is>
      </c>
      <c r="C11" t="inlineStr">
        <is>
          <t>FRONT</t>
        </is>
      </c>
      <c r="D11" t="inlineStr">
        <is>
          <t>indeed</t>
        </is>
      </c>
      <c r="E11">
        <f>HYPERLINK("https://www.indeed.com/viewjob?jk=2ceb9ef06018beea", "https://www.indeed.com/viewjob?jk=2ceb9ef06018beea")</f>
        <v/>
      </c>
      <c r="F11">
        <f>HYPERLINK("https://jobs.ashbyhq.com/frontcareers/4af548d2-47ee-4b50-9d55-b19855744486?utm_source=NyZvmVj08g", "https://jobs.ashbyhq.com/frontcareers/4af548d2-47ee-4b50-9d55-b19855744486?utm_source=NyZvmVj08g")</f>
        <v/>
      </c>
      <c r="G11" t="inlineStr">
        <is>
          <t>San Francisco, CA, US</t>
        </is>
      </c>
      <c r="H11" s="2" t="n">
        <v>46049</v>
      </c>
      <c r="I11" t="inlineStr">
        <is>
          <t>Front is the leading AI\-powered customer service platform built for collaboration. Front brings core support channels into a modern, intuitive workspace where teams can collaborate on requests, automate manual processes, and delight customers across their entire lifecycle. Front’s flexible workflows, AI features, and customer intelligence provide the efficiency and insights to keep entire organizations customer\-first, every day. More than 9,000 of the most innovative companies worldwide including CultureAmp, HootSuite, and Y Combinator use Front to deliver five\-star service at scale.
Backed by Sequoia Capital and Salesforce Ventures, Front has raised $204M from leading venture capital firms and independent investors including top executives at Atlassian, Okta, Qualtrics, Zoom, and PagerDuty. Front has received numerous Great Place to Work accolades, including **Built In's 100 Best Midsize Places to Work in SF 2025**, **Top Places to Work by USA Today 2025****,** **Y Combinator's list of Top Companies in 2023**, **\#4 on Fortune’s Best Workplaces in the Bay Area** ,**Inc. Magazine's 2022 Best Workplaces list**, and **Forbes Best Startup Employers 2022 List**.
As the Product Manager for the Core Experience team, you will be responsible for driving the strategy, roadmap, and execution of Front’s core inbox experience across our desktop, web, and mobile apps. You will collaborate closely with cross\-functional teams including engineering, design, marketing, data, and sales to deliver innovative solutions that meet customers’ needs and drive business impact.
**What will you be doing?**
* Define and communicate product vision, strategy, and goals based on customer insights, market research, and business objectives.
* Prioritize product roadmap, define product requirements, and lead development process from concept to launch in partnership with cross\-functional teams.
* Use quantitative (e.g., metrics, analytics) and qualitative data (e.g., research, user feedback) to inform product decision\-making
* Work collaboratively with and drive alignment among key stakeholders across the organization, including executives, engineering \&amp; design teams, sales, marketing, etc.
**What skills and experience do you need?**
* 7\+ years of experience in product management, or related roles, in a technology\-driven environment.
* **Excellent communication and collaboration skills:** you can manage senior and executive stakeholders.
* **Execution\-oriented:** You’re highly organized; you’re comfortable managing many work streams; you know how to make the right trade\-offs; you help teams ship on time.
* **Customer empathy:** You are a champion of the customer and can ship product improvements that address key customer pain points and bring delight.
* **Impact driven:** You understand how your work drives business impact and can lead your team to focus on high\-impact work
* **Strong design and systems thinking skills:** You can break down complex problems, understand interdependencies, and envision cohesive, scalable solutions that prioritize user experience.
* **Demonstrated ability to incorporate AI\-powered solutions** to help users work faster and more effectively.
**Front operates on a hybrid model — we come together in the office each Tuesday, Wednesday, and Thursday to collaborate and stay connected.**
**What we offer**
* Competitive salary
* Equity (we are post\-series D \&amp; backed by some of the best VCs in the US)
* Private health insurance, including plan options at no cost to employees
* Paid parental leave
* Flexible time off policy
* Flexibility to work from home Monday and Friday, unless posted as a fully remote role
* Mental health support with Workplace Options
* Family planning support with Maven
* $100 per month Lifestyle Stipend to spend on fitness, health and wellness,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
Compensation Range: $190K \- $220K</t>
        </is>
      </c>
    </row>
    <row r="12">
      <c r="A12" t="inlineStr">
        <is>
          <t>in-4fa80bd91f412250</t>
        </is>
      </c>
      <c r="B12" t="inlineStr">
        <is>
          <t>Product Manager - iGaming Cashier</t>
        </is>
      </c>
      <c r="C12" t="inlineStr">
        <is>
          <t>Block Labs</t>
        </is>
      </c>
      <c r="D12" t="inlineStr">
        <is>
          <t>indeed</t>
        </is>
      </c>
      <c r="E12">
        <f>HYPERLINK("https://www.indeed.com/viewjob?jk=4fa80bd91f412250", "https://www.indeed.com/viewjob?jk=4fa80bd91f412250")</f>
        <v/>
      </c>
      <c r="F12">
        <f>HYPERLINK("https://jobs.ashbyhq.com/block-labs/124715cb-225d-43aa-9994-414ef23460e4?utm_source=1Z7AjZWk2D", "https://jobs.ashbyhq.com/block-labs/124715cb-225d-43aa-9994-414ef23460e4?utm_source=1Z7AjZWk2D")</f>
        <v/>
      </c>
      <c r="G12" t="inlineStr">
        <is>
          <t>Malta, MT, US</t>
        </is>
      </c>
      <c r="H12" s="2" t="n">
        <v>46049</v>
      </c>
      <c r="I12" t="inlineStr">
        <is>
          <t>**About Block Labs**
====================
Block Labs is a premier technology studio operating at the bleeding edge of **Web3, Artificial Intelligence, and iGaming**. We don't just ship features; we engineer high\-scale, production\-grade platforms that power the next generation of digital products.
We are a collective of senior engineers, product strategists, and builders who refuse to compromise on architecture. Whether we are designing autonomous multi\-agent AI systems, building decentralized financial infrastructure, or architecting high\-frequency iGaming platforms, our standard is excellence.
We move fast, but we build for the long term. If you are looking to work alongside a team that values deep technical expertise, thoughtful system design, and product ownership, Block Labs is where you belong.
**About the Role**
------------------
We are hiring a senior, strategically minded Product Manager to act as a **mini–business owner**, with end\-to\-end ownership of the **Cashier** module within a soon\-to\-launch, next\-generation white\-label casino platform.
You’ll own a mission\-critical financial system used by high\-volume operators, backed by a company with a proven track record of launching successful products \- and with operators ready to onboard at launch.
This is a hands\-on role for a PM who thrives on complex systems, real users, and measurable outcomes.
**The Cashier**
---------------
The MVP for our Cashier module is launching into existing operators in the next month. It is responsible for deposit and withdrawals via crypto networks and fiat payment providers, funds management and reconciliation.
What makes it interesting:
* **Crypto\-first by design**, not retrofitted
* Highly flexible and modular to support different operators and geographies
* Secure crypto funds management with built\-in automations (e.g., auto\-sweeps, rebalancing)
* A core revenue and trust surface, where small improvements have outsized impact on the operator and the business.
**What You’ll Own**
-------------------
* **Full product lifecycle** of the Cashier module, supported by a dedicated squad (designer, engineers, QA, delivery) and emerging internal LLM tooling
* **Commercial success of the module**, owning key metrics such as conversion, uptime, approval rates, and withdrawal performance
* The roadmap is yours to shape. You own the design and evolution of core capabilities of cashier beyond MVP, including:
	+ **Unified Cashier Experience** \- a seamless web/widget interface for deposits and withdrawals
	+ **Crypto\-Native Speed** \- instant, secure, user\-friendly on\-chain deposits
	+ **Global FIAT Flexibility** \- integration with multiple FIAT providers across regions
	+ **Payment Recommendation** \- surfacing optimal payment methods based on user geography and behaviour
**What You’ll Be Doing**
------------------------
This is a hands\-on role. You will:
* **Run discovery** \- analysing user and operator behaviour, identifying problems worth solving, and validating assumptions before committing engineering effort
* **Define and maintain product artefacts** covering problem statements, success metrics, constraints, assumptions, and decisions
* **Collaborate daily within your squad**, not just providing requirements but ensuring shared understanding of goals, trade\-offs, and outcomes
* **Use data actively and critically**, ensuring tracking reflects reality and turning insights into concrete product decisions
* **Engage stakeholders with clarity and intent**, gathering input and surfacing constraints while retaining ownership of prioritisation and trade\-offs
**Experience We’re Looking For**
--------------------------------
We don’t expect a unicorn \- but we do expect strong fundamentals and relevant exposure.
**Required:**
* 3\+ years in a Product Management role
* Experience owning products with **complex backend logic** (e.g. payments, fintech, platforms, or regulated systems)
* Solid understanding of **crypto fundamentals** (wallets, on\-/off\-ramps, transaction lifecycle)
* Comfort operating in environments with **compliance and regulatory constraints**
**Nice to have:**
* Exposure to iGaming, high\-risk merchants, or alternative payment methods
* Experience working on cashier, payments, or funds\-movement systems
**You Will Enjoy This Role If…**
--------------------------------
* You value real autonomy and want to own and shape a critical module end\-to\-end
* You enjoy working directly with senior stakeholders on provider strategy and compliance logic, without layers of approval
* You’re motivated by outcomes and impact, and want your success measured through tangible, commercial metrics \- with rewards aligned to company performance
 **What kind of culture can I expect?**  
Mature, mission\-driven, and low\-ego. We value clarity over noise, outcomes over theatrics, and pace without chaos. If you’re one of the smartest minds in your craft and want to build with other experts, you’ll feel at home here.</t>
        </is>
      </c>
    </row>
    <row r="13">
      <c r="A13" t="inlineStr">
        <is>
          <t>in-4ef90009150c9663</t>
        </is>
      </c>
      <c r="B13" t="inlineStr">
        <is>
          <t>Program Manager - Student Engagement Mentoring</t>
        </is>
      </c>
      <c r="C13" t="inlineStr">
        <is>
          <t>Texas Tech University</t>
        </is>
      </c>
      <c r="D13" t="inlineStr">
        <is>
          <t>indeed</t>
        </is>
      </c>
      <c r="E13">
        <f>HYPERLINK("https://www.indeed.com/viewjob?jk=4ef90009150c9663", "https://www.indeed.com/viewjob?jk=4ef90009150c9663")</f>
        <v/>
      </c>
      <c r="F13">
        <f>HYPERLINK("https://sjobs.brassring.com/TGNewUI/Search/Home/Homewithpreload?partnerid=25898&amp;siteid=5635&amp;Pagetype=jobdetails&amp;jobid=905956&amp;codes=Indeed", "https://sjobs.brassring.com/TGNewUI/Search/Home/Homewithpreload?partnerid=25898&amp;siteid=5635&amp;Pagetype=jobdetails&amp;jobid=905956&amp;codes=Indeed")</f>
        <v/>
      </c>
      <c r="G13" t="inlineStr">
        <is>
          <t>Lubbock, TX, US</t>
        </is>
      </c>
      <c r="H13" s="2" t="n">
        <v>46049</v>
      </c>
      <c r="I13" t="inlineStr">
        <is>
          <t>Designs, implements and manages an assigned program. Typical duties can include but are not limited to: Identify funding opportunities, conduct program assessments, prepare program reports, oversee and manage program marketing and communications, manage program databases, supervise program staff, plan research activities, coordinate program events, participate in strategic planning, manage program files, establish program standards and objectives, direct logistical activities to promote the success of programs, develop and implement project timelines and ensures deadlines are met, oversee program budget, ensure goals and objectives of grants are met, assists in proposal writing, comply and analyze program statistics.</t>
        </is>
      </c>
    </row>
    <row r="14">
      <c r="A14" t="inlineStr">
        <is>
          <t>in-35b5539df9a1efe3</t>
        </is>
      </c>
      <c r="B14" t="inlineStr">
        <is>
          <t>HR System (Workday) Administrator &amp; Product Manager - IT System Admin Journey -Permanent -2026-00639</t>
        </is>
      </c>
      <c r="C14" t="inlineStr">
        <is>
          <t>State of Washington</t>
        </is>
      </c>
      <c r="D14" t="inlineStr">
        <is>
          <t>indeed</t>
        </is>
      </c>
      <c r="E14">
        <f>HYPERLINK("https://www.indeed.com/viewjob?jk=35b5539df9a1efe3", "https://www.indeed.com/viewjob?jk=35b5539df9a1efe3")</f>
        <v/>
      </c>
      <c r="F14">
        <f>HYPERLINK("https://www.governmentjobs.com/careers/washington/jobs/5208747/hr-system-workday-administrator-product-manager-it-system-admin-journey-pe", "https://www.governmentjobs.com/careers/washington/jobs/5208747/hr-system-workday-administrator-product-manager-it-system-admin-journey-pe")</f>
        <v/>
      </c>
      <c r="G14" t="inlineStr">
        <is>
          <t>Olympia, WA, US</t>
        </is>
      </c>
      <c r="H14" s="2" t="n">
        <v>46049</v>
      </c>
      <c r="I14" t="inlineStr">
        <is>
          <t>**Description**
---------------
**Title\-** HR System (Workday) Administrator and Product Manager**Classification\-** IT System Administration Journey**Job Status\-** Full\-Time \- Permanent  
**WDFW Program\-** Information Technology Services
**Duty Station\-** Olympia, Washington – Thurston County**Hybrid/Telework\-** While this position offers a hybrid work arrangement, the successful candidate must be available to report to the Olympia, WA headquarters as needed.
Learn more about being a member of **Team WDFW**! *Photo Caption: Cooper Lake – Photo Credit: Pat Steele* **Bring your strong Human Resource Information System (HRIS) experience into a collaborative team environment where you will lead Workday integrations and manage vendor relationships that keep our HR systems running smoothly and remain adaptable to evolving needs.** **C****ollaboration is key, work alongside HR and business partners, you will translate workforce needs into intuitive system solutions that enhance the user experience, streamline processes, and support effective HR operations.** **Beyond technical leadership, you will supervise and mentor team members, fostering a collaborative team culture built on curiosity, accountability and delivering high impact solutions.**
 **What to Expect\-**
Among the varied range of responsibilities held within this role, the HR System Administrator and Product Manager will, **Product Manager and HRIS System Owner:*** Product owner of the DFW Human Resources Information System (HRIS).
* Provide vision and prioritization of service requests and project requests to implement solutions.
* Be a champion of the agency’s goal to consolidate HR and safety information and actions.
* Work with agency contracts team to manage contracts for the selected vendor solution. Serve as the technical point of contact for vendor or product related issues.
* Provide system administration of the Human Resources Information System and related workflows.
* Assess customer needs to create, configure, and maintain the application environment
* Troubleshoot and assist users with technical issues related to the Human Resources Information System, working cross team and with vendors to resolve issues that may arise.
* Work with the customer to define current state, using that to identify and develop statements of work (SOW) for future state
 **Vendor Management:**
* Develop and maintain relationships between WDFW and vendors/partners, facilitating regular business alignment meetings.
* Analyze and resolve problem areas and disputes, managing the communications process with vendors.
* Oversee service level agreements and contract performance, focusing vendors on technical, process, and business outcomes, innovation, competitive advantage, and increased customer revenue.
* Collaborate with all teams (security, compliance, tax, HR, accounts payable, etc.) to ensure vendor compliance with existing requirements and regulatory obligations.
* Recommend and implement improvements to processes, procedures, workflow, and organizational structures for contract management.
 **Configuration Management:*** Identify user business requirements by researching and analyzing user needs, preferences, objectives, and working methods, and studying how users consume content.
* Plan and execute configuration management throughout the project lifecycle, including development, migration, deployment, and security.
* Develop, maintain, and review configuration management processes and procedures, ensuring they are available to target audiences.
* Provide advice and support to the business, project manager, and/or business analyst to manage change impacts across configuration items.
* Configure and test software and hardware applications of the selected system.
 **Requirements Gathering and Solution Implementation.**
* Develop prototypes and present recommendations for HR business process solutions based on requirement gathering sessions.
* Utilize user journey mapping and customer\-centered design principles in proposed solutions.
* Maintain customer enthusiasm while interpreting and simplifying their needs into manageable and executable expectations.
* Think strategically and steer conversations with customers towards out of the box functionality of the HRIS System with a focus productive agile project sprint cycles and continuous process improvement.
* Strengthen relationships across the agency through continuous rapport building by identifying inefficiencies in current processes or technology and effectively communicating the long\-term value of innovation.
 **Supervision and Leadership:**
* Manage, assign, and evaluate work for the HRIS team members.
* Provide leadership, coaching, and mentoring for team members.
* Provides performance evaluations and conducts disciplinary actions.
* Serve as liaison between subordinates and higher\-level management.
* Plan project activities, allocate resources, and communicate project details to IT staff to ensure successful completion
* Identify and assign support work tasks to IT Support Specialists.
 **Reporting and Data Analysis:**
* Collaborate with stakeholders to gather reporting requirements and define key performance indicators, then write and optimize SQL queries to extract, transform, and validate data for high\-level reporting and analysis.
* Design, build, and maintain reports and dashboards (Power BI, SSRS) that visualize trends, identify anomalies, and deliver actionable insights to support data\-driven decision making.
**Working Conditions:** **Work setting, including hazards:*** Works in a fast\-paced hybrid work environment and is expected to lead communication and engagement with business partners, including facilitating meetings both in person and on camera.
* Duties are performed in an office setting and require extensive computer use. This includes prolonged sitting or standing, repetitive data entry, and extended periods of viewing a computer monitor under standard office conditions such as fluorescent lighting.
 **Schedule:** Typically, Monday – Friday, 8:00 A.M. – 5:00 P.M. However, a flexible schedule may be required including weekend work and overtime during peak periods, system implementations, maintenance and outages. **Travel Requirements:** Some statewide travel may be required to attend training, meetings, and conferences. **Qualifications:****Required Qualifications:** **Option 1:**  
Bachelor’s degree in IT or related field. **And**  
Four (4\) years of experience with Enterprise Software as a Service (SaaS) as system administrator human resource information systems (HRIS), and/or Vendor Manager in a medium to large organization. **And**  
Proven skills in organizing work, setting priorities, and providing clear direction and feedback to others including a demonstrated ability to lead, motivate, and support a team to achieve goals and maintain high performance. **Option 2:**  
Eight (8\) years of IT experience with Enterprise Software as a Service (SaaS) as system administrator and/or Vendor Management in a medium to large organization.  
**And**  
Proven skills in organizing work, setting priorities, and providing clear direction and feedback to others including a demonstrated ability to lead, motivate, and support a team to achieve goals and maintain high performance. **Special Requirements/Conditions of Employment:**  
Undergo a background check, which will include fingerprinting. **Preferred Qualifications:****In addition to the required qualifications, our ideal applicant will possess one or more of the following:**  
Communications or Computer related associate degree from an accredited college.  
* Experience administering and/or building within the Amanda environment
* Experience with HR information systems, processes, and procedures.
* Experience and/or certification in vendor management activities
* Basic network troubleshooting skills and knowledge in network security.
* Demonstrated experience presenting project materials in multiple formats (verbal, written, formal, informal) and to a range of audiences (internal teams, management and leadership).
* Excellent communication skills including questioning, educating, fact\-finding, persuading, negotiating, resolving, summarizing, and active listening, with the ability to interact effectively with a wide range of managerial, administrative, and professional staff.
 **Your application must include the following:*** A completed online application showcasing how your qualifications align with the job requirements.
* An up\-to\-date resume.
* A cover letter detailing your interest in the position, your relevant skills and experience, and why you are the ideal candidate.
* At least three professional references with current contact information.
**Supplemental Information**
----------------------------
In addition to pay and other special employee programs, there are other benefits that WDFW employees may be eligible for. Click the “Benefits” tab at the top of this announcement to learn more. **Important Note:**
All new employees must complete an Employment Eligibility Verification Form (I\-9 Form) on their first day of work. If hired for this or any position at WDFW, you will be required to provide documentation proving you are eligible to work in the United States. For a list of acceptable documents, please use the following link: https://www.uscis.gov/i\-9\-central/form\-i\-9\-acceptable\-documents **Union \-** **WFSE:**This position is covered by a collective bargaining agreement between the State of Washington, Department of Fish and Wildlife and the Washington Federation of State Employees (WFSE). This recruitment may be used to fill positions in addition to those listed. **Veteran and Military Spouse Preference Notice:**
Per **RCW 73\.16\.010** Veterans and qualifying spouses who meet the minimum qualifications of a position are eligible for preference during the initial application review stage. To receive this benefit, please do the following:* Notify us of your veteran or military spouse status by email at Elizabeth.Bullard@dfw.wa.gov**.**
* **Veterans only –** Attach a copy of your DD214 (Member 4 copy), NGB 22 or USDVA signed verification of service letter.
	+ Please redact any PII (personally identifiable information) data such as social security numbers.
* Subject line must include recruitment number, position, and spouse/veteran (example: 2024\-1234 – Biologist 1 – Veteran)
* Include your name as it appears on your application in careers.wa.gov.
 ***Diversity, Equity, and Inclusion Employer*** *As part of WDFW’s efforts to advance respectful and inclusive work environments, the Agency expects inclusivity as part of our professional interactions and communications. Therefore, we want to ensure that all individuals feel welcome, are treated fairly and respectfully. All staff are empowered to fully contribute to serving their work unit, Agency, and the citizens of Washington.* *The Department of Fish and Wildlife is an equal opportunity employer. We strive to create a working environment that includes and respects cultural, racial, ethnic, sexual orientation and gender identity diversity. Women, racial and ethnic minorities, persons of disability, persons over 40 years of age, disabled and Vietnam era veterans and people of all sexual orientations and gender identities are encouraged to apply.* **Request an accommodation:** Persons needing accommodation in the application process or this announcement in an alternative format please contact Jayme Chase by phone 360\-902\-2278 or email Jayme.Chase@dfw.wa.gov, or the Telecommunications Device for the Deaf (TDD) at 800\-833\-6388\. **Technical Difficulties:** If you are having technical difficulties creating, accessing, or completing your application, please call NEOGOV toll\-free at (855\) 524\-5627 or support@neogov.com. **Other questions:** If you have other questions regarding this position, please reach out to Elizabeth.Bullard@dfw.wa.gov and reference job \#2026\-00639\.**Follow us on social media:****LinkedIn** **\|** **Facebook** **\|** **Instagram***lb*</t>
        </is>
      </c>
    </row>
    <row r="15">
      <c r="A15" t="inlineStr">
        <is>
          <t>in-226792f5575b2af0</t>
        </is>
      </c>
      <c r="B15" t="inlineStr">
        <is>
          <t>Program Manager II, Supply Demand Management, Pixel</t>
        </is>
      </c>
      <c r="C15" t="inlineStr">
        <is>
          <t>Google</t>
        </is>
      </c>
      <c r="D15" t="inlineStr">
        <is>
          <t>indeed</t>
        </is>
      </c>
      <c r="E15">
        <f>HYPERLINK("https://www.indeed.com/viewjob?jk=226792f5575b2af0", "https://www.indeed.com/viewjob?jk=226792f5575b2af0")</f>
        <v/>
      </c>
      <c r="F15">
        <f>HYPERLINK("https://careers.google.com/jobs/results/135580315455234758-program-manager-ii/", "https://careers.google.com/jobs/results/135580315455234758-program-manager-ii/")</f>
        <v/>
      </c>
      <c r="G15" t="inlineStr">
        <is>
          <t>Mountain View, CA, US</t>
        </is>
      </c>
      <c r="H15" s="2" t="n">
        <v>46049</v>
      </c>
      <c r="I1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in program or project management.
* Experience driving supply chain operations in demand/supply planning and forecasting for hardware portfolios.
* Experience leading global programs, driving multi\-disciplinary consumer hardware initiatives.
### **Preferred qualifications:**
* 2 years of experience managing cross\-functional or cross\-team projects.
* Experience leveraging advanced analytics such as SQL, Tableau and AI Tools to engineer models that navigate demand volatility to inform supply strategies.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the Program Manager, Pixel Portfolio Planning, you will be responsible for architecting comprehensive, long\-range supply and demand models to optimize costs, inventory, and service delivery for the entire Pixel portfolio. You will guide multi\-year material roadmaps for critical components, including custom silicon, memory, Electrical/RF/Wifi, and camera modules.You will own the silicon availability model and drives the integration of Custom Silicon Operations into portfolio\-wide planning to streamline procurement and manage long\-term silicon delivery. You will deliver high\-impact supply\-demand recommendations to executive leadership, act as the definitive Subject Matter Expert during annual cycles, and designs a resilient, agile supply chain flexibility strategy.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in-64194f350516df92</t>
        </is>
      </c>
      <c r="B16" t="inlineStr">
        <is>
          <t>Program Manager II, Supply Demand Management, Pixel</t>
        </is>
      </c>
      <c r="C16" t="inlineStr">
        <is>
          <t>Google</t>
        </is>
      </c>
      <c r="D16" t="inlineStr">
        <is>
          <t>indeed</t>
        </is>
      </c>
      <c r="E16">
        <f>HYPERLINK("https://www.indeed.com/viewjob?jk=64194f350516df92", "https://www.indeed.com/viewjob?jk=64194f350516df92")</f>
        <v/>
      </c>
      <c r="F16">
        <f>HYPERLINK("https://careers.google.com/jobs/results/135580315455234758-program-manager-ii/", "https://careers.google.com/jobs/results/135580315455234758-program-manager-ii/")</f>
        <v/>
      </c>
      <c r="G16" t="inlineStr">
        <is>
          <t>San Francisco, CA, US</t>
        </is>
      </c>
      <c r="H16" s="2" t="n">
        <v>46049</v>
      </c>
      <c r="I1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in program or project management.
* Experience driving supply chain operations in demand/supply planning and forecasting for hardware portfolios.
* Experience leading global programs, driving multi\-disciplinary consumer hardware initiatives.
### **Preferred qualifications:**
* 2 years of experience managing cross\-functional or cross\-team projects.
* Experience leveraging advanced analytics such as SQL, Tableau and AI Tools to engineer models that navigate demand volatility to inform supply strategies.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the Program Manager, Pixel Portfolio Planning, you will be responsible for architecting comprehensive, long\-range supply and demand models to optimize costs, inventory, and service delivery for the entire Pixel portfolio. You will guide multi\-year material roadmaps for critical components, including custom silicon, memory, Electrical/RF/Wifi, and camera modules.You will own the silicon availability model and drives the integration of Custom Silicon Operations into portfolio\-wide planning to streamline procurement and manage long\-term silicon delivery. You will deliver high\-impact supply\-demand recommendations to executive leadership, act as the definitive Subject Matter Expert during annual cycles, and designs a resilient, agile supply chain flexibility strategy.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in-df068d13a4520700</t>
        </is>
      </c>
      <c r="B17" t="inlineStr">
        <is>
          <t>Senior Program Manager II</t>
        </is>
      </c>
      <c r="C17" t="inlineStr">
        <is>
          <t>Google</t>
        </is>
      </c>
      <c r="D17" t="inlineStr">
        <is>
          <t>indeed</t>
        </is>
      </c>
      <c r="E17">
        <f>HYPERLINK("https://www.indeed.com/viewjob?jk=df068d13a4520700", "https://www.indeed.com/viewjob?jk=df068d13a4520700")</f>
        <v/>
      </c>
      <c r="F17">
        <f>HYPERLINK("https://careers.google.com/jobs/results/114135440667091654-senior-program-manager-ii/", "https://careers.google.com/jobs/results/114135440667091654-senior-program-manager-ii/")</f>
        <v/>
      </c>
      <c r="G17" t="inlineStr">
        <is>
          <t>New York, NY, US</t>
        </is>
      </c>
      <c r="H17" s="2" t="n">
        <v>46049</v>
      </c>
      <c r="I17"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Reston, VA, USA; Sunnyvale, CA, USA.**  
**Remote location(s): California, USA; Illinois, USA; New York, USA.**### **Minimum qualifications:**
* Bachelor's degree in Construction Management, Engineering, Project Management, a related quantitative field, or equivalent practical experience.
* 10 years of experience in program management or project controls within the data center or construction industry.
* 5 years of experience leading and developing PMO teams or equivalent functions focused on process improvement and governance.
### **Preferred qualifications:**
* 5 years of experience in data center construction, heavy industrial project delivery, or hyperscale infrastructure programs.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are responsible for establishing and leading this new function, which is central to professionalizing our project delivery processes and supporting the Google Data Centers (GDC) North Star: Go Fast, Safely.
In this high\-impact role, you will be the organizational engine for commitment to operational excellence and efficiency. You will own the strategic outlook and execution of key operational functions, including process improvement, capital planning, buyout oversight, and performance reporting with respect to cost savings and contractors.
You will serve as a primary change agent, driving process standardization and governance to reduce bureaucracy. You will use your exceptional leadership, the ability to challenge existing norms, and influence executive stakeholders across a global, matrixed organization. You will deliver measurable business impact by translating commercial controls into tangible project velocity and cost reduction.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manage governance forums and executive reporting processes to monitor project progress, buy out of projects, risks, mitigations, and critical trade\-offs for leadership decision\-making.
* Establish and oversee performance reporting for the contractor landscape and cost savings, enabling pressure\-testing for improvements.
* Coordinate funding requests for executive approval.
* Advocate strategic, cross\-functional programs, process improvements, managing dependencies and influencing partners to break down silos and enable faster project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in-7ea879030f5281af</t>
        </is>
      </c>
      <c r="B18" t="inlineStr">
        <is>
          <t>Senior Program Manager II</t>
        </is>
      </c>
      <c r="C18" t="inlineStr">
        <is>
          <t>Google</t>
        </is>
      </c>
      <c r="D18" t="inlineStr">
        <is>
          <t>indeed</t>
        </is>
      </c>
      <c r="E18">
        <f>HYPERLINK("https://www.indeed.com/viewjob?jk=7ea879030f5281af", "https://www.indeed.com/viewjob?jk=7ea879030f5281af")</f>
        <v/>
      </c>
      <c r="F18">
        <f>HYPERLINK("https://careers.google.com/jobs/results/114135440667091654-senior-program-manager-ii/", "https://careers.google.com/jobs/results/114135440667091654-senior-program-manager-ii/")</f>
        <v/>
      </c>
      <c r="G18" t="inlineStr">
        <is>
          <t>Reston, VA, US</t>
        </is>
      </c>
      <c r="H18" s="2" t="n">
        <v>46049</v>
      </c>
      <c r="I18"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Reston, VA, USA; Sunnyvale, CA, USA.**  
**Remote location(s): California, USA; Illinois, USA; New York, USA.**### **Minimum qualifications:**
* Bachelor's degree in Construction Management, Engineering, Project Management, a related quantitative field, or equivalent practical experience.
* 10 years of experience in program management or project controls within the data center or construction industry.
* 5 years of experience leading and developing PMO teams or equivalent functions focused on process improvement and governance.
### **Preferred qualifications:**
* 5 years of experience in data center construction, heavy industrial project delivery, or hyperscale infrastructure programs.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are responsible for establishing and leading this new function, which is central to professionalizing our project delivery processes and supporting the Google Data Centers (GDC) North Star: Go Fast, Safely.
In this high\-impact role, you will be the organizational engine for commitment to operational excellence and efficiency. You will own the strategic outlook and execution of key operational functions, including process improvement, capital planning, buyout oversight, and performance reporting with respect to cost savings and contractors.
You will serve as a primary change agent, driving process standardization and governance to reduce bureaucracy. You will use your exceptional leadership, the ability to challenge existing norms, and influence executive stakeholders across a global, matrixed organization. You will deliver measurable business impact by translating commercial controls into tangible project velocity and cost reduction.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manage governance forums and executive reporting processes to monitor project progress, buy out of projects, risks, mitigations, and critical trade\-offs for leadership decision\-making.
* Establish and oversee performance reporting for the contractor landscape and cost savings, enabling pressure\-testing for improvements.
* Coordinate funding requests for executive approval.
* Advocate strategic, cross\-functional programs, process improvements, managing dependencies and influencing partners to break down silos and enable faster project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in-9a1333b27ea5fc23</t>
        </is>
      </c>
      <c r="B19" t="inlineStr">
        <is>
          <t>Senior Program Manager II</t>
        </is>
      </c>
      <c r="C19" t="inlineStr">
        <is>
          <t>Google</t>
        </is>
      </c>
      <c r="D19" t="inlineStr">
        <is>
          <t>indeed</t>
        </is>
      </c>
      <c r="E19">
        <f>HYPERLINK("https://www.indeed.com/viewjob?jk=9a1333b27ea5fc23", "https://www.indeed.com/viewjob?jk=9a1333b27ea5fc23")</f>
        <v/>
      </c>
      <c r="F19">
        <f>HYPERLINK("https://careers.google.com/jobs/results/114135440667091654-senior-program-manager-ii/", "https://careers.google.com/jobs/results/114135440667091654-senior-program-manager-ii/")</f>
        <v/>
      </c>
      <c r="G19" t="inlineStr">
        <is>
          <t>CA, US</t>
        </is>
      </c>
      <c r="H19" s="2" t="n">
        <v>46049</v>
      </c>
      <c r="I19"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Reston, VA, USA; Sunnyvale, CA, USA.**  
**Remote location(s): California, USA; Illinois, USA; New York, USA.**### **Minimum qualifications:**
* Bachelor's degree in Construction Management, Engineering, Project Management, a related quantitative field, or equivalent practical experience.
* 10 years of experience in program management or project controls within the data center or construction industry.
* 5 years of experience leading and developing PMO teams or equivalent functions focused on process improvement and governance.
### **Preferred qualifications:**
* 5 years of experience in data center construction, heavy industrial project delivery, or hyperscale infrastructure programs.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are responsible for establishing and leading this new function, which is central to professionalizing our project delivery processes and supporting the Google Data Centers (GDC) North Star: Go Fast, Safely.
In this high\-impact role, you will be the organizational engine for commitment to operational excellence and efficiency. You will own the strategic outlook and execution of key operational functions, including process improvement, capital planning, buyout oversight, and performance reporting with respect to cost savings and contractors.
You will serve as a primary change agent, driving process standardization and governance to reduce bureaucracy. You will use your exceptional leadership, the ability to challenge existing norms, and influence executive stakeholders across a global, matrixed organization. You will deliver measurable business impact by translating commercial controls into tangible project velocity and cost reduction.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manage governance forums and executive reporting processes to monitor project progress, buy out of projects, risks, mitigations, and critical trade\-offs for leadership decision\-making.
* Establish and oversee performance reporting for the contractor landscape and cost savings, enabling pressure\-testing for improvements.
* Coordinate funding requests for executive approval.
* Advocate strategic, cross\-functional programs, process improvements, managing dependencies and influencing partners to break down silos and enable faster project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in-0d17a2c0d153668b</t>
        </is>
      </c>
      <c r="B20" t="inlineStr">
        <is>
          <t>Senior Program Manager II</t>
        </is>
      </c>
      <c r="C20" t="inlineStr">
        <is>
          <t>Google</t>
        </is>
      </c>
      <c r="D20" t="inlineStr">
        <is>
          <t>indeed</t>
        </is>
      </c>
      <c r="E20">
        <f>HYPERLINK("https://www.indeed.com/viewjob?jk=0d17a2c0d153668b", "https://www.indeed.com/viewjob?jk=0d17a2c0d153668b")</f>
        <v/>
      </c>
      <c r="F20">
        <f>HYPERLINK("https://careers.google.com/jobs/results/114135440667091654-senior-program-manager-ii/", "https://careers.google.com/jobs/results/114135440667091654-senior-program-manager-ii/")</f>
        <v/>
      </c>
      <c r="G20" t="inlineStr">
        <is>
          <t>Sunnyvale, CA, US</t>
        </is>
      </c>
      <c r="H20" s="2" t="n">
        <v>46049</v>
      </c>
      <c r="I20"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Reston, VA, USA; Sunnyvale, CA, USA.**  
**Remote location(s): California, USA; Illinois, USA; New York, USA.**### **Minimum qualifications:**
* Bachelor's degree in Construction Management, Engineering, Project Management, a related quantitative field, or equivalent practical experience.
* 10 years of experience in program management or project controls within the data center or construction industry.
* 5 years of experience leading and developing PMO teams or equivalent functions focused on process improvement and governance.
### **Preferred qualifications:**
* 5 years of experience in data center construction, heavy industrial project delivery, or hyperscale infrastructure programs.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are responsible for establishing and leading this new function, which is central to professionalizing our project delivery processes and supporting the Google Data Centers (GDC) North Star: Go Fast, Safely.
In this high\-impact role, you will be the organizational engine for commitment to operational excellence and efficiency. You will own the strategic outlook and execution of key operational functions, including process improvement, capital planning, buyout oversight, and performance reporting with respect to cost savings and contractors.
You will serve as a primary change agent, driving process standardization and governance to reduce bureaucracy. You will use your exceptional leadership, the ability to challenge existing norms, and influence executive stakeholders across a global, matrixed organization. You will deliver measurable business impact by translating commercial controls into tangible project velocity and cost reduction.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manage governance forums and executive reporting processes to monitor project progress, buy out of projects, risks, mitigations, and critical trade\-offs for leadership decision\-making.
* Establish and oversee performance reporting for the contractor landscape and cost savings, enabling pressure\-testing for improvements.
* Coordinate funding requests for executive approval.
* Advocate strategic, cross\-functional programs, process improvements, managing dependencies and influencing partners to break down silos and enable faster project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in-f83c780b4e0ed11e</t>
        </is>
      </c>
      <c r="B21" t="inlineStr">
        <is>
          <t>Senior Program Manager II</t>
        </is>
      </c>
      <c r="C21" t="inlineStr">
        <is>
          <t>Google</t>
        </is>
      </c>
      <c r="D21" t="inlineStr">
        <is>
          <t>indeed</t>
        </is>
      </c>
      <c r="E21">
        <f>HYPERLINK("https://www.indeed.com/viewjob?jk=f83c780b4e0ed11e", "https://www.indeed.com/viewjob?jk=f83c780b4e0ed11e")</f>
        <v/>
      </c>
      <c r="F21">
        <f>HYPERLINK("https://careers.google.com/jobs/results/114135440667091654-senior-program-manager-ii/", "https://careers.google.com/jobs/results/114135440667091654-senior-program-manager-ii/")</f>
        <v/>
      </c>
      <c r="G21" t="inlineStr">
        <is>
          <t>IL, US</t>
        </is>
      </c>
      <c r="H21" s="2" t="n">
        <v>46049</v>
      </c>
      <c r="I21"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Reston, VA, USA; Sunnyvale, CA, USA.**  
**Remote location(s): California, USA; Illinois, USA; New York, USA.**### **Minimum qualifications:**
* Bachelor's degree in Construction Management, Engineering, Project Management, a related quantitative field, or equivalent practical experience.
* 10 years of experience in program management or project controls within the data center or construction industry.
* 5 years of experience leading and developing PMO teams or equivalent functions focused on process improvement and governance.
### **Preferred qualifications:**
* 5 years of experience in data center construction, heavy industrial project delivery, or hyperscale infrastructure programs.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are responsible for establishing and leading this new function, which is central to professionalizing our project delivery processes and supporting the Google Data Centers (GDC) North Star: Go Fast, Safely.
In this high\-impact role, you will be the organizational engine for commitment to operational excellence and efficiency. You will own the strategic outlook and execution of key operational functions, including process improvement, capital planning, buyout oversight, and performance reporting with respect to cost savings and contractors.
You will serve as a primary change agent, driving process standardization and governance to reduce bureaucracy. You will use your exceptional leadership, the ability to challenge existing norms, and influence executive stakeholders across a global, matrixed organization. You will deliver measurable business impact by translating commercial controls into tangible project velocity and cost reduction.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manage governance forums and executive reporting processes to monitor project progress, buy out of projects, risks, mitigations, and critical trade\-offs for leadership decision\-making.
* Establish and oversee performance reporting for the contractor landscape and cost savings, enabling pressure\-testing for improvements.
* Coordinate funding requests for executive approval.
* Advocate strategic, cross\-functional programs, process improvements, managing dependencies and influencing partners to break down silos and enable faster project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in-f1994983aec786ee</t>
        </is>
      </c>
      <c r="B22" t="inlineStr">
        <is>
          <t>Technical Program Manager, Google Cloud Platform Reliability</t>
        </is>
      </c>
      <c r="C22" t="inlineStr">
        <is>
          <t>Google</t>
        </is>
      </c>
      <c r="D22" t="inlineStr">
        <is>
          <t>indeed</t>
        </is>
      </c>
      <c r="E22">
        <f>HYPERLINK("https://www.indeed.com/viewjob?jk=f1994983aec786ee", "https://www.indeed.com/viewjob?jk=f1994983aec786ee")</f>
        <v/>
      </c>
      <c r="F22">
        <f>HYPERLINK("https://careers.google.com/jobs/results/83774282491929286-technical-program-manager/", "https://careers.google.com/jobs/results/83774282491929286-technical-program-manager/")</f>
        <v/>
      </c>
      <c r="G22" t="inlineStr">
        <is>
          <t>New York, NY, US</t>
        </is>
      </c>
      <c r="H22" s="2" t="n">
        <v>46049</v>
      </c>
      <c r="I22" t="inlineStr">
        <is>
          <t>### **Minimum qualifications:**
* Bachelor's degree in a technical field, or equivalent practical experience.
* 10 years of experience in a technical program management role.
* Experience with site reliability engineering, developer operations, and developer experience metrics.
### **Preferred qualifications:**
* 10 years of experience managing complex cross\-functional or cross\-team projects.
* 10 years of experience managing execution of programs that span multiple engineering teams.
* Understanding of the product life\-cycle in a fast\-moving environment.
* Ability to influence and collaborate effectively across organizational boundaries.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Platform Reliability is improving Google Cloud\-wide reliability and supportability customer outcomes through strong partnerships, shared accountability, and innovation. To achieve this, GCPR provides platform\-wide reliability standards and tools to ensure consistent adoption of reliability best practices.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cross\-functional teams across large\-scale, complex programs focused on GCP reliability.
* Direct a portfolio of strategic, complex, multidisciplinary programs that significantly accelerate business impact.
* Scale program management best practices for team and organization and adjust portfolio strategy to address complex changing circumstances across organization.
* Work closely with the engineering and product leadership team to transform the operations and effectiveness of the broader organization.
* Drive program strategy and lead program teams to deliver business, operational, and technical improvements, orchestrate across a set of cross\-functional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in-2718f44141403594</t>
        </is>
      </c>
      <c r="B23" t="inlineStr">
        <is>
          <t>Technical Product Owner</t>
        </is>
      </c>
      <c r="C23" t="inlineStr">
        <is>
          <t>HealthPlanOne</t>
        </is>
      </c>
      <c r="D23" t="inlineStr">
        <is>
          <t>indeed</t>
        </is>
      </c>
      <c r="E23">
        <f>HYPERLINK("https://www.indeed.com/viewjob?jk=2718f44141403594", "https://www.indeed.com/viewjob?jk=2718f44141403594")</f>
        <v/>
      </c>
      <c r="F23">
        <f>HYPERLINK("https://healthplanone.wd1.myworkdayjobs.com/HPONE/job/CT-Shelton/Technical-Product-Owner_JR1430", "https://healthplanone.wd1.myworkdayjobs.com/HPONE/job/CT-Shelton/Technical-Product-Owner_JR1430")</f>
        <v/>
      </c>
      <c r="G23" t="inlineStr">
        <is>
          <t>Shelton, CT, US</t>
        </is>
      </c>
      <c r="H23" s="2" t="n">
        <v>46049</v>
      </c>
      <c r="I23" t="inlineStr">
        <is>
          <t>**HealthPlanOne's mission is to help people find the right health insurance at the right price, so they live healthier lives. We are committed to making the shopping process simpler. Our mission has never been more important than it is today.**
The Technical Product Owner partners closely with operations, sales, engineering, QA, UX, compliance, marketing and go\-to\-market teams to deliver compliant, scalable, and user\-centered solutions. The Product Owner serves as the voice of the customer and business within agile delivery teams, ensuring solutions improve member outcomes, operational efficiency, and regulatory compliance.**Duties/Responsibilities:**
* Partner with Operations and Sales to identify problems that require engineering attention.
* Embed with the Agent Facing team.
* Work closely with VP Product on perpetual prioritization.
* Own and manage the product backlog; write clear user stories, acceptance criteria, and prioritize work based on business value and risk.
* Partner with engineering and UX to deliver high\-quality, on\-time feature functionality.
* Make day\-to\-day product decisions to keep delivery moving efficiently.
* Support user testing.
* Act as the primary liaison between business leaders, operations, and technology.
* Align product priorities with enterprise strategy and roadmap commitments.
* Communicate trade\-offs, progress, and outcomes clearly to stakeholders.
* Leverage analytics, user feedback, and operational data to inform prioritization and measure success.
* Define and track KPIs tied to project outcomes.
* Identify process gaps and opportunities to improve workflows, automation, and user experience.
* Support release planning, UAT, and post\-launch performance evaluation.
* Incorporate learnings into future iterations and roadmap planning.
* Other duties as assigned
**Required Skills/Abilities:**
* Bachelor’s degree in healthcare administration, business, or engineering.
* 3\-5 years of experience as a Product Owner, Product Manager, or similar role
* Strong understanding of agile and Scrum methodologies.
* Proven ability to translate complex business or regulatory requirements into clear product stories.
* Excellent communication and stakeholder management skills.
* Excellent verbal and written communication skills.
* Experience using Jira to manage projects.
* Proficient in Microsoft Office products.
**Preferred Skills/Abilities:**
* Experience in healthcare, health insurance, or regulated health technology
* Knowledge of CMS rules and regulations.
* Experience with payer, provider, Medicare/Medicaid, or healthcare brokerage platforms.
* Experience working with call center, enrollment, claims, or care management workflows.
* Experience working with web analytics platforms (HEAP, Google Analytics, Mixpanel).
**Physical Requirements:**
* Must be able to remain in a stationary position (e.g., sitting or standing) for extended periods of time, typically in a cubicle environment (constant noise, fluorescent overhead lighting)
* Frequent use of a computer, dual monitors, keyboard, mouse, and other standard office equipment such as a telephone, copier, and printer.
* Must be able to communicate effectively, including exchanging information in person, in writing, by telephone, email or video conferencing.
* Visual and auditory acuity required to perform job duties effectively, including reading, writing, and interpreting information on screens or in print.
* Hand dexterity, fine motor skills needed to operate a keyboard and mouse efficiently
* Reach with hands and arms occasionally
**For Hybrid Roles:**
* Must be able to commute to an office setting as required, which may include walking short distances and navigating an office environment.
* Occasionally moves about the office to access files, office machinery, and meet with others.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24">
      <c r="A24" t="inlineStr">
        <is>
          <t>in-8cb0167c8b7f172b</t>
        </is>
      </c>
      <c r="B24" t="inlineStr">
        <is>
          <t>Generative AI Product Owner</t>
        </is>
      </c>
      <c r="C24" t="inlineStr">
        <is>
          <t>Watts Water Technologies</t>
        </is>
      </c>
      <c r="D24" t="inlineStr">
        <is>
          <t>indeed</t>
        </is>
      </c>
      <c r="E24">
        <f>HYPERLINK("https://www.indeed.com/viewjob?jk=8cb0167c8b7f172b", "https://www.indeed.com/viewjob?jk=8cb0167c8b7f172b")</f>
        <v/>
      </c>
      <c r="F24">
        <f>HYPERLINK("https://wattswater.wd5.myworkdayjobs.com/External/job/North-Andover-MA/Generative-AI-Product-Owner_10016311", "https://wattswater.wd5.myworkdayjobs.com/External/job/North-Andover-MA/Generative-AI-Product-Owner_10016311")</f>
        <v/>
      </c>
      <c r="G24" t="inlineStr">
        <is>
          <t>Andover, MA, US</t>
        </is>
      </c>
      <c r="H24" s="2" t="n">
        <v>46049</v>
      </c>
      <c r="I24" t="inlineStr">
        <is>
          <t>**We’re Watts. Together, we’re reimagining the future of water.**
We feel proud every day about what we do. We're all part of the same crucial mission, no matter what function we support \- it's to provide safe, clean water for the world, and to protect our planet's most valuable resource.
**What we do:**
For 150 years, Watts has built best\-in\-class products that are trusted by customers in residential and commercial settings across the world. We are at the forefront of innovation, working with cutting\-edge technology to provide smart and connected, sustainable water solutions for the future. Watts is a leading brand with a quality reputation — and we have a dynamic future ahead.
**Scope of Position**
Reporting to the VP, Intelligent Process Automation, the Generative AI Product Owner is responsible for defining, delivering, and continuously improving enterprise\-grade Generative AI capabilities, with an initial and primary focus on Microsoft Copilot across M365, Power Platform, and integrated business applications with a consideration for SAP Joule, BTP, and S/4 HANA.
This role sits at the intersection of business value, user experience, and technology execution. The Product Owner will translate business needs into a clear GenAI product roadmap, prioritize high\-value use cases, and partner closely with IT, Security, Data, Legal, and Business leaders to ensure Copilot and Joule are deployed responsibly, securely, and at scale.
The role emphasizes value realization, adoption, and governance, not experimentation for its own sake.
This position is hybrid and based in Andover, MA.
**Primary Job Duties and Responsibilities**
* Own the Generative AI product vision and roadmap, with primary focus on Microsoft Copilot across M365 and Power Platform along with developments in SAP Joule
* Define and track measurable outcomes tied to productivity, cost reduction, and business enablement.
* Identify and prioritize high\-value GenAI use cases across enterprise functions.
* Lead enterprise rollout and adoption of AI Solutions, ensuring they are embedded into real business workflows.
* Conduct training and workshops on copilot and other power applications to drive personal productivity. Educate end users on compliance and governance.
* Own and prioritize the GenAI product backlog, translating business needs into clear, secure user stories.
* Partner with engineering and platform teams to deliver GenAI capabilities using agile, incremental delivery.
* Ensure all GenAI solutions comply with AI governance, security, privacy, and Responsible AI standards.
* Act as the primary GenAI product interface between IT, business leaders, and executive stakeholders.
**Required Qualifications**
* 5\+ years of experience as a Product Owner, Product Manager, or similar role in IT or digital platforms.
* Hands\-on experience delivering Microsoft and SAP ecosystem solutions (M365, Power Platform, Azure, Joule, BTP, S/4 HANA).
* Practical exposure to Generative AI tools, preferably Microsoft Copilot or similar enterprise AI platforms.
* Experience working in regulated or enterprise environments with strong security and governance requirements.
* Strong understanding of:
	+ Agile product delivery and backlog management
	+ Enterprise productivity tools and workflows
	+ Data privacy, security, and AI risk considerations
* Ability to translate business problems into product features and measurable outcomes.
**Preferred Qualifications**
* Excellent communication and stakeholder management skills.
* Experience with Microsoft Copilot Studio, Power Automate, Power Apps, or Azure OpenAI or SAP Joule, BTP, ABAP.
* Familiarity with Responsible AI frameworks and AI governance models.
* Experience driving technology adoption and change at scale.
* Background in manufacturing, industrial, or B2B environments.
**General Applicable Company Competencies**
* Commitment to Watts’ values of integrity, accountability, continuous improvement and innovation, and transparency.
* Punctuality and dependability.
* Ability to be flexible and adapt to changing work priorities and stressful conditions.
* Adherence to all personnel policies, procedures, and standards of process as implemented by Watts.
* Maintain productive and collaborative relationships with other Watts employees.
* Adherence to Watts’ seven cultural beliefs: Growth Mindset, Customer\-Focused Innovation, Constant Communication, Clear Goals, Collaborate Globally, Be Inclusive, and Take Action.
**Working Conditions:**
While performing the job duties, you will be working in an office environment. You will be required to work in the office at the Andover, MA location three days per week (Monday – Wednesday) and can work remotely two days per week (Thursday and Friday).
**Physical Requirements**: Specific physical abilities required for this position include, but are not limited to:
* Ability to remain seated at a desk or workstation for extended periods.
* Ability to perform repetitive tasks like typing on a keyboard or using a mouse for extended periods.
* Ability to physically move around the office, organize or transport files, packages, or other office\-related materials.
* Ability to read documents, use a computer, and perform data entry tasks.
* Ability to communicate clearly with management and coworkers, particularly in meetings or phone calls.
* Ability to operate standard office equipment such as computers, printers, phones, and copiers.
* Ability to occasionally lift and carry light objects, such as office supplies, documents, or small equipment.
**Pay Range**:
The expected salary range for this position is $132,000\- $153,000 yearly. Actual compensation will be dependent upon individual skills, experience, qualifications, and applicable law.
Nothing in this job description restricts Watts’ right to assign or reassign duties, responsibilities, and working hours/conditions to this position at any time. This position is “at will,” which means that either the employee or Watts may terminate the employment relationship at any time, with or without notice, and for any lawful reason.
**Watts in it for you**:
***Please note that the following******benefits apply only to permanent roles and do not apply to internship roles.***
* Competitive compensation based on your skills, qualifications and experience
* Comprehensive medical and dental coverage, retirement benefits
* Family building benefits, including paid maternity/paternity leave
* 10 paid holidays and Paid Time Off
* Continued professional development opportunities and educational reimbursement
* Additional perks such as fitness reimbursements and employee discount programs
* Learn more about our benefit offerings here: https://tapintowattsbenefits.com/
**How we work:**
At Watts, our culture is team\-oriented and supportive. Employees here genuinely care about the quality of their work, and about each other. Our people are the heart of who we are and contribute to our longevity and continued success.
And this is a place where you can have a big career. No matter your role, there are opportunities for learning and development, and your daily contributions make a meaningful impact on the lives of people who use our products and on the future of water.
Watts is committed to equal employment opportunity. We follow a policy of administering all employment decisions and personnel actions without regard to race, color, religion, creed, sex, pregnancy, national origin, sexual orientation, age, physical or mental disability, genetic disposition or carrier status, marital status, military or veteran status, minorities, or any other category protected under applicable federal, state, or local law. Consistent with the obligations of state and federal law, Watts will make reasonable accommodations for qualified individuals with disabilities. Any employee who needs a reasonable accommodation should contact Human Resources.</t>
        </is>
      </c>
    </row>
    <row r="25">
      <c r="A25" t="inlineStr">
        <is>
          <t>in-ff32f92b46d4ce1c</t>
        </is>
      </c>
      <c r="B25" t="inlineStr">
        <is>
          <t>Staff Product Manager, Intuit Data Exchange</t>
        </is>
      </c>
      <c r="C25" t="inlineStr">
        <is>
          <t>Intuit</t>
        </is>
      </c>
      <c r="D25" t="inlineStr">
        <is>
          <t>indeed</t>
        </is>
      </c>
      <c r="E25">
        <f>HYPERLINK("https://www.indeed.com/viewjob?jk=ff32f92b46d4ce1c", "https://www.indeed.com/viewjob?jk=ff32f92b46d4ce1c")</f>
        <v/>
      </c>
      <c r="F25">
        <f>HYPERLINK("https://jobs.intuit.com/job/mountain-view/staff-product-manager-intuit-data-exchange/27595/91126652768", "https://jobs.intuit.com/job/mountain-view/staff-product-manager-intuit-data-exchange/27595/91126652768")</f>
        <v/>
      </c>
      <c r="G25" t="inlineStr">
        <is>
          <t>Mountain View, CA, US</t>
        </is>
      </c>
      <c r="H25" s="2" t="n">
        <v>46049</v>
      </c>
      <c r="I25" t="inlineStr">
        <is>
          <t>Category Product Management
Location Mountain View, California
Job ID 18956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Data Exchange is Intuit’s integration and automation platform, enabling customers and products to securely connect data, orchestrate workflows, and automate critical tasks at scale. We are seeking a Staff Product Manager to lead workflow and automation products within the App Integrations team, defining durable, AI\-enabled platform capabilities that power experiences across QuickBooks, Mailchimp, and the broader Intuit ecosystem.
In this role, you will own the strategy and execution for how systems connect, data flows, and work gets done automatically across products and partners. You will build deep customer understanding, leverage data, experimentation, and AI to accelerate outcomes, and influence across product, engineering, and partner teams to deliver cohesive, high\-quality end\-to\-end experiences that drive meaningful customer and business impact.
 **Responsibilities**
* Define and drive product strategy for integration, workflow, and automation capabilities that deliver measurable customer and business outcomes.
* Deepen understanding of customer problems through research, experimentation, data, and AI\-powered insights; align teams around target customers and personas.
* Own the end\-to\-end customer experience across multiple products, domains, and capabilities, maintaining a high bar for product excellence and product\-market fit.
* Partner with engineering to shape technical approaches and durable platform strategies, using an AI\-first mindset to solve complex problems.
* Leverage data across products to inform prioritization, roadmap decisions, and success metrics; deliver against input and outcome goals.
* Identify opportunities to improve processes, tools, and systems to enable scalable, automated, and intuitive customer workflows.
* Influence across product, engineering, design, and partner teams through clear, data\-driven storytelling and strong cross\-functional leadership.
* Use experimentation, prototyping, and emerging AI tools to accelerate execution and innovation.
 **Qualifications**
* 6\+ years of product management experience, including ownership of platform, API, integration, or automation products.
* Proven ability to define and execute product strategy that drives growth across multiple teams and stakeholders.
* Strong product execution skills, delivering high\-quality, intuitive end\-to\-end experiences across complex systems.
* High technical fluency; experience partnering closely with engineering and influencing architectural decisions.
* Data\-driven decision maker with experience using analytics, experimentation, and AI\-enabled tools.
* Track record of influencing without authority and driving alignment across cross\-functional and product teams.
* Experience with workflow automation, integrations, developer platforms, or SaaS ecosystems strongly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6">
      <c r="A26" t="inlineStr">
        <is>
          <t>in-a412ed022da3d3f8</t>
        </is>
      </c>
      <c r="B26" t="inlineStr">
        <is>
          <t>Community Program Manager</t>
        </is>
      </c>
      <c r="C26" t="inlineStr">
        <is>
          <t>Mosaic North America</t>
        </is>
      </c>
      <c r="D26" t="inlineStr">
        <is>
          <t>indeed</t>
        </is>
      </c>
      <c r="E26">
        <f>HYPERLINK("https://www.indeed.com/viewjob?jk=a412ed022da3d3f8", "https://www.indeed.com/viewjob?jk=a412ed022da3d3f8")</f>
        <v/>
      </c>
      <c r="F26">
        <f>HYPERLINK("https://eczy.fa.us2.oraclecloud.com:443/hcmUI/CandidateExperience/en/job/20796", "https://eczy.fa.us2.oraclecloud.com:443/hcmUI/CandidateExperience/en/job/20796")</f>
        <v/>
      </c>
      <c r="G26" t="inlineStr">
        <is>
          <t>Dallas, TX, US</t>
        </is>
      </c>
      <c r="H26" s="2" t="n">
        <v>46049</v>
      </c>
      <c r="I26" t="inlineStr">
        <is>
          <t>Reporting to the Global Advocacy Manager, the Program Manager is the operational force for the Google Champions program across the United States. This role is responsible for the flawless execution of the program's strategy, managing day\-to\-day operations, and coordinating its expansion across diverse US markets. Crucially, the Program Manager will act as the primary voice and representative for the US region to our global counterparts, ensuring that regional insights, challenges, and successes are effectively communicated and considered at a global level. This position requires exceptional stakeholder management to build strong relationships with country\-level sales, marketing, and operations teams, ensuring the Google Champions program aligns with broader US training and enablement objectives.
* + **Collaborate on Global Program Strategy**: Partner with stakeholders to define and execute the annual strategic roadmap for the Google Champions Social Community, ensuring alignment with global Pixel and Retail Marketing objectives.
* + **Coordinate Cross\-Functional GTM**: Coordinate the community's Go\-To\-Market (GTM) strategy for new Pixel launches, integrating and gaining consensus from Retail Marketing, Training, Platform, and Sales teams.
* + **Partner with Global Community Team**: Collaborate with an indirect team of 10\+ Community Managers worldwide to establish governance and performance standards, ensuring consistent brand voice and quality.
* + **Manage Social Calendar \&amp; Content**: Own and drive the global Social Calendar, overseeing Video Production and content strategy to reinforce the Pixel brand passion.
* + **Support In\-Field Strategy Development**: Design and implement the global In\-Field Strategy in partnership with regional teams to leverage the community for retail support and seller engagement.
* + **Coordinate Pixel Seeding Program**: Coordinate the distribution and performance tracking of seeded Google Pixel devices to sellers in the Field for maximum ROI, working closely with relevant teams.
* + **Develop Joint Campaigns**: Partner with Retail Marketing to create and execute large\-scale social campaigns to drive Pixel awareness and sales.
* + **Share Performance Insights:** Collaborate to define KPIs and provide regular, comprehensive reports using analytics to measure community impact on engagement, sentiment, and business goals, sharing insights across teams.
* + **Collaborate on Program Optimization:** Partner with cross\-functional teams (e.g., Sales) to use data and feedback to continuously optimize the program's content, strategy, and in\-field approach.
**Minimum Qualifications \- Education and Experience**
* **Education:** Bachelor’s Degree required.
* **Experience:**
* 4\+ years of experience in program management, project management, or a related role.
* Proven experience working in a regional capacity, preferably within the United States, coordinating programs across multiple countries.
* Demonstrated experience managing day\-to\-day relationships with external agencies or vendors.
* A strong background in retail, training, community management, ambassador program management or technology sectors is highly preferred.
**Minimum Qualifications \- Knowledge, Skills, and Abilities**
* Exceptional project management skills, with a proven ability to manage complex projects with diverse stakeholders and firm deadlines.
* Outstanding stakeholder management and interpersonal skills, with the ability to represent a region and build strong collaborative relationships.
* Excellent cross\-cultural communication skills, both written and verbal.
* Strong organizational and time\-management abilities, with a keen eye for detail.
* Proficiency in social media platforms and community management tools.
* Strong analytical skills with experience in compiling and interpreting data to generate reports and insights.
* Expertise in Google Suite (Docs, Sheets, Slides) for reporting and collaboration.
* A passion for technology and the Google brand.
 **Work Environment and Physical Requirements**
The work environment characteristics described are representative of those an employee may encounter while performing the essential functions of this job. Job may require moderate physical effort including lifting materials and equipment weighing less than 15 pounds. This position involves viewing a computer monitor for more than 30% of the time. Personal protective equipment may need to be worn. Reasonable accommodations may be made to enable individuals with disabilities to perform the essential functions.  
Mosaic is a part of Acosta Group – a collective of the industry’s most trusted retail, marketing and foodservice agencies reimagining the way people connect with brands at every point in their shopping journey.  
As a leading North American integrated marketing agency, Mosaic specializes in everything from experiential marketing, commerce \+ retail media and field marketing, to design and production. With a 35\+ year history, Mosaic has office hubs in Chicago, Dallas, and Toronto and full reach across North America.  
We focus on creating brand experiences that connect brands with consumers in creative and relevant ways. Mosaic’s ultimate mission is to propel our client’s business, culture, and communities forward to make the human experience better. We are diverse, yet like\-minded individuals, and we believe in taking risks and creating shared experiences, not just for our clients, but for each other. Every associate is given the keys to charter new ground as they collectively live in the moment of building memorable experiences together.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row>
    <row r="27">
      <c r="A27" t="inlineStr">
        <is>
          <t>in-5f5a386249cb44ce</t>
        </is>
      </c>
      <c r="B27" t="inlineStr">
        <is>
          <t>Program Manager, Sustaining</t>
        </is>
      </c>
      <c r="C27" t="inlineStr">
        <is>
          <t>Hologic</t>
        </is>
      </c>
      <c r="D27" t="inlineStr">
        <is>
          <t>indeed</t>
        </is>
      </c>
      <c r="E27">
        <f>HYPERLINK("https://www.indeed.com/viewjob?jk=5f5a386249cb44ce", "https://www.indeed.com/viewjob?jk=5f5a386249cb44ce")</f>
        <v/>
      </c>
      <c r="F27">
        <f>HYPERLINK("https://careers.hologic.com/search/300000433703284/program-manager-sustaining", "https://careers.hologic.com/search/300000433703284/program-manager-sustaining")</f>
        <v/>
      </c>
      <c r="G27" t="inlineStr">
        <is>
          <t>US</t>
        </is>
      </c>
      <c r="H27" s="2" t="n">
        <v>46049</v>
      </c>
      <c r="I27" t="inlineStr">
        <is>
          <t>We are seeking an experienced and dynamic **Program Manager, Sustaining** with a strong background in sustaining and remediation within the medical device industry. In this pivotal role, you will lead sustaining projects, remediation initiatives, and other business\-critical efforts from conception through to market commercialization. You will play a crucial role in managing complex projects, building networks with key contacts, and resolving intricate issues creatively and effectively.
**Knowledge:**
* **Sustaining Engineering:** In\-depth understanding of sustaining engineering processes, ensuring the ongoing support and optimization of existing products.
* **Regulatory Standards:** Familiarity with ISO and FDA quality systems regulations, including post\-market surveillance and remediation activities.
* **Phase/Gate Process:** Knowledge of phase/gate approach to NPI and design control procedures.
**Skills:**
* **Leadership:** Ability to lead high\-performing teams, manage cross\-functional project activities, and drive remediation efforts effectively.
* **Project Management:** Expertise in project management, including planning, scheduling, tracking, and risk management.
* **Communication:** Excellent written and verbal communication skills, capable of adapting style to different audiences and facilitating group discussions.
* **Technical Proficiency:** Advanced knowledge in product development, sustaining engineering, and strategic thinking.
* **Analytical Skills:** Strong technical aptitude with the ability to analyze data, manage complex issues, and implement remediation solutions.
* **Tools Proficiency:** Proficient with Microsoft Office, Microsoft Project, PPM tools (e.g., Smartsheet, Planview), and reporting dashboards.
**Behaviors:**
* **Strategic Thinking:** Demonstrates strategic thinking and contributes to the development and standardization of policies and procedures.
* **Collaboration:** Works effectively with cross\-functional teams and promotes knowledge transfer and collaboration.
* **Continuous Improvement:** Champions opportunities for process enhancement and implements new tools, technologies, and methods.
* **Proactive Work Ethic:** Self\-starter with a strong proactive work ethic, well\-organized, and detail\-oriented.
* **Mentorship:** Provides guidance, feedback, and support to team members and promotes a culture of continuous learning.
**Experiences:**
* **Education:**
	+ Preferred Minimum Non\-Technical Degree: College Degree
	+ Preferred Minimum Technical/Advanced Degree: Master’s Degree
* **Industry Experience:**
	+ 8\+ years with a non\-technical degree.
	+ 6\+ years with a Master’s Degree.
	+ 3\+ years with a PhD.
* **Project Leadership:**
	+ Experience leading large cross\-functional projects with global reach.
	+ Experience in sustaining engineering and remediation efforts for medical devices.
* **Regulatory Experience:**
	+ Experienced with ISO and FDA quality systems regulations, including post\-market activities.
	+ Prior experience in medical device design, development cycles, and remediation projects.
* **Professional Development:**
	+ Participates in professional development and stays current with industry best practices.
	+ PMP Certification is beneficial.
**Essential Duties and Responsibilities:**
* Lead sustaining and remediation projects and other business\-critical initiatives from charter to commercialization.
* Guide the program core team, ensuring flawless interfaces and interdependencies between functions.
* Establish program objectives, measurable goals, and program scorecards.
* Collaborate with Core Team to establish resources needed and budget to execute program commitments.
* Author the Product Development Plan and ensure other functional planning documents are completed and up to date.
* Develop integrated cross\-functional schedules, identifying critical paths, risks, and dependencies.
* Identify and facilitate program and product risk identification throughout the program cycle, ensure effective mitigations in place; monitor risks throughout the program; transfers documentation.
* Utilize Design Control phase/gate processes to execute programs and facilitate phase gate exit readiness reviews.
* Coordinate core team meetings and prepare program status reports.
* Manage project success factors, including progress, schedule, budget, risks, and communication.
* Act as a liaison between R\&amp;D, Operations, Marketing, and Quality for all assigned projects.
* Foster a workplace culture of continuous improvement and lead process enhancement activities.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*you have the right skills and experience and want to join our team, apply today. We can’t wait to hear from you!*
*The annualized base salary range for this role is $119,700 \- $186,600 and is bonus eligible. Final compensation packages will ultimately depend on factors including relevant experience, skillset, knowledge, geography, education, 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
*LI\-\#RT1*</t>
        </is>
      </c>
    </row>
    <row r="28">
      <c r="A28" t="inlineStr">
        <is>
          <t>in-6119cad11aa270e5</t>
        </is>
      </c>
      <c r="B28" t="inlineStr">
        <is>
          <t>EXCEPTIONAL FAMILY MEMBER PROGRAM MANAGER NF4 REGULAR FULL-TIME</t>
        </is>
      </c>
      <c r="C28" t="inlineStr">
        <is>
          <t>U.S. Marine Corps</t>
        </is>
      </c>
      <c r="D28" t="inlineStr">
        <is>
          <t>indeed</t>
        </is>
      </c>
      <c r="E28">
        <f>HYPERLINK("https://www.indeed.com/viewjob?jk=6119cad11aa270e5", "https://www.indeed.com/viewjob?jk=6119cad11aa270e5")</f>
        <v/>
      </c>
      <c r="F28">
        <f>HYPERLINK("https://careers.usmc-mccs.org/psc/hprd/EMPLOYEE/HRMS/c/HRS_HRAM_FL.HRS_CG_SEARCH_FL.GBL?Page=HRS_APP_JBPST&amp;Action=U&amp;FOCUS=Applicant&amp;SiteId=1&amp;JobOpeningId=75963&amp;PostingSeq=1", "https://careers.usmc-mccs.org/psc/hprd/EMPLOYEE/HRMS/c/HRS_HRAM_FL.HRS_CG_SEARCH_FL.GBL?Page=HRS_APP_JBPST&amp;Action=U&amp;FOCUS=Applicant&amp;SiteId=1&amp;JobOpeningId=75963&amp;PostingSeq=1")</f>
        <v/>
      </c>
      <c r="G28" t="inlineStr">
        <is>
          <t>Norfolk, VA, US</t>
        </is>
      </c>
      <c r="H28" s="2" t="n">
        <v>46049</v>
      </c>
      <c r="I28" t="inlineStr">
        <is>
          <t>Marine Corps Community Services (MCCS) is looking for the best and brightest to join our Team! MCCS is a comprehensive program that supports and enhances the quality of life for Marines, their families, and others in the Marine Corps Community. We offer a team\-oriented environment comprised of military personnel, civilian employees, contractors and volunteers who keep the organization functioning smoothly and effectively. As a service\-oriented organization, we never waver in our commitment to our Corps.
Major Duties
Manages and serves as the installation subject matter expert of the Exceptional Family Member Program. Oversees the EFMP case management system and ensures effective exchange of resource information and support between staff and EFMP families. Oversees facilitation and coordination of resources between agencies, related resource offices, medical and recreational facilities, community services agencies and private organizations with emphasis on improving services. Oversees facilitation and coordination of resources between agencies, related resource offices, medical and recreational facilities, community services agencies and private organizations with emphasis on improving services.
Serves as the Program Manager to independently oversee day\-to\-day operation of the EFMP ongoing program that encompasses mission, function, operation, activity, laws, rules and regulations authorized and funded by the agency. Determines appropriate products or services for customers and defines program scope, requirements and deliverables. Develops, modifies or provides input to project plans and implements program plans to meet objectives. Coordinates and integrates project activities. Manages leads or administers project resources. Monitors project activities and resources to mitigate risks. Implements or maintains quality assurance processes. Makes improvements, solves problems or takes corrective action when problems arise.
Conducts presentations or briefings on all aspects of the program. Participates in phased, milestone and final program reviews. Identifies program documentation requirements or procedures. Develops and implements program marketing plans. Conducts a quarterly Special Needs Forum, open to family members to address needs and concerns. Participates in the Special Needs Evaluation and Review Team (SNERT) per Marine Corps Order 1754\.4B. Manages the installation EFMP Respite Care Program. Assesses program operations and monitors progress toward organization goals and evaluates and adjusts improve the program.
Develops minimum standards governing the EFMP program, policy, procedures and personnel. Addresses matters involving difficult technical problems, application of new or questionable techniques and methods, clarification with the team leader or higher\-level supervisor, and further explanation and negotiation with the Director. Explains regulatory and legal requirements relevant to problem situations. Formulates, administers and monitors the operating and capital budget for the EFMP program area. Identifies cost centers. Monitors expenses.
Qualifications
Bachelor¿s degree from an accredited college or university in human services or a related field appropriate to the work of position AND four years of knowledge and experience that demonstrates skill to independently oversee day\-to\-day operation of an Exceptional Family Member Program, OR an appropriate combination of education and experience that demonstrates possession of knowledge and skill equivalent to that gained in the above, OR significant experience that demonstrates that the applicant has acquired the knowledge, skills, and abilities equivalent to that gained in the above.
Must have skills to monitor a complex case management system, review and recommend approval or disapproval of related program plans and materials; analyze and develop proposals or provisions in terms of impact on program resource requirements; develop new and revise operating procedures and standards to incorporate provisions that affect operating activities and requirements; conduct reviews of the administration and operation of the program and provide subject matter advice.
Must have the skill to supervise employees in the accomplishment of work. Knowledge of human services principles and practices pertaining to individual and family needs, and problems in relation to social patterns. Knowledge of military family support programs and the related mission of readiness and retention. Knowledge of and familiarity with agencies, related resource offices, medical and recreational facilities, community services agencies and private organizations that can provide support to the EFMP.
How To Apply
All applications must be submitted online via the MCCS Careers website:
Resumes/applications emailed or mailed will not be considered for this vacancy announcement. To be considered for employment, the application or resume must be submitted online by 11:59 PM (ET) on the closing date of the announcement.
**Note:** To check the status of your application or return to a previous or incomplete application, log into your MCCS user account and review your application status.
Closing Statement
**GENERAL INFORMATION:** Applicants are assured of equal consideration regardless of race, age, color, religion, national origin, sex, GINA, political affiliation, membership or non\-membership in an employee organization, marital status, physical handicap which has no bearing on the ability to perform the duties of the position. This agency provides reasonable accommodations to applicants with disabilities. If you need a reasonable accommodation for any part of the application and hiring process, please notify the agency. The decision on granting reasonable accommodation will be on a case\-by\-case basis.
It is Department of Navy (DON) policy to provide a workplace free of discrimination and retaliation. The DON No Fear Act policy link is provided for your review: https://www.donhr.navy.mil/NoFearAct.asp.
As part of the employment process, Human Resources Division may obtain a Criminal Record Check and/or an Investigative Consumer Report. Employment is contingent upon the successful completion of a National Agency Check and Inquiries (NACI). For all positions requiring access to firearms or ammunition, the Federal Government is prohibited from employing individuals in these positions who have ever been convicted of a misdemeanor crime of domestic violence, or a felony crime of domestic violence adjudged on or after 27 November 2002\. Selectees for such positions must submit a completed DD Form 2760, Qualification to Possess Firearms or Ammunition, before a final job offer can be made.
Direct Deposit of total NET pay is mandatory as a condition of employment for all appointments to positions within MCCS.
**Required Documents:**  
* Education/certification certificate(s), if applicable.
* If prior military, DD214 Member Copy
This activity is a Drug\-free workplace. The use of illegal drugs by NAF employees, whether on or off duty, cannot and will not be tolerated. Federal employees have a right to a safe and secure workplace, and Marines, sailors, and their family members have a right to a reliable and productive Federal workforce.
Involuntarily separated members of the armed forces and eligible family members applying through the Transition Assistance Program must submit a written request/statement (may be obtained from the MCCS Human Resources Office) and present ID card with "TA" stamped in red on front of card.
INDIVIDUALS SELECTED FROM THIS ANNOUNCEMENT MAY BE CHANGED TO PART\-TIME OR FULL\-TIME AT MANAGEMENT'S DISCRETION WITHOUT FURTHER COMPETITION.
ALL ONLINE APPLICATIONS MUST BE RECEIVED BY 1159PM EASTERN TIME (ET) ON THE CLOSING DATE LISTED IN THE JOB POSTING.</t>
        </is>
      </c>
    </row>
    <row r="29">
      <c r="A29" t="inlineStr">
        <is>
          <t>in-ac0927ed7a640d02</t>
        </is>
      </c>
      <c r="B29" t="inlineStr">
        <is>
          <t>Senior Program Manager</t>
        </is>
      </c>
      <c r="C29" t="inlineStr">
        <is>
          <t>Roku</t>
        </is>
      </c>
      <c r="D29" t="inlineStr">
        <is>
          <t>indeed</t>
        </is>
      </c>
      <c r="E29">
        <f>HYPERLINK("https://www.indeed.com/viewjob?jk=ac0927ed7a640d02", "https://www.indeed.com/viewjob?jk=ac0927ed7a640d02")</f>
        <v/>
      </c>
      <c r="F29">
        <f>HYPERLINK("https://www.weareroku.com/jobs/senior-program-manager-san-jose-california-united-states?source=indeed", "https://www.weareroku.com/jobs/senior-program-manager-san-jose-california-united-states?source=indeed")</f>
        <v/>
      </c>
      <c r="G29" t="inlineStr">
        <is>
          <t>San Jose, CA, US</t>
        </is>
      </c>
      <c r="H29" s="2" t="n">
        <v>46049</v>
      </c>
      <c r="I29"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team**
The Consumer Apps team is responsible for Roku’s core user\-facing applications across streaming and utility experiences, including The Roku Channel and the Roku Mobile App. We deliver The Roku Channel across Roku devices and off\-platform environments (including web and third\-party connected TV platforms), and we build mobile experiences that help customers discover, stream, and engage with the Roku ecosystem at scale. We partner closely with Engineering, UX, Content, Data, and Business teams to deliver cohesive, high\-quality experiences that drive engagement and growth.
### **About the role**
As a Senior Program Manager, The Roku Channel (Cross\-Platform), you will drive execution for The Roku Channel across Roku OS, web, third\-party connected TV platforms, and mobile/tablet experiences. You’ll be the operational leader who turns strategy into predictable delivery, aligning teams, managing dependencies, establishing program cadence, and ensuring launch readiness across a complex set of stakeholders.
In this role, you’ll lead two core pillars:
* Cross\-Platform Roku Channel Program Leadership: Orchestrate delivery across client teams and platforms, aligning work to shared milestones, launch goals, and customer outcomes.
* Operating Cadence \&amp; Launch Excellence: Build repeatable mechanisms for planning, dependency management, quality readiness, and executive visibility, bringing structure without unnecessary process.
The Roku Channel requires coordination across client teams (Product, Engineering, UX, QA, Data/Analytics) and contributing organizations (including personalization/recommendations and content strategy/operations). This role is ideal for someone who thrives in ambiguity, brings structure without bureaucracy, and can influence across multiple organizations to ship customer\-facing experiences at scale.
This position is based in San Jose and reports to the Director of Product Consumer Apps.
For California Only \- The estimated annual salary for this position is between $148,000 \- $350,000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 Lead end\-to\-end program planning and execution for The Roku Channel initiatives spanning Roku OS, web, third\-party connected TV platforms, and mobile/tablet
* Run quarterly and continuous planning across The Roku Channel workstreams; drive re\-plans as priorities shift, and dependencies change
* Build and maintain integrated delivery plans across multiple teams (milestones, critical paths, risks, decision points, and launch readiness criteria)
* Establish and run operating mechanisms that improve predictability: weekly program reviews, dependency forums, release readiness checkpoints, and post\-launch retrospectives
* Coordinate cross\-functional stakeholders across Product, Engineering, UX, QA, Data/Analytics, and operational partners to ensure clarity on scope, ownership, and timelines
* Orchestrate dependencies with contributing teams such as personalization/recommendations, content operations, and platform experience stakeholders impacting discovery, navigation, content mix, and monetization flows
* Drive RACI\-style clarity for cross\-team initiatives; ensure healthy scope and ownership boundaries across platforms and partner teams
* Forecast capacity and identify gaps early across Engineering, UX, QA, Data, and partner teams to support planning and delivery commitments
* Publish and maintain program reporting and executive\-facing communication: status, risks, tradeoffs, decisions needed, and mitigations—keeping teams aligned and unblocked
* Partner with engineering leadership to improve delivery hygiene and quality readiness, supporting cross\-platform consistency while respecting platform\-specific constraints
* Support program scaling as The Roku Channel grows, helping define tooling, templates, and future program management needs
### **We're excited if you have**
* 8\+ years of program management (or technical program management) experience leading complex cross\-functional initiatives in consumer software, media/streaming, or platform products
* Proven ability to deliver multi\-team, multi\-workstream programs with high dependency complexity and multiple stakeholder groups
* Experience working closely with engineering teams and technical systems (client/server integration, APIs, experimentation, analytics, release processes)
* Strong execution discipline: critical path planning, risk management, escalation, and crisp stakeholder communication
* Comfort navigating ambiguity and driving alignment without authority across diverse organizations
* Familiarity with streaming concepts (AVOD/SVOD/FAST/LIVE), discovery and personalization/recommendations, and content operations is a plus
* Experience with multi\-platform product delivery (CTV, web, mobile) and the realities of differing release trains and quality requirements is a plus
* Bachelor’s degree in a technical or related field (or equivalent experience)
###### **\#LI\-SR2**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30">
      <c r="A30" t="inlineStr">
        <is>
          <t>in-e6135e563e4782ed</t>
        </is>
      </c>
      <c r="B30" t="inlineStr">
        <is>
          <t>Senior Product Owner</t>
        </is>
      </c>
      <c r="C30" t="inlineStr">
        <is>
          <t>Evolent</t>
        </is>
      </c>
      <c r="D30" t="inlineStr">
        <is>
          <t>indeed</t>
        </is>
      </c>
      <c r="E30">
        <f>HYPERLINK("https://www.indeed.com/viewjob?jk=e6135e563e4782ed", "https://www.indeed.com/viewjob?jk=e6135e563e4782ed")</f>
        <v/>
      </c>
      <c r="F30">
        <f>HYPERLINK("https://evolent.wd1.myworkdayjobs.com/en-US/External/job/Work-at-Home/Senior-Product-Owner_JR-915508", "https://evolent.wd1.myworkdayjobs.com/en-US/External/job/Work-at-Home/Senior-Product-Owner_JR-915508")</f>
        <v/>
      </c>
      <c r="G30" t="inlineStr">
        <is>
          <t>Remote, US</t>
        </is>
      </c>
      <c r="H30" s="2" t="n">
        <v>46049</v>
      </c>
      <c r="I30"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As a Senior Product Owner at Evolent Health, you will drive the strategy, design, and delivery of innovative technology solutions specifically focused on Utilization Management (UM) and prior authorization applications, as well as provider portal capabilities within the healthcare technology domain. You will lead agile teams, collaborate across functions, and ensure our products meet regulatory and market needs from ideation through launch.
Key Responsibilities
Product Leadership \&amp; Strategy* Lead one or more agile development teams as the primary Product Owner for UM/prior authorization and provider portal applications, setting clear priorities and aligning work with business objectives.
* Define and communicate product vision, strategy, and roadmap for UM and provider portal solutions in partnership with Product Managers and executive stakeholders.
* Translate strategic goals into actionable product requirements, user stories, and acceptance criteria, leveraging data and stakeholder feedback from clinical, operational, and compliance teams.
* Champion product discovery, prioritization frameworks, and outcome measurement to maximize business impact in UM and provider portal domains.
Technical Expertise \&amp; Delivery* Serve as a Subject Matter Expert (SME) for UM/prior authorization workflows, provider portal functionality, and healthcare interoperability standards (e.g., HL7, FHIR).
* Oversee creation and maintenance of product documentation, including release notes, user guides, and training materials for UM and provider portal applications.
* Own the user acceptance testing process, ensuring compliance with regulatory requirements and stakeholder satisfaction.
* Participate in production support processes, including issue reproduction, gap analysis, and resolution for UM and provider portal products.
Stakeholder Engagement \&amp; Communication* Build strong relationships with clinical operations, provider relations, and engineering teams to ensure UM and portal solutions meet end\-user needs.
* Surface project risks, communicate changes to delivery timelines, and manage stakeholder expectations across healthcare technology initiatives.
* Synthesize complex technical concepts for executive audiences and facilitate decision\-making in steering committees.
* Foster a culture of collaboration, transparency, and continuous improvement across teams.
Continuous Improvement \&amp; Innovation* Identify and champion initiatives to improve efficiency, scalability, and compliance in UM and provider portal workflows.
* Stay current with emerging technologies and industry trends to inform product strategy.
* Mentor and coach junior product team members, supporting their professional growth.
Required Experience \&amp; Qualifications:* Bachelor’s Degree in a relevant field.
* 5\+ years of experience in healthcare technology, with a focus on Utilization Management, prior authorization, or provider portal solutions.
* Proven track record of leading agile teams and delivering successful UM or provider\-facing products.
* Highly organized, with the ability to prioritize and manage multiple tasks to completion.
* Strong analytical, research, and problem\-solving skills.
* Excellent written and verbal communication skills, with the ability to engage technical and non\-technical audiences.
* Strong understanding of healthcare data formats (eligibility, claims, authorizations) and compliance standards.
* Experience with Microsoft Office (Excel, Visio).
Preferred Experience \&amp; Qualifications:* Advanced degree in a technical or related field.
* Experience with healthcare interoperability standards (HL7, FHIR) and payer/provider workflows.
* Proficiency with SQL, Python, or equivalent programming languages.
* Experience writing product documentation (release notes, user guides).
* Familiarity with Agile methodologies (Scrum, SAFe, Kanban).
* Experience using JIRA and Confluence.
* Certified Scrum Product Owner (CSPO) or equivalent certification.
To ensure a secure hiring process we have implemented several identity verification steps, including submission of a government issued photo ID. We conduct identity verification during interviews, and final interviews may require onsite attendance. All candidates must complete a comprehensive background check, in\-person I\-9 verification, and may be subject to drug screening prior to employment. The use of artificial intelligence tools during interviews is prohibited and monitored. Misrepresentation will result in immediate disqualification from consideration.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$115,000 \- 125,000\.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row>
    <row r="31">
      <c r="A31" t="inlineStr">
        <is>
          <t>in-ae509deb24b696f7</t>
        </is>
      </c>
      <c r="B31" t="inlineStr">
        <is>
          <t>Agile Product Owner II - Information Management</t>
        </is>
      </c>
      <c r="C31" t="inlineStr">
        <is>
          <t>Premera Blue Cross</t>
        </is>
      </c>
      <c r="D31" t="inlineStr">
        <is>
          <t>indeed</t>
        </is>
      </c>
      <c r="E31">
        <f>HYPERLINK("https://www.indeed.com/viewjob?jk=ae509deb24b696f7", "https://www.indeed.com/viewjob?jk=ae509deb24b696f7")</f>
        <v/>
      </c>
      <c r="F31">
        <f>HYPERLINK("https://premera.wd5.myworkdayjobs.com/en-US/premera/job/Mountlake-Terrace-WA/Agile-Product-Owner-II----Information-Management_R28554", "https://premera.wd5.myworkdayjobs.com/en-US/premera/job/Mountlake-Terrace-WA/Agile-Product-Owner-II----Information-Management_R28554")</f>
        <v/>
      </c>
      <c r="G31" t="inlineStr">
        <is>
          <t>Mountlake Terrace, WA, US</t>
        </is>
      </c>
      <c r="H31" s="2" t="n">
        <v>46049</v>
      </c>
      <c r="I31"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https://healthsource.premera.com/.*About the role of Agile Product Owner II*
Are you a highly motivated and self\-driven person who’s ready to start their career in product management? Then, this Product Owner II position may be the right opportunity for you. As a Product Owner II, you will act as the voice of the customer within the Agile delivery team. You will elicit and document business requirements in the form of epics, features, PBI’s, user stories and use cases. As a Product Advocate, you will create, maintain, and outline work in the product backlog, determining which work items will produce the most business value and prioritizing those deliverables. You will develop and maintain strong relationships with business partners to help ensure stakeholder buy\-in and analysis of customer problems. The ideal candidate for this Product Owner II role, has experience in software engineering or data analysis and is enthusiastic about moving into data product management. By leveraging your solid technical background, we will help you develop your skills as a Product Owner in conjunction with the use of AI. Candidates who have expertise in EDI, HIPAA, RTPM, Edifecs, Boomi, Databricks, MongoDB, or Kafka are preferred.
This is a hybrid role, located on our campus in Mountlake Terrace, Washington.
What you’ll do:* Act as the voice of the customer to the Agile team. Understand the business and product strategies represent them to the Agile team. Facilitate the relationship with business partners and user community, bringing their voice to the Agile team. Become a business and product expert with deep domain knowledge. Act as a liaison with business stakeholders by planning, conducting, and leading analysis efforts for new product implementations. Lead Agile team backlog refinement sessions to identify scope of work.
* Collaborate with Product Managers and other Product Owners to develop a roadmap of features and user stories. Collaborate with business partners, IT partners, and Agile teams to develop clear and concise measurable outcomes and business value; identify, define, write, and refine business requirements in the form of features and user stories with clear acceptance criteria. Actively collaborate with the Agile team through solution design and development. Manage user acceptance testing. Approve and accept business user stories, enablers, and tech debt product backlog items (PBIs). Facilitate product and release demo, taking accountability for feedback and outcomes. Clearly communicate release content and value to business partners. Prioritize issues and collaborate to make decisions required to resolve them weighing the pros/cons, risks, and dependencies.
* Leverage data to guide product strategy.
* May lead or guide user acceptance testing with end users.
* Build, own, maintain, prioritize, optimize, and sequence the integrated team PBI backlog in collaboration with engineers and other stakeholders. Prioritize backlog of user stories in alignment with product roadmap. Collaborate with the Agile team on a regular cadence to refine the backlog. Collaborate with the Agile team to identify dependencies on other teams. Coordinate dependencies with other Product Owners in preparation for program increment planning.
* Identify ways to improve processes and accelerate value to our customers. Identify ways to continually improve quality standards. Identify opportunities to improve efficiency.
What you’ll bring:* Bachelor’s Degree in Information Systems or Computer Science or equivalent. (Required)
* Two (2\) years of business systems analysis experience. (Required)
* Experience in a software development environment with Agile development practices, including Scrum and SAFe. Knowledge of Agile delivery models. (Preferred)
* Experience using SQL for data analysis. (Preferred)
* Knowledge of the healthcare or health insurance industry. (Preferred)
* Knowledge of product development tools including Azure DevOps Services, Visual Studio, Confluence, and Product Plan. (Preferred)
* Experience with APIs, FHIR, Kafka, Mongo, Databricks, Boomi, RTPM, Edifecs, EDI and HIPAA. (Preferred)
* Proficiency with Copilot for content generation. (Preferred)
Knowledge, Skills, and Abilities* Customer\-focused, with demonstrated ability to understand and prioritize work according to the strategic impact/value and achieve concrete results.
* Demonstrates accountability and delivering results within a self\-organized team environment.
* Understanding of business and product strategies within aligned domain; clearly explains them to the Agile team.
* Possesses strong partnership with business and IT stakeholders.
* Aligns to established quality expectations and incorporates functional and non\-functional quality measures into requirements; ability to define and lead user acceptance testing process.
* Promotes teamwork; works well as a member of a team as well as successfully facilitating collaboration within the Agile team.
* Experience defining product and solutions; working knowledge of analytical tools, relational databases, and software applications; proven ability to analyze data and business processes.
* Ability to communicate effectively and professionally, both orally and in writing, to a wide range of audiences, including inside and outside the department.
* Makes well\-informed tactical\-level decisions based upon a mixture of analysis, wisdom, experience, and judgment.
* Strong problem solving and root cause analysis skills, demonstrated ability to proactively prevent problems from occurring and work issues to resolution.
* Strong facilitation skills; ability to facilitate medium to large group discussions to achieve defined outcomes.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$92,400\.00 \- $157,100\.00*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32">
      <c r="A32" t="inlineStr">
        <is>
          <t>in-0a3a4590fcd8ab64</t>
        </is>
      </c>
      <c r="B32" t="inlineStr">
        <is>
          <t>Global Banking &amp; Markets Public, Marquee Product Manager, Vice President - New York</t>
        </is>
      </c>
      <c r="C32" t="inlineStr">
        <is>
          <t>Goldman Sachs</t>
        </is>
      </c>
      <c r="D32" t="inlineStr">
        <is>
          <t>indeed</t>
        </is>
      </c>
      <c r="E32">
        <f>HYPERLINK("https://www.indeed.com/viewjob?jk=0a3a4590fcd8ab64", "https://www.indeed.com/viewjob?jk=0a3a4590fcd8ab64")</f>
        <v/>
      </c>
      <c r="F32">
        <f>HYPERLINK("https://higher.gs.com/roles/160657", "https://higher.gs.com/roles/160657")</f>
        <v/>
      </c>
      <c r="G32" t="inlineStr">
        <is>
          <t>New York, NY, US</t>
        </is>
      </c>
      <c r="H32" s="2" t="n">
        <v>46049</v>
      </c>
      <c r="I32" t="inlineStr">
        <is>
          <t>***Product Manager \- Marquee***
Marquee Product Managers are shaping the future of digital finance. Marquee’s Product Management team – in partnership with Marquee’s Design, Engineering, AI, Sales and Marketing teams \- delivers innovative, industry\-changing products and experiences to Goldman Sachs’ institutional clients. Marquee Product Managers define complex product strategies and guide interdisciplinary teams to expertly deliver them to the market.
**Responsibilities**
* **Working with Product Development/Engineering:**
	+ Translate user requirements to underlying design/solution to dev specifications
	+ Work with dev, architect, UX teams to shape the core modules of Marquee Portfolio Analytics
	+ Work with UX team to ensure consistency and incorporation of client feedback
	+ Balance new functionality, bugs, and client requests
	+ Assign commercial opportunities to work queue
	+ Prioritize potential initiatives by understanding alignment with business strategy and value generated for current and future users
* **Establish Metrics of Usage and track OKRs**
	+ Track client usage, production issues, system stability
	+ Establish usage metrics and production monitoring system KPIs to improve end user experience
	+ Track OKRs
* **Build Platform Collateral**
	+ Build demo and training libraries
	+ Manage internal communication, updates, trainings for new feature releases
	+ Develop, communicate and continuously refine product roadmaps that deliver innovative and engaging products
**Basic Qualifications**
* Bachelor’s Degree in Computer Science, Engineering or a related fields like Mathematics, Physics, Statistics
* Strong quantitative background in order to support financial analytics products and data driven decision making
* Proven experience in, and a passion for, building and shipping cutting edge financial and/or data products
* Exceptional communication skills
* Capability to apply a blend of strategic and tactical approaches to problems
* Creative design thinking, strong business acumen and technical know\-how
* Comfort with working in a rapidly evolving environment
* Ability to navigate and influence the organization with ease
* Tenacity. Someone who is willing to go beyond their comfort zone, as needed
* Experience in building and executing digital roadmaps within a financial context
* Experience working with data and API products, platforms and capabilities
**Preferred Qualifications**
* Experience in building and executing digital roadmaps within a financial context
* Experience working with data and API products, platforms and capabilities
**Salary Range**  
The expected base salary for this New York, New York, United States\-based position is $150000\-$300000\.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New York
JOB FUNCTION
Product Management
DIVISION
Global Banking \&amp; Markets
SALARY RANGE
USD 150,000 \- 300,000</t>
        </is>
      </c>
    </row>
    <row r="33">
      <c r="A33" t="inlineStr">
        <is>
          <t>in-325f89c62ace2493</t>
        </is>
      </c>
      <c r="B33" t="inlineStr">
        <is>
          <t>Purchasing Program Manager – NA Serial Life Powertrain</t>
        </is>
      </c>
      <c r="C33" t="inlineStr">
        <is>
          <t>Stellantis</t>
        </is>
      </c>
      <c r="D33" t="inlineStr">
        <is>
          <t>indeed</t>
        </is>
      </c>
      <c r="E33">
        <f>HYPERLINK("https://www.indeed.com/viewjob?jk=325f89c62ace2493", "https://www.indeed.com/viewjob?jk=325f89c62ace2493")</f>
        <v/>
      </c>
      <c r="F33">
        <f>HYPERLINK("https://careers.stellantis.com/job/22920548/purchasing-program-manager-na-serial-life-powertrain/", "https://careers.stellantis.com/job/22920548/purchasing-program-manager-na-serial-life-powertrain/")</f>
        <v/>
      </c>
      <c r="G33" t="inlineStr">
        <is>
          <t>Auburn Hills, MI, US</t>
        </is>
      </c>
      <c r="H33" s="2" t="n">
        <v>46049</v>
      </c>
      <c r="I33" t="inlineStr">
        <is>
          <t>Job ID: 2014473  
Career Area: Purchasing  
Job Category: Salaried
Location: Headquarters \&amp; Technology Center – Auburn Hills  
48326, US  
Date Posted: January 28, 2026  
Brand: FCA Group
The North America Powertrain Cost Program Manager (PCPM) will be the ‘Commercial Cost Leader’ for a specific Powertrain, managing all internal stakeholder interfaces and driving implementation of cost savings, mitigation of cost increase risks, and execution of cost recovery for their vehicle, resulting in Total Production Cost (TPC) improvement.
**Job responsibilities include but not limited to:**
* Lead Purchasing engagement in cross functional forums related to cost
* Manage all commercial cost savings activities generated from system war rooms, plant war rooms, and other similar forums across all internal stakeholders (Brand, Supply Chain, Manufacturing, Engineering, Purchasing, etc.)
* Drive and manage all commercial cost recovery actions for their specific engine/transmission (Certified Line Shortages / Disruptions, Capital Over\-recovery, ED\&amp;D over\-recovery, etc.)
* Drive engagement of cross functional organizations to mitigate specific cost increase risks, minimizing TPC impact, for their specific powertrain
* Manage all commercial cost Governance reporting related to TPC for their specific powertrain
* Ensure all commercial cost savings initiatives from any cross\-functional activity are documented in the Material Cost Management (MCM) database and actively managed from idea generation to implementation
* Lead real time monitoring and reporting activities for all commercial cost impacts (Implemented, In\-process, Forecast) for their assigned powertrain
* Lead the consolidation of all system should cost gap closure activities to be managed and reported at the vehicle level
* Lead coordination of TPC Warrior Room Report out presentations
**EOE/Disability/Veteran**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row>
    <row r="34">
      <c r="A34" t="inlineStr">
        <is>
          <t>in-ed5d8a20a26dc170</t>
        </is>
      </c>
      <c r="B34" t="inlineStr">
        <is>
          <t>Program Manager for Outreach - The Silver Lining Group</t>
        </is>
      </c>
      <c r="C34" t="inlineStr">
        <is>
          <t>Hi-5 ABA</t>
        </is>
      </c>
      <c r="D34" t="inlineStr">
        <is>
          <t>indeed</t>
        </is>
      </c>
      <c r="E34">
        <f>HYPERLINK("https://www.indeed.com/viewjob?jk=ed5d8a20a26dc170", "https://www.indeed.com/viewjob?jk=ed5d8a20a26dc170")</f>
        <v/>
      </c>
      <c r="F34">
        <f>HYPERLINK("https://hi5processing.applicantstack.com/x/detail/a2p22eukdilh", "https://hi5processing.applicantstack.com/x/detail/a2p22eukdilh")</f>
        <v/>
      </c>
      <c r="G34" t="inlineStr">
        <is>
          <t>Mansfield, OH, US</t>
        </is>
      </c>
      <c r="H34" s="2" t="n">
        <v>46049</v>
      </c>
      <c r="I34" t="inlineStr">
        <is>
          <t>Summary**Title:** Program Manager for Outreach \- The Silver Lining Group  
**ID:** 1204  
**Location:** Mansfield, OH  
**Department:** Client Services  
Description*Hi\-5 ABA* offices lead close\-knit teams of BCBAs, BCaBAs, Behavior Technicians and Registered Behavior Technicians (RBTs) as they work together to provide in\-home Applied Behavior Analysis (ABA) to children and families in their local communities.
If you desire to help children with autism or special needs, want to build a career where you can serve others, and be well\-compensated, then *Hi\-5 ABA* may be a great fit for you!
Adult and Pediatric CPR/BLS is required to be with clients one\-on\-one. We also require multiple background checks and a TB screening to ensure the safety of clients. Additional educational requirements may apply for Medicaid/Humana service providers.
Alternatively, you can apply to this job using your profile from Indeed</t>
        </is>
      </c>
    </row>
    <row r="35">
      <c r="A35" t="inlineStr">
        <is>
          <t>in-bdb17c108d72d263</t>
        </is>
      </c>
      <c r="B35" t="inlineStr">
        <is>
          <t>Summer STEAM Program Managers Grades 1-8</t>
        </is>
      </c>
      <c r="C35" t="inlineStr">
        <is>
          <t>Southeast Application Consortium</t>
        </is>
      </c>
      <c r="D35" t="inlineStr">
        <is>
          <t>indeed</t>
        </is>
      </c>
      <c r="E35">
        <f>HYPERLINK("https://www.indeed.com/viewjob?jk=bdb17c108d72d263", "https://www.indeed.com/viewjob?jk=bdb17c108d72d263")</f>
        <v/>
      </c>
      <c r="F35">
        <f>HYPERLINK("https://www.applitrack.com/sscschools/OnlineApp/JobPostings/view.asp?all=1&amp;AppliTrackJobId=5207_904&amp;AppliTrackLayoutMode=detail&amp;AppliTrackViewPosting=1", "https://www.applitrack.com/sscschools/OnlineApp/JobPostings/view.asp?all=1&amp;AppliTrackJobId=5207_904&amp;AppliTrackLayoutMode=detail&amp;AppliTrackViewPosting=1")</f>
        <v/>
      </c>
      <c r="G35" t="inlineStr">
        <is>
          <t>Faribault, MN, US</t>
        </is>
      </c>
      <c r="H35" s="2" t="n">
        <v>46049</v>
      </c>
      <c r="I35" t="inlineStr">
        <is>
          <t>JobID: 5207  
**Position Type:**  
 Community Education Youth Programs/STEAM  
**Date Posted:**  
 1/28/2026  
**Location:**  
 High School \&amp; Lincoln Elementary  
**Date Available:**  
 06/01/2026  
**Closing Date:**  
 5/29/26 or until filled  
**District:**  
 Faribault Independent School District 656 **Job Title: Summer STEAM Program Managers Grades 1\-8 (1\-2 positions \- site may vary)**  
**Job Description:** This position involves directly working with the program leads to assist with day\-to\-day program needs, including leading or assisting in a variety of classrooms and afternoon camps as necessary; helping with administrative tasks such as organizing supplies and entering data; serving as a mentor to Program Facilitators; and filling in where staffing vacancies exist.  
Summer STEAM will run from June 22 through July 30, 2026, Monday \- Thursday. There may be additional paid opportunities for staff interested in working bus supervision, family engagement events, and at the end of the program to assist with the pack up of Summer STEAM materials. There will be some required training dates for staff during the week of June 15, which will be communicated to all hired staff once details are finalized. This position will report from 7:30am \- 3:30pm at one of our Summer STEAM sites,with a 30\-minute unpaid lunch. The pay rate for the role will be $21\.61/hour. Applicants who are available for the entirety of the program will be considered first.  
**Qualifications:** Experience with working in a summer camp setting and leading activities with youth. Ability to be a leader and be flexible with day\-to\-day duties. Knowledgeable of and experienced with the Summer STEAM program. Enrolled in, graduated from, or on track for a Bachelor's degree program.  
**Application Procedure: Apply online at: www.faribault.k12\.mn.us**  
**Application Deadline:** Application review will begin on February 9\. Open until filled.  
Email To A Friend  
Print Version</t>
        </is>
      </c>
    </row>
    <row r="36">
      <c r="A36" t="inlineStr">
        <is>
          <t>in-96347a4059bb40f6</t>
        </is>
      </c>
      <c r="B36" t="inlineStr">
        <is>
          <t>Principal Program Manager</t>
        </is>
      </c>
      <c r="C36" t="inlineStr">
        <is>
          <t>Mercury Systems</t>
        </is>
      </c>
      <c r="D36" t="inlineStr">
        <is>
          <t>indeed</t>
        </is>
      </c>
      <c r="E36">
        <f>HYPERLINK("https://www.indeed.com/viewjob?jk=96347a4059bb40f6", "https://www.indeed.com/viewjob?jk=96347a4059bb40f6")</f>
        <v/>
      </c>
      <c r="F36">
        <f>HYPERLINK("https://recruiting.adp.com/srccsh/public/RTI.home?r=5001173211006&amp;c=1162151&amp;d=jobs.mrcy.com&amp;rb=INDEED&amp;idUnique=5001173211006", "https://recruiting.adp.com/srccsh/public/RTI.home?r=5001173211006&amp;c=1162151&amp;d=jobs.mrcy.com&amp;rb=INDEED&amp;idUnique=5001173211006")</f>
        <v/>
      </c>
      <c r="G36" t="inlineStr">
        <is>
          <t>Phoenix, AZ, US</t>
        </is>
      </c>
      <c r="H36" s="2" t="n">
        <v>46049</v>
      </c>
      <c r="I36" t="inlineStr">
        <is>
          <t>**Job Summary:**
Mercury is looking for an experienced Program Manager to join its growing program team which is responsible for strengthening the Program Management functions and supporting Business Management across business unit Programs.
This position will be based in Phoenix, AZ but will require up to 25% travel.
**You are responsible for:**
* Manages execution and performance of multiple programs within the Processing Secure Business Unit.
* Manage multiple teams and lead cross\-functional teams across product lines and business units. Deliver solutions from design to release.
* Oversee large or complex programs to ensure adherence to program plans, schedules, and budgets. Develop, define, and execute project plans, schedules, budgets and deliverables.
* Create relationships with customers and field\-based employees.
* Manage key vendors.
* Drive continuous improvement and root cause \&amp; corrective action initiatives.
* Identify and manage program challenges and lead their solutions, such as allocating resources, changing contractual specifications, and directing responses to customer needs.
* Oversee the development of growth strategies.
* Oversee the negotiation of contracts and contractual changes, including coordinating preparation of proposals, business plans, proposal work statements, operation budgets, specifications, and financial conditions of contracts.
* Providing Program Management support as part of strategic captures teams to ensure that Mercury delivers timely, compliant, cost\-effective solution to customers and including the negotiation and closure of the business deal.
* Coordination with the Global Sales team to understand customer requirements, schedule, and price targets and then build a program proposal that will be executable upon award.
* Acts as the focal point of contact with the customer for programmatic, contractual and business matters on any given proposal or program execution and is a liaison with customers and internal departments for all matters affecting the successful landing of assigned programs.
* Providing timely guidance into priority decisions concerning resources across competing priorities based upon business level strategy.
* Varied experience transitioning from the capture phase of a strategic program to the execution phase to deliver on business commitments and customer commitments.
* Extensive experience negotiating strategic programs to include commercial items sold to the Department of Defense is a must.
* Experience reviewing proposals for adequacy and the ability to build a strong and trusted relationship with the Defense Contract Management Agency (DCMA) is also critical.
* Coordination between the pricing and finance function, the contracts organization, and the proposal team to ensure that proposal schedules are met.
* Experience building comprehensive business cases to be used for proposal review and signoff.
* The desired candidate will demonstrate a strategic approach to proposal development, estimating, negotiation, administration, change management, and dispute resolution as a key contributor to senior management team.
* Proven experience building proactive and success\-oriented capture and execution teams.
* Demonstrated ability to conduct timely negotiations, resolve customer issues, and optimize cash flow in contract management.
* Identify and assess risks, opportunities, and issues against the execution or proposal baseline.
* Experienced Program Management lead for both product groups and service organizations.
* Expertise in USG, International, and Commercial contract negotiation and management.
* Compliance with FAR, DFAR, ITAR, and Export Regulations.
* Managed all contract types; FFP, FPIF, CPFF, CPAR, T\&amp;M, IDIQ and BOA.
* Established systems to ensure compliance with Purchasing (CPSR) and Estimating System reviews.
* Lead with internal and outside counsel as well as executive level business management on critical issues.
**Requires Qualifications**
* Bachelor's Degree in STEM (Science, Technology, Engineering, or Math), Business Management.
* Typically requires 7\+ years of execution experience with US DoD (DFARS) content.
* Experience managing complex technical programs across commercial and defense markets.
* Experience understanding a broad portfolio, spanning multiple customers and product platforms, including hardware, software, and manufacturing.
* This position requires you to have or obtain a government security clearance. Security clearances may only be granted to U.S. citizens
**Preferred Qualifications:**
* Master's in business administration (MBA), Business Management.
* Professional Certification (preferred): PMP, CPCM, CFCM or similar
* Strong communication skills, including ability to lead in\-person negotiations
* Very strong written and spoken English language skills
* Experience establishing a culture of execution and accountability.
* Understands systems and technologies for avionics, intelligence, surveillance and reconnaissance, targeting, communications, and networking.
**"This position requires you to have or obtain a government security clearance. Security clearances may only be granted to U.S. citizens."**
**\#LI\-RL1**
Requirements:
**Why should you join Mercury Systems?**
Mercury Systems is a technology company that makes the world a safer, more secure place. We push processing power to the tactical edge, making the latest commercial technologies profoundly more accessible for today's most challenging aerospace and defense missions. From silicon to system scale, Mercury enables customers to accelerate innovation and turn data into decision superiority. Headquartered in Andover, Massachusetts, Mercury employs more than 2,300 people in 24 locations worldwide. To learn more, visit mrcy.com
**Our Culture**
We are committed to making Mercury a great place to work, no matter where our employees are located. We offer a casual and enjoyable atmosphere that allows employees to learn and grow. We help and care for one another and work as one to achieve results for us and for our customers. We value communication and transparency, and strive to foster two\-way dialogue at all levels of the organization. We are committed to lifelong learning, offering comprehensive skills training and tuition reimbursement. Whether you're just starting out on your career journey or you are an experienced professional, it's important to us that you feel recognized and rewarded for your contributions.
To find out more about Why Mercury?, or visit the Mercury Community or find answers to general questions at Mercury FAQs
Mercury Systems is an equal opportunity employer. All qualified applicants will receive consideration for employment without regard to race, color, religion, age, sex (including pregnancy), sexual orientation, gender identity, national origin, genetic information, creed, citizenship, disability, protected veteran or marital status.
As an equal opportunity employer, Mercury Systems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the number below for assistance.
**(978\) 256\-1300**
Click here read about our recent press release.</t>
        </is>
      </c>
    </row>
    <row r="37">
      <c r="A37" t="inlineStr">
        <is>
          <t>in-a022570aba24f13f</t>
        </is>
      </c>
      <c r="B37" t="inlineStr">
        <is>
          <t>Principal Program Manager</t>
        </is>
      </c>
      <c r="C37" t="inlineStr">
        <is>
          <t>Mercury Systems</t>
        </is>
      </c>
      <c r="D37" t="inlineStr">
        <is>
          <t>indeed</t>
        </is>
      </c>
      <c r="E37">
        <f>HYPERLINK("https://www.indeed.com/viewjob?jk=a022570aba24f13f", "https://www.indeed.com/viewjob?jk=a022570aba24f13f")</f>
        <v/>
      </c>
      <c r="F37">
        <f>HYPERLINK("https://recruiting.adp.com/srccsh/public/RTI.home?r=5001168813906&amp;c=1162151&amp;d=jobs.mrcy.com&amp;rb=INDEED&amp;idUnique=5001168813906", "https://recruiting.adp.com/srccsh/public/RTI.home?r=5001168813906&amp;c=1162151&amp;d=jobs.mrcy.com&amp;rb=INDEED&amp;idUnique=5001168813906")</f>
        <v/>
      </c>
      <c r="G37" t="inlineStr">
        <is>
          <t>Chantilly, VA, US</t>
        </is>
      </c>
      <c r="H37" s="2" t="n">
        <v>46049</v>
      </c>
      <c r="I37" t="inlineStr">
        <is>
          <t>**Mercury is looking for an experienced Principal Program Manager to join its Secure line of business (LOB located in Chantilly, VA. As a Principal Program Manager, you will collaborate to deliver leading edge secure technologies that are game changing and impactful to our nation's defense.**
**You will be responsible for the performance of multiple programs across a number of our locations. This role is customer \- facing, has a high level of autonomy and requires strong judgement to achieve customer satisfaction while executing programs on time, within budget and on schedule. In this role, you will lead highly diverse cross functional teams composed of contracts, planning, finance, operations, growth and engineering. This position requires up to 25% travel.**
**Job Summary:**
* Manages execution, profit and loss responsibility, and performance of multiple programs within the Processing Secure Business Unit.
* Manage multiple teams and lead cross\-functional teams across product lines and business units. Deliver solutions from design to release.
* Oversee large or complex programs to ensure adherence to program plans, schedules, and budgets. Develop, define, and execute project plans, schedules, budgets and deliverables.
* Create relationships with customers and field\-based employees.
* Manage key vendors.
* Drive continuous improvement and root cause \&amp; corrective action initiatives.
* Identify and manage program challenges and lead their solutions, such as allocating resources, changing contractual specifications, and directing responses to customer needs.
* Oversee the development of growth strategies.
* Oversee the negotiation of contracts and contractual changes, including coordinating preparation of proposals, business plans, proposal work statements, operation budgets, specifications, and financial conditions of contracts.
* Providing Program Management support as part of strategic captures teams to ensure that Mercury delivers timely, compliant, cost\-effective solution to customers and including the negotiation and closure of the business deal.
* Coordination with the Global Sales team to understand customer requirements, schedule, and price targets and then build a program proposal that will be executable upon award.
* Acts as the focal point of contact with the customer for programmatic, contractual and business matters on any given proposal or program execution and is a liaison with customers and internal departments for all matters affecting the successful landing of assigned programs.
* Providing timely guidance into priority decisions concerning resources across competing priorities based upon business level strategy.
* Varied experience transitioning from the capture phase of a strategic program to the execution phase to deliver on business commitments and customer commitments.
* Extensive experience negotiating strategic programs to include commercial items sold to the Department of Defense is a must.
* Experience reviewing proposals for adequacy and the ability to build a strong and trusted relationship with the Defense Contract Management Agency (DCMA) is also critical.
* Coordination between the pricing and finance function, the contracts organization, and the proposal team to ensure that proposal schedules are met.
* Experience building comprehensive business cases to be used for proposal review and signoff.
* The desired candidate will demonstrate a strategic approach to proposal development, estimating, negotiation, administration, change management, and dispute resolution as a key contributor to senior management team.
* Proven experience building proactive and success\-oriented capture and execution teams
* Demonstrated ability to conduct timely negotiations, resolve customer issues, and optimize cash flow in contract management.
* Identify and assess risks, opportunities, and issues against the execution or proposal baseline.
* Experienced Program Management lead for both product groups and service organizations.
* Expertise in USG, International, and Commercial contract negotiation and management.
* Compliance with FAR, DFAR, ITAR, and Export Regulations.
* Managed all contract types; FFP, FPIF, CPFF, CPAR, T\&amp;M, IDIQ and BOA.
* Established systems to ensure compliance with Purchasing (CPSR) and Estimating System reviews.
* Lead with internal and outside counsel as well as executive level business management on critical issues
**Requires Qualifications**
* Bachelor's Degree in STEM (Science, Technology, Engineering, or Math), Business Management.
* Typically requires 7\+ years of experience in a relevant with Program/Project Management/ IPT Lead experience with a focus on production or aerospace, defense, space hardware, or related field.
* Experience managing complex technical programs across commercial and defense markets.
* Ability to understand a broad portfolio, spanning multiple customers and product platforms, including hardware, software, and manufacturing.
* Demonstrated success leading a cross functional team.
* This position requires you to have or obtain a government security clearance. Security clearances may only be granted to U.S. citizens
**Preferred Qualifications:**
* Master's in business administration (MBA), Business Management.
* 7\+ years of execution experience with US DoD (DFARS) content
* Professional Certification (preferred): PMP, CPCM, CFCM or similar
* Strong communication skills, including ability to lead in\-person negotiations
* Knowledge of government contracting practices and standard program reporting metrics.
* Experience establishing a culture of execution and accountability.
* Understands systems and technologies for avionics, intelligence, surveillance and reconnaissance, targeting, communications, and networking.
This position requires you to access information that is subject to U.S. export regulations. You may only access such information if you are a U.S. citizen, lawful permanent resident of the U.S., protected individual as defined by 8 U.S.C. 1324b(a)(3\), or eligible to obtain the required authorizations from the U.S. government.
\#LI\-RL1
Requirements:
**Why should you join Mercury Systems?**
Mercury Systems is a technology company that makes the world a safer, more secure place. We push processing power to the tactical edge, making the latest commercial technologies profoundly more accessible for today's most challenging aerospace and defense missions. From silicon to system scale, Mercury enables customers to accelerate innovation and turn data into decision superiority. Headquartered in Andover, Massachusetts, Mercury employs more than 2,300 people in 24 locations worldwide. To learn more, visit mrcy.com
**Our Culture**
We are committed to making Mercury a great place to work, no matter where our employees are located. We offer a casual and enjoyable atmosphere that allows employees to learn and grow. We help and care for one another and work as one to achieve results for us and for our customers. We value communication and transparency, and strive to foster two\-way dialogue at all levels of the organization. We are committed to lifelong learning, offering comprehensive skills training and tuition reimbursement. Whether you're just starting out on your career journey or you are an experienced professional, it's important to us that you feel recognized and rewarded for your contributions.
To find out more about Why Mercury?, or visit the Mercury Community or find answers to general questions at Mercury FAQs
Mercury Systems is an equal opportunity employer. All qualified applicants will receive consideration for employment without regard to race, color, religion, age, sex (including pregnancy), sexual orientation, gender identity, national origin, genetic information, creed, citizenship, disability, protected veteran or marital status.
As an equal opportunity employer, Mercury Systems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the number below for assistance.
**(978\) 256\-1300**
Click here read about our recent press release.</t>
        </is>
      </c>
    </row>
    <row r="38">
      <c r="A38" t="inlineStr">
        <is>
          <t>in-d922093470d8061a</t>
        </is>
      </c>
      <c r="B38" t="inlineStr">
        <is>
          <t>Principal Program Manager</t>
        </is>
      </c>
      <c r="C38" t="inlineStr">
        <is>
          <t>Mercury Systems</t>
        </is>
      </c>
      <c r="D38" t="inlineStr">
        <is>
          <t>indeed</t>
        </is>
      </c>
      <c r="E38">
        <f>HYPERLINK("https://www.indeed.com/viewjob?jk=d922093470d8061a", "https://www.indeed.com/viewjob?jk=d922093470d8061a")</f>
        <v/>
      </c>
      <c r="F38">
        <f>HYPERLINK("https://recruiting.adp.com/srccsh/public/RTI.home?r=5001175596606&amp;c=1162151&amp;d=jobs.mrcy.com&amp;rb=INDEED&amp;idUnique=5001175596606", "https://recruiting.adp.com/srccsh/public/RTI.home?r=5001175596606&amp;c=1162151&amp;d=jobs.mrcy.com&amp;rb=INDEED&amp;idUnique=5001175596606")</f>
        <v/>
      </c>
      <c r="G38" t="inlineStr">
        <is>
          <t>Hudson, NH, US</t>
        </is>
      </c>
      <c r="H38" s="2" t="n">
        <v>46049</v>
      </c>
      <c r="I38" t="inlineStr">
        <is>
          <t>**Job Summary:**
As a Principal Program Manager, you will be responsible for the performance of one or multiple programs (family of programs), with an emphasis on new development efforts and/or production programs. This role requires a broad understanding of all aspects of a program, from ideation to production as well as in\-service support. Customer\-facing, you will have great business acumen, making judicious decisions to achieve customer satisfaction while successfully executing your programs on time, on schedule, and on budget. In this role you will lead highly diverse cross functional teams composed of contracts, program planning, finance, operations, and engineering, to develop next\-generation high\-performance embedded processing solutions. You will be a part of a world\-class team in our Processing Technologies Business Unit, a leading provider of dense, rugged, secure compute solutions for next generation aerospace and defense applications. You will support programs across our Compute Line of Business, where we design, develop, and produce embedded computers, networking appliances, storage solutions, and integration processing subsystems. We are an agile team focused on delivering innovative, high\-quality products to our customers on time and on budget.
**Job Responsibilities:**
* Develop plans for the execution of customer and internal programs, including schedules and estimates
* Execute programs to scope, schedule, cost, and quality over their full lifecycle, by internal processes and contractual obligations, for customers worldwide
* Identify and manage scope changes through their approval and execution
* Ensure on\-time deliverables (documentation and products)
* Perform risk and opportunities management, including definition and execution of action plans for risk mitigation to prevent adverse effects, and escalate issues promptly
* Provide details of resources required for successful execution of programs
* Respond to related request for proposals (RFPs), coordinate and develop proposals and related documentation, including schedules, estimates, compliance matrices, programmatic volume, and bid review material
* Create statements of work (SOW) and perform sub\-contract management, as required
* Present programs status to the leadership team, weekly and monthly, including reporting on programs' KPIs and critical path
* Point of contact for customers, develop and execute action plans for customers and organization satisfaction, including problem solving, obsolescence management, and in\-service support
* Team with Operations, Engineering, and Business Development to ensure that all are informed and involved in decisions affecting their areas
* Manage all customer expectations and communicates professionally.
**Required Qualifications:**
* Bachelors degree in a relevant field.
* Typically requires 7\+ years of progressive project/program management experience related to defense hardware systems.
* Experience Government contracting practices, Earned Value Management (EVMS), and standard program reporting metrics.
* Experienced leading technical projects for product development programs.
* Experience Aerospace \&amp; Defense, or Satellite Communications SATCOM Industry experience.
* Solid knowledge of program scheduling tools, such as MS Project.
* **This position requires you to have or obtain a government security clearance. Security clearances may only be granted to U.S. citizens.**
**Preferred Qualifications:**
* Development and/or Production PM experience.
* Ability to communicate effectively, both written and orally, with customers at all levels of the organization.
* Excellent presentation skills.
* Ability to communicate effectively with customers, internal and external.
* Program Management certification (PMP).
* Experienced with documentation and collaboration tools, such as Confluence and SharePoint.
* Experience managing Programs in a multi\-site matrix organization.
* Experience with Military and Commercial Programs.
* Experience with Contract Management, Sub\-Contract Management.
* Knowledge of FAR, DFAR, ITAR, and Export Regulations.
* Prior external customer support/interface experience.
Requirements:
**Why should you join Mercury Systems?**
Mercury Systems is a technology company that makes the world a safer, more secure place. We push processing power to the tactical edge, making the latest commercial technologies profoundly more accessible for today's most challenging aerospace and defense missions. From silicon to system scale, Mercury enables customers to accelerate innovation and turn data into decision superiority. Headquartered in Andover, Massachusetts, Mercury employs more than 2,300 people in 24 locations worldwide. To learn more, visit mrcy.com
**Our Culture**
We are committed to making Mercury a great place to work, no matter where our employees are located. We offer a casual and enjoyable atmosphere that allows employees to learn and grow. We help and care for one another and work as one to achieve results for us and for our customers. We value communication and transparency, and strive to foster two\-way dialogue at all levels of the organization. We are committed to lifelong learning, offering comprehensive skills training and tuition reimbursement. Whether you're just starting out on your career journey or you are an experienced professional, it's important to us that you feel recognized and rewarded for your contributions.
To find out more about Why Mercury?, or visit the Mercury Community or find answers to general questions at Mercury FAQs
Mercury Systems is an equal opportunity employer. All qualified applicants will receive consideration for employment without regard to race, color, religion, age, sex (including pregnancy), sexual orientation, gender identity, national origin, genetic information, creed, citizenship, disability, protected veteran or marital status.
As an equal opportunity employer, Mercury Systems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the number below for assistance.
**(978\) 256\-1300**
Click here read about our recent press release.</t>
        </is>
      </c>
    </row>
    <row r="39">
      <c r="A39" t="inlineStr">
        <is>
          <t>in-056b5df8a3ef6604</t>
        </is>
      </c>
      <c r="B39" t="inlineStr">
        <is>
          <t>Product Manager</t>
        </is>
      </c>
      <c r="C39" t="inlineStr">
        <is>
          <t>Omron</t>
        </is>
      </c>
      <c r="D39" t="inlineStr">
        <is>
          <t>indeed</t>
        </is>
      </c>
      <c r="E39">
        <f>HYPERLINK("https://www.indeed.com/viewjob?jk=056b5df8a3ef6604", "https://www.indeed.com/viewjob?jk=056b5df8a3ef6604")</f>
        <v/>
      </c>
      <c r="F39">
        <f>HYPERLINK("https://recruiting.adp.com/srccsh/public/RTI.home?r=5001175202906&amp;c=1087941&amp;d=OMRON_USA&amp;rb=INDEED&amp;idUnique=5001175202906", "https://recruiting.adp.com/srccsh/public/RTI.home?r=5001175202906&amp;c=1087941&amp;d=OMRON_USA&amp;rb=INDEED&amp;idUnique=5001175202906")</f>
        <v/>
      </c>
      <c r="G39" t="inlineStr">
        <is>
          <t>Hoffman Estates, IL, US</t>
        </is>
      </c>
      <c r="H39" s="2" t="n">
        <v>46049</v>
      </c>
      <c r="I39" t="inlineStr">
        <is>
          <t>**Work at OMRON!**
Omron is a leading global manufacturer of industrial automation products focused on sensing and control technologies. Omron Automation\-Americas, headquartered in Hoffman Estates, IL, is the industrial automation subsidiary of Omron Corporation, a $8 billion global technology company celebrating more than 80 years of success.
Omron is looking for an energetic and focused Product Manager for our sensor product lines. The Product Manager for Sensor Products is responsible for the strategic direction, product management and performance of her assigned product portfolio in the Americas. Working closely with the global business units and the regional sales organization, the PM conducts market research, competitive analysis and voice of customer investigations to identify key market needs and pain points in Omron's target industry verticals. She advocates for and supports the development of new component product offerings to address those pain points and enhance Omron's value proposition in the Industrial Automation market space. The PM executes plans for the successful introduction to the Omron sales organization while actively managing the lifecycle of the existing portfolio to maximize margin, market share and revenue in the Americas. The product manager is expected to identify the key value proposition and messaging of her portfolio and support the marketing department in activities for the achievement of defined annual revenue objectives
**Our Commitment to Employees:**
* Training and Career Development Program to give employees a learning path with the necessary tools and resources they need to help build their career at Omron.
* Great financial opportunities with competitive compensation, immediate 401k match with 100% vesting, profit sharing, and Blue Cross Blue Shield for medical, dental, vision and prescription drug benefits.
* Community Awareness that includes activities with local non\-profit organizations and a Matching Gift Program.
* Work\-Life Balance with Flexible Work Arrangements, Flexible Work Hours, and Sick/Vacation/Holiday Pay.
* Wellness Activities such as Walking Contests, Nutritional Learning Sessions, On Site Flu shots and Health Screenings.
**Responsibilities:**
* Understands the competitive landscape, market trends and customer needs for Omron's sensors and positions those products appropriately
* Identifies key product needs and portfolio gaps required for Omron's success in the Americas
* Acts as voice of the region in global product planning discussions to align global product development with local requirements.
* Builds strong relationships with key stakeholders (PBD, Sales, etc) to ensure alignment on product and business objections
* Monitor and report on product performance, making data driven recommendations to optimize results
* Analyze market data, competitor activities, customer/sales feedback to refine and develop new product strategies
* Manages the lifecycle of her portfolio to align with strategic priorities
* Regularly provides recommendations to management on the strategic focus and recommended actions for her portfolio
* Conducts internal product training as necessary
* Functions as the product subject matter expert in support of various commercial marketing activities
* Registers and maintains all part numbers in Omron ERP systems
* Supports the development of annual budget forecast
* Coordinates with sub\-region marketing teams in Mexico, ROM, Brazil and Canada to ensure consistency of offerings and messaging
**Requirements:**
* Four (4\) year Business or Engineering Degree.
* Minimum of three (3\) years of product management and/or sales experience in automation or related industry.
* Experience with positioning and marketing assigned products into target industries within the automation marketplace.
* Excellent presentation skills and business acumen in front of customers and distributors.
* Proficient in current Microsoft Office and Adobe tools. Experience with Salesforce.com is a plus.
Don't meet every single requirement? Studies have shown people are less likely to apply to jobs unless they meet every single qualification. At Omron, we are dedicated to building an inclusive, and authentic workplace, so if you're excited about this role but your past experience doesn't align perfectly with every qualification in the job description, we encourage you to apply anyway. You may be just the right candidate for this or other roles.
*Omron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row>
    <row r="40">
      <c r="A40" t="inlineStr">
        <is>
          <t>in-2435712f1b081e91</t>
        </is>
      </c>
      <c r="B40" t="inlineStr">
        <is>
          <t>Purchasing Program Manager – NA Serial Life Powertrain</t>
        </is>
      </c>
      <c r="C40" t="inlineStr">
        <is>
          <t>Stellantis</t>
        </is>
      </c>
      <c r="D40" t="inlineStr">
        <is>
          <t>indeed</t>
        </is>
      </c>
      <c r="E40">
        <f>HYPERLINK("https://www.indeed.com/viewjob?jk=2435712f1b081e91", "https://www.indeed.com/viewjob?jk=2435712f1b081e91")</f>
        <v/>
      </c>
      <c r="F40">
        <f>HYPERLINK("https://recruiting.adp.com/srccsh/public/RTI.home?r=5001172939406&amp;c=2183219&amp;d=ExternalCareerSite&amp;rb=INDEED&amp;idUnique=5001172939406", "https://recruiting.adp.com/srccsh/public/RTI.home?r=5001172939406&amp;c=2183219&amp;d=ExternalCareerSite&amp;rb=INDEED&amp;idUnique=5001172939406")</f>
        <v/>
      </c>
      <c r="G40" t="inlineStr">
        <is>
          <t>Auburn Hills, MI, US</t>
        </is>
      </c>
      <c r="H40" s="2" t="n">
        <v>46049</v>
      </c>
      <c r="I40" t="inlineStr">
        <is>
          <t>The North America Powertrain Cost Program Manager (PCPM) will be the ‘Commercial Cost Leader' for a specific Powertrain, managing all internal stakeholder interfaces and driving implementation of cost savings, mitigation of cost increase risks, and execution of cost recovery for their vehicle, resulting in Total Production Cost (TPC) improvement.
**Job responsibilities include but not limited to:**
* Lead Purchasing engagement in cross functional forums related to cost
* Manage all commercial cost savings activities generated from system war rooms, plant war rooms, and other similar forums across all internal stakeholders (Brand, Supply Chain, Manufacturing, Engineering, Purchasing, etc.)
* Drive and manage all commercial cost recovery actions for their specific engine/transmission (Certified Line Shortages / Disruptions, Capital Over\-recovery, ED\&amp;D over\-recovery, etc.)
* Drive engagement of cross functional organizations to mitigate specific cost increase risks, minimizing TPC impact, for their specific powertrain
* Manage all commercial cost Governance reporting related to TPC for their specific powertrain
* Ensure all commercial cost savings initiatives from any cross\-functional activity are documented in the Material Cost Management (MCM) database and actively managed from idea generation to implementation
* Lead real time monitoring and reporting activities for all commercial cost impacts (Implemented, In\-process, Forecast) for their assigned powertrain
* Lead the consolidation of all system should cost gap closure activities to be managed and reported at the vehicle level
* Lead coordination of TPC Warrior Room Report out presentations
Requirements:
**Basic Qualifications:**
* Bachelor's degree in business, Finance, Supply Chain Management, or related field (ABET accredited)
* A minimum of 8 years of relevant purchasing experience or other disciplines that require significant negotiation/exposure to cost and sourcing processes
* Strong organizational skills; excels in fast\-paced, complex environments
* Strong negotiation skills and the ability to think and act strategically
* Self\-motivated, resourceful, and able to manage multiple projects
* Results\-oriented leader with experience guiding cross\-functional teams
* Excellent communication skills; comfortable with all management levels
* Deep understanding of Group Purchasing business processes
* Proficient in MS Office, SAP, and Qlik Sense
**Preferred Qualifications:**
* Previous Purchasing Program Management experience
* Commodity Purchasing experience a plus
* Good understanding of roles and responsibilities of various stakeholders and Purchasing's role within it
* General knowledge of supplier cost structures and cost breakdown analysis
* Business case development skills.</t>
        </is>
      </c>
    </row>
    <row r="41">
      <c r="A41" t="inlineStr">
        <is>
          <t>in-4af33b55b175e757</t>
        </is>
      </c>
      <c r="B41" t="inlineStr">
        <is>
          <t>Rural Health Transformation Program Manager</t>
        </is>
      </c>
      <c r="C41" t="inlineStr">
        <is>
          <t>State of Kansas</t>
        </is>
      </c>
      <c r="D41" t="inlineStr">
        <is>
          <t>indeed</t>
        </is>
      </c>
      <c r="E41">
        <f>HYPERLINK("https://www.indeed.com/viewjob?jk=4af33b55b175e757", "https://www.indeed.com/viewjob?jk=4af33b55b175e757")</f>
        <v/>
      </c>
      <c r="F41">
        <f>HYPERLINK("https://jobs.sok.ks.gov/psc/sokhrprdcg/APPLICANT/HRMS/c/HRS_HRAM_FL.HRS_CG_SEARCH_FL.GBL?Page=HRS_APP_JBPST_FL&amp;Action=U&amp;FOCUS=Applicant&amp;SiteId=1&amp;JobOpeningId=219512&amp;PostingSeq=1", "https://jobs.sok.ks.gov/psc/sokhrprdcg/APPLICANT/HRMS/c/HRS_HRAM_FL.HRS_CG_SEARCH_FL.GBL?Page=HRS_APP_JBPST_FL&amp;Action=U&amp;FOCUS=Applicant&amp;SiteId=1&amp;JobOpeningId=219512&amp;PostingSeq=1")</f>
        <v/>
      </c>
      <c r="G41" t="inlineStr">
        <is>
          <t>KS, US</t>
        </is>
      </c>
      <c r="H41" s="2" t="n">
        <v>46049</v>
      </c>
      <c r="I41" t="inlineStr">
        <is>
          <t>**Important Recruitment Information for this vacancy**
**Job Posting closes:** February 11, 2026
**Required documents uploaded by:** February 11, 2026
**Kansas Department of Health and Environment:**
Our agency is led by Secretary Janet Stanek, who was appointed by Gov. Kelly in Dec 2021\. KDHE is comprised of three divisions: Public Health, Environment, and Health Care Finance (which includes the State’s Medicaid program, KanCare). We are the only agency in the nation to have these three entities under one roof which allows us to take a holistic approach to improving and protecting the health and well\-being of all Kansans.
Verification of identity and employment eligibility to work in the United States is required by federal law. For a list of acceptable documents that establish these criteria, please refer to the federal Form I\-9\. **KDHE does not provide sponsorships for this position.**
**E\-Verify:** Kansas Department of Health and Environment (KDHE) participates in E\-Verify and will provide the federal government with your I\-9 information to confirm that you are authorized to work in the U.S. For additional information regarding E\-Verify, please click here. For additional information regarding Immigrant and Employee Rights (IER) please click here.
*http://www.kdhe.ks.gov/*
**About the Position**
* **Who can apply:** Anyone (External).
* **Classified/Unclassified Service:** Unclassified
* **Full\-Time/Part\-Time:** Full\-Time
* **Regular/Temporary:** Regular
* **Work Schedule:** Monday\-Friday, 8am\-5pm (Flexible schedules available)
* **Eligible to Receive Benefits:** Yes
* **Veterans' Preference Eligible:** Yes
* **Sponsorship:** KDHE does not provide sponsorship for this position.
**Compensation:**
* **Hourly Pay Range:** $28\.32
**Employment Benefits**
* **Comprehensive medical, mental, dental, vision, and additional coverage**
* **Sick \&amp; Vacation leave**
* **Work\-Life Balance programs: parental leave, military leave, jury leave, funeral leave**
* **Paid State Holidays (designated by the Governor annually)**
* **Fitness Centers in select locations**
* **Employee discounts with the** **STAR Program**
* **Retirement and deferred compensation programs**
Visit the Employee Benefits page for more information…
**Position Summary \&amp; Responsibilities**
**Position Summary:**
The Rural Health Transformation Program Manager position (K0247168\) serves as the project manager within the Office of the Secretary. Under the direction of the Chief of Staff and Rural Health Grant Program Director, the position assists with ongoing oversight and direction of the Rural Health Transformation Program, supporting the planning, development, implementation, and evaluation of its approved strategies and activities. This includes assisting in the development of program goals and objectives, coordinating with core partners in preparing program progress reports, preparing the annual program budget narratives, and coordinating with other KDHE Bureaus/ Divisions, state agencies and external stakeholders. Performs and ensures completion of administrative responsibilities related to grant funding, including but not limited to applications, revisions, annual reports, evaluations, budget development, and communication with funders.
The position supports partnership and collaboration efforts by coordinating meetings, preparing agendas, taking notes, tracking follow up tasks, and ensuring information flows efficiently between the Office of the Secretary, KDHE bureaus, partner agencies, and external stakeholders.
This includes scheduling and facilitating workgroups, maintaining communication documentation, preparing presentation materials, and ensuring stakeholders receive timely updates. The position may provide informational presentations when requested and supports coordination of statewide rural health activities in alignment with RHTP goals.
Routinely crosses program, bureau, and agency lines to assure coordinated efforts and to obtain data sufficient to measure progress toward RHTP objectives.
**Job Responsibilities may include but are not limited to the following:**
* Supports the Program Director by coordinating budget related documentation for RHTP activities.
* Responsibilities include tracking expenditures, reviewing monthly fiscal reports, maintaining budget spreadsheets, and preparing draft materials for budget narratives or amendments.
* With support of the Program Director, develops and negotiates contracts/ agreements, monitors routing process, and oversees contract/ agreement monitoring and compliance tasks.
* Provides informal coordination for staff assigned to RHTP workstreams, ensuring tasks, timelines, and deliverables are clearly tracked. Supports onboarding processes, maintains workplan and tracking documents, and helps staff stay aligned with project expectations.
 **Qualifications**
* **Education**:
	+ High School, GED
* **Licensing \&amp; Certification:**
* **Minimum Qualifications:**
	+ One year of experience in planning, implementing and monitoring activities.
	+ Four years of experience in health administration, public health, or related field. Education may be substituted for experience as determined by the agency.
	+ Ability to communicate to diverse audiences.
* **Preferred Qualifications:**
	+ Word, Excel, PowerPoint, Access
	+ Proofreading, editing, attention to detail
	+ Grant and fiscal management experience
	+ Database and spreadsheet management skills
	+ Ability to interact professionally with professionals at the local, state and federal levels.
	+ Experience in technical assistance, program evaluation, training, and/or grants management
	+ Experience coordinating or providing support to community programs
	+ Ability to research, organize, and present health information and promotional materials
	+ Excellent interpersonal skills, ability to build and maintain professional relationships
	+ Demonstrated ability to prepare grant proposals, reports, and other written documents
* **Post\-Offer, Pre\-employment Requirements:**
	+ Kansas Tax Clearance Certificate: A valid Kansas Tax Clearance Certificate is a condition of employment for all employees of the State of Kansas. Applicants (including non\-residents) who receive a formal job offer for a State job, are required to obtain a valid Tax Clearance within ten (10\) days of the job offer. A Tax Clearance can be obtained through the Kansas Department of Revenue who reviews individual accounts for compliance with Kansas Tax Law. If you have a missing tax return(s) or you owe taxes to the State of Kansas, please know that the Kansas Department of Revenue will work with you. The Kansas Department of Revenue can set you up on a payment plan to receive a Tax Clearance so you can get a job working for the State of Kansas. The Kansas Department of Revenue can be contacted at 785\-296\-3199\. Kansas Department of Revenue \- Tax Clearance Frequently Asked Questions
* Valid Driver's License \- Incumbent is required to have and maintain a valid driver's license when operating a state vehicle, a private vehicle, or a rental vehicle for the benefit of the State.
**Recruiter Contact Information**
**Name:** Melody Hazard
**Email:** **Melody.Hazard@ks.gov**
**Mailing Address:** 1000 SW Jackson St. Suite 580 Topeka, KS 66612
**Job Application Process**
* **First Sign in or register as a New User.**
* **Complete or update your contact information on the Careers\&gt; My Contact Information page. \*This information is included on all your job applications.**
* **Upload required documents listed below for the Careers\&gt; My Job Applications page. \*This information is included on all your job applications.**
* **Start your draft job application, upload other required documents, and Submit when it is complete.**
	+ **Manage your draft and submitted applications on the Careers\&gt; My Job Applications page.**
* **Check your email and My Job Notifications for written communications from the Recruiter.**
	+ **Email – sent to the Preferred email on the My Contact Information page**
	+ **Notifications – view the Careers\&gt; My Job Notifications page**
***Helpful Resources at*** *jobs.ks.gov****:*** *“How to Apply for a Job – Instructions” and “How to Search for a Job – Instructions"*
**Required Documents for this Application to be Complete**
**Upload these on the Careers \- My Job Applications page**
* Transcripts
* DD214 (if you are claiming Veteran’s Preference)
**Upload these on the Attachments step in your Job Application**
* Resume
* Cover Letter
**Helpful Resources at** **jobs.ks.gov****:** “How, What, \&amp; Where do I Upload Documents”
**How to Claim Veterans Preference**
Veterans' Preference Eligible (VPE): Former military personnel or their spouse that have been verified as a "veteran"; under K.S.A. 73\-201 will receive an interview if they meet the minimum competency factors of the position. The veterans' preference laws do not guarantee the veteran a job. Positions are filled with the best qualified candidate as determine by the hiring manager.
Learn more about claiming Veteran’s Preference
**How to Claim Disability Hiring Preference**
Applicants that have physical, cognitive and/or mental disabilities may claim an employment preference when applying for positions. If they are qualified to meet the performance standards of the position, with or without a reasonable accommodation, they will receive an interview for the position. The preference does not guarantee an applicant the job, as positions are filled with the best qualified candidate as determined by the hiring manager.
Learn more about claiming Disability Hiring Preference
**PLEASE NOTE**: The documentation verifying a person's eligibility for use of this preference should ***not*** be sent along with other application materials to the hiring agency but should be sent directly to OPS. These documents should be sent either by fax to (785\)296\-7712, scanned and emailed to Gustavo.Victoriano@ks.gov, or can be mailed/delivered in person to:
ATTN: Disability Hiring Preference Coordinator  
Office of Personnel Services  
Landon State Office Building  
900 SW Jackson, Rm 401  
Topeka, KS 66612
**Equal Employment Opportunity**
The State of Kansas is an Equal Opportunity Employer. We value diversity, equity, and inclusion as essential elements that create and foster a welcoming workplace. All qualified persons will be considered for employment without regard to race, color, religion, sex, sexual orientation, gender identity, national origin, age, political affiliation, disability or any other factor unrelated to the essential functions of the job.
If you wish to identify yourself as a qualified person with a disability under the Americans with Disabilities Act and would like to request an accommodation, please address the request to the agency recruiter.</t>
        </is>
      </c>
    </row>
    <row r="42">
      <c r="A42" t="inlineStr">
        <is>
          <t>in-4b2c67f00d9bb901</t>
        </is>
      </c>
      <c r="B42" t="inlineStr">
        <is>
          <t>Senior Technical Program Manager</t>
        </is>
      </c>
      <c r="C42" t="inlineStr">
        <is>
          <t>PlayStation</t>
        </is>
      </c>
      <c r="D42" t="inlineStr">
        <is>
          <t>indeed</t>
        </is>
      </c>
      <c r="E42">
        <f>HYPERLINK("https://www.indeed.com/viewjob?jk=4b2c67f00d9bb901", "https://www.indeed.com/viewjob?jk=4b2c67f00d9bb901")</f>
        <v/>
      </c>
      <c r="F42">
        <f>HYPERLINK("https://careers.playstation.com/senior-technical-program-manager/job/5784030004", "https://careers.playstation.com/senior-technical-program-manager/job/5784030004")</f>
        <v/>
      </c>
      <c r="G42" t="inlineStr">
        <is>
          <t>San Mateo, CA, US</t>
        </is>
      </c>
      <c r="H42" s="2" t="n">
        <v>46049</v>
      </c>
      <c r="I42" t="inlineStr">
        <is>
          <t>Position Type:
Location(s):
United States, San Mateo, CA
Date Posted:
Job ID:
200520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Sony Interactive Entertainment LLC seeks a Senior Technical Program Manager in San Mateo, CA to act as the technical program manager for the data engineering team. Requires a Master’s degree in Computer Science, or related field or equivalent, and three (3\) years of experience delivering robust analytics and visualization solutions through AWS, JavaScript, SQL DB, and Python; engineering, designing, developing, testing, and deploying project phases using Agile methodologies and collaboration tools, including JIRA, Confluence, Rally and Spreadsheet; utilizing AWS, Azure, and Kubernetes cloud\-based technologies, VM and AWS onboarding products, and the ICP cloud platform for product delivery; performing fiscal year planning for software and hardware; utilizing PowerBI, Excel and Python for data analytics; retrieving and structuring datasets for reporting and analysis with SQL, Apache Hadoop, and big data analysis platforms; managing Data Warehouses using cloud, data center and networking infrastructure technologies; and supporting the deployment of Java applications with software version control using Jenkins pipeline, SVN repository and Git. Telecommuting and/or working from home may be permissible pursuant to company policies. Sony is an EOE.
Salary range: $217,964\.00 – $263,300\.00/year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43">
      <c r="A43" t="inlineStr">
        <is>
          <t>in-548dd62f6195dcd6</t>
        </is>
      </c>
      <c r="B43" t="inlineStr">
        <is>
          <t>Staff Product Manager, Intuit Data Exchange</t>
        </is>
      </c>
      <c r="C43" t="inlineStr">
        <is>
          <t>Intuit</t>
        </is>
      </c>
      <c r="D43" t="inlineStr">
        <is>
          <t>indeed</t>
        </is>
      </c>
      <c r="E43">
        <f>HYPERLINK("https://www.indeed.com/viewjob?jk=548dd62f6195dcd6", "https://www.indeed.com/viewjob?jk=548dd62f6195dcd6")</f>
        <v/>
      </c>
      <c r="F43">
        <f>HYPERLINK("https://dsp.prng.co/j39s3wb", "https://dsp.prng.co/j39s3wb")</f>
        <v/>
      </c>
      <c r="G43" t="inlineStr">
        <is>
          <t>Mountain View, CA, US</t>
        </is>
      </c>
      <c r="H43" s="2" t="n">
        <v>46049</v>
      </c>
      <c r="I43" t="inlineStr">
        <is>
          <t>**Overview**
------------
Intuit Data Exchange is Intuit’s integration and automation platform, enabling customers and products to securely connect data, orchestrate workflows, and automate critical tasks at scale. We are seeking a Staff Product Manager to lead workflow and automation products within the App Integrations team, defining durable, AI\-enabled platform capabilities that power experiences across QuickBooks, Mailchimp, and the broader Intuit ecosystem.
In this role, you will own the strategy and execution for how systems connect, data flows, and work gets done automatically across products and partners. You will build deep customer understanding, leverage data, experimentation, and AI to accelerate outcomes, and influence across product, engineering, and partner teams to deliver cohesive, high\-quality end\-to\-end experiences that drive meaningful customer and business impact.
 **Responsibilities**
* Define and drive product strategy for integration, workflow, and automation capabilities that deliver measurable customer and business outcomes.
* Deepen understanding of customer problems through research, experimentation, data, and AI\-powered insights; align teams around target customers and personas.
* Own the end\-to\-end customer experience across multiple products, domains, and capabilities, maintaining a high bar for product excellence and product\-market fit.
* Partner with engineering to shape technical approaches and durable platform strategies, using an AI\-first mindset to solve complex problems.
* Leverage data across products to inform prioritization, roadmap decisions, and success metrics; deliver against input and outcome goals.
* Identify opportunities to improve processes, tools, and systems to enable scalable, automated, and intuitive customer workflows.
* Influence across product, engineering, design, and partner teams through clear, data\-driven storytelling and strong cross\-functional leadership.
* Use experimentation, prototyping, and emerging AI tools to accelerate execution and innovation.
 **Qualifications**
* 6\+ years of product management experience, including ownership of platform, API, integration, or automation products.
* Proven ability to define and execute product strategy that drives growth across multiple teams and stakeholders.
* Strong product execution skills, delivering high\-quality, intuitive end\-to\-end experiences across complex systems.
* High technical fluency; experience partnering closely with engineering and influencing architectural decisions.
* Data\-driven decision maker with experience using analytics, experimentation, and AI\-enabled tools.
* Track record of influencing without authority and driving alignment across cross\-functional and product teams.
* Experience with workflow automation, integrations, developer platforms, or SaaS ecosystems strongly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4">
      <c r="A44" t="inlineStr">
        <is>
          <t>in-641927d6ac5acc52</t>
        </is>
      </c>
      <c r="B44" t="inlineStr">
        <is>
          <t>Program Manager I - Building Management</t>
        </is>
      </c>
      <c r="C44" t="inlineStr">
        <is>
          <t>Cleveland Clinic</t>
        </is>
      </c>
      <c r="D44" t="inlineStr">
        <is>
          <t>indeed</t>
        </is>
      </c>
      <c r="E44">
        <f>HYPERLINK("https://www.indeed.com/viewjob?jk=641927d6ac5acc52", "https://www.indeed.com/viewjob?jk=641927d6ac5acc52")</f>
        <v/>
      </c>
      <c r="F44">
        <f>HYPERLINK("https://clevelandclinic.contacthr.com/150825446", "https://clevelandclinic.contacthr.com/150825446")</f>
        <v/>
      </c>
      <c r="G44" t="inlineStr">
        <is>
          <t>Cleveland, OH, US</t>
        </is>
      </c>
      <c r="H44" s="2" t="n">
        <v>46049</v>
      </c>
      <c r="I44" t="inlineStr">
        <is>
          <t>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As Program Manager, you will oversee the operations, maintenance and infrastructure of our expanding research facilities, including existing buildings and the new Cleveland Innovation District sites, to ensure safe, efficient and compliant operations that minimize disruption to research activities. Serving as the primary liaison among research, facilities and safety teams, this role is responsible for coordinating maintenance activities, space planning and centralized service contracts. You will also manage the research enterprise equipment inventory, track equipment maintenance through Nuvolo and conduct routine infrastructure assessments, such as monitoring RO systems and the medical gas room, ensuring ongoing facility integrity.
This position is essential to maintaining operational continuity and supporting the long\-term strategic growth of our research enterprise.
**A caregiver in this position works days from 8:00 a.m. – 5:00 p.m.**
A caregiver who excels in this role will:
* Develop, implement, manage and maintain operational systems and activities.
* Serve as a liaison with all levels of the organization, including internal stakeholders, external partners, residents, directors and research, facilities and safety teams.
* Coordinate maintenance activities, space planning and centralized service contracts.
* Manage multiple priorities and projects with competing deadlines.
* Allocate time to meet completion requirements.
* Serve as a coach and mentor for other positions in the department.
* Review and monitor adherence to Human Resources policies and corporate compliance procedures.
* Oversee the operations, maintenance and infrastructure of expanding research facilities, including existing buildings and new Cleveland Innovation District sites.
* Manage the research enterprise equipment inventory and track equipment maintenance through Nuvolo.
* Conduct routine infrastructure assessments, including monitoring RO systems and the medical gas room, to ensure ongoing facility integrity.
* Support operational continuity amid growing demands related to relocations, renovations, and space reorganizations.
Minimum qualifications for the ideal future caregiver include:
* Bachelor's Degree in Business Administration, Healthcare Administration or related field **and** two years of experience in project management, data analysis and systems training
* **OR** Associate’s Degree **and** four years of experience
* **OR** Master’s Degree **and** one year of experience
* **OR** High School Diploma / GED **and** six years of experience
* Knowledge of statistical and financial analysis, primary research and business plan development
Preferred qualifications for the ideal future caregiver include:
* Experience in healthcare setting
* Experience with Capital Management – finance \&amp; service contract
**Physical Requirements:**
* Ability to perform work in a stationary position for extended periods
* Ability to operate a computer and other office equipment
* Ability to communicate and exchange accurate information
* Ability to travel throughout the hospital system
**Pay Range**
Minimum Annual Salary: $52,270\.00
Maximum Annual Salary: $79,727\.50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45">
      <c r="A45" t="inlineStr">
        <is>
          <t>in-d91b2335076425a9</t>
        </is>
      </c>
      <c r="B45" t="inlineStr">
        <is>
          <t>Finance Program Manager, Cost Governance</t>
        </is>
      </c>
      <c r="C45" t="inlineStr">
        <is>
          <t>CBRE</t>
        </is>
      </c>
      <c r="D45" t="inlineStr">
        <is>
          <t>indeed</t>
        </is>
      </c>
      <c r="E45">
        <f>HYPERLINK("https://www.indeed.com/viewjob?jk=d91b2335076425a9", "https://www.indeed.com/viewjob?jk=d91b2335076425a9")</f>
        <v/>
      </c>
      <c r="F45">
        <f>HYPERLINK("https://careers.cbre.com/en_US/careers/JobDetail/Finance-Program-Manager-Cost-Governance/248475", "https://careers.cbre.com/en_US/careers/JobDetail/Finance-Program-Manager-Cost-Governance/248475")</f>
        <v/>
      </c>
      <c r="G45" t="inlineStr">
        <is>
          <t>Remote, US</t>
        </is>
      </c>
      <c r="H45" s="2" t="n">
        <v>46049</v>
      </c>
      <c r="I45" t="inlineStr">
        <is>
          <t>Finance Program Manager, Cost Governance
Job ID
248475
Posted
28\-Jan\-2026
Service line
Advisory Segment
Role type
Full\-time
Areas of Interest
Accounting/Finance
Location(s)
Remote \- US \- Remote \- US \- United States of America
**About the Role:**
As a CBRE Program Manager for Cost Governance, you will be a central accountability point for cost and compensation governance, ensuring disciplined decision\-making while balancing the rigor of detailed transactional work with the need to engage and align diverse stakeholders across the organization.
This job is part of the Advisory Operations \&amp; Strategy team which partners with senior leadership to implement both short\- and long\-term strategic plans, working across business lines and geographies to drive program and process innovations, execute transformation initiatives and enhance strategic governance at scale. **What You’ll Do:**
* Manage high\-volume compensation requests that directly impact business outcomes, applying judgment to resolve ambiguities and prepare business cases for executive review.
* Guide business partners—including Operations, People (HR), Finance, and Leadership—through complex processes by clarifying requirements, building tools, and ensuring smooth execution across functions.
* Drive process improvements by spotting recurring patterns and recommending refinements that increase agility and enhance the overall stakeholder experience while ensuring healthy friction.
* Oversee event requests and strategies that shape large\-scale initiatives, from internal meetings to industry conferences and client engagements, ensuring cost\-effective and well\-governed execution.
* Administer commission overrides with precision, balancing timely processing with transparency into cost implications for leadership visibility.
* Deliver reporting and insights that inform executive decision\-making, highlighting the financial and operational impact of compensation and cost management programs.
* Act as a central accountability point for cost governance, ensuring adherence to headcount, compensation, and expense reduction programs that drive enterprise efficiency.
* Provide mentorship and operational leadership to team members, creating structure, consistency, and growth opportunities within the program.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3\-5 years of relevant experience. In lieu of a degree, a combination of experience and education will be considered.
* Experience in the areas of staffing, selection, training, development, coaching, mentoring, measuring, appraising, and rewarding performance and retention is preferred.
* Ability to lead the exchange of sensitive, complicated, and difficult information, convey performance expectations and handle problems.
* Leadership skills to motivate the team to achieve broad operational targets with impacts on own job discipline, multiple job disciplines, and department.
* In\-depth knowledge of Microsoft Office products. Examples include Word, Excel, Outlook, etc.
* Extensive organizational skills and an advanced inquisitive mindset.
Advanced math skills. Ability to calculate complicated figures such as percentages, fractions, and other financial\-related calculations.  
*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*Applicants must be currently authorized to work in the United States without the need for visa sponsorship now or in the future.*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CBRE carefully considers multiple factors to determine compensation, including a candidate’s education, training, and experience. The minimum salary for the Program Manager, Cost Governance position is $120,000\.00 annually and the maximum salary for the Program Manager, Cost Governance position is $140,000\.00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row>
    <row r="46">
      <c r="A46" t="inlineStr">
        <is>
          <t>in-4aca6d2de9ad5174</t>
        </is>
      </c>
      <c r="B46" t="inlineStr">
        <is>
          <t>Technical Product Owner</t>
        </is>
      </c>
      <c r="C46" t="inlineStr">
        <is>
          <t>Qode</t>
        </is>
      </c>
      <c r="D46" t="inlineStr">
        <is>
          <t>indeed</t>
        </is>
      </c>
      <c r="E46">
        <f>HYPERLINK("https://www.indeed.com/viewjob?jk=4aca6d2de9ad5174", "https://www.indeed.com/viewjob?jk=4aca6d2de9ad5174")</f>
        <v/>
      </c>
      <c r="F46">
        <f>HYPERLINK("https://apply.workable.com/j/631DF788DE", "https://apply.workable.com/j/631DF788DE")</f>
        <v/>
      </c>
      <c r="G46" t="inlineStr">
        <is>
          <t>Fort Mill, SC, US</t>
        </is>
      </c>
      <c r="H46" s="2" t="n">
        <v>46049</v>
      </c>
      <c r="I46" t="inlineStr">
        <is>
          <t>**Job Title: Technical Product Owner:**  
**Location:** Fort Mill, SCEmployment Type: Full\-TimeRole Overview
We are seeking a Technical Product Ownerwith strong experience in Financial Services, Banking, or Wealth Management domains. The ideal candidate will bridge business needs and technical execution, ensuring delivery of high\-quality products that meet regulatory and customer requirements.Key Responsibilities
* Define and prioritize product backlog aligned with business objectives and technical feasibility.
* Collaborate with engineering teams to translate business requirements into technical specifications.
* Own end\-to\-end product lifecycle: ideation, development, testing, deployment, and maintenance.
* Ensure compliance with financial regulations and security standards.
* Conduct stakeholder meetings to gather requirements and communicate progress.
* Drive API integration and backend system enhancements for financial platforms.
* Monitor KPIs and product performance to inform future roadmap decisions.
Required Qualifications
* 7\+ years of experience in Product Ownership or Business Analysis within Financial Services, Banking, or Wealth Management.
* Strong understanding of financial products, payment systems, and regulatory frameworks.
* Technical proficiency in:
* API design and integration
* Cloud platforms (AWS, Azure, or GCP)
* Agile/Scrum methodologies
* Excellent communication and stakeholder management skills.
* Ability to write clear user stories and acceptance criteria.
Preferred Skills
* Experience with digital banking platforms, wealth management tools, or trading systems.
* Familiarity with data security, authentication protocols (OAuth2, JWT).
* Exposure to CI/CD pipelines, microservices architecture.</t>
        </is>
      </c>
    </row>
    <row r="47">
      <c r="A47" t="inlineStr">
        <is>
          <t>in-2a1d2595b232966e</t>
        </is>
      </c>
      <c r="B47" t="inlineStr">
        <is>
          <t>Staff IT Technical Program Manager</t>
        </is>
      </c>
      <c r="C47" t="inlineStr">
        <is>
          <t>Verily</t>
        </is>
      </c>
      <c r="D47" t="inlineStr">
        <is>
          <t>indeed</t>
        </is>
      </c>
      <c r="E47">
        <f>HYPERLINK("https://www.indeed.com/viewjob?jk=2a1d2595b232966e", "https://www.indeed.com/viewjob?jk=2a1d2595b232966e")</f>
        <v/>
      </c>
      <c r="F47">
        <f>HYPERLINK("https://verily.wd1.myworkdayjobs.com/en-US/Verily_Careers/job/Dallas-Texas/Staff-IT-Technical-Program-Manager_REQ-684", "https://verily.wd1.myworkdayjobs.com/en-US/Verily_Careers/job/Dallas-Texas/Staff-IT-Technical-Program-Manager_REQ-684")</f>
        <v/>
      </c>
      <c r="G47" t="inlineStr">
        <is>
          <t>Dallas, TX, US</t>
        </is>
      </c>
      <c r="H47" s="2" t="n">
        <v>46049</v>
      </c>
      <c r="I47"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We're seeking a highly organized and communicative Technical Program Manager to guide enterprise\-wide projects from concept to successful launch, beginning with a focus on Salesforce technical program management. In this role, you'll collaborate with Sales, Marketing, Support, and Application Engineering to deliver, enhance, and maintain CRM solutions. You’re passionate about technology, thrive in a collaborative environment, and have a knack for translating technical details into clear action plans.
Responsibilities* Champion project success: Define goals, timelines, and budgets in partnership with diverse teams.
* Drive seamless execution: Proactively monitor progress, anticipate roadblocks, and find solutions.
* Lead change with clarity: Develop communication plans to guide users through system transitions.
* Enhance IT processes: Collaborate within IT to streamline and improve our engagement and governance models.
* Be the communication hub: Keep stakeholders at all levels informed and aligned for successful outcomes.
Qualifications
Minimum Qualifications* Bachelor's degree and 8 years of experience managing enterprise\-level IT projects, including data/system migrations.
* Strong understanding of IT systems, infrastructure, and development processes.
* Outstanding communication skills for both technical and non\-technical audiences, experience presenting at executive levels, and demonstrated ability to write concise updates for senior audiences.
* Experience improving business processes in complex, matrixed enterprise organizations.
Preferred Qualifications* Proven experience leading the strategy, planning, and execution of complex Salesforce implementations, enhancements, and integrations. Sales or Sales Strategy \&amp; Operations experience would also be valuable.
* Experience managing infrastructure changes related to mergers, acquisitions, or divestitures.
Qualified applicants must not require employer sponsored work authorization now or in the future for employment in the United States.
The US base salary range for this full\-time position is $143,500 \- $215,000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48">
      <c r="A48" t="inlineStr">
        <is>
          <t>in-cb7a641852f21764</t>
        </is>
      </c>
      <c r="B48" t="inlineStr">
        <is>
          <t>Purchasing Program Manager – NA Serial Life Powertrain</t>
        </is>
      </c>
      <c r="C48" t="inlineStr">
        <is>
          <t>Stellantis</t>
        </is>
      </c>
      <c r="D48" t="inlineStr">
        <is>
          <t>indeed</t>
        </is>
      </c>
      <c r="E48">
        <f>HYPERLINK("https://www.indeed.com/viewjob?jk=cb7a641852f21764", "https://www.indeed.com/viewjob?jk=cb7a641852f21764")</f>
        <v/>
      </c>
      <c r="F48">
        <f>HYPERLINK("https://FCA.contacthr.com/150824033", "https://FCA.contacthr.com/150824033")</f>
        <v/>
      </c>
      <c r="G48" t="inlineStr">
        <is>
          <t>Auburn Hills, MI, US</t>
        </is>
      </c>
      <c r="H48" s="2" t="n">
        <v>46049</v>
      </c>
      <c r="I48" t="inlineStr">
        <is>
          <t>The North America Powertrain Cost Program Manager (PCPM) will be the ‘Commercial Cost Leader’ for a specific Powertrain, managing all internal stakeholder interfaces and driving implementation of cost savings, mitigation of cost increase risks, and execution of cost recovery for their vehicle, resulting in Total Production Cost (TPC) improvement.
**Job responsibilities include but not limited to:**  
Lead Purchasing engagement in cross functional forums related to cost
Manage all commercial cost savings activities generated from system war rooms, plant war rooms, and other similar forums across all internal stakeholders (Brand, Supply Chain, Manufacturing, Engineering, Purchasing, etc.)
Drive and manage all commercial cost recovery actions for their specific engine/transmission (Certified Line Shortages / Disruptions, Capital Over\-recovery, ED\&amp;D over\-recovery, etc.)
Drive engagement of cross functional organizations to mitigate specific cost increase risks, minimizing TPC impact, for their specific powertrain
Manage all commercial cost Governance reporting related to TPC for their specific powertrain
Ensure all commercial cost savings initiatives from any cross\-functional activity are documented in the Material Cost Management (MCM) database and actively managed from idea generation to implementation
Lead real time monitoring and reporting activities for all commercial cost impacts (Implemented, In\-process, Forecast) for their assigned powertrain
Lead the consolidation of all system should cost gap closure activities to be managed and reported at the vehicle level
Lead coordination of TPC Warrior Room Report out presentations
**Basic Qualifications:**  
Bachelor’s degree in business, Finance, Supply Chain Management, or related field (ABET accredited)
A minimum of 8 years of relevant purchasing experience or other disciplines that require significant negotiation/exposure to cost and sourcing processes
Strong organizational skills; excels in fast\-paced, complex environments
Strong negotiation skills and the ability to think and act strategically
Self\-motivated, resourceful, and able to manage multiple projects
Results\-oriented leader with experience guiding cross\-functional teams
Excellent communication skills; comfortable with all management levels
Deep understanding of Group Purchasing business processes
Proficient in MS Office, SAP, and Qlik Sense
**Preferred Qualifications:**  
Previous Purchasing Program Management experience
Commodity Purchasing experience a plus
Good understanding of roles and responsibilities of various stakeholders and Purchasing's role within it
General knowledge of supplier cost structures and cost breakdown analysis
Business case development skills.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49">
      <c r="A49" t="inlineStr">
        <is>
          <t>in-c628da71c73bba06</t>
        </is>
      </c>
      <c r="B49" t="inlineStr">
        <is>
          <t>Memory Care Program Manager</t>
        </is>
      </c>
      <c r="C49" t="inlineStr">
        <is>
          <t>Brookdale Senior Living</t>
        </is>
      </c>
      <c r="D49" t="inlineStr">
        <is>
          <t>indeed</t>
        </is>
      </c>
      <c r="E49">
        <f>HYPERLINK("https://www.indeed.com/viewjob?jk=c628da71c73bba06", "https://www.indeed.com/viewjob?jk=c628da71c73bba06")</f>
        <v/>
      </c>
      <c r="F49">
        <f>HYPERLINK("https://ibmwjb.fa.ocs.oraclecloud.com/hcmUI/CandidateExperience/en/sites/CX_1001/job/25016765?utm_medium=jobboard&amp;utm_source=indeed", "https://ibmwjb.fa.ocs.oraclecloud.com/hcmUI/CandidateExperience/en/sites/CX_1001/job/25016765?utm_medium=jobboard&amp;utm_source=indeed")</f>
        <v/>
      </c>
      <c r="G49" t="inlineStr">
        <is>
          <t>Goodlettsville, TN, US</t>
        </is>
      </c>
      <c r="H49" s="2" t="n">
        <v>46049</v>
      </c>
      <c r="I49"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50">
      <c r="A50" t="inlineStr">
        <is>
          <t>in-f80780e30eb25911</t>
        </is>
      </c>
      <c r="B50" t="inlineStr">
        <is>
          <t>Program Manager, (Software Licensing and IT assets)</t>
        </is>
      </c>
      <c r="C50" t="inlineStr">
        <is>
          <t>Metropolitan Council of the Twin Cities</t>
        </is>
      </c>
      <c r="D50" t="inlineStr">
        <is>
          <t>indeed</t>
        </is>
      </c>
      <c r="E50">
        <f>HYPERLINK("https://www.indeed.com/viewjob?jk=f80780e30eb25911", "https://www.indeed.com/viewjob?jk=f80780e30eb25911")</f>
        <v/>
      </c>
      <c r="F50">
        <f>HYPERLINK("https://www.governmentjobs.com/careers/metrocouncil/jobs/5208340/program-manager-software-licensing-and-it-assets", "https://www.governmentjobs.com/careers/metrocouncil/jobs/5208340/program-manager-software-licensing-and-it-assets")</f>
        <v/>
      </c>
      <c r="G50" t="inlineStr">
        <is>
          <t>Saint Paul, MN, US</t>
        </is>
      </c>
      <c r="H50" s="2" t="n">
        <v>46049</v>
      </c>
      <c r="I50" t="inlineStr">
        <is>
          <t>**WHO WE ARE**
--------------
*This position is eligible for a hybrid (both remote and onsite) telework arrangement. Candidate's permanent residence must be in Minnesota or Wisconsin.*  
We are the **Metropolitan Council**, the regional government for the seven\-county Twin Cities metropolitan area. We plan 30 years ahead for the future of the metropolitan area and provide regional transportation, wastewater, and housing services.
 **The Office of Equity and Equal Opportunity (OEEO)** supports the role of the Metropolitan Council in its employment practices and business operations, to advance its mission and respect for equality, equity, inclusion, access, and diversity among its employees, customers, and the citizens of the seven\-county metropolitan area.
Our office of Equity and Equal Opportunity. (OEEO) has one (1\) vacancy for a Program Manager.
 **How** **your work would contribute to our organization and the Twin Cities region:**  
 The Program Manager, Software Licensing and IT Assets within the OEEO department, will be responsible for establishing and maintaining a structured approach to software asset management to maximize value while minimizing potential legal and financial risks.
**What you would do in this job**
---------------------------------
* Collaborate with IS, Finance, and RA procurement teams to acquire and efficiently deploy necessary software licenses, ensuring timely renewals or procurements with service owners and engineering managers.
* Manage the renewal process for existing licenses and subscriptions that transitioned to IS from various business units.
* Ensure compliance with software licensing agreements and legal requirements, conducting regular audits to verify and address any issues.
* Document and evaluate appropriate SAM tools and technologies for software management and optimization, including software inventory tools, license management software, and usage monitoring solutions. Assess vendors based on features, scalability, integration capabilities, and cost.
* Generate and provide periodic reports for management on software usage, compliance status, and cost savings.
* Serve as the liaison between the software owning team and establish and maintain relationships with software vendors in collaboration with procurement teams and relevant stakeholders.
* Negotiate license agreements, terms, conditions, and contracts in collaboration with procurement teams and stakeholders.
* Manage external software audits initiated by vendors or licensing authorities.
* Stay informed about changes in licensing terms, regulations, and industry best practices.
* Identify opportunities for software standardization and consolidation.
* Develop and implement policies and procedures for software acquisition, deployment, and usage.
* Conduct regular reviews and updates of SAM policies, procedures, and technologies to adapt to changing business needs, industry trends, and regulatory requirements.
* Educate IS employees and stakeholders on software compliance, providing training and awareness sessions.
* Maintain an accurate inventory of all software assets within the organization that impact OEEO business operations by tracking installations, versions, and updates.
* Offer guidance on software selection and usage to avoid unnecessary expenses.
* Ensure ongoing alignment with organizational goals and objectives.
* Lead and establish priorities for the OEEO Data Team.
**What education and experience are required for this job (minimum qualifications)**
------------------------------------------------------------------------------------
Any of the following combinations of education in Computer Science/Engineering, Information Technology, or related, and experience (in managing, tracking of software licenses, and IT assets).
* High school diploma/GED and nine (9\) years of experience
* Associate’s degree and seven (7\) years of experience
* Bachelor’s degree and five (5\) years of experience
* Master's degree and three (3\) years of experience
**What additional skills and experience would be helpful in this job (desired qualifications):**
* Familiarity with government procurement procedures and processes
* Experience with regulatory compliance
* Interpreting Legal Statutes
* Working knowledge and best practices in IT or Cyber Security
* Experience handling sensitive, confidential, and private data
* Experience fostering equity, diversity, and inclusion competency and understanding
* Experience with small business program tracking, reporting, and compliance software and requirements
**What knowledge, skills and abilities you should have within the first six months on the job:*** Knowledge of software asset management policies and best practices
* Knowledge of principles and practices of project management, process management, and continuous improvement methodologies and tools
* Knowledge of strategic and business planning and organization
* Effective written and verbal communication
* Skilled in collaboration and facilitation
* Ability to translate ideas into actionable steps, breaking down ‘visions’ into strategies and deliverables.
* Ability to think strategically and set attainable goals
* Ability to manage multiple projects simultaneously
* Demonstrated ability to identify, prioritize, execute, and delegate project tasks with minimal supervision
* Ability to lead cross\-functional teams in a collaborative effort to project completion
* Ability to define problems and effectively prioritize solutions
**What you can expect from us:*** We offer the opportunity to make a difference and positively influence the Twin Cities metropolitan area.
* We encourage our employees to develop their skills through on\-site training and tuition reimbursement.
* We provide a competitive salary, excellent benefits, and a good work/life balance.
**Additional information**
--------------------------
**Union/Grade:** AFSCME/Grade I  
**FLSA Status:** Exempt  
**Safety Sensitive:** No  
**What your work environment would be:**  
 You would perform your work in a standard office setting. Work may sometimes require travel between your primary work site and other sites.  
**What steps the recruitment process involves:**
* We review your minimum qualifications.
* We rate your education and experience.
* We conduct a structured panel interview.
* We conduct a selection interview.
Once you have successfully completed the steps above, then:  
**If you are new to the Metropolitan Council**, you must pass a drug test (safety sensitive positions only), and a background check which verifies education, employment, and criminal history. A driving record check and/or physical may be conducted if applicable to the job. If you have a criminal conviction, you do not automatically fail. The Metropolitan Council considers felony, gross misdemeanor and misdemeanor convictions on a case\-by\-case basis, based on whether they are related to the job and whether the candidate has demonstrated adequate rehabilitation.  
**If you are already an employee of the Metropolitan Council**, you must pass a drug test (if moving from a non\-safety sensitive position to a safety sensitive position) and criminal background check if the job you're applying for is safety sensitive, is a supervisory or management job, is in the Finance, Information Services, Audit, or Human Resources departments, or has access to financial records, files/databases, cash, vouchers or transit fare cards. A driving record check and/or physical may be conducted if applicable to the position.  
 IMPORTANT: If you make a false statement or withhold information, you may be barred from job consideration.  
*The Metropolitan Council is an Equal Opportunity, Affirmative Action, and veteran\-friendly employer. The Council is committed to a workforce that reflects the diversity of the region and strongly encourages persons of color, members of the LGBTQ community, individuals with disabilities, women, and veterans to apply.*  
*If you have a disability that requires accommodation during the selection process, please email* HR\-OCCHealth@metc.state.mn.us*.*
We believe our employees are a key to our agency's success! In order to attract and retain high quality employees, the Council provides a highly competitive benefits package both in choice and coverage levels. Some highlights about our benefits are listed below:  
* Guaranteed monthly retirement income through Minnesota State Retirement System pension fund
* Opportunity to save additional funds for retirement on a tax\-deferred basis through a voluntary deferred compensation (457\) plan
* Two or more medical plans from which to choose, with employer contribution towards premiums over 80%
* Dental insurance, life insurance and vision insurance
The following benefits are provided to all employees as part of working for the Council. You will have access to free:* Well@Work clinic
* bus/rail pass valued at over $1200 per year
* parking at many job locations
* fitness centers at many job locations
* Employee Assistance Program
* extensive health and wellness programs and resources</t>
        </is>
      </c>
    </row>
    <row r="51">
      <c r="A51" t="inlineStr">
        <is>
          <t>in-5b9b81e7e82488ce</t>
        </is>
      </c>
      <c r="B51" t="inlineStr">
        <is>
          <t>Product Manager, Robotics &amp; Navigation</t>
        </is>
      </c>
      <c r="C51" t="inlineStr">
        <is>
          <t>ALPHATEC SPINE, INC.</t>
        </is>
      </c>
      <c r="D51" t="inlineStr">
        <is>
          <t>indeed</t>
        </is>
      </c>
      <c r="E51">
        <f>HYPERLINK("https://www.indeed.com/viewjob?jk=5b9b81e7e82488ce", "https://www.indeed.com/viewjob?jk=5b9b81e7e82488ce")</f>
        <v/>
      </c>
      <c r="F51">
        <f>HYPERLINK("https://apply.workable.com/j/D42826DA7A", "https://apply.workable.com/j/D42826DA7A")</f>
        <v/>
      </c>
      <c r="G51" t="inlineStr">
        <is>
          <t>Carlsbad, CA, US</t>
        </is>
      </c>
      <c r="H51" s="2" t="n">
        <v>46049</v>
      </c>
      <c r="I51" t="inlineStr">
        <is>
          <t>Under minimal supervision, identifies and implements product strategies, marketing plans, promotional and advertising programs, as well as oversees all aspects of product management, including: market launch and surveillance, release to sales and forecasting for assigned product line to ensure that existing and new products meet Company goals and expectations.
**Essential Duties and Responsibilities**
* Develops and implements product marketing campaigns for assigned product line, including: setting objectives and short\- and long\-term strategies, conducting market research and competition tracking, developing product mix and action plans, ROI analysis.
* Analyzes market trends, company sales and buyer behavior and makes modifications to product strategies accordingly.
* Develops and presents business cases as justification for new products, as required.
* Manages all product marketing activities for assigned product line, such as: project management, market launch and surveillance.
* Pursues product line extensions and/or trimming, labeling revisions, clinical studies and any other activities to build and sustain value of the product line and maximize earnings.
* Continually seeks new innovations for assigned product line.
* Develops high\-quality sales collateral, efficient customer service processes, and optimized manufacturing operations to support assigned product line.
* Develops and monitors sales forecasts as necessary and works collaboratively with other departments to optimize product mix throughout product lifecycle.
* Monitors competitive landscape to stay abreast of market trends by regularly reviewing scientific literature, competitor’s product offerings, traveling with field sales personnel, attending surgeries, meeting with stakeholders, attending scientific meetings, etc.
* Develop product presentations, surgical techniques, and white papers in support of sales and corporate marketing campaigns, e.g. product binders, web sites, brochures, etc.
* Monitors product development progress and seeks input from engineering, manufacturing, regulatory affairs and other relevant departments to ensure product strategic plan is completed efficiently.
* Collaborates responsively and proactively with sales to ensure quality product support of new product launches, existing product segments, training programs, and key surgeon and account management.
* Establishes and maintains strong relationships with designing and consulting physicians.
* Routinely interfaces with Company managers/directors of other product lines to fully understand the interdependent relationship between product portfolios.
* Supports the Company’s Medical Education department by assisting in the preparation and running of surgeon and sales training courses that may include didactic and cadaver labs.
* Collaborates with communications and other related departments to develop creative promotional, advertising and value\-added services to maximize revenue for assigned product line.
* Performs other duties as required
**Requirements**
The requirements listed below are representative of the knowledge, skill, and/or ability required. Reasonable accommodations may be made to enable individuals with disabilities to perform the essential functions.
* Must have medical industry experience.
* Collaboration with Engineering/R\&amp;D, Regulatory, and Operations/Manufacturing counterparts on product strategic planning, design review, and marketing playbook
* Knowledge of computer applications (i.e.: Microsoft Word, Excel, PowerPoint, Access \&amp; Project, Windows, Internet applications, etc.) required.
* Excellent oral and written communication skills.
* Develops and presents Business Cases as justification for new products, as required.
* Superior interpersonal skills.
* Ability to organize and prioritize workflow and to meet established timeframes.
* Ability to multi\-task within a cross\-functional team and matrix management structure.
* Strong attention to details.
* Ability to represent the company at a variety of business functions or situations in a professional and competent manner.
* Ability to exercise independent judgment consistent with department guidelines.
* Ability to maintain updated knowledge of procedures, products and activities of assigned product line.
* Ability to perform multiple tasks in a fast\-paced, team environment.
* Ability to work under pressure.
* Proven skill and experience in overall market analysis, planning, development and management.
* Demonstrated strategic/tactical planning and implementation capabilities.
* Technically sensitive and receptive.
* Demonstrated capacity for planning, marketing and product development.
* Ability to prepare sales forecasts
* Experience with and understanding of a clinical/surgical environment and workflow.
* Ability to travel up to 40 percent.
**Education and Experience**
Bachelor’s degree in Marketing or related field with minimum of 3\-5 years of related experience in the Orthopedic Device or Life Sciences industry; or MBA and 2\+ years of Marketing experience preferred of education and experience. (Related experience ONLY includes the following Marketing Roles \- Spine and if not then may consider a combination of these: Knee/Hip/Joint, Sports Medicine, Arthroscopic, Trauma (managing instrument sets).
Sales experience is a plus, but without pure Marketing experience candidates will not be considered. Adept at both upstream and downstream marketing (especially in launching of new products). Life Science or medical device sales experience a preference to compliment Marketing foundation. Strong leadership skills, including prior experience leading/working on cross\-functional product development teams; familiar with stage gate design control processes. Ability to and willingness to work at both the strategic and tactical level. Previous P\&amp;L and budgetary responsibility preferred or financial acumen.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$105,000 to $145,000 Full\-Time Annual Salary.</t>
        </is>
      </c>
    </row>
    <row r="52">
      <c r="A52" t="inlineStr">
        <is>
          <t>in-9dca0377e6aa10de</t>
        </is>
      </c>
      <c r="B52" t="inlineStr">
        <is>
          <t>Program Manager</t>
        </is>
      </c>
      <c r="C52" t="inlineStr">
        <is>
          <t>TechFlow, Inc</t>
        </is>
      </c>
      <c r="D52" t="inlineStr">
        <is>
          <t>indeed</t>
        </is>
      </c>
      <c r="E52">
        <f>HYPERLINK("https://www.indeed.com/viewjob?jk=9dca0377e6aa10de", "https://www.indeed.com/viewjob?jk=9dca0377e6aa10de")</f>
        <v/>
      </c>
      <c r="F52">
        <f>HYPERLINK("https://apply.workable.com/j/F709C0FB7D", "https://apply.workable.com/j/F709C0FB7D")</f>
        <v/>
      </c>
      <c r="G52" t="inlineStr">
        <is>
          <t>Arlington, VA, US</t>
        </is>
      </c>
      <c r="H52" s="2" t="n">
        <v>46049</v>
      </c>
      <c r="I52" t="inlineStr">
        <is>
          <t>TechFlow seeks to hire a **Program Manager (**PM) with a proven track record of success and deep expertise in managing government contracts, ensuring compliance, and delivering outstanding results. This individual will inspire teams and navigate complexity with creativity and innovation. The Program Manager will support the VP, Platform Services in executing large, complex customer programs and will oversee day\-to\-day operations.
The PM will establish and maintain strong professional working relationships with customers, direct reports, matrixed program team members, subcontractors, and other key stakeholders. Responsibilities may include daily operations and program management across field service maintenance, logistics, and administrative functions, as directed by leadership, ensuring appropriate staffing, resources, processes, tools, and training are in place to support successful program execution.
**Key Responsibilities:**
* Plan and establish program performance baselines for large complex programs.
* Develop strategy to execute the program(s) to achieve technical, cost, and schedule program program/contract requirements.
* Identify and address program risks and impacts through a systematic, proactive, approach to risk management that identifies, and documents risks and manages mitigations plans to resolve potential problem issues across all levels of the program.
* Lead complex teams involving multiple subcontractors, direct and manage subcontract and supply chain elements of the program in a manner that supports program execution, goals and strategy.
* Capture and implement best practices and lessons learned to track progress and drive continuous improvement processes, execution, and outcomes.
* Manage resources to include defining needs, priorities and resource allocation based upon program requirements and adjusting resources based on objective program performance data.
* Define program performance metrics and analysis to support forward\-looking decision\-making based on data analytics.
* Management of program governance processes and deliverables to support customer and internal program requirements, status reviews, and reporting.
* Collaborating with senior business and technical leaders, and peers (PMs, DPMs, etc.) in the Platform Services Business Unit Program Management Organization (PMO) to help develop a strategic vision and success plan for the PMO organization.
**Requirements**
* Bachelor’s Degree (Engineering, Logistics Management, Business Management preferred) and 10 years experience or Masters Degree and 8 years experience.
* Active Project Management Professional (PMP) Certification4\+ years of experience in project management
* 10\+ years of Program Management experience, with 5 years on contracts exceeding $250M ceiling.
* 5\+ years of airport project management experience
* Proficiency in Microsoft Office products
* Excellent customer service skills
* Ability to obtain and maintain Public Trust Clearance (US Citizenship is Required)
* Ability to travel 10% every other month to Northern Virginia for customer meetings
**Benefits**
Founded in 1995 at the start of the dot\-com revolution, TechFlow helped large commercial clients such as DreamWorks, Toshiba, MGM, and others modernize their business systems. Today, with deep operational roots in the bi\-coastal innovation hubs of California and Washington DC, TechFlow continues as a leader in applying innovative engineering, technology, integration solutions, and support services to the Federal Government’s most demanding mission and business challenges.
Our culture thrives on out\-of\-the\-box thinking and the unique powerful entrepreneurial expressions of our employee\-owners. As a 100% employee\-owned company, we have a shared expectation of commitment, accountability, and responsibility driven by a culture that embraces innovation and new ideas. Our goal is not to do what has been done, but to do it better.
TechFlow has four principal lines of business: Platform Services, Digital Services, Base Operations and Energy and Mobility Solutions. Our company has a strong track record of successful contracts in both areas and encourages cross\-collaboration.
TechFlow, Inc is 100% employee\-owned. Come make a difference in a job that contributes to your future and helps us build an agile workplace!
* Employee stock ownership plan (ESOP) – Pride in being an employee\-owner and annual employer contribution (per plan guidelines)
* 401k plan with Roth option.
* + Eligibility for an employer match.
	+ Immediate vesting
* Paid time off
* Holidays – 11 paid holidays per year
* Comprehensive medical, dental, and vision plans
* Company\-paid Life \&amp; AD\&amp;D insurance plan
* Employee Assistance Program
* Wellness Resources
* Company\-paid training and development program
* Voluntary benefits include:
* + Life \&amp; AD\&amp;D Insurance for employee, spouse, and children
	+ Short\-term and long\-term disability (per plan guidelines)
	+ Legal Shield and Identity Theft protection plans
	+ Pet Insurance
\#TechFlow</t>
        </is>
      </c>
    </row>
    <row r="53">
      <c r="A53" t="inlineStr">
        <is>
          <t>in-ad363e84850aaa73</t>
        </is>
      </c>
      <c r="B53" t="inlineStr">
        <is>
          <t>Program Manager (5503)</t>
        </is>
      </c>
      <c r="C53" t="inlineStr">
        <is>
          <t>Three Saints Bay, LLC</t>
        </is>
      </c>
      <c r="D53" t="inlineStr">
        <is>
          <t>indeed</t>
        </is>
      </c>
      <c r="E53">
        <f>HYPERLINK("https://www.indeed.com/viewjob?jk=ad363e84850aaa73", "https://www.indeed.com/viewjob?jk=ad363e84850aaa73")</f>
        <v/>
      </c>
      <c r="F53">
        <f>HYPERLINK("https://phg.tbe.taleo.net/phg01/ats/careers/v2/viewRequisition?org=GATEWAYVENT&amp;cws=55&amp;rid=5503", "https://phg.tbe.taleo.net/phg01/ats/careers/v2/viewRequisition?org=GATEWAYVENT&amp;cws=55&amp;rid=5503")</f>
        <v/>
      </c>
      <c r="G53" t="inlineStr">
        <is>
          <t>Oklahoma City, OK, US</t>
        </is>
      </c>
      <c r="H53" s="2" t="n">
        <v>46049</v>
      </c>
      <c r="I53" t="inlineStr">
        <is>
          <t>**GVI Inc.,** a subsidiary of Three Saints Bay, LLC, and a Federal Government Contractor industry leader, is seeking a **Program Manager** in **Oklahoma City, OK.**
**Position Requirements:**
* Ten years of experience managing workload across multiple locations.
* Ten years of experience managing, cost, schedule and performance, resource allocation, quality, and safety across multiple locations.
* Experience developing and managing cost estimates/budgets, program plans and schedules based using Integrated Master Schedules.
* Secret Clearance
 **Position is located in** **Oklahoma City, OK****.**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54">
      <c r="A54" t="inlineStr">
        <is>
          <t>in-b7ff64bd3b2cf256</t>
        </is>
      </c>
      <c r="B54" t="inlineStr">
        <is>
          <t>Onsite Program Manager (5508)</t>
        </is>
      </c>
      <c r="C54" t="inlineStr">
        <is>
          <t>Three Saints Bay, LLC</t>
        </is>
      </c>
      <c r="D54" t="inlineStr">
        <is>
          <t>indeed</t>
        </is>
      </c>
      <c r="E54">
        <f>HYPERLINK("https://www.indeed.com/viewjob?jk=b7ff64bd3b2cf256", "https://www.indeed.com/viewjob?jk=b7ff64bd3b2cf256")</f>
        <v/>
      </c>
      <c r="F54">
        <f>HYPERLINK("https://phg.tbe.taleo.net/phg01/ats/careers/v2/viewRequisition?org=GATEWAYVENT&amp;cws=55&amp;rid=5508", "https://phg.tbe.taleo.net/phg01/ats/careers/v2/viewRequisition?org=GATEWAYVENT&amp;cws=55&amp;rid=5508")</f>
        <v/>
      </c>
      <c r="G54" t="inlineStr">
        <is>
          <t>Washington, DC, US</t>
        </is>
      </c>
      <c r="H54" s="2" t="n">
        <v>46049</v>
      </c>
      <c r="I54" t="inlineStr">
        <is>
          <t>**OLH Technical Services, LLC**, a subsidiary of Three Saints Bay, LLC, and a Federal Government Contractor industry leader, is seeking a **Onsite Program Manager** in **Washington, DC.**
**Position Responsibilities:**
* Serve as the primary point of contact for all contractor personnel.
* Provide onsite supervision and operational oversight of contractor support team.
* Coordinate task assignments and ensure timely delivery of work products.
* Communicate regularly with Contracting Officer’s Representative (COR) and DNN program office designated leads to align support with program priorities.
* Track performance metrics and submit monthly status reports.
* Assist in conflict resolution and ensure compliance with contract terms.
* Support staffing efforts, including onboarding, training, escorting, and performance evaluation of contractor staff.
* Escort visitors, vendors, and non\-cleared personnel within controlled or restricted areas, as required. Escort duties include ensuring compliance with all security protocols, maintaining situational awareness, and coordinating with government personnel to facilitate access in accordance with agency procedures and applicable security regulations
 **Position Requirements:**
* Bachelor’s degree
* 5\+ years of experience in program/project management, business management or contract management.  
Demonstrated leadership and communication skills
 **Apply at:**
 **Position is located in Washington, DC.**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55">
      <c r="A55" t="inlineStr">
        <is>
          <t>in-861d4e9ae01e38fd</t>
        </is>
      </c>
      <c r="B55" t="inlineStr">
        <is>
          <t>Program Manager (Outpatient)</t>
        </is>
      </c>
      <c r="C55" t="inlineStr">
        <is>
          <t>Denver Health</t>
        </is>
      </c>
      <c r="D55" t="inlineStr">
        <is>
          <t>indeed</t>
        </is>
      </c>
      <c r="E55">
        <f>HYPERLINK("https://www.indeed.com/viewjob?jk=861d4e9ae01e38fd", "https://www.indeed.com/viewjob?jk=861d4e9ae01e38fd")</f>
        <v/>
      </c>
      <c r="F55">
        <f>HYPERLINK("https://denverhealth.wd1.myworkdayjobs.com/en-US/DHHA-Main/job/Main-Campus---Pavilion-C---790-Delaware-Street-Denver-CO-80204/Program-Manager--Outpatient-_R14862-1", "https://denverhealth.wd1.myworkdayjobs.com/en-US/DHHA-Main/job/Main-Campus---Pavilion-C---790-Delaware-Street-Denver-CO-80204/Program-Manager--Outpatient-_R14862-1")</f>
        <v/>
      </c>
      <c r="G55" t="inlineStr">
        <is>
          <t>Denver, CO, US</t>
        </is>
      </c>
      <c r="H55" s="2" t="n">
        <v>46049</v>
      </c>
      <c r="I55" t="inlineStr">
        <is>
          <t>We are recruiting for a motivated Program Manager (Outpatient) to join our team!  
We are here for life’s journey.  
Where is your life journey taking you?  
Being the heartbeat of Denver means our heart reflects something bigger than ourselves, something that connects us all:  
Humanity in action, Triumph in hardship, Transformation in health.
Department
Nursing Staffing Office
Are you a passionate healthcare professional looking for variety and premium pay? Our hospital float pool offers opportunities for Registered Nurses (RNs), Certified Nursing Assistants (CNAs), Medical Assistants (MAs), and Patient Safety Attendants (PSAs). Registered Nurses are able to specialize in the following tracks:  
* Critical Care (ICUs)
* Acute Care
* Women \&amp; Children
* Behavioral Health
* Perioperative Services
* Ambulatory Care
Why Join?  
* Premium Pay: Our float staff receive 15% on top of base pay \+ shift/weekend/holiday differentials \+ certification pay
* Career Growth: Explore our clinical ladder and workforce development center, numerous leadership and clinical growth opportunities within the team
* Team Environment: The float team has supportive leaders, mentorship, collaborative peers, and a thorough onboarding program
* Work\-Life Balance: Flexible scheduling
Job Summary  
Under minimal supervision, the Nurse Program Manager performs managerial and leadership functions over professional nursing and support care team in various healthcare consumer care settings. Applies critical thinking, evidence\-based policies, procedures, guidelines and competence to collaborate with the health care team to promote excellence in healthcare consumer safety and quality outcomes and independently works with the ACNO or Director to maintain departmental budget.
Adheres to the American Nurses Association (ANA) standards of professional nursing practice / process and performance, and the ANA Code of Ethics (2015\)\* to provide care to all healthcare consumers. Applies critical thinking, evidence\-based practices and competence to collaborate with the health care team to promote excellence in healthcare consumer safety and quality outcomes. Utilizes the Theory of Human Caring and Caritas in daily practice. "Jean Watson, PhD, RN, AHN\-BC, FAAN, Founder / Director, Watson Caring Science Institute."  
Essential Functions:  
* Staff Management, Scheduling, Mentoring and recruitment. Departmental budget and operations. Records management. Case management and discharge planning. Patient safety and quality care. Policy development and revisions. Support and implementation of organizational initiatives and strategic planning. (50%)
* Promote positive patient experience. Promote employee engagement. Able to perform essential duties of direct reporting positions. Annual performance appraisal for ACC team. 6 Clinical shift coverage w/ Day/Night shift rotation. 4 Office schedule\- flexed as needed. Participate as ACC representative for LEAN events. Policy Stat approver for policies involving ACC role. ACC representative for Lean Pt Flow initiatives (50%)
Education:  
* Bachelor's Degree Required
Work Experience:  
* 4\-6 years Typically, five years of nursing experience; including two years nursing leadership experience preferred.
Licenses:  
* BLS\-Basic Life Support (BLS/CPR) \- AHA \- American Heart Association or American Red Cross Required and
* RN\-Registered Nurse \- DORA \- Department of Regulatory Agencies Required
Knowledge, Skills and Abilities:  
* Adherence to Standards of Professional Nursing Practice/ Process / Performance \[ANA Standards addendum\- signed] and accrediting body standards.
* Strong understanding and display of the principals of customer service as it applies to patients, staff and the community
* Ability to assist in identifying ways to promote quality patient\-centric care and maintain Denver Health’s high level of patient satisfaction. \[Nursing Vision Statement]
* Ability to work effectively in a team matrix environment. Ability to communicate clearly and effectively at all levels and in a cross functional environment.
* Ability to work closely with multidisciplinary staff, charge nurses, clinical nurse educator(s), and Nursing Managers, providers,, executive leadership to provide care to patients with respect to their uniqueness using informed judgment, competence, individual qualifications, and collaboration with the health care team.
* Ability to demonstrate an understanding of assessment findings as they relate to the disease process and continuum of care.
* Supports compliance with national patient safety goals, accrediting agency standards, and quality initiatives.
* Evaluates practice in relation to professional standards, statues, regulations, hospital and departmental policies, standards of care, and regulatory
* Promotes quality care by redefining priorities for care based on evaluation of healthcare consumer/family response or changing condition.
* Proficient in EHR documentation
* Proficient in Office Suite
Shift
Days (United States of America)
Work Type
Regular
Salary
$102,800\.00 \- $159,300\.00 / yr
Benefits* Outstanding benefits including up to 27 paid days off per year, immediate retirement plan employer contribution up to 9\.5%, and generous medical plans
* Free RTD EcoPass (public transportation)
* On\-site employee fitness center and wellness classes
* Childcare discount programs \&amp; exclusive perks on large brands, travel, and more
* Tuition reimbursement \&amp; assistance
* Education \&amp; development opportunities including career pathways and coaching
* Professional clinical advancement program \&amp; shared governance
* Public Service Loan Forgiveness (PSLF) eligible employer\+ free student loan coaching and assistance navigating the PSLF program
* National Health Service Corps (NHCS) and Colorado Health Service Corps (CHSC) eligible employer
Our Values* Respect
* Belonging
* Accountability
* Transparency
All job applicants for safety\-sensitive positions must pass a pre\-employment drug test, once a conditional offer of employment has been made.  
Denver Health is an integrated, high\-quality academic health care system considered a model for the nation that includes a Level I Trauma Center, a 555\-bed acute care medical center, Denver’s 911 emergency medical response system, 10 family health centers, 19 school\-based health centers, Rocky Mountain Poison \&amp; Drug Safety, a Public Health Institute, an HMO and The Denver Health Foundation.  
As Colorado’s primary, and essential, safety\-net institution, Denver Health is a mission\-driven organization that has provided billions in uncompensated care for the uninsured. Denver Health is viewed as an Anchor Institution for the community, focusing on hiring and purchasing locally as applicable, serving as a pillar for community needs, and caring for more than 185,000 individuals and 67,000 children a year.  
Located near downtown Denver, Denver Health is just minutes away from many of the cultural and recreational activities Denver has to offer.  
*Denver Health is an equal opportunity employer* *(EOE). We* *value the unique ideas, talents and contributions reflective of the needs of our community.*
Applicants will be considered until the position is filled.</t>
        </is>
      </c>
    </row>
    <row r="56">
      <c r="A56" t="inlineStr">
        <is>
          <t>in-7d4b1568ce8841b4</t>
        </is>
      </c>
      <c r="B56" t="inlineStr">
        <is>
          <t>Product Manager-Melt, Bar and Wire</t>
        </is>
      </c>
      <c r="C56" t="inlineStr">
        <is>
          <t>Fort Wayne Metals</t>
        </is>
      </c>
      <c r="D56" t="inlineStr">
        <is>
          <t>indeed</t>
        </is>
      </c>
      <c r="E56">
        <f>HYPERLINK("https://www.indeed.com/viewjob?jk=7d4b1568ce8841b4", "https://www.indeed.com/viewjob?jk=7d4b1568ce8841b4")</f>
        <v/>
      </c>
      <c r="F56">
        <f>HYPERLINK("https://secure.entertimeonline.com/ta/6014154.careers?ShowJob=939800205", "https://secure.entertimeonline.com/ta/6014154.careers?ShowJob=939800205")</f>
        <v/>
      </c>
      <c r="G56" t="inlineStr">
        <is>
          <t>Fort Wayne, IN, US</t>
        </is>
      </c>
      <c r="H56" s="2" t="n">
        <v>46049</v>
      </c>
      <c r="I56" t="inlineStr">
        <is>
          <t>We’re glad you’re exploring our Product Manager position and want to share some of the details.  
At Fort Wayne Metals, we specialize in producing top\-quality wires, cables, and assemblies designed to enhance and safeguard lives. Our products are used in everything from our customers’ stents and surgical robots to aircraft and automobiles. At our essence, we are thinkers, innovators, and problem solvers, leveraging our knowledge of materials to create customized solutions for our customers.
Join us in our dedication to making a tangible impact through our advanced materials and superior products.
**Overview**  
The Product Manager is the subject Matter Expert in assigned product area(s), and will assess for market viability and product opportunities while matching opportunities with FWM global market strategy, create and communicate vision for assigned product(s) responsibilities, determine capabilities and pricing strategies, manage Associates, Application Engineers, and Analysts where applicable, train internally and externally in technical applications and materials, and develop relationships with customers in order to support the growth of the organization while leading an assigned, product specific team.
**Education \&amp; Experience Requirements**
* Bachelor’s Degree in Technical field, Business Management, International Business, Bio\-Mechanical Engineering, Materials Science, Marketing; or equivalent demonstrated skills and abilities, required.
* Master’s degree, preferred.
**Job Responsibilities**
* Lead and monitor the performance of direct reports, promote personal development, and provide staff with expectations and guidance on performing individual tasks.
* Provide leadership to product team, assign projects and review work, provide feedback for development and growth.
* Proactively manage the Product(s) life cycle to maximize sales revenue, market share, and profit margins. This includes market research and analysis of current conditions along with internal capabilities, product features, competitor information, and customer feedback.
* Work with internal teams (R\&amp;D, Engineering) to develop superior and differentiated products to deliver unique benefits to create value and meet customer and market requirements. Create and communicate that vision to the organization.
* Evaluate opportunities for new products or customers where there is a compelling business case. Ensure opportunities are in alignment with FWM strategy and value created for FWM or present to senior management for evaluation
* Review incoming non\-disclosure agreements and business development agreements and work as the liaison between sales (customers) and the Legal team.
* Develop Global Strategic plans and ensure execution of tactical plans as appropriate; monitor development schedules, track milestones, and provide appropriate status updates.
* Document Opportunities in the customer resource management (CRM) system or on the Opportunity Dashboard along with participation in monthly sales and production planning process.
* Determine new applications for existing products and new products for uncovered applications in order to penetrate assigned market segments.
* Identify global market trends that could affect sales, profitability, and growth; distribute findings to the Sales, Marketing, and internal stakeholders.
* Responsible for pricing, strategies and methods by analyzing market conditions to determine product price. Provide direction and expectations for product quotations for Associate Product Managers, Applications Engineers, sales team and customer service associates.
* Build strong relationships with customers and follow\-up with customers, to ensure their satisfaction, gather market intelligence, cultivate improvement opportunities, share technical knowledge, and gain customer loyalty.
* Travel for face to face visits with domestic and international current and potential customers. Ensure visit reports are filed summarizing activities and noting all actions required by persons within the FWM organization.
* Support FWM internal teams, such as R\&amp;D, quality, engineering, procurement, operations, as required to resolve issues within areas of product responsibility.
* Educate a worldwide workforce and customer base about FWM capabilities, materials, applications, and products; create training materials and share knowledge.
* Conduct technology, capability and product updates for internal and external stakeholders.
* Attend domestic and international trade shows, educational opportunities and customer\-oriented conferences.
* Perform other duties as requested by management.
**Skills Needed**
* Ability to build relationships with individuals with all levels and experiences of people.
* Mechanical aptitude to learn the technical aspect of processing FWM products and capabilities.
* Strong marketing and communication skills.
* Must be able to work without close supervision and be capable of self\-checking completed work.
* Must be proficient in the use of Microsoft Office software.
* Excellent written and verbal communication skills in order to communicate highly technical information.
* Able to read and interpret prints and specifications.
* Negotiation and problem solving skills.
**Working Conditions \&amp; Physical Requirements**
* Fast paced office in a production environment.
* Domestic and International travel required, approximately 25% \- 35% of the time.
**Benefits \&amp; Wellness Resources**
The health and wellbeing of Fort Wayne Metals is a critical part of our culture. In addition to offering medical, dental, vision, life, and disability insurance options to suit your needs, we’d like to share some of the other fundamental resources that make Fort Wayne Metals a premier place to work:
**Physical Wellness**
* **Parkview Wellness Coach**
	+ Ready to assist with your physical and nutritional wellness needs.
* **Gym Facilities**
	+ 4 onsite gym locations as well as discounts for regional gym facilities
* **Health Challenges**
	+ From pickleball tournaments, sponsored races and sports leagues, to participating in the YMCA’s Corporate Challenge, we have a variety of fun ways to stay active.
**Mental Wellness**
* **When You Need to Talk**
	+ 5 sessions of counseling are available to you and all members of your immediate household at no cost.
* **Relaxing Time\-Off**
	+ Qualify for Paid Time Off and Holiday Pay on your first day of employment.
**Social Wellness**
* **Epic Events**
	+ From TinCaps Night to family days at the zoo, we offer multiple activities throughout the year for employees and their families.
* **Employee Resource Group**
	+ A voluntary, employee\-led group formed to bring employees together and centered around a common interest or identity.
**Professional Wellness**
* **Grow Your Career**
	+ We offer many opportunities to continue your development and growth.
* **Performance Feedback**
	+ Receive regular and constructive feedback from your manager and peers to help you grow and improve.
**Financial Wellness**
* **Annual Profit Sharing \&amp; 401k matching**
	+ Dropping dollars into your 401k. When you contribute 7%, we’ll contribute 3\.5%.
* **Quarterly Bonus**
	+ When we perform well, everyone benefits! Receive discretionary bonuses each quarter based on company performance.
* **Tuition Reimbursement**
	+ Getting your first degree? Great! Whatever your major, we’ll help pick up the tab!
* **Your Money Line**
	+ Employer\-provided 1:1 financial guidance, education, \&amp; tools – so you can stress less about money and enjoy greater stability \&amp; confidence.
There are many reasons to apply for this position, and these are just a few. **Join us!**  
**Notice to Employees and Applicants:**
This job position may require access to controlled technology or technical data; applicant must be a candidate for export licensing and willing to participate in export licensing, if required.
As an Equal Opportunity Employer, Fort Wayne Metals Research Products LLC is proud to be committed to providing an environment that is free from discrimination and harassment based on race, age, creed, color, religion, national origin or ancestry, sex, gender, disability, veteran status, genetic information, sexual orientation, gender identity or expression, or pregnancy and will not discharge or in any other manner discriminate against employees or applicants because they have inquired about, discussed, or disclosed their own pay or the pay of another employee or applicant. Fort Wayne Metals is an equal opportunity employer fully committed to achieving a diverse workforce and complies with all Federal and Indiana State laws, regulations, and executive orders regarding non\-discrimination.
Fort Wayne Metals Research Products LLC is committed to providing access and reasonable accommodation in its services, activities, programs, and employment opportunities in accordance with the Americans with Disabilities Act and other applicable laws. If reasonable accommodation is needed to participate in the job application, interview process, or to perform essential job functions, please contact Accessibility@fwmetals.com.
Notice to Employees and Applicants  
**New to the area? Fort Wayne is a wonderful place to live, work and play. Check out some of the great things our region has to offer!**
* **Greater Fort Wayne Inc. \| Building a Nationally Recognized Economy**
* **The Fort Wayne Visitors Center**
* **Relocating \- NEI**</t>
        </is>
      </c>
    </row>
    <row r="57">
      <c r="A57" t="inlineStr">
        <is>
          <t>in-18a28f3607dfb25d</t>
        </is>
      </c>
      <c r="B57" t="inlineStr">
        <is>
          <t>Program Manager, ACA/Exchange (Dental)</t>
        </is>
      </c>
      <c r="C57" t="inlineStr">
        <is>
          <t>Guardian Life</t>
        </is>
      </c>
      <c r="D57" t="inlineStr">
        <is>
          <t>indeed</t>
        </is>
      </c>
      <c r="E57">
        <f>HYPERLINK("https://www.indeed.com/viewjob?jk=18a28f3607dfb25d", "https://www.indeed.com/viewjob?jk=18a28f3607dfb25d")</f>
        <v/>
      </c>
      <c r="F57">
        <f>HYPERLINK("https://guardianlife.wd5.myworkdayjobs.com/en-US/Guardian-Life-Careers/job/New-York/Program-Manager--ACA-Exchange--Dental-_R000108546", "https://guardianlife.wd5.myworkdayjobs.com/en-US/Guardian-Life-Careers/job/New-York/Program-Manager--ACA-Exchange--Dental-_R000108546")</f>
        <v/>
      </c>
      <c r="G57" t="inlineStr">
        <is>
          <t>New York, NY, US</t>
        </is>
      </c>
      <c r="H57" s="2" t="n">
        <v>46049</v>
      </c>
      <c r="I57" t="inlineStr">
        <is>
          <t>As the Program Manager, ACA/Exchange (Dental),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 Well versed in supporting strategic collaboration with internal stakeholders including Regulatory, Actuarial, Operations, IT, Finance, Marketing, and Retail Distribution.
*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 Participate in weekly, monthly, and ad hoc calls with CMS and state\-based exchanges
* Conduct competitive analysis on pricing, features, and impact of regulatory trends
* Support weekly reporting on results and insights during open enrollment period
*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 Monitor and project impacts on upcoming federal and state regulations and New exchange enter/exist state analysis and competitive assessment
* Support Partner Management team during exchange off\-season (partner reporting, sales analysis, new opportunity evaluation) and support performance reporting cadence (weekly, monthly, quarterly, annually)
* Annual refiling (i.e.: comp intel, service area review, rate review, policy review, application submissions, testing)
* Ensure Guardian is ready for annual open enrollment period and Annual pricing recommendation and evaluation
* Collaboration across all internal stakeholders (i.e.: Legal, Compliance, State Filing, Customer Care, Payments management and operations) and with external vendors used for policy administrative functions
* Participating in weekly, monthly, and ad hoc calls with CMS and state\-based exchanges and perform strategic analysis, recommendations, and execution of the exit / entry strategy for new exchanges
* Review and implement regulatory modifications and review and validate Guardian’s Dental Exchange website and manage relationship and collaborate with third party vendors/partner
You Have* Bachelors degree required
* Minimum 3 year’s experience as a program manager or equivalent role
* Experience working in the ACA/Exchange marketplace (Healthcare.gov or State\-Based Exchanges)
* Experience supporting Open Enrollment activities is preferred
* Strong Program Management, analytical and communication skills, including the ability to produce clear supporting documents in PowerPoint, Excel, etc.
* Excellent project management and organizational skills, with demonstrated success achieving results through others
* General knowledge of insurance product designs (dental products preferred)
* Ability to effectively handle multiple priorities
*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58">
      <c r="A58" t="inlineStr">
        <is>
          <t>in-121a7840e8767adc</t>
        </is>
      </c>
      <c r="B58" t="inlineStr">
        <is>
          <t>Strategic Program Manager, External AI Ecosystem Partnerships</t>
        </is>
      </c>
      <c r="C58" t="inlineStr">
        <is>
          <t>Lenovo</t>
        </is>
      </c>
      <c r="D58" t="inlineStr">
        <is>
          <t>indeed</t>
        </is>
      </c>
      <c r="E58">
        <f>HYPERLINK("https://www.indeed.com/viewjob?jk=121a7840e8767adc", "https://www.indeed.com/viewjob?jk=121a7840e8767adc")</f>
        <v/>
      </c>
      <c r="F58">
        <f>HYPERLINK("https://jobs.lenovo.com/en_US/careers/JobDetail/Strategic-Program-Manager-External-AI-Ecosystem-Partnerships/74498", "https://jobs.lenovo.com/en_US/careers/JobDetail/Strategic-Program-Manager-External-AI-Ecosystem-Partnerships/74498")</f>
        <v/>
      </c>
      <c r="G58" t="inlineStr">
        <is>
          <t>San Jose, CA, US</t>
        </is>
      </c>
      <c r="H58" s="2" t="n">
        <v>46049</v>
      </c>
      <c r="I58" t="inlineStr">
        <is>
          <t>### **General Information**
**Req \#** WD00094537
**Career Area:** Project Management
**Country/Region:** United States of America
**State:** California
**City:** San Jose
**Date:** Wednesday, January 28, 2026
**Working Time:** Full\-time
**Additional Locations**:
* United States of America \- California \- San Jose
###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 **Description and Requirements**
The Lenovo AI Technology Center (LATC) – Lenovo’s global AI Center of Excellence – is driving our transformation into an AI\-first organization. We are assembling a world\-class team of researchers, engineers, and innovators to position Lenovo and its customers at the forefront of the generational shift toward AI. Lenovo is one of the world’s leading computing companies, delivering products across the entire technology spectrum, spanning wearables, smartphones (Motorola), laptops (ThinkPad, Yoga), PCs, workstations, servers, and services/solutions. This unmatched breadth gives us a unique canvas for AI innovation, including the ability to rapidly deploy cutting\-edge foundation models and to enable flexible, hybrid\-cloud, and agentic computing across our full product portfolio. To this end, we are building the next wave of AI core technologies and platforms that leverage and evolve with the fast\-moving AI ecosystem, including novel models and agentic orchestration \&amp; collaboration across mobile, edge, and cloud resources. This space is evolving fast and so are we. If you’re ready to shape AI at a truly global scale, with products that touch every corner of life and work, there’s no better time to join us. \#LATC
 **Job Summary**
As the Program Manager for LATC’s External AI\-Ecosystem Partnerships, you will be the operational backbone of our global research collaboration strategy. You will initiate and manage a diverse portfolio of AI\-heavy engagements involving top\-tier universities, AI startups, and industry partners to ensure that external AI innovation translates into concrete value for our technology roadmaps.
The ideal candidate is a pragmatic, self\-starting, disciplined project leader who can bridge the gap between academic research, industrial development, and commercial product requirements. You must be deeply versed in the current AI\-landscape, including key players, emerging models, and industry trends, and drive the entire lifecycle of an engagement \- from initial intake and technical evaluation to legal coordination and milestone\-based delivery.
 **Key Responsibilities**
* **Portfolio Management:** Oversee the day\-to\-day operations of a global AI\-focused research portfolio, ensuring that all projects maintain a rigorous cadence of technical reviews and progress tracking.
* AI landscape scouting: Stay current on the AI ecosystem to help identify high\-potential startups and academic labs that align with our strategic goals.
* **Engagement Lifecycle:** Lead the intake process for new proposals, facilitating collaboration between internal research \&amp; engineering teams and external partners to define clear technical scope and deliverables.
* **Operational Rigor:** Maintain the internal governance framework, including standardized evaluation rubrics, project scoring, and "go/pivot/no\-go" decision gates.
* **Cross\-Functional Coordination:** Act as the primary liaison between R\&amp;D, Legal, Intellectual Property (IP) teams to streamline contracting and data governance.
* **Outcome Tracking:** Monitor the delivery of high\-value artifacts \- such as code, AI models, and technical prototypes \- to ensure they meet integration\-readiness standards.
* **Talent \&amp; Visibility:** Support programs that enhance the Lenovo brand within the AI research community, including managing fellowships, internships, and our presence at major conferences (e.g., NeurIPS, ICML).
 **Required Qualifications**
* **Education:** Bachelor's degree required, Masters preferred.
* **Experience:** Minimum 8 years of industry experience.
* **Program Leadership:** Significant experience managing complex, multi\-stakeholder R\&amp;D programs or innovation portfolios.
* **AI knowledge:** Exposure to current AI technology stack, including familiarity with LLMs, generative AI, machine learning workflows, and key companies/researchers shaping the industry.
* **Operational Excellence:** Proven ability to manage recurring review cycles, maintain project hygiene, and track milestones across dozens of active workstreams.
* **Strategic Alignment:** Ability to evaluate technical proposals against business roadmaps and identify potential for product integration.
* **Contracting \&amp; IP Fluency:** Experience working with Legal and IP teams to navigate research agreements, Statements of Work (SOWs), and IP boundaries.
* **Communication:** Exceptional skills in translating complex AI research progress into executive\-level reporting and portfolio summaries.
 **Preferred Qualifications:*** Graduate degree (MS or PhD).
* Excellent communication and stakeholder management skills.
* Excellent leadership, communication, and cross\-functional collaboration skills.
The base salary range budgeted for this position is $180k $250k. Individuals may also be considered for bonus and/or commission. Lenovo’s various benefits can be found here: https://www.lenovobenefits.com/enrolling\-in\-benefits/why\-join\-lenovo/  
\#LATC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California \- San Jose</t>
        </is>
      </c>
    </row>
    <row r="59">
      <c r="A59" t="inlineStr">
        <is>
          <t>in-2cf89c2c96f0b411</t>
        </is>
      </c>
      <c r="B59" t="inlineStr">
        <is>
          <t>Journeyman Program Manager</t>
        </is>
      </c>
      <c r="C59" t="inlineStr">
        <is>
          <t>Odyssey Consulting</t>
        </is>
      </c>
      <c r="D59" t="inlineStr">
        <is>
          <t>indeed</t>
        </is>
      </c>
      <c r="E59">
        <f>HYPERLINK("https://www.indeed.com/viewjob?jk=2cf89c2c96f0b411", "https://www.indeed.com/viewjob?jk=2cf89c2c96f0b411")</f>
        <v/>
      </c>
      <c r="F59">
        <f>HYPERLINK("https://careers-odysseyconsult.icims.com/jobs/7343/journeyman-program-manager/job", "https://careers-odysseyconsult.icims.com/jobs/7343/journeyman-program-manager/job")</f>
        <v/>
      </c>
      <c r="G59" t="inlineStr">
        <is>
          <t>Tinker AFB, OK, US</t>
        </is>
      </c>
      <c r="H59" s="2" t="n">
        <v>46049</v>
      </c>
      <c r="I59" t="inlineStr">
        <is>
          <t>**Position Summary**
--------------------
Odyssey Systems has an exciting opportunity for a **Journeyman** **Program Manager** providing support to the Air Force Life Cycle Management Center/PEO Digital Directorate (AFLCMC/HB). The Air Force Program Execution Office for PEO Digital (AFPEO/HB) has the collective Air Force Materiel Command (AFMC) mission responsibility to manage and execute the modernization, development, testing, production, fielding, and sustainment of the PEO Digital portfolio, which includes over 130 programs for the United States Air Force (USAF) and foreign allies. AFLCMC/PEO Digital Directorate is headquartered at Hanscom Air Force Base, MA with geographically separated operating units CONUS and OCONUS.  
This is a full time position located at Tinker AFB, OK. **\*\*\*This position is contingent upon contract award\*\*\***
**Responsibilities**
--------------------
**Duties includ****e, but not limited to:****Program \&amp; Acquisition Management*** Provide program\-level acquisition support to the Program Manager (PM) and Integrated Product Team (IPT) Leads to ensure disciplined execution, acquisition battle rhythm, and delivery of warfighter capability
* Advise program leadership on overall program health and options to maintain cost, schedule, and performance objectives
* Interpret, coordinate, and execute acquisition project assignments; identify and resolve issues with significant impact to acquisition and sustainment efforts
* Compare program direction and plans for alignment and consistency across stakeholders
* Monitor and assess program integration plans and interface control between systems
**Acquisition Strategy \&amp; Policy Compliance*** Assist with planning, evaluating, and implementing acquisition strategies, including traditional, Middle Tier of Acquisition (MTA), and Urgent Capability pathways
* Provide non\-technical acquisition expertise and guidance in accordance with DoD and Air Force acquisition policies, directives, and instructions
* Identify and resolve policy disconnects; provide policy interpretation and recommendations to program leadership
* Track acquisition reform initiatives and recommend updates to programs impacted by policy changes
**Contracting, RFP \&amp; Source Selection Support*** Provide program management inputs to RFPs, including system requirements, SOWs, SRDs, CDRLs, and evaluation criteria
* Assist with development of source selection strategies and provide administrative and evaluation support
* Review and track prime contractor deliverables, schedules, and contractual performance
* Assist with drafting contractual correspondence related to program management issues
**Program Reporting \&amp; Senior Leadership Briefings*** Develop, prepare, and review acquisition reports and statutory documentation in support of milestone decisions and program oversight
* Support preparation of senior\-level briefings, graphics, schedules, and program status updates
* Maintain recurring program documentation such as MARs, APBs, DAES inputs, SARs, and supplemental acquisition reports
* Utilize DoD\-mandated and specialized systems to support reporting, documentation, and execution
**Risk, Schedule \&amp; Performance Management*** Develop, maintain, and execute program risk management plans; facilitate risk identification, analysis, handling, and monitoring
* Support risk management boards and working groups; document outcomes and action items
* Analyze contractor and subcontractor risk management processes
* Coordinate with program scheduling personnel and correlate EVM cost performance data with Integrated Master Schedule (IMS) CDRLs
**Financial \&amp; Funding Support*** Provide direct support for preparation and submission of funding documents, including purchase requests, MIPRs, and obligation/spend plans
* Support cost and schedule reduction initiatives across acquisition and development efforts
* Evaluate funding realism and cost impacts in support of acquisition strategies and execution decisions
**Advisory \&amp; Leadership Support*** Provide expert acquisition and program management guidance to division chiefs and program/project managers
* Advise PMs on best\-practice program management principles to improve processes, increase efficiency, and achieve cost avoidance
* Support life\-cycle logistics considerations and operational supportability planning
**Qualifications**
------------------
**Citizenship:** **Must be a US citizen****Clearance****: Must have an Active Secret Clearance** **Minimum Required Qualifications:****Education:** Bachelor's degree from an accredited educational program and at least 7 years of experience in the respective professional discipline being performed, 5 of which must be in the DoD*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**Preferred Qualifications:****Education:*** Master's degree in a professional engineering discipline from an ABET\-accredited educational program along with at least 5 years of experience in the respective technical/professional discipline being performed, 3 of which must be in the DoD
**Additional Information:** **Location:** Tinker AFB, OK  
\#LI\-DD1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60">
      <c r="A60" t="inlineStr">
        <is>
          <t>in-0fa74f706c58417e</t>
        </is>
      </c>
      <c r="B60" t="inlineStr">
        <is>
          <t>Senior Product Manager - Vault CRM - Med Tech</t>
        </is>
      </c>
      <c r="C60" t="inlineStr">
        <is>
          <t>Veeva Systems</t>
        </is>
      </c>
      <c r="D60" t="inlineStr">
        <is>
          <t>indeed</t>
        </is>
      </c>
      <c r="E60">
        <f>HYPERLINK("https://www.indeed.com/viewjob?jk=0fa74f706c58417e", "https://www.indeed.com/viewjob?jk=0fa74f706c58417e")</f>
        <v/>
      </c>
      <c r="F60">
        <f>HYPERLINK("https://careers.veeva.com/job/c06d88de-5ec8-4800-8d1f-3c290eee496b/senior-product-manager-vault-crm-med-tech-boston-ma/?lever-source=veeva-career-site", "https://careers.veeva.com/job/c06d88de-5ec8-4800-8d1f-3c290eee496b/senior-product-manager-vault-crm-med-tech-boston-ma/?lever-source=veeva-career-site")</f>
        <v/>
      </c>
      <c r="G60" t="inlineStr">
        <is>
          <t>Remote, US</t>
        </is>
      </c>
      <c r="H60" s="2" t="n">
        <v>46049</v>
      </c>
      <c r="I60" t="inlineStr">
        <is>
          <t>**Team:** Product Management \&amp; Alliances
**Country:** United States
**Remote Work Available:** Yes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MedTech, you will be the primary architect of the MedTech\-specific vision within our broader product ecosystem. You will collaborate with the wider Vault CRM PM team to ensure the core platform (AI agents, mobile offline capabilities, data architecture, and more) is evolved to meet the unique, complex requirements of Medical Device and Diagnostic companies. You will act as the subject matter expert and advocate, driving a dedicated roadmap that bridges the gap between general life sciences functionality and specialized medical technology workflows.**What You’ll Do**
* **Drive the MedTech Roadmap:** Own the strategy and delivery of functionality specific to MedTech sales processes
* **Collaborate Across Product Teams:** Partner with the wider Vault CRM PM organization to incorporate and drive specific functionality into the core platform. You will ensure that the core capabilities are optimized for the MedTech commercial model.
* **Industry Representation \&amp; Thought Leadership:** Represent the product team at MedTech events. You will share our vision for the future of MedTech engagement and gather high\-level market intelligence to inform our strategy.
* **Requirement Synthesis:** Translate the nuances of the MedTech sales processes into technical specifications.
* **AI \&amp; Intelligent Orchestration:** Partner with the AI PM team to build agents that help MedTech reps utilize CRM efficiently and effectively.
* **Full Lifecycle Management:** Work with UX, engineering, QA, services teams to guide features from initial concept and design to global release and customer adoption.
**Requirements**
* **MedTech Industry Expertise:** Minimum of 5 years of experience in MedTech Commercial Operations or Product Management for MedTech\-specific software. You must have a deep understanding of the surgical sales cycle, hospital procurement (GPOs/IDNs), field service, clinical case management, consignment, order management, CPQ, and inventory \&amp; logistics.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MedTech commercial "shop talk" into technical requirements for developers and executive\-level visions for customers.
**Nice to Have**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61">
      <c r="A61" t="inlineStr">
        <is>
          <t>in-794cf7ae56b84aba</t>
        </is>
      </c>
      <c r="B61" t="inlineStr">
        <is>
          <t>Senior Product Manager - Vault CRM - Med Tech</t>
        </is>
      </c>
      <c r="C61" t="inlineStr">
        <is>
          <t>Veeva Systems</t>
        </is>
      </c>
      <c r="D61" t="inlineStr">
        <is>
          <t>indeed</t>
        </is>
      </c>
      <c r="E61">
        <f>HYPERLINK("https://www.indeed.com/viewjob?jk=794cf7ae56b84aba", "https://www.indeed.com/viewjob?jk=794cf7ae56b84aba")</f>
        <v/>
      </c>
      <c r="F61">
        <f>HYPERLINK("https://careers.veeva.com/job/b2397e64-e869-483a-888e-1e86b9f9b045/senior-product-manager-vault-crm-med-tech-boston-ma/?lever-source=veeva-career-site", "https://careers.veeva.com/job/b2397e64-e869-483a-888e-1e86b9f9b045/senior-product-manager-vault-crm-med-tech-boston-ma/?lever-source=veeva-career-site")</f>
        <v/>
      </c>
      <c r="G61" t="inlineStr">
        <is>
          <t>Boston, MA, US</t>
        </is>
      </c>
      <c r="H61" s="2" t="n">
        <v>46049</v>
      </c>
      <c r="I61" t="inlineStr">
        <is>
          <t>**Team:** Product Management \&amp; Alliances
**City:** Boston
**State:** MA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MedTech, you will be the primary architect of the MedTech\-specific vision within our broader product ecosystem. You will collaborate with the wider Vault CRM PM team to ensure the core platform (AI agents, mobile offline capabilities, data architecture, and more) is evolved to meet the unique, complex requirements of Medical Device and Diagnostic companies. You will act as the subject matter expert and advocate, driving a dedicated roadmap that bridges the gap between general life sciences functionality and specialized medical technology workflows.**What You’ll Do**
* **Drive the MedTech Roadmap:** Own the strategy and delivery of functionality specific to MedTech sales processes
* **Collaborate Across Product Teams:** Partner with the wider Vault CRM PM organization to incorporate and drive specific functionality into the core platform. You will ensure that the core capabilities are optimized for the MedTech commercial model.
* **Industry Representation \&amp; Thought Leadership:** Represent the product team at MedTech events. You will share our vision for the future of MedTech engagement and gather high\-level market intelligence to inform our strategy.
* **Requirement Synthesis:** Translate the nuances of the MedTech sales processes into technical specifications.
* **AI \&amp; Intelligent Orchestration:** Partner with the AI PM team to build agents that help MedTech reps utilize CRM efficiently and effectively.
* **Full Lifecycle Management:** Work with UX, engineering, QA, services teams to guide features from initial concept and design to global release and customer adoption.
**Requirements**
* **MedTech Industry Expertise:** Minimum of 5 years of experience in MedTech Commercial Operations or Product Management for MedTech\-specific software. You must have a deep understanding of the surgical sales cycle, hospital procurement (GPOs/IDNs), field service, clinical case management, consignment, order management, CPQ, and inventory \&amp; logistics.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MedTech commercial "shop talk" into technical requirements for developers and executive\-level visions for customers.
**Nice to Have**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62">
      <c r="A62" t="inlineStr">
        <is>
          <t>in-12fa82923062ddbc</t>
        </is>
      </c>
      <c r="B62" t="inlineStr">
        <is>
          <t>Senior Product Manager - Vault CRM - Med Tech</t>
        </is>
      </c>
      <c r="C62" t="inlineStr">
        <is>
          <t>Veeva Systems</t>
        </is>
      </c>
      <c r="D62" t="inlineStr">
        <is>
          <t>indeed</t>
        </is>
      </c>
      <c r="E62">
        <f>HYPERLINK("https://www.indeed.com/viewjob?jk=12fa82923062ddbc", "https://www.indeed.com/viewjob?jk=12fa82923062ddbc")</f>
        <v/>
      </c>
      <c r="F62">
        <f>HYPERLINK("https://careers.veeva.com/job/71b9c465-ddc3-4657-8a9e-3294fcaafc74/senior-product-manager-vault-crm-med-tech-pleasanton-ca/?lever-source=veeva-career-site", "https://careers.veeva.com/job/71b9c465-ddc3-4657-8a9e-3294fcaafc74/senior-product-manager-vault-crm-med-tech-pleasanton-ca/?lever-source=veeva-career-site")</f>
        <v/>
      </c>
      <c r="G62" t="inlineStr">
        <is>
          <t>Pleasanton, CA, US</t>
        </is>
      </c>
      <c r="H62" s="2" t="n">
        <v>46049</v>
      </c>
      <c r="I62" t="inlineStr">
        <is>
          <t>**Team:** Product Management \&amp; Alliances
**City:** Pleasanton
**State:** CA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MedTech, you will be the primary architect of the MedTech\-specific vision within our broader product ecosystem. You will collaborate with the wider Vault CRM PM team to ensure the core platform (AI agents, mobile offline capabilities, data architecture, and more) is evolved to meet the unique, complex requirements of Medical Device and Diagnostic companies. You will act as the subject matter expert and advocate, driving a dedicated roadmap that bridges the gap between general life sciences functionality and specialized medical technology workflows.**What You’ll Do**
* **Drive the MedTech Roadmap:** Own the strategy and delivery of functionality specific to MedTech sales processes
* **Collaborate Across Product Teams:** Partner with the wider Vault CRM PM organization to incorporate and drive specific functionality into the core platform. You will ensure that the core capabilities are optimized for the MedTech commercial model.
* **Industry Representation \&amp; Thought Leadership:** Represent the product team at MedTech events. You will share our vision for the future of MedTech engagement and gather high\-level market intelligence to inform our strategy.
* **Requirement Synthesis:** Translate the nuances of the MedTech sales processes into technical specifications.
* **AI \&amp; Intelligent Orchestration:** Partner with the AI PM team to build agents that help MedTech reps utilize CRM efficiently and effectively.
* **Full Lifecycle Management:** Work with UX, engineering, QA, services teams to guide features from initial concept and design to global release and customer adoption.
**Requirements**
* **MedTech Industry Expertise:** Minimum of 5 years of experience in MedTech Commercial Operations or Product Management for MedTech\-specific software. You must have a deep understanding of the surgical sales cycle, hospital procurement (GPOs/IDNs), field service, clinical case management, consignment, order management, CPQ, and inventory \&amp; logistics.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MedTech commercial "shop talk" into technical requirements for developers and executive\-level visions for customers.
**Nice to Have**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63">
      <c r="A63" t="inlineStr">
        <is>
          <t>in-d8f6ab733d4b7a10</t>
        </is>
      </c>
      <c r="B63" t="inlineStr">
        <is>
          <t>Staff Third Party Risk Technical Program Manager</t>
        </is>
      </c>
      <c r="C63" t="inlineStr">
        <is>
          <t>ID.me</t>
        </is>
      </c>
      <c r="D63" t="inlineStr">
        <is>
          <t>indeed</t>
        </is>
      </c>
      <c r="E63">
        <f>HYPERLINK("https://www.indeed.com/viewjob?jk=d8f6ab733d4b7a10", "https://www.indeed.com/viewjob?jk=d8f6ab733d4b7a10")</f>
        <v/>
      </c>
      <c r="F63">
        <f>HYPERLINK("https://grnh.se/98nj7uh73us", "https://grnh.se/98nj7uh73us")</f>
        <v/>
      </c>
      <c r="G63" t="inlineStr">
        <is>
          <t>Mountain View, CA, US</t>
        </is>
      </c>
      <c r="H63" s="2" t="n">
        <v>46049</v>
      </c>
      <c r="I63" t="inlineStr">
        <is>
          <t>**Company Overview**
--------------------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**Role Overview**
-----------------
The ID.me security team is looking for a proven **Staff Third Party Risk Technical Program Manager**. This person will help drive and implement the risk management practices to maintain rigor over supply chain security operations. Activities include roadmap design, control design, assessment operations, and key metrics. This role will collaborate with teams across the company to assess and manage risks when using third and fourth parties. This position will perform critical operations across procurement and customer assurance, building trust with our customers through questionnaire and audit support.
This is a multifaceted role that combines project management, delivery management, and systems analysis responsibilities. The role embodies strategic thinking with tactical execution to enhance the customer experience, business resiliency, and promote a rationalized technology footprint.
***This role is based out of our Mountain View, CA or McLean, VA offices and requires full\-time in\-office attendance.***
**Responsibilities**
--------------------
* Work cross functionally with Security, IT, Engineering, Product, and Finance to evaluate vendors and assess supply chain risks.
* Keep detailed assessment records and ERM control mappings to vendor operations in a high volume environment
* Own responding to customer assurance requests such as security questionnaires, security reviews and similar engagements.
* Performing control based assessments of vendor documentation (SOC 2\) or industry standard customer questionnaire (CAIQ, SIG CORE or SIG LITE)
* Understanding of MITRE System of Trust (SoT) Framework
* Direct enablement of Sales opportunities by participating in RFP, RFI, contracts and other sales opportunity deliverables
* Regular, effective, repeatable reporting at all levels of the organization on vendor risk and Operations.
* Run engagements with customer auditors educate and demonstrate compliance
* Communicate effectively and proactively with management ideas and recommendations for optimizing business operations, resources and capacity to meet internal and external compliance goals
* Develop and propose key program performance and risk metrics
* Create and mature procedural documentation, including training materials or process documentation
* Develop, maintain, and update AI tools and services, reducing the impact of Third Party Risk management Operations.
**Basic Qualifications**
------------------------
* BA or BS in a technical field or equivalent experience
* 7\+ years of program management experience
* 5\+ years of experience for end\-to\-end management of third party risk programs
* 4\+ years of experience with major compliance audits (FedRAMP, SOC 2, HIPAA, etc.)
* Owner and builder of risk management processes. Ability to own finding and fixing issues with no supervision.
* Familiar with SaaS product design and cloud architecture.
* Deep understanding of common business processes and functions in enterprise environments
* Prior experience automating audit evidence collection
* Excellent verbal, written and interpersonal communication skills with both technical and non\-technical audiences
* CCSP, CISSP, CISA, and similar certifications are a plus
\#LI\-JS1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64">
      <c r="A64" t="inlineStr">
        <is>
          <t>in-71eaa5f8cf248beb</t>
        </is>
      </c>
      <c r="B64" t="inlineStr">
        <is>
          <t>Product Manager, Facilities</t>
        </is>
      </c>
      <c r="C64" t="inlineStr">
        <is>
          <t>Incident IQ</t>
        </is>
      </c>
      <c r="D64" t="inlineStr">
        <is>
          <t>indeed</t>
        </is>
      </c>
      <c r="E64">
        <f>HYPERLINK("https://www.indeed.com/viewjob?jk=71eaa5f8cf248beb", "https://www.indeed.com/viewjob?jk=71eaa5f8cf248beb")</f>
        <v/>
      </c>
      <c r="F64">
        <f>HYPERLINK("https://grnh.se/p83tehaa3us", "https://grnh.se/p83tehaa3us")</f>
        <v/>
      </c>
      <c r="G64" t="inlineStr">
        <is>
          <t>Atlanta, GA, US</t>
        </is>
      </c>
      <c r="H64" s="2" t="n">
        <v>46049</v>
      </c>
      <c r="I64" t="inlineStr">
        <is>
          <t>**Company Overview:**
**About Us:**  
Atlanta\-based Incident IQ is the leading workflow management platform built exclusively for K\-12 districts. Trusted by over 2,000 districts, Incident IQ powers mission\-critical services for more than 12 million students and educators nationwide. By connecting technology and operational workflows, Incident IQ enables schools to streamline processes, reduce administrative burdens, and focus on what matters most: supporting students.
**Purpose:**  
Incident IQ is committed to creating a future where every K\-12 district operates with seamless efficiency. When operations are unified on a single platform, districts gain the clarity and control needed to build a stronger foundation for student success. We're focused on delivering the tools, support, and partnerships that help make that vision a reality.
**Mission:**  
Incident IQ is on a mission to eliminate the friction of disconnected systems and clunky workflows that slow schools down. We're reimagining the critical work that happens behind the scenes, bringing visibility, efficiency, and impact to the processes that keep classrooms running. By streamlining the complex, automating the routine, and surfacing the insights that matter most, we can create the conditions for educators to teach, students to thrive, and districts to shape the future of education.
**Product Manager, Facilities Overview:**
**The Mission: From "IT Clone" to "Market Leader"** We have a Facilities product built on our powerful platform, but it currently feels like an IT tool. Our users are maintenance technicians, custodians, and facilities directors—not IT professionals. They need simplicity, speed, and mobile\-first workflows.
**Your job is the turnaround.** You are responsible for leading a full product turnaround, resetting the vision, simplifying the experience, and defining what "great" looks like for K\-12 Facilities software. This role is to fundamentally rethink our Facilities product around Facilities realities, not IT assumptions. You will identify Facilities\-specific use cases, workflows, and outcomes. Feature parity is not the goal; Facilities relevance and impact are.
**Your job is to accelerate our trajectory.** You will take a product with an NPS of 4 and drive it to 20\+. You will decouple the user experience from our IT roots, simplifying the workflow to match the reality of a Facilities user (mobile, on\-the\-go, blue\-collar contexts). You will build the strategy that makes us the clear winner against our competitors.
**How You Fit in the Product Org At IIQ:**
We separate Strategy from Execution:
* Product Operations (The POs): They sit with engineering, manage the sprint backlog, and handle day\-to\-day execution.
* Product Strategy (**You**): You own the market. You own the "Why" and the "What." You are responsible for the business case, the 3\-year vision, and the roadmap.
**Product Manager, Facilities Responsibilities:**
**Vision \&amp; Strategy (The 12\-Month Transformation)**
* **The 3\-Year Vision: Move beyond "work orders".** Construct a vision for Facilities that includes Preventative Maintenance, Asset Management, and Event Space Scheduling. Secure executive and company\-wide buy\-in.
* **Radical Simplification:** Our current product is too complex for the average custodian. You will lead the strategy to strip away complexity, utilizing "quiet" AI and automation to make the platform invisible and intuitive.
* **ROI\-Driven Proposals:** You will not write user stories. You will write Epic Proposals. These must include customer research, data\-backed problem validation, competitive analysis, and an ROI projection of 10x\-1000x the investment.
* **Facilities Domain Authority:** Become the internal expert on K\-12 Facilities operations, including maintenance workflows, compliance, preventative maintenance, asset lifecycle management, and event readiness. You will define Facilities requirements independently, not inherit them from IT or platform norms.
**User Experience**
* **Know the User:** Get out of the building. Understand the Facilities persona deeply. How do they differ from IT? (e.g. Working in basements, mechanical rooms, outdoors, wearing gloves, intermittent connectivity, shared devices, multilingual teams. They minimize and dread the time they spend in front of a device).
* **Mobile Strategy:** You will champion the mobile experience. It cannot be a secondary thought; for Facilities, mobile is the primary interface.
* **Establish the Loop:** Build and drive the Facilities Leadership Advisory Group. Turn our customers into partners to validate your roadmap.
* **Design for Zero Training:** Assume Facilities users will not attend training, read documentation, or tolerate configuration. If the product requires explanation, it is failing.
**Facilities Use\-Case Discovery**
* Identify, validate, and prioritize Facilities\-specific use cases that are not currently addressed by our product.
* Explicitly challenge assumptions inherited from IT workflows (e.g. approvals, categorization depth, reporting). Translate Facilities problems into outcome\-driven product bets, not feature checklists.
**Commercial Success**
* **NPS Growth:** Your primary metric is moving Facilities NPS from 4 to 20\+.
* **Facilities\-Led Differentiation:** Identify and build features that specialized competitors cannot match, leveraging our platform's integration capabilities.
* **Sales Enablement:** Arm our sales team with a narrative that wins. You define the positioning that makes IIQ the only logical choice for K\-12 Facilities.
**Product Manager, Facilities Requirements:**
* 5\+ years of Product Management experience, preferably in Field Service Management (FSM), CMMS, or Facilities SaaS.
* Mobile\-First Mindset: Proven experience managing mobile products for non\-desk workers.
* Financial Acumen: Ability to build an ROI case. You must be comfortable justifying why we should build X over Y using data, not opinion.
* Turnaround Experience: A track record of taking a low\-performing product or feature set and revitalizing it through user\-centric design.
* Experience working with Product Owners: You must be comfortable handing off the "how" to the technical teams while you focus on the "what."
* Demonstrated experience building or rebuilding products for non\-desk, field\-based or operational users (Facilities, Maintenance, Logistics, Construction, Utilities, etc.)
* Exposure to K\-12, public sector, or budget\-constrained environments is a plus.
 **What makes Incident IQ different:**
* We facilitate whole\-person growth where employees can develop personally as well as professionally.
* We offer an energetic and collaborative environment; everyone's opinion matters!
* We produce software that empowers K\-12 schools to run efficiently, allowing for a better classroom experience for students to THRIVE!
* We provide excellent work/life balance. Two amazing offices \- a Downtown Atlanta office location and one at Halcyon in Alpharetta!
Incident IQ offers a competitive salary based on experience with a benefits package for full\-time employees that includes medical, dental, vision, life insurance, 401k match, and paid\-time off (PTO).
*Incident IQ is an Equal Opportunity Employer*</t>
        </is>
      </c>
    </row>
    <row r="65">
      <c r="A65" t="inlineStr">
        <is>
          <t>in-e34ac194751b85ef</t>
        </is>
      </c>
      <c r="B65" t="inlineStr">
        <is>
          <t>Lead Product Manager, Developer Experience</t>
        </is>
      </c>
      <c r="C65" t="inlineStr">
        <is>
          <t>Klaviyo</t>
        </is>
      </c>
      <c r="D65" t="inlineStr">
        <is>
          <t>indeed</t>
        </is>
      </c>
      <c r="E65">
        <f>HYPERLINK("https://www.indeed.com/viewjob?jk=e34ac194751b85ef", "https://www.indeed.com/viewjob?jk=e34ac194751b85ef")</f>
        <v/>
      </c>
      <c r="F65">
        <f>HYPERLINK("https://grnh.se/8apftvaf3us", "https://grnh.se/8apftvaf3us")</f>
        <v/>
      </c>
      <c r="G65" t="inlineStr">
        <is>
          <t>San Francisco, CA, US</t>
        </is>
      </c>
      <c r="H65" s="2" t="n">
        <v>46049</v>
      </c>
      <c r="I65"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Klaviyo is on a mission to build a world\-class, AI\-first engineering organization. To do this, we're looking for a Lead Product Manager of Developer Experience who will craft and drive the vision for our internal development environment. In this role, you'll treat developers as your customers — making their daily workflows faster, safer, and more joyful. Your work will directly impact how quickly and confidently Klaviyo engineers can build, test, and release high\-quality products.
In this role, you'll partner deeply with Engineering leaders across Developer Infra, SRE, and product teams to shape how Klaviyo develops software. Your focus will be on outcomes: enabling faster cycle times, reducing incidents, leveraging AI to automate toil, and making Klaviyo a magnet for top engineering talent. **Please note this is a hybrid role and requires 3 days/week in our SF office. Fully remote candidates will not be considered at this time.**
**What You'll Do:**
-------------------
* **Set the Vision**: Define the product strategy for Klaviyo's developer environment, aligning to our *Need for Speed* program — targeting massive improvements in engineering velocity, developer experience, and quality.
* **Make Developers Your Customers**: Treat Klaviyo engineers as the primary stakeholders. Identify pain points across the PDLC (coding, testing, deployment, maintenance) and prioritize investments that meaningfully improve their productivity and happiness.
* **Accelerate with AI**: Institutionalize AI as a force multiplier — from autonomous code agents to AI copilots for reviews and testing. Ensure Klaviyo leads in adopting AI\-first development practices, reducing friction without compromising safety.
* **Deliver Measurable Outcomes**: Drive success metrics such as PR throughput, cycle time, change failure rate, developer experience index, and AI tool adoption.
* **Champion Quality \&amp; Safety**: Partner with SRE and QE to ensure reliability and safety are built into every paved path — incidents and defects decrease even as velocity increases.
* **Scale for the Future**: Guide architecture and tooling choices that will keep Klaviyo's developer experience sustainable and scalable for years to come.
* **Be Data\-Driven**: Establish instrumentation, run surveys, and analyze metrics to continuously validate impact and adjust based on outcomes, not assumptions.
* **Build for Collaboration**: Create transparency and open feedback loops with engineers, EMs, and leadership to ensure alignment and adoption of developer tooling and practices.
**Who You Are:**
----------------
* **Strategic Builder**: You're an Engineering leader turned Product think or Founder. Or you've led product for developer platforms, infrastructure, or tools, with a track record of improving engineering velocity and reliability.
* **Developer\-Centric Thinker**: You deeply empathize with engineers and have experience making their workflows easier, faster, and safer.
* **AI\-Forward Mindset**: You understand the transformative potential of AI in software development and can separate hype from practical value.
* **Metrics\-Oriented**: You are fluent in measuring success via engineering productivity, quality, and reliability metrics (e.g., PR throughput, CFR, incident rates, DevEx indices).
* **Influential Collaborator**: You can partner with senior engineering leaders (Infra, SRE, QE, product teams) and influence without authority.
* **Bias for Action**: You thrive in fast\-moving environments, balance short\-term wins with long\-term strategy, and bias toward automation and self\-service.
**Success in This Role Looks Like:**
------------------------------------
* Klaviyo engineers feel they can deliver faster, safer, and with higher confidence than ever before.
* AI tools are seamlessly integrated into workflows, with widespread adoption and measurable productivity gains.
* Development cycle times shrink, while incidents, defect escapes, and change failure rates decrease.
* Developers rank Klaviyo's internal tooling and environment as best\-in\-class, making it a competitive advantage in attracting and retaining talent.
* The Dev Infra \&amp; SRE product strategy is clear, measurable, and directly tied to Klaviyo's ability to deliver customer value quickly and reliably.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66">
      <c r="A66" t="inlineStr">
        <is>
          <t>in-e482b08eab779aca</t>
        </is>
      </c>
      <c r="B66" t="inlineStr">
        <is>
          <t>Training Program Manager</t>
        </is>
      </c>
      <c r="C66" t="inlineStr">
        <is>
          <t>Trust Automation</t>
        </is>
      </c>
      <c r="D66" t="inlineStr">
        <is>
          <t>indeed</t>
        </is>
      </c>
      <c r="E66">
        <f>HYPERLINK("https://www.indeed.com/viewjob?jk=e482b08eab779aca", "https://www.indeed.com/viewjob?jk=e482b08eab779aca")</f>
        <v/>
      </c>
      <c r="F66">
        <f>HYPERLINK("https://grnh.se/cy4ixoin2us", "https://grnh.se/cy4ixoin2us")</f>
        <v/>
      </c>
      <c r="G66" t="inlineStr">
        <is>
          <t>San Luis Obispo, CA, US</t>
        </is>
      </c>
      <c r="H66" s="2" t="n">
        <v>46049</v>
      </c>
      <c r="I66" t="inlineStr">
        <is>
          <t>**Trust Automation**
Trust Automation has over 30 years of experience in custom motors, linear drives, digital drives, and systems which meet the unique needs of its customers. Its product line includes motors, linear drives, digital drives, custom assemblies, and products to fit unique applications and ground\-up system design and manufacturing solutions. We design, build and support control and power management systems for the most demanding defense, semiconductor, industrial automation, and medical applications.
Trust Automation is an equal opportunity employer and committed to attracting, hiring, developing, and retaining a skilled, productive, and diverse workforce, personnel with competencies and experience related to the regional and State population. Every employee has an "at\-will" relationship with Trust Automation. This means that employment with Trust Automation is at the mutual consent of the employer and the employee and is subject to termination by either party at will, with or without cause or advance notice.
**Job Summary**
The Training Program Manager is responsible for leading, planning, coordinating, and administering training and development programs companywide that support manufacturing operations, engineering standards, safety compliance, Human Resources, legal compliance, and continuous improvement initiatives. This role serves as a subject matter resource for training systems and processes and partners closely with manufacturing, engineering, quality, safety, Human Resources, and leadership teams to ensure employees have the skills, certifications, and knowledge required to meet operational, regulatory, and business objectives.
**Duties and Responsibilities**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who are otherwise qualified, to perform the essential functions.
* Oversee onboarding, technical, safety, and compliance training for all new hires while working closely with representatives of various departments.
* Schedule, track, and document all required trainings, certifications, and re\-certifications.
* Maintain training matrices aligned with job roles, equipment, and regulatory requirements.
* Support cross\-training initiatives to improve workforce flexibility and operational continuity.
* Partner with all departments to develop and deploy process, equipment, and systems training.
* Manage training related to new product introductions, process changes, automation, and continuous improvement projects.
* Assist with standard work documentation and training materials (work instructions, visual aids, etc.).
* Ensure training compliance with OSHA, ISO, AS9100/ISO 9001, and other applicable regulatory or customer standards both internal and external.
* Participate as an active member of the safety committee team.
* Work closely with Safety and Facilities Manager to facilitate safety training, including lockout/tagout, machine guarding, hazardous materials, and emergency procedures.
* Prepare and manage training documentation for internal and external audits.
* Support corrective actions related to training deficiencies or competency gaps.
* Support internal, customer, regulatory, and third\-party audits by providing training and competency evidence.
* Maintain training records within the Learning Management System (LMS) or training databases.
* Generate training reports and metrics for leadership review.
* Evaluate training effectiveness and recommend improvements based on feedback and performance outcomes.
* Coordinate external training providers, instructors, and certification programs as needed.
* Manage training logistics including scheduling, facilities, materials, and equipment.
* Support lean manufacturing, Six Sigma, and continuous improvement training initiatives.
* Identify training gaps and collaborate with leadership to address skill development needs.
* Monitor training compliance and escalate gaps or overdue requirements to supervisors and leadership. (BizLibrary will automatically notify supervisors of overdo training, but it would be good for the training coordinator to make sure the supervisors/managers are following up).
* Coordinate with internal subject matter experts to develop and deliver effective technical and process training.
* Lead the design, implementation, and continuous improvement of manufacturing and engineering training programs
* Stay current on industry best practices in manufacturing training and workforce development.
**Position Requirements**
* Bachelor's degree in Human Resources, Organizational Development, Engineering, Industrial Technology, or a related field preferred.
* Equivalent combination of education and experience may be considered.
* 5\-10 years of experience in training management or learning and development in a manufacturing or engineering environment preferred.
* Experience working in regulated manufacturing environments strongly preferred.
* Strong organizational and project management skills.
* Familiarity with manufacturing processes, engineering documentation, and technical training concepts. Familiarity with DoD and federal contract mechanisms is a plus
* Knowledge of safety and compliance training requirements.
* Proficiency with LMS platforms and Microsoft Office (Excel, Word, PowerPoint).
* Excellent communication and interpersonal skills.
* Ability to work cross\-functionally with engineers, supervisors, and frontline employees.
* This position may be asked to drive for company purposes during the course of employment. If asked and agreed upon, employees must possess a valid California Driver's License and clean driving record.
* May participate in the identity verification process to access secure client or government portals by authorizing certified supplier or customer management platforms to obtain information from your personal credit profile or other information, solely to verify your identity.
#### **Physical Requirements**
* Hearing and speaking to exchange information in person, on the telephone or virtually.
* Dexterity of hands, fingers, and wrist to operate a computer keyboard, calculator or assemble/manufacture intricate items.
* Seeing to read a variety of materials.
* Sitting or standing for extended period of time
* Physical agility to lift 20 pounds to shoulder height.
* Physical agility to lift, carry, push, or pull objects.
**Pay/Salary Information**
Pay scale for this position \- $88,524\.80\- $110,000\.00 annually
By submitting your application, you acknowledge that you have read and understand the information provided within. You certify that the information contained in this application is correct to the best of your knowledge. You understand that to falsify information is grounds for refusing to hire, or for discharge should you be hired.</t>
        </is>
      </c>
    </row>
    <row r="67">
      <c r="A67" t="inlineStr">
        <is>
          <t>in-c82f0e1b7465963a</t>
        </is>
      </c>
      <c r="B67" t="inlineStr">
        <is>
          <t>Program Manager (8018) - Coordination Group</t>
        </is>
      </c>
      <c r="C67" t="inlineStr">
        <is>
          <t>SEPTA</t>
        </is>
      </c>
      <c r="D67" t="inlineStr">
        <is>
          <t>indeed</t>
        </is>
      </c>
      <c r="E67">
        <f>HYPERLINK("https://www.indeed.com/viewjob?jk=c82f0e1b7465963a", "https://www.indeed.com/viewjob?jk=c82f0e1b7465963a")</f>
        <v/>
      </c>
      <c r="F67">
        <f>HYPERLINK("https://jobs.septa.org/job/Philadelphia-Program-Manager-%288018%29-Coordination-Group-PA-19107/1359978800/", "https://jobs.septa.org/job/Philadelphia-Program-Manager-%288018%29-Coordination-Group-PA-19107/1359978800/")</f>
        <v/>
      </c>
      <c r="G67" t="inlineStr">
        <is>
          <t>Philadelphia, PA, US</t>
        </is>
      </c>
      <c r="H67" s="2" t="n">
        <v>46049</v>
      </c>
      <c r="I67" t="inlineStr">
        <is>
          <t>Category: Manager/Supervisor/Administrator
Facility: SEPTA Headquarters
City: Philadelphia
Date: Jan 28, 2026
Req ID: 8104  
**Secure Your Future with SEPTA – A Leader in Transportation!**
===============================================================
The **Southeastern Pennsylvania Transportation Authority (SEPTA)** is the **sixth\-largest** transportation system in the U.S., connecting communities across a **2,200\-square\-mile service region**. SEPTA is **at the forefront of innovation** in the transit industry, ensuring reliable and efficient services while driving economic growth in the **Philadelphia region**.
**We are proud to be recognized as**:
**2023 FORBES Best in State Employer**
**Philadelphia Employer of Choice for 2024**
We are seeking to hire candidates for our Program Manager (8018\) \- Coordination Group.
Opening Date: 01/28/2026
Closing Date: 02/11/2026
Job Grade: SAM 43
Salary Range: $125,762 \- $157\-196
**OVERALL DESCRIPTION**
-----------------------
**Coordination \- Program Delivery Office**  
The Program Manager leads two critical infrastructure coordination groups: Outage Coordination \&amp; Preventative Maintenance and Inspection, and Right\-of\-Entry \&amp; Third Party Coordination. This position ensures safe, efficient, and well\-planned maintenance, inspection, and construction activities across SEPTA's system, while serving as a primary liaison with PennDOT, the City of Philadelphia, utilities, and developers.
The Program Manager has full technical responsibility for the interpretation, organization, execution and coordination of his/her assignments for their respective Department. He/She must have extensive knowledge of engineering, construction, operations and good business practices. A particular focus on project planning, design and construction management practices is necessary. This position has full responsibility for accomplishing all phases of assigned projects and activities, from conception to completion.
**SPECIFIC RESPONSIBILITIES**
-----------------------------
**Coordination \- Program Delivery Office**
* Oversees planning and scheduling of outages and preventative maintenance to support safe, reliable operations.
* Manages and standardizes Preventative Maintenance \&amp; Inspection programs across infrastructure assets in close coordination with Engineering \&amp; Maintenance Departments (Track, Power, Communications \&amp; Signals, Bridges \&amp; Buildings) and Capital Program Support (Transit Asset Management).
* Coordinates with Operations, Maintenance, and Capital Programs to align field work, minimize service impacts, and ensure compliance with safety and regulatory standards.
* Leads the Right\-of\-Entry and Third\-Party Coordination group to review, approve and monitor external access and construction near SEPTA facilities.
* Coordinates with PennDOT, the City of Philadelphia, utilities, and regional partners to manage shared infrastructure, construction interfaces and schedules to protect SEPTA operations.
* Establishes goals, procedures, and objectives for assigned personnel and projects including the development of resource budgets and including the scheduling, planning and organizing of the work load for subordinates.
* Implements process improvements, data tools, and reporting dashboards to improve scheduling, safety, and performance transparency.
* Supervises and develops professional staff; manages workload priorities, training and performance goals.
* Prepares and delivers reports and presentations for senior leadership and external stakeholders.
* Complies with all Authority and departmental safety \&amp; security policies and procedures, as well as all applicable job safety responsibilities. Reports any safety concerns, compromises, or hazards affecting self and other employees. Responsible for individual’s own safety.
* Performs other duties as assigned.
**QUALIFICATIONS AND EXPERIENCE**
---------------------------------
**Coordination \- Program Delivery Office**
* Bachelor's Degree in Engineering, Construction Management, or related field with ten years significant, progressive,and responsible experience, including a minimum of five years of managerial/supervisory experience required.
* Strong knowledge of design, construction management, project management, and outage scheduling.
* An ability to work during nights, extended weekends and summer shutdowns, through project completion.
* Must possess strong interpersonal skills and the ability to deal effectively with a wide range of professional, supervisory and management personnel at all levels of the organization.
* Excellent verbal and written communication skills with the ability to organize and present technical and project presentations to various levels of management both internally and externally.
* Must possess a valid driver's license.
* Registered Professional Engineer in the Commonwealth of Pennsylvania preferred.
* Thorough understanding of rail transportation/operations preferred.
**Why Join Our Team? Enjoy Outstanding Benefits!**
--------------------------------------------------
✅ Comprehensive Healthcare Coverage – Medical, prescription, dental, and vision plans with little to no employee premiums.
✅ Retirement Security – Participate in a Defined Benefit Pension Plan and a 457B Deferred Compensation Plan to build your financial future.
✅ Work\-Life Balance – Enjoy paid parental leave, generous vacation time, and paid holidays to recharge and spend time with loved ones.
✅ Employee Wellness – Access wellness programs and resources to support your physical, mental, and emotional well\-being.
✅ Invest in Your Growth – We offer tuition reimbursement to support your education and career advancement.
✅ Student Loan Assistance – Our positions qualify for the Public Service Loan Forgiveness (PSLF) program, helping you manage and reduce student debt.
✅ Free Travel Perks – Receive a FREE SEPTA Transportation Pass, giving you unlimited access to all SEPTA services!
**Join us and take advantage of these incredible benefits while making a difference in your community!**
--------------------------------------------------------------------------------------------------------
**Join the Best in Transit! Apply Today**
-----------------------------------------
**Click Apply Now and take the next step in your career with SEPTA!**
**Have Questions?** For more information, please visit How We Hire Careers Page.
**SEPTA is an Equal Opportunity Employer.**
SEPTA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**Nearest Major Market:** Philadelphia</t>
        </is>
      </c>
    </row>
    <row r="68">
      <c r="A68" t="inlineStr">
        <is>
          <t>in-be173b2df59dc4b8</t>
        </is>
      </c>
      <c r="B68" t="inlineStr">
        <is>
          <t>Open Source Program Manager</t>
        </is>
      </c>
      <c r="C68" t="inlineStr">
        <is>
          <t>University of Wisconsin–Madison</t>
        </is>
      </c>
      <c r="D68" t="inlineStr">
        <is>
          <t>indeed</t>
        </is>
      </c>
      <c r="E68">
        <f>HYPERLINK("https://www.indeed.com/viewjob?jk=be173b2df59dc4b8", "https://www.indeed.com/viewjob?jk=be173b2df59dc4b8")</f>
        <v/>
      </c>
      <c r="F68">
        <f>HYPERLINK("https://jobs.wisc.edu/jobs/open-source-program-manager-madison-wisconsin-united-states", "https://jobs.wisc.edu/jobs/open-source-program-manager-madison-wisconsin-united-states")</f>
        <v/>
      </c>
      <c r="G68" t="inlineStr">
        <is>
          <t>Madison, WI, US</t>
        </is>
      </c>
      <c r="H68" s="2" t="n">
        <v>46048</v>
      </c>
      <c r="I68" t="inlineStr">
        <is>
          <t>*Current employees: if you are currently employed at any of the universities of wisconsin, log in to workday to apply through the internal application process.*
Job category:
Academic Staff
Employment type:
Regular
Job profile:
Project Program Manager (B)
Job summary:
UW\-Madison's Data Science Institute is seeking a Program Manager to lead the day\-to\-day management of an Open Source Program Office (OSPO), a new unit on the UW\-Madison campus and the data indexing program. Hosted within UW\-Madison's Data Science Institute (DSI) and collaborating with Madison College, the Data Science Hub, and the UW\-Madison Libraries, the OSPO will grow a culture of open research and provide support for open practices both on the UW\-Madison campus and within the Madison area. The data indexing program seeks to find and make accessible common datasets that researchers at UW\-Madison use.
The Program Manager has an exciting opportunity to lead the operational management of the OSPO, a valuable campus and community resource. The Program Manager will work closely with leadership to implement the vision, goals, objectives, and strategies of the OSPO. The Program Manager will work with partners to develop symposia aimed at increasing open source literacy, organize trainings to up\-skill researchers in using tools for open research, manage an internship program for undergraduate students, document project findings and experiences in a series of reports, keep up\-to\-date on community needs around open source, and helping pursue growth opportunities identified by leadership. This role will also serve as the project manager for the newly launching data cataloging project which is a collaboration of the OSPO, Data Science Institute, Libraries, and other campus stakeholders. The successful applicant for this program will coordinate multiple cross\-campus stakeholder contributions as well as manage multiple smaller sub\-projects. This role is a great opportunity for someone who enjoys working collaboratively, coordinating distributed teams, and communicating across various communities and stakeholders.
Key job responsibilities:
* 15% Leads and manages efforts to determine and coordinate the sharing of resources among component projects to the overall benefit of the program
* 15% Prepares regular reports to communicate the status of the program within and beyond the program team, communicates program goals, risks, and status with program executive level, program sponsors, and stakeholders, and develops and uses appropriate dashboards, measures, and reporting tools
* 10% Engage with external organizations, stakeholders, and projects in the broader open source ecosystem.
* 5% Manages the activities of outside contractors and vendors to ensure they are integrated into the program and that the organization receives satisfactory standards of service
* 20% Creates a program plan and structure, monitors progress and performance against the program plan, and identifies, resolves, or escalates program risks and issues
* 20% Sets priorities, allocates tasks, and collaborates with project staff to meet program targets and milestones. Manages the change control process and acts as the mid\-level decision making authority
* 5% Facilitates the estimation of program costs, resources, and time required to complete the overall program, monitors activities and budgets, directs and leads component project manager activities for consistency and alignment, and works with program leadership to ensure these targets are met. Follows established change control processes if targets can no longer be met
* 10%Works with OSPO staff, partners, and open source community collaborators to develop, plan, and execute activities that promote awareness and adoption of open practices and participation in open communities. Assembles and coordinates teams among collaborators for the preparation of grant proposals.
Department:
Data Science Institute
Compensation:
Minimum, annual, full\-time base rate of $87,112\. Base rates are negotiable. Employees in this position will receive a benefits package that includes vacation, holidays, and paid time off. The position also comes with competitive insurance and saving accounts; and retirement benefits.
Required qualifications:
* Demonstrated project planning and management experience, including experience managing a program budget.
* Demonstrated effective written, verbal, and interpersonal communication, including writing and editing reports.
* Experience building consensus across groups of stakeholders.
* Ability to prioritize work, keep track of details, and manage a portfolio of activities in complex, dynamic environments.
* Experience with project management software, while not required, is preferred.
* Ability to work independently while engaging colleagues and supervisors at strategic or key moments.
Preferred qualifications:
* Experience in higher education and academic research environments.
* Understanding of open\-source communities, culture, licensing, governance, and sustainability models.
* Experience seeking and securing grants, industry partnerships, and other sources of funding.
Education:
Bachelors required / masters preferred
How to apply:
To apply for this position, please click on the "I am a current employee" button or "I am not a current employee" button under Apply Now. You will be prompted to upload the following documents.  
* Cover Letter
* Resume
Please note, there is only one attachment field. You must upload all of your documents in the attachment field.  
Applicants are to submit a cover letter and resume detailing their training and experience as it relates to the required and preferred qualifications referenced above. Cover letters will be used as a writing sample and determine which qualified applicants will advance in the recruiting process.  
We will notify applicants that have been selected to participate further in the selection process. References will be requested of final candidates. All applicants will be notified after the search is complete and a candidate has been selected.
A successful applicant will be responsible for ensuring eligibility for employment in the United States on or before the effective date of the appointment. University sponsorship is not available for this position.
Contact information:
If you have questions, please email ospo@datascience.wisc.edu.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69">
      <c r="A69" t="inlineStr">
        <is>
          <t>in-581fe88d4f9518e6</t>
        </is>
      </c>
      <c r="B69" t="inlineStr">
        <is>
          <t>Product Manager-Annuities WMS</t>
        </is>
      </c>
      <c r="C69" t="inlineStr">
        <is>
          <t>Ameriprise Financial</t>
        </is>
      </c>
      <c r="D69" t="inlineStr">
        <is>
          <t>indeed</t>
        </is>
      </c>
      <c r="E69">
        <f>HYPERLINK("https://www.indeed.com/viewjob?jk=581fe88d4f9518e6", "https://www.indeed.com/viewjob?jk=581fe88d4f9518e6")</f>
        <v/>
      </c>
      <c r="F69">
        <f>HYPERLINK("https://ameriprise.wd5.myworkdayjobs.com/Ameriprise/job/Charlotte-North-Carolina/Product-Manager-Annuities-WMS_R26_0123-1", "https://ameriprise.wd5.myworkdayjobs.com/Ameriprise/job/Charlotte-North-Carolina/Product-Manager-Annuities-WMS_R26_0123-1")</f>
        <v/>
      </c>
      <c r="G69" t="inlineStr">
        <is>
          <t>Minneapolis, MN, US</t>
        </is>
      </c>
      <c r="H69" s="2" t="n">
        <v>46041</v>
      </c>
      <c r="I69"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70">
      <c r="A70" t="inlineStr">
        <is>
          <t>in-50b5200432f0abae</t>
        </is>
      </c>
      <c r="B70" t="inlineStr">
        <is>
          <t>Product Manager Wealth Management</t>
        </is>
      </c>
      <c r="C70" t="inlineStr">
        <is>
          <t>Ameriprise Financial</t>
        </is>
      </c>
      <c r="D70" t="inlineStr">
        <is>
          <t>indeed</t>
        </is>
      </c>
      <c r="E70">
        <f>HYPERLINK("https://www.indeed.com/viewjob?jk=50b5200432f0abae", "https://www.indeed.com/viewjob?jk=50b5200432f0abae")</f>
        <v/>
      </c>
      <c r="F70">
        <f>HYPERLINK("https://ameriprise.wd5.myworkdayjobs.com/Ameriprise/job/Minneapolis-Minnesota/Product-Manager-Wealth-Management_R25_0000004315-1", "https://ameriprise.wd5.myworkdayjobs.com/Ameriprise/job/Minneapolis-Minnesota/Product-Manager-Wealth-Management_R25_0000004315-1")</f>
        <v/>
      </c>
      <c r="G70" t="inlineStr">
        <is>
          <t>Charlotte, NC, US</t>
        </is>
      </c>
      <c r="H70" s="2" t="n">
        <v>46027</v>
      </c>
      <c r="I70"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71">
      <c r="A71" t="inlineStr">
        <is>
          <t>in-7f1e7b65dc2f0163</t>
        </is>
      </c>
      <c r="B71" t="inlineStr">
        <is>
          <t>Program Manager/Enrollment Clerk</t>
        </is>
      </c>
      <c r="C71" t="inlineStr">
        <is>
          <t>Santa Clara Pueblo Administrative</t>
        </is>
      </c>
      <c r="D71" t="inlineStr">
        <is>
          <t>indeed</t>
        </is>
      </c>
      <c r="E71">
        <f>HYPERLINK("https://www.indeed.com/viewjob?jk=7f1e7b65dc2f0163", "https://www.indeed.com/viewjob?jk=7f1e7b65dc2f0163")</f>
        <v/>
      </c>
      <c r="F71">
        <f>HYPERLINK("https://santaclarapueblo.isolvedhire.com/jobs/1191315-201983.html", "https://santaclarapueblo.isolvedhire.com/jobs/1191315-201983.html")</f>
        <v/>
      </c>
      <c r="G71" t="inlineStr">
        <is>
          <t>Espanola, NM, US</t>
        </is>
      </c>
      <c r="H71" s="2" t="n">
        <v>46023</v>
      </c>
      <c r="I71" t="inlineStr">
        <is>
          <t>Position Title: Enrollment Clerk/ Program Manager  
Department: Office of Vital StatisticsEnrollment  
Salary Grade: 1065 Per Class Code  
Position Status: Full\-time  
FLSA Status: Non\-Exempt
Position Summary  
Under the general direction of the Program Director; assist the Program Director with implementing and  
supporting all census and enrollment data projects.
This job description is illustrative only of the responsibilities performed by this position and is not an all inclusive  
list of all responsibilities, duties, and skills required of personnel in this classification. Duties,  
responsibilities, and activities may change at any time with or without notice.
Essential Duties and Responsibilities  
Always maintains confidentiality by keeping all records, documents, personal contact information for member and non\-member files, and other matters dealing with the people confidential; and information will not be discussed with anybody outside of the Vital Statistics Office unless otherwise  
directed.  
Responsible for cataloging current tribal enrollment rolls, including base rolls, and ongoing roll, continuous inventory of information.  
Responsible for finalizing inventory of all current vital statistics documents.  
Responsible for updating current and future forms.  
Assist the Director with Enrollment Files, Death Certificates, Bureau of Indian Affairs forms, and correspondence to the Tribal Governor's Office.  
Assist in contacting outside agencies relating to enrollment.  
Responsible for updating census data and entering data into a database.  
Responsible for implementing and continued digital scanning and storage of enrollment and vital statistics records.  
Assist the Director in council meetings in making program presentations.  
Be in the authority of the Vital Statistics office during the absence of the Director.  
Attends all scheduled meetings as requested by the Director.  
Responsible and proficient in explaining the Enrollment processes to the community.  
Provide excellent customer service via telephone and in person.  
Contributes to a team effort by accomplishing related results as required.
Knowledge, Skills, and Abilities  
Knowledge of Santa Clara, State,Federal laws, regulations, policies, and procedures.  
Must be skillfully knowledgeable in documentary research.  
PC proficiency and strong skills in MS Word, Excel, PowerPoint, and Access are required, along with experience in working with an electronic database to compose a number of professional documents.  
Self\-motivated, organized, able to handle multiple tasks, meet deadlines and work under pressure.  
Able to interact and communicate effectively with community members, outside agencies, and tribal leadership.  
Strong verbal and written communication skills.  
Ability to work with employees and community members regarding sensitive, confidential information.  
Minimum Qualifications  
Associate degree in Data Entry, Records Management recommended, or 2 years of equivalent combination of education, training, and experience which provides the requisite for the position.  
Two (2\) years of experience with developing and maintaining databases.  
PC proficiency and strong skills in MS Word, Excel, PowerPoint, and Access are required, along with experience in working with an electronic database to compose a number of professional documents.  
Must have Two (2\) years of Supervisory experience.  
It is preferred that this individual is a resident of Santa Clara Pueblo who can understand the native Tewa language and is knowledgeable of Santa Clara Pueblo history and culture.
Physical Requirements and Work Environment  
While performing the duties of this job, the employee is regularly required to talk or hear. The employee  
frequently is required to stand, walk; sit; and use hands to finger, handle, or feel. The employee is  
occasionally required to reach with hands and arms; climb or balance; and stoop, kneel, crouch, or crawl.  
The employee may need to lift and/or move up to 10 pounds and occasionally lift and/or move up to 25  
pounds. Specific vision abilities required by this job include the ability to adjust focus. The noise level in  
the work environment is usually moderate. Travel may be periodically required. The incumbent may be  
required to work occasional nights due to meetings.
Operating Values  
Respect \- Treats everyone with courtesy, politeness, and dignity. Listens to and communicates  
with teammates, employees, and community members in ways that build mutual respect and  
positive working relationships.  
Citizenship \- Follows proper procedures and keeps appropriate records. Ensures compliance  
with regulatory and legal requirements.  
Caring \- Cares about and demonstrates concern for employees and community members. Builds  
mutually beneficial relationships with employees, vendors, and community members.  
Trustworthiness \- Takes actions that build confidence in the Department and Pueblo of Santa  
Clara. Demonstrates honesty and high standards of integrity in all interactions. Gains trust and  
confidence in relationships with teammates and employees at all levels.  
Fairness \- Listens to the concerns of employees and community members. Take specific  
actions to ensure the success of employees. Make decisions after careful and appropriate  
consideration.  
Responsibility \- Takes accountability for the services provided, pursuing excellence in  
everything. Finish rather than surrender to obstacles or excuses. Continually look for ways to  
improve work. Fulfill obligations and help to fulfill the obligations of the Department.
Disclaimer  
Working Conditions for individual positions in this classification will vary based on each department's  
utilization, essential functions, and recruitment needs at the time a vacancy is posted. Employees must  
be able to perform the essential functions of the position satisfactorily and, if requested, reasonable  
accommodation will be provided to enable employees with disabilities to perform the essential functions  
of their job, absent undue hardship. All requirements are subject to possible modification to reasonably  
accommodate individuals with disabilities.  
Employment Requirements  
Successful completion of a thorough background investigation and MVD check. Employees must comply with Tribal Safety Guidelines, Policies, and Procedures and follow the HIPPA US Department of Health and Human Services Guidelines. Successful completion of the mandatory National Incident Management Training (NIMS) within the first 90 days of employment. Must pass a drug/alcohol test. Must have a valid New Mexico Driver's License and be insurable through the Tribe's carrier and not have any DUI/DWI</t>
        </is>
      </c>
    </row>
    <row r="72">
      <c r="A72" t="inlineStr">
        <is>
          <t>in-db832509a028c988</t>
        </is>
      </c>
      <c r="B72" t="inlineStr">
        <is>
          <t>Sr. Product Manager Technical, Deal Tooling &amp; Insights, Strategic Customer Engagements</t>
        </is>
      </c>
      <c r="C72" t="inlineStr">
        <is>
          <t>Amazon Web Services</t>
        </is>
      </c>
      <c r="D72" t="inlineStr">
        <is>
          <t>indeed</t>
        </is>
      </c>
      <c r="E72">
        <f>HYPERLINK("https://www.indeed.com/viewjob?jk=db832509a028c988", "https://www.indeed.com/viewjob?jk=db832509a028c988")</f>
        <v/>
      </c>
      <c r="F72">
        <f>HYPERLINK("https://www.amazon.jobs/jobs/3138889/sr-product-manager-technical-deal-tooling--insights-strategic-customer-engagements?cmpid=DA_INAD200785B", "https://www.amazon.jobs/jobs/3138889/sr-product-manager-technical-deal-tooling--insights-strategic-customer-engagements?cmpid=DA_INAD200785B")</f>
        <v/>
      </c>
      <c r="G72" t="inlineStr">
        <is>
          <t>Arlington, VA, US</t>
        </is>
      </c>
      <c r="H72" s="2"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3">
      <c r="A73" t="inlineStr">
        <is>
          <t>in-f74bc8e6b5014d00</t>
        </is>
      </c>
      <c r="B73" t="inlineStr">
        <is>
          <t>Sr. Product Manager Technical, Deal Tooling &amp; Insights, Strategic Customer Engagements</t>
        </is>
      </c>
      <c r="C73" t="inlineStr">
        <is>
          <t>Amazon Web Services</t>
        </is>
      </c>
      <c r="D73" t="inlineStr">
        <is>
          <t>indeed</t>
        </is>
      </c>
      <c r="E73">
        <f>HYPERLINK("https://www.indeed.com/viewjob?jk=f74bc8e6b5014d00", "https://www.indeed.com/viewjob?jk=f74bc8e6b5014d00")</f>
        <v/>
      </c>
      <c r="F73">
        <f>HYPERLINK("https://www.amazon.jobs/jobs/3138889/sr-product-manager-technical-deal-tooling--insights-strategic-customer-engagements?cmpid=DA_INAD200785B", "https://www.amazon.jobs/jobs/3138889/sr-product-manager-technical-deal-tooling--insights-strategic-customer-engagements?cmpid=DA_INAD200785B")</f>
        <v/>
      </c>
      <c r="G73" t="inlineStr">
        <is>
          <t>Seattle, WA,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in-7d4a5166e149cd30</t>
        </is>
      </c>
      <c r="B74" t="inlineStr">
        <is>
          <t>Sr. Product Manager Technical, Deal Tooling &amp; Insights, Strategic Customer Engagements</t>
        </is>
      </c>
      <c r="C74" t="inlineStr">
        <is>
          <t>Amazon Web Services</t>
        </is>
      </c>
      <c r="D74" t="inlineStr">
        <is>
          <t>indeed</t>
        </is>
      </c>
      <c r="E74">
        <f>HYPERLINK("https://www.indeed.com/viewjob?jk=7d4a5166e149cd30", "https://www.indeed.com/viewjob?jk=7d4a5166e149cd30")</f>
        <v/>
      </c>
      <c r="F74">
        <f>HYPERLINK("https://www.amazon.jobs/jobs/3138889/sr-product-manager-technical-deal-tooling--insights-strategic-customer-engagements?cmpid=DA_INAD200785B", "https://www.amazon.jobs/jobs/3138889/sr-product-manager-technical-deal-tooling--insights-strategic-customer-engagements?cmpid=DA_INAD200785B")</f>
        <v/>
      </c>
      <c r="G74" t="inlineStr">
        <is>
          <t>Herndon, VA,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in-94c3275c6d737ca8</t>
        </is>
      </c>
      <c r="B75" t="inlineStr">
        <is>
          <t>Sr. Product Manager Technical, Deal Tooling &amp; Insights, Strategic Customer Engagements</t>
        </is>
      </c>
      <c r="C75" t="inlineStr">
        <is>
          <t>Amazon Web Services</t>
        </is>
      </c>
      <c r="D75" t="inlineStr">
        <is>
          <t>indeed</t>
        </is>
      </c>
      <c r="E75">
        <f>HYPERLINK("https://www.indeed.com/viewjob?jk=94c3275c6d737ca8", "https://www.indeed.com/viewjob?jk=94c3275c6d737ca8")</f>
        <v/>
      </c>
      <c r="F75">
        <f>HYPERLINK("https://www.amazon.jobs/jobs/3138889/sr-product-manager-technical-deal-tooling--insights-strategic-customer-engagements?cmpid=DA_INAD200785B", "https://www.amazon.jobs/jobs/3138889/sr-product-manager-technical-deal-tooling--insights-strategic-customer-engagements?cmpid=DA_INAD200785B")</f>
        <v/>
      </c>
      <c r="G75" t="inlineStr">
        <is>
          <t>Dallas, TX,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6">
      <c r="A76" t="inlineStr">
        <is>
          <t>in-e624c934bf067c27</t>
        </is>
      </c>
      <c r="B76" t="inlineStr">
        <is>
          <t>Sr. Product Manager Technical, Deal Tooling &amp; Insights, Strategic Customer Engagements</t>
        </is>
      </c>
      <c r="C76" t="inlineStr">
        <is>
          <t>Amazon Web Services</t>
        </is>
      </c>
      <c r="D76" t="inlineStr">
        <is>
          <t>indeed</t>
        </is>
      </c>
      <c r="E76">
        <f>HYPERLINK("https://www.indeed.com/viewjob?jk=e624c934bf067c27", "https://www.indeed.com/viewjob?jk=e624c934bf067c27")</f>
        <v/>
      </c>
      <c r="F76">
        <f>HYPERLINK("https://www.amazon.jobs/jobs/3138889/sr-product-manager-technical-deal-tooling--insights-strategic-customer-engagements?cmpid=DA_INAD200785B", "https://www.amazon.jobs/jobs/3138889/sr-product-manager-technical-deal-tooling--insights-strategic-customer-engagements?cmpid=DA_INAD200785B")</f>
        <v/>
      </c>
      <c r="G76" t="inlineStr">
        <is>
          <t>New York, NY,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7">
      <c r="A77" t="inlineStr">
        <is>
          <t>in-5439243a38237b8f</t>
        </is>
      </c>
      <c r="B77" t="inlineStr">
        <is>
          <t>Sr. Product Manager Technical, Deal Tooling &amp; Insights, Strategic Customer Engagements</t>
        </is>
      </c>
      <c r="C77" t="inlineStr">
        <is>
          <t>Amazon Web Services</t>
        </is>
      </c>
      <c r="D77" t="inlineStr">
        <is>
          <t>indeed</t>
        </is>
      </c>
      <c r="E77">
        <f>HYPERLINK("https://www.indeed.com/viewjob?jk=5439243a38237b8f", "https://www.indeed.com/viewjob?jk=5439243a38237b8f")</f>
        <v/>
      </c>
      <c r="F77">
        <f>HYPERLINK("https://www.amazon.jobs/jobs/3138889/sr-product-manager-technical-deal-tooling--insights-strategic-customer-engagements?cmpid=DA_INAD200785B", "https://www.amazon.jobs/jobs/3138889/sr-product-manager-technical-deal-tooling--insights-strategic-customer-engagements?cmpid=DA_INAD200785B")</f>
        <v/>
      </c>
      <c r="G77" t="inlineStr">
        <is>
          <t>Austin, TX,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8">
      <c r="A78" t="inlineStr">
        <is>
          <t>in-3ba741fbd6761af9</t>
        </is>
      </c>
      <c r="B78" t="inlineStr">
        <is>
          <t>Sr. Product Manager - Tech, WHS Data-Tech</t>
        </is>
      </c>
      <c r="C78" t="inlineStr">
        <is>
          <t>Amazon.com</t>
        </is>
      </c>
      <c r="D78" t="inlineStr">
        <is>
          <t>indeed</t>
        </is>
      </c>
      <c r="E78">
        <f>HYPERLINK("https://www.indeed.com/viewjob?jk=3ba741fbd6761af9", "https://www.indeed.com/viewjob?jk=3ba741fbd6761af9")</f>
        <v/>
      </c>
      <c r="F78">
        <f>HYPERLINK("https://www.amazon.jobs/jobs/3156736/sr-product-manager--tech-whs-datatech?cmpid=DA_INAD200785B", "https://www.amazon.jobs/jobs/3156736/sr-product-manager--tech-whs-datatech?cmpid=DA_INAD200785B")</f>
        <v/>
      </c>
      <c r="G78" t="inlineStr">
        <is>
          <t>Arlington, VA, US</t>
        </is>
      </c>
      <c r="H78" s="2" t="n">
        <v>45836</v>
      </c>
      <c r="I7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9">
      <c r="A79" t="inlineStr">
        <is>
          <t>in-bc6f926d1748b054</t>
        </is>
      </c>
      <c r="B79" t="inlineStr">
        <is>
          <t>Sr. Product Manager - Tech, WHS Data-Tech</t>
        </is>
      </c>
      <c r="C79" t="inlineStr">
        <is>
          <t>Amazon.com</t>
        </is>
      </c>
      <c r="D79" t="inlineStr">
        <is>
          <t>indeed</t>
        </is>
      </c>
      <c r="E79">
        <f>HYPERLINK("https://www.indeed.com/viewjob?jk=bc6f926d1748b054", "https://www.indeed.com/viewjob?jk=bc6f926d1748b054")</f>
        <v/>
      </c>
      <c r="F79">
        <f>HYPERLINK("https://www.amazon.jobs/jobs/3156736/sr-product-manager--tech-whs-datatech?cmpid=DA_INAD200785B", "https://www.amazon.jobs/jobs/3156736/sr-product-manager--tech-whs-datatech?cmpid=DA_INAD200785B")</f>
        <v/>
      </c>
      <c r="G79" t="inlineStr">
        <is>
          <t>Bellevue, WA, US</t>
        </is>
      </c>
      <c r="H79" s="2" t="n">
        <v>45836</v>
      </c>
      <c r="I7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0">
      <c r="A80" t="inlineStr">
        <is>
          <t>in-656d6f0acf3d0771</t>
        </is>
      </c>
      <c r="B80" t="inlineStr">
        <is>
          <t>Sr. Product Manager - Tech, WHS Data-Tech</t>
        </is>
      </c>
      <c r="C80" t="inlineStr">
        <is>
          <t>Amazon.com</t>
        </is>
      </c>
      <c r="D80" t="inlineStr">
        <is>
          <t>indeed</t>
        </is>
      </c>
      <c r="E80">
        <f>HYPERLINK("https://www.indeed.com/viewjob?jk=656d6f0acf3d0771", "https://www.indeed.com/viewjob?jk=656d6f0acf3d0771")</f>
        <v/>
      </c>
      <c r="F80">
        <f>HYPERLINK("https://www.amazon.jobs/jobs/3156736/sr-product-manager--tech-whs-datatech?cmpid=DA_INAD200785B", "https://www.amazon.jobs/jobs/3156736/sr-product-manager--tech-whs-datatech?cmpid=DA_INAD200785B")</f>
        <v/>
      </c>
      <c r="G80" t="inlineStr">
        <is>
          <t>Nashville, TN, US</t>
        </is>
      </c>
      <c r="H80" s="2" t="n">
        <v>45836</v>
      </c>
      <c r="I8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1">
      <c r="A81" t="inlineStr">
        <is>
          <t>in-bd19740b21468672</t>
        </is>
      </c>
      <c r="B81" t="inlineStr">
        <is>
          <t>Senior Product Manager - Technical, Alexa Communications</t>
        </is>
      </c>
      <c r="C81" t="inlineStr">
        <is>
          <t>Amazon.com</t>
        </is>
      </c>
      <c r="D81" t="inlineStr">
        <is>
          <t>indeed</t>
        </is>
      </c>
      <c r="E81">
        <f>HYPERLINK("https://www.indeed.com/viewjob?jk=bd19740b21468672", "https://www.indeed.com/viewjob?jk=bd19740b21468672")</f>
        <v/>
      </c>
      <c r="F81">
        <f>HYPERLINK("https://www.amazon.jobs/jobs/3034220/senior-product-manager--technical-alexa-communications?cmpid=DA_INAD200785B", "https://www.amazon.jobs/jobs/3034220/senior-product-manager--technical-alexa-communications?cmpid=DA_INAD200785B")</f>
        <v/>
      </c>
      <c r="G81" t="inlineStr">
        <is>
          <t>Sunnyvale, CA, US</t>
        </is>
      </c>
      <c r="H81" s="2" t="n">
        <v>45851</v>
      </c>
      <c r="I8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in-1dafcc4155f3599d</t>
        </is>
      </c>
      <c r="B82" t="inlineStr">
        <is>
          <t>Senior Product Manager - Technical, Alexa Communications</t>
        </is>
      </c>
      <c r="C82" t="inlineStr">
        <is>
          <t>Amazon.com</t>
        </is>
      </c>
      <c r="D82" t="inlineStr">
        <is>
          <t>indeed</t>
        </is>
      </c>
      <c r="E82">
        <f>HYPERLINK("https://www.indeed.com/viewjob?jk=1dafcc4155f3599d", "https://www.indeed.com/viewjob?jk=1dafcc4155f3599d")</f>
        <v/>
      </c>
      <c r="F82">
        <f>HYPERLINK("https://www.amazon.jobs/jobs/3034220/senior-product-manager--technical-alexa-communications?cmpid=DA_INAD200785B", "https://www.amazon.jobs/jobs/3034220/senior-product-manager--technical-alexa-communications?cmpid=DA_INAD200785B")</f>
        <v/>
      </c>
      <c r="G82" t="inlineStr">
        <is>
          <t>Seattle, WA, US</t>
        </is>
      </c>
      <c r="H82" s="2" t="n">
        <v>45851</v>
      </c>
      <c r="I8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in-d98439a88a49f85a</t>
        </is>
      </c>
      <c r="B83" t="inlineStr">
        <is>
          <t>Staff Product Manager, Billing</t>
        </is>
      </c>
      <c r="C83" t="inlineStr">
        <is>
          <t>Airwallex</t>
        </is>
      </c>
      <c r="D83" t="inlineStr">
        <is>
          <t>indeed</t>
        </is>
      </c>
      <c r="E83">
        <f>HYPERLINK("https://www.indeed.com/viewjob?jk=d98439a88a49f85a", "https://www.indeed.com/viewjob?jk=d98439a88a49f85a")</f>
        <v/>
      </c>
      <c r="F83">
        <f>HYPERLINK("https://jobs.ashbyhq.com/airwallex/9760e4be-fc26-42df-81ae-ef23f29c78d7?utm_source=GVJrAklxyn", "https://jobs.ashbyhq.com/airwallex/9760e4be-fc26-42df-81ae-ef23f29c78d7?utm_source=GVJrAklxyn")</f>
        <v/>
      </c>
      <c r="G83" t="inlineStr">
        <is>
          <t>New York, NY, US</t>
        </is>
      </c>
      <c r="H83" s="2" t="n">
        <v>46049</v>
      </c>
      <c r="I83" t="inlineStr">
        <is>
          <t>**About Airwallex**
-------------------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**This role is Singapore based, please apply only if you are open to relocate to Singapore. Thanks.**
**Responsibilities**
--------------------
* Define and drive Airwallex’s payments and billing product strategy — from vision and solution design to roadmap planning and execution across cross\-border payments, FX, settlements, reconciliation, invoicing, and subscription billing.
* Build and enhance billing and invoicing solutions that support recurring payments, automated reconciliation, and global compliance requirements.
* Leverage AI/ML insights to optimize billing processes (e.g., automated invoice categorization, payment reconciliation, fraud prevention, churn prediction, and personalized billing experiences).
* Collaborate closely with engineering, design, data science, and commercial teams to deliver scalable global billing and payment products that can handle increased adoption, transaction volume, and complexity while maintaining reliability and compliance.
* Inform product strategy by deeply understanding customer billing needs, payment flows, target markets, the competitive fintech landscape, and emerging AI and payments technologies.
* Rapidly iterate on new billing features (e.g., subscription management, smart invoicing, flexible pricing models) and AI\-powered enhancements based on user feedback and data.
* Manage and mentor a high\-performing team of Product Managers, fostering a culture of innovation, experimentation, and responsible AI adoption in fintech, payments, and billing.
**Minimum Qualifications**
* 5–10 years of experience in Product Management, with exposure to payments, billing, invoicing, or financial services.
* Proven track record of taking products from ideation to delivery at scale, ideally in global payments, billing platforms, or digital wallets.
* Experience building or managing billing systems (subscription billing, invoicing, automated reconciliation, recurring payments).
* Strong ability to balance long\-term product vision with short\-term growth and execution needs.
* Comfortable working in data\-driven, cross\-functional teams, leveraging analytics or AI\-powered billing tools to guide decisions.
* Flexibility to work across multiple time zones.
* Exceptional communication skills, able to articulate complex billing, payments, and AI product strategies to both technical and non\-technical audiences.
**Preferred Qualifications**
* Experience in building end\-user experiences in invoicing, subscription billing, or merchant payment solutions, ideally with AI\-powered automation.
* Background in hyper\-growth startup environments, fintech, or software engineering.
* Experience collaborating with AI/ML engineers on billing and payments use cases such as fraud detection, automated reconciliation, invoice categorization, and revenue recognition.
* Bachelor’s degree in Computer Science, Engineering, Data Science, Finance, or a related field is strongly preferred.
**Applicant Safety Policy: Fraud and Third\-Party Recruiters**
--------------------------------------------------------------
*To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189K \- SGD 250K</t>
        </is>
      </c>
    </row>
    <row r="84">
      <c r="A84" t="inlineStr">
        <is>
          <t>in-0eb49cb8a7f95f79</t>
        </is>
      </c>
      <c r="B84" t="inlineStr">
        <is>
          <t>Staff Product Manager, Billing</t>
        </is>
      </c>
      <c r="C84" t="inlineStr">
        <is>
          <t>Airwallex</t>
        </is>
      </c>
      <c r="D84" t="inlineStr">
        <is>
          <t>indeed</t>
        </is>
      </c>
      <c r="E84">
        <f>HYPERLINK("https://www.indeed.com/viewjob?jk=0eb49cb8a7f95f79", "https://www.indeed.com/viewjob?jk=0eb49cb8a7f95f79")</f>
        <v/>
      </c>
      <c r="F84">
        <f>HYPERLINK("https://jobs.ashbyhq.com/airwallex/60e66d9d-0128-407d-9026-784dd30a3b85?utm_source=GVJrAklxyn", "https://jobs.ashbyhq.com/airwallex/60e66d9d-0128-407d-9026-784dd30a3b85?utm_source=GVJrAklxyn")</f>
        <v/>
      </c>
      <c r="G84" t="inlineStr">
        <is>
          <t>San Francisco, CA, US</t>
        </is>
      </c>
      <c r="H84" s="2" t="n">
        <v>46049</v>
      </c>
      <c r="I84" t="inlineStr">
        <is>
          <t>**About Airwallex**
-------------------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**This role is Singapore based, please apply only if you are open to relocate to Singapore. Thanks.**
**Responsibilities**
--------------------
* Define and drive Airwallex’s payments and billing product strategy — from vision and solution design to roadmap planning and execution across cross\-border payments, FX, settlements, reconciliation, invoicing, and subscription billing.
* Build and enhance billing and invoicing solutions that support recurring payments, automated reconciliation, and global compliance requirements.
* Leverage AI/ML insights to optimize billing processes (e.g., automated invoice categorization, payment reconciliation, fraud prevention, churn prediction, and personalized billing experiences).
* Collaborate closely with engineering, design, data science, and commercial teams to deliver scalable global billing and payment products that can handle increased adoption, transaction volume, and complexity while maintaining reliability and compliance.
* Inform product strategy by deeply understanding customer billing needs, payment flows, target markets, the competitive fintech landscape, and emerging AI and payments technologies.
* Rapidly iterate on new billing features (e.g., subscription management, smart invoicing, flexible pricing models) and AI\-powered enhancements based on user feedback and data.
* Manage and mentor a high\-performing team of Product Managers, fostering a culture of innovation, experimentation, and responsible AI adoption in fintech, payments, and billing.
**Minimum Qualifications**
* 5–10 years of experience in Product Management, with exposure to payments, billing, invoicing, or financial services.
* Proven track record of taking products from ideation to delivery at scale, ideally in global payments, billing platforms, or digital wallets.
* Experience building or managing billing systems (subscription billing, invoicing, automated reconciliation, recurring payments).
* Strong ability to balance long\-term product vision with short\-term growth and execution needs.
* Comfortable working in data\-driven, cross\-functional teams, leveraging analytics or AI\-powered billing tools to guide decisions.
* Flexibility to work across multiple time zones.
* Exceptional communication skills, able to articulate complex billing, payments, and AI product strategies to both technical and non\-technical audiences.
**Preferred Qualifications**
* Experience in building end\-user experiences in invoicing, subscription billing, or merchant payment solutions, ideally with AI\-powered automation.
* Background in hyper\-growth startup environments, fintech, or software engineering.
* Experience collaborating with AI/ML engineers on billing and payments use cases such as fraud detection, automated reconciliation, invoice categorization, and revenue recognition.
* Bachelor’s degree in Computer Science, Engineering, Data Science, Finance, or a related field is strongly preferred.
**Applicant Safety Policy: Fraud and Third\-Party Recruiters**
--------------------------------------------------------------
*To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189K \- SGD 250K</t>
        </is>
      </c>
    </row>
    <row r="85">
      <c r="A85" t="inlineStr">
        <is>
          <t>in-25f2c005280f444f</t>
        </is>
      </c>
      <c r="B85" t="inlineStr">
        <is>
          <t>Principal Product Manager - Tech, Recommender Systems, Prime Video Personalization &amp; Discovery</t>
        </is>
      </c>
      <c r="C85" t="inlineStr">
        <is>
          <t>Amazon.com</t>
        </is>
      </c>
      <c r="D85" t="inlineStr">
        <is>
          <t>indeed</t>
        </is>
      </c>
      <c r="E85">
        <f>HYPERLINK("https://www.indeed.com/viewjob?jk=25f2c005280f444f", "https://www.indeed.com/viewjob?jk=25f2c005280f444f")</f>
        <v/>
      </c>
      <c r="F85">
        <f>HYPERLINK("https://www.amazon.jobs/jobs/2956622/principal-product-manager--tech-recommender-systems-prime-video-personalization--discovery-?cmpid=DA_INAD200785B", "https://www.amazon.jobs/jobs/2956622/principal-product-manager--tech-recommender-systems-prime-video-personalization--discovery-?cmpid=DA_INAD200785B")</f>
        <v/>
      </c>
      <c r="G85" t="inlineStr">
        <is>
          <t>Washington, DC, US</t>
        </is>
      </c>
      <c r="H85" s="2" t="n">
        <v>45753</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in-229f43c67ec269e0</t>
        </is>
      </c>
      <c r="B86" t="inlineStr">
        <is>
          <t>Principal Product Manager - Tech, Recommender Systems, Prime Video Personalization &amp; Discovery</t>
        </is>
      </c>
      <c r="C86" t="inlineStr">
        <is>
          <t>Amazon.com</t>
        </is>
      </c>
      <c r="D86" t="inlineStr">
        <is>
          <t>indeed</t>
        </is>
      </c>
      <c r="E86">
        <f>HYPERLINK("https://www.indeed.com/viewjob?jk=229f43c67ec269e0", "https://www.indeed.com/viewjob?jk=229f43c67ec269e0")</f>
        <v/>
      </c>
      <c r="F86">
        <f>HYPERLINK("https://www.amazon.jobs/jobs/2956622/principal-product-manager--tech-recommender-systems-prime-video-personalization--discovery-?cmpid=DA_INAD200785B", "https://www.amazon.jobs/jobs/2956622/principal-product-manager--tech-recommender-systems-prime-video-personalization--discovery-?cmpid=DA_INAD200785B")</f>
        <v/>
      </c>
      <c r="G86" t="inlineStr">
        <is>
          <t>Seattle, WA, US</t>
        </is>
      </c>
      <c r="H86" s="2" t="n">
        <v>45753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li-4366768937</t>
        </is>
      </c>
      <c r="B2" t="inlineStr">
        <is>
          <t>Technical Product Owner</t>
        </is>
      </c>
      <c r="C2" t="inlineStr">
        <is>
          <t>The Value Maximizer</t>
        </is>
      </c>
      <c r="D2" t="inlineStr">
        <is>
          <t>linkedin</t>
        </is>
      </c>
      <c r="E2">
        <f>HYPERLINK("https://www.linkedin.com/jobs/view/4366768937", "https://www.linkedin.com/jobs/view/4366768937")</f>
        <v/>
      </c>
      <c r="F2" t="inlineStr"/>
      <c r="G2" t="inlineStr">
        <is>
          <t>South Carolina, United States</t>
        </is>
      </c>
      <c r="H2" t="inlineStr"/>
      <c r="I2" t="inlineStr">
        <is>
          <t>****Job Title:** 
 Technical Product Owner**
**Location:** 
 Fort Mill, SC
 **Employment Type:** 
 Full\-Time
**Role Overview**
 We are seeking a Technical Product Ownerwith strong experience in Financial Services, Banking, or Wealth Management domains. The ideal candidate will bridge business needs and technical execution, ensuring delivery of high\-quality products that meet regulatory and customer requirements.
**Key Responsibilities**
* Define and prioritize product backlog aligned with business objectives and technical feasibility
* Collaborate with engineering teams to translate business requirements into technical specifications
* Own end\-to\-end product lifecycle: ideation, development, testing, deployment, and maintenance
* Ensure compliance with financial regulations and security standards
* Conduct stakeholder meetings to gather requirements and communicate progress
* Drive API integration and backend system enhancements for financial platforms
* Monitor KPIs and product performance to inform future roadmap decisions
**Required Qualifications**
* 7\+ years of experience in Product Ownership or Business Analysis within Financial Services, Banking, or Wealth Management
* Strong understanding of financial products, payment systems, and regulatory frameworks
* Technical proficiency in:
* API design and integration
* Cloud platforms (AWS, Azure, or GCP)
* Agile/Scrum methodologies
* Excellent communication and stakeholder management skills
* Ability to write clear user stories and acceptance criteria
**Preferred Skills**
* Experience with digital banking platforms, wealth management tools, or trading systems
* Familiarity with data security, authentication protocols (OAuth2, JWT)
* Exposure to CI/CD pipelines, microservices architecture</t>
        </is>
      </c>
    </row>
    <row r="3">
      <c r="A3" t="inlineStr">
        <is>
          <t>li-4366764683</t>
        </is>
      </c>
      <c r="B3" t="inlineStr">
        <is>
          <t>Product Manager, AI Models</t>
        </is>
      </c>
      <c r="C3" t="inlineStr">
        <is>
          <t>Descript</t>
        </is>
      </c>
      <c r="D3" t="inlineStr">
        <is>
          <t>linkedin</t>
        </is>
      </c>
      <c r="E3">
        <f>HYPERLINK("https://www.linkedin.com/jobs/view/4366764683", "https://www.linkedin.com/jobs/view/4366764683")</f>
        <v/>
      </c>
      <c r="F3">
        <f>HYPERLINK("https://boards.greenhouse.io/descript/jobs/6576153003?gh_jid=6576153003&amp;urlHash=OkfN", "https://boards.greenhouse.io/descript/jobs/6576153003?gh_jid=6576153003&amp;urlHash=OkfN")</f>
        <v/>
      </c>
      <c r="G3" t="inlineStr">
        <is>
          <t>San Francisco, CA</t>
        </is>
      </c>
      <c r="H3" t="inlineStr"/>
      <c r="I3" t="inlineStr">
        <is>
          <t>Descript’s vision is to put video in every communicator’s toolkit. Back in the day you needed like six monitors and a bachelor’s degree to edit video. Descript lets you do it by editing docs \&amp; slides, and increasingly by just asking AI. In the future, maybe you won’t even need to ask! But building a new way to record or generate (or both!) videos that look \&amp; sound good comes with a series of unique design, technology, and business challenges. In other words, we need really good product managers.
 We’re looking for a Product Manager to help build the future of video editing with AI. You’ll work alongside a small, flat, highly collaborative team of experienced PMs, AI researchers, engineers, designers, and marketers. This is an opportunity to get hands\-on experience with cutting\-edge AI technology in a product users love and grow fast in your PM craft.
 We're looking for a Product Manager to lead the AI Research and Enablement roadmap at Descript. This role sits at the intersection of cutting\-edge AI research, production ML infrastructure, and product strategy. You'll be responsible for ensuring our AI capabilities are best\-in\-class while enabling our product teams to ship AI\-powered features that delight users.
 Teams You'll Partner with
 AI Research
 The AI Research team leverages, trains, and validates powerful models for our product use cases across two core areas:
* Audio/Video Research: Models for understanding, augmenting, and generating audio/video content (transcription, lipsync, video regenerate, TTS, avatars, etc.).
* LLM Research: Evaluating and optimizing LLMs for Descript products, co\-designing agent architecture, experimenting with token optimizations and fine\-tuning.
 AI Enablement
 The AI Enablement team supports integrating 1P and 3P models into the Descript product:
* Building and maintaining standardized 3P model integrations (LLM providers, generative model APIs).
* Productionizing 1P models for specific use\-cases.
* MLOps infrastructure (evals framework, inference infra, training infra, data pipelines).
 What You'll Do
 Strategic Prioritization
* Make build vs. buy decisions: Evaluate when to train our own models vs. integrate third\-party solutions based on market gaps, competitive advantage, and ROI
* Balance research investment: Allocate team resources between long\-term research bets, feature work, and maintenance
* Guide research direction: Use product insight to inform what the team trains and develops; use research understanding to guide product direction
 Evals \&amp; Quality
* Own the evals strategy: Design evaluation frameworks that are productionized and tied to real user needs, not just academic metrics
* Drive quality standards: Establish quality bars for 1P and 3P models before they ship to users
* Build feedback loops: Instrument data pipelines to continuously learn from user behavior and improve model performance
 Cross\-Functional Orchestration
* Partner with product teams: Advise on which models or architectures are best suited for specific features over time
* Enable fast iteration: Build infrastructure and processes that let product teams experiment with AI capabilities quickly
* Manage dependencies: Coordinate research timelines with product roadmaps and feature launches
 Cost \&amp; Infrastructure
* Optimize COGS: Make strategic decisions on model selection, caching strategies, and infrastructure to balance quality, latency, and cost
* Scale research infrastructure: Ensure the team has the DevEx, training infra, and tooling to move fast
 Why This Role is Exciting
* Impact: Your decisions will directly shape Descript's AI strategy and competitive positioning
* Scope: You'll own both research direction and production infrastructure — a rare combination
* Team: Work with world\-class researchers and engineers pushing the boundaries of AI for creativity
* Timing: Join at an inflection point as we scale from early AI features to building the world's best agentic video editor
* Learning: Constant exposure to cutting\-edge AI research and the challenge of productizing it
 The base salary range for this role is $171,000\-235,000/year. Final offer amounts will carefully consider multiple factors, including prior experience, expertise, and location, and they may vary from the amount above.
**About Descript**
 Descript is building a simple, intuitive, fully\-powered editing tool for video and audio — an editing tool built for the age of AI. We are a team of 150 and the backing of some of the world's greatest investors (OpenAI, Andreessen Horowitz, Redpoint Ventures, Spark Capital).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row>
    <row r="4">
      <c r="A4" t="inlineStr">
        <is>
          <t>li-4366486849</t>
        </is>
      </c>
      <c r="B4" t="inlineStr">
        <is>
          <t>Senior Product Manager</t>
        </is>
      </c>
      <c r="C4" t="inlineStr">
        <is>
          <t>Projectz AI</t>
        </is>
      </c>
      <c r="D4" t="inlineStr">
        <is>
          <t>linkedin</t>
        </is>
      </c>
      <c r="E4">
        <f>HYPERLINK("https://www.linkedin.com/jobs/view/4366486849", "https://www.linkedin.com/jobs/view/4366486849")</f>
        <v/>
      </c>
      <c r="F4" t="inlineStr"/>
      <c r="G4" t="inlineStr">
        <is>
          <t>Austin, TX</t>
        </is>
      </c>
      <c r="H4" t="inlineStr"/>
      <c r="I4" t="inlineStr">
        <is>
          <t>Senior Product Manager
**Location:** 
 Austin, TX or Remote (U.S. only)
**Type:** 
 Full\-time
**Stage:** 
 Early\-stage startup \| High ownership \| Fast execution
**Compensation:** 
 Milestone\-based salary \+ meaningful equity
 About Projectz AI
 Projectz AI is an AI\-native home design and project management platform that helps homeowners design spaces in seconds, organize every project detail, get instant pricing, and connect with trusted contractors—all in one place.
 The U.S. home renovation market exceeds
 **$500B annually** 
 , yet the experience remains fragmented and inefficient. We are building the unified platform homeowners wish existed.
 The Role
 We are looking for a
 **Product Manager** 
 to own key product experiences from discovery through delivery. You will work closely with the founder, engineering, and design teams to ship meaningful features quickly and iterate based on real user feedback.
 This is a
 **high\-ownership role** 
 on an early team where your decisions will directly shape the product and customer experience. You will evaluate existing user flows and customer journeys, expand on what works, and define new features that unlock the next major milestone toward
 **100K users** 
 .
 Responsibilities
 * Own product vision and strategy for core experiences across the platform
* Translate vision into clear Product Requirement Documents (PRDs) and user stories
* Align stakeholders across engineering, design, and go\-to\-market teams
* Prioritize roadmap decisions based on user impact and business outcomes
* Partner closely with engineering to scope, sequence, and ship features
* Define success metrics and ensure execution aligns with product goals
* Aligning Scrum execution by breaking features into well\-defined user stories.
 Qualifications
 * 0–7 years of product management experience (or equivalent experience)
* Proven experience defining product vision and strategy
* Strong ability to write clear PRDs and user stories
* Experience operating in a highly aligned, cross\-functional environment
* Comfort working in fast\-moving, ambiguous settings
* Data\-driven mindset with strong product judgment
 Nice to Have
 * Experience as an engineer or founder
* Experience integrating AI, ML, or data\-driven features
* Backend familiarity (APIs, auth, cloud services)
* Experience launching a product from zero to one
 Compensation \&amp; Incentives
 This role is structured to align incentives with execution and ownership.
* Milestone\-based compensation
* Meaningful equity appropriate for a Senior Product Mananger
* Clear path to full\-time salary as the company scales
 Location
 * Austin, TX preferred
* Remote within the United States
 Work Authorization
 To comply with U.S. employment law, Projectz AI does not provide visa sponsorship at this time. Candidates must already be authorized to work in the United States without employer sponsorship.
 Growth Path
 This role is expected to evolve as the company scales:
**Senior Product Manager → Principle Product Manager → Director → VP** 
 Why Join Projectz AI
 * True founding\-level ownership
* Build and ship a real product quickly
* Direct influence on product and company direction
* No bureaucracy, no red tape—just execution
* Opportunity to help define a category\-defining platform
* We value simple solutions, fast iteration, and shipping over over\-engineering
 How to Apply
 Apply directly through LinkedIn using the
 **“Apply”** 
 button on this posting.
 🌐 https://projectzai.com/</t>
        </is>
      </c>
    </row>
    <row r="5">
      <c r="A5" t="inlineStr">
        <is>
          <t>li-4366775205</t>
        </is>
      </c>
      <c r="B5" t="inlineStr">
        <is>
          <t>Product Owner</t>
        </is>
      </c>
      <c r="C5" t="inlineStr">
        <is>
          <t>Woods Creative</t>
        </is>
      </c>
      <c r="D5" t="inlineStr">
        <is>
          <t>linkedin</t>
        </is>
      </c>
      <c r="E5">
        <f>HYPERLINK("https://www.linkedin.com/jobs/view/4366775205", "https://www.linkedin.com/jobs/view/4366775205")</f>
        <v/>
      </c>
      <c r="F5" t="inlineStr"/>
      <c r="G5" t="inlineStr">
        <is>
          <t>Portland, ME</t>
        </is>
      </c>
      <c r="H5" t="inlineStr"/>
      <c r="I5" t="inlineStr">
        <is>
          <t>**🌲 Full Job Description and Application Instructions** 
 →
**https://tinyurl.com/2drtt32h** 
 🌲
 Role \| Product Owner (Senior) — Digital News Experience (Part\-Time)
 Location \| Remote / Hybrid Type \| Part\-time; flexible / estimated 16–24 hours Reports to \| Executive Experience Director / Executive Design Director
 Estimated Timeline \| 6 Months, with high potential to extend
**Position Overview** 
 Woods Creative is seeking a senior\-level, part\-time Product Owner to guide the strategy and ongoing evolution of our clients’ digital news platforms. This role is ideal for an experienced product leader who brings clarity to complex systems, confidence to client relationships, and rigor to user\-centered decision\-making.
 You will serve as the strategic product lead across active, living sites—partnering closely with clients, editorial stakeholders, and internal design and development teams to ensure digital experiences are purposeful, usable, and sustainable over time.
 This position sits at the intersection of client partnership, UX strategy, and product execution, with a strong emphasis on thoughtful prioritization and long\-term impact rather than volume or velocity alone.
**🌲 Full Job Description and Application Instructions → https://tinyurl.com/2drtt32h 🌲**</t>
        </is>
      </c>
    </row>
    <row r="6">
      <c r="A6" t="inlineStr">
        <is>
          <t>li-4366764622</t>
        </is>
      </c>
      <c r="B6" t="inlineStr">
        <is>
          <t>Product Manager</t>
        </is>
      </c>
      <c r="C6" t="inlineStr">
        <is>
          <t>Health In Tech</t>
        </is>
      </c>
      <c r="D6" t="inlineStr">
        <is>
          <t>linkedin</t>
        </is>
      </c>
      <c r="E6">
        <f>HYPERLINK("https://www.linkedin.com/jobs/view/4366764622", "https://www.linkedin.com/jobs/view/4366764622")</f>
        <v/>
      </c>
      <c r="F6" t="inlineStr"/>
      <c r="G6" t="inlineStr"/>
      <c r="H6" t="inlineStr"/>
      <c r="I6" t="inlineStr">
        <is>
          <t>**About the Role** 
 The Product Manager (PM) is responsible for owning specific product areas within Health In Tech’s AI\-enabled InsurTech platform and driving those products from concept through launch and continuous improvement. This role focuses on solving real customer problems for brokers, employers, TPAs, and carrier partners while delivering measurable business outcomes such as increased adoption, faster workflows, and revenue growth.
**Responsibilities** 
**Product Ownership \&amp; Roadmap** 
* Own defined product areas such as:
* Broker quoting and onboarding workflows
* AI underwriting and decision support tools
* Plan configuration and pricing features
* Claims workflows and visibility
* TPA, carrier, and partner integrations
* Reporting dashboards and analytics
* Contribute to product roadmap development and maintain clear priorities aligned with business goals.
* Translate strategy into well\-defined initiatives, epics, and features.
**Customer \&amp; Market Understanding** 
* Develop deep understanding of broker, employer, and partner workflows.
* Gather feedback through customer interviews, demos, support tickets, and usage data.
* Monitor competitors and industry trends to inform product decisions.
* Advocate for the customer while balancing business and operational needs.
**Execution \&amp; Delivery** 
* Write clear product requirements (PRDs, user stories, acceptance criteria).
* Maintain and prioritize the product backlog.
* Partner daily with engineering and design teams to ensure timely delivery.
* Participate actively in Agile ceremonies (sprint planning, standups, reviews, retrospectives).
* Ensure launched features meet quality standards and deliver expected outcomes.
**Business Impact \&amp; Metrics** 
* Define and track product success metrics (e.g., adoption, conversion, cycle time, retention).
* Analyze performance data and use insights to drive continuous improvement.
* Support reporting of business results through dashboards and analytics tools.
* Clearly communicate product impact to leadership and stakeholders.
**Cross\-Functional Collaboration** 
* Work closely with Sales and Growth teams to support go\-to\-market initiatives.
* Partner with Operations and Compliance to ensure products meet regulatory and operational requirements.
* Collaborate with Customer Success and Support to address real\-world usage issues.
* Serve as the central point of coordination for assigned product initiatives.
**Qualifications** 
**Required** 
* 3–7 years of experience in product management or related roles.
* Experience working on technology products in SaaS, fintech, insurtech, healthtech, or regulated environments.
* Professional/work experience with multiple AI tools (with emphasis on Replit, Lovable, v0\.dev, Cursor, and/or other similar AI tools)
* Demonstrated experience launching features or products in a real\-world production environment.
* Strong understanding of Agile methodologies (Scrum, Kanban) and hands\-on experience working with engineering teams.
* Ability to write clear product requirements and translate business needs into technical deliverables.
* Strong analytical skills with the ability to interpret data and make informed decisions.
* Excellent communication and collaboration skills.
**Preferred** 
* Experience in insurance, healthcare benefits, claims systems, or underwriting platforms.
* Familiarity with APIs, data integrations, and platform products.
* Experience working with AI\-driven or data\-driven products.
* Experience with tools such as Jira, Confluence, Figma, analytics platforms, or BI dashboards.
**Equal Opportunity Statement** 
 Health In Tech is committed to diversity and inclusivity in the workplace. We encourage applications from individuals of all backgrounds and experiences.</t>
        </is>
      </c>
    </row>
    <row r="7">
      <c r="A7" t="inlineStr">
        <is>
          <t>li-4366519938</t>
        </is>
      </c>
      <c r="B7" t="inlineStr">
        <is>
          <t>Senior Product Manager</t>
        </is>
      </c>
      <c r="C7" t="inlineStr">
        <is>
          <t>Backstage</t>
        </is>
      </c>
      <c r="D7" t="inlineStr">
        <is>
          <t>linkedin</t>
        </is>
      </c>
      <c r="E7">
        <f>HYPERLINK("https://www.linkedin.com/jobs/view/4366519938", "https://www.linkedin.com/jobs/view/4366519938")</f>
        <v/>
      </c>
      <c r="F7" t="inlineStr"/>
      <c r="G7" t="inlineStr">
        <is>
          <t>New York, United States</t>
        </is>
      </c>
      <c r="H7" t="inlineStr"/>
      <c r="I7" t="inlineStr">
        <is>
          <t>FilmFreeway is seeking a Senior Product Manager with a background in building new products to join our team. FilmFreeway has several new opportunities to create products for Filmmakers on our platform and this role will drive the creation of those new products from idea to launch.
 You will be working with members of our engineering, design, data, marketing and operating teams to define, plan, build, launch, and operationalize new products. You will be essential in establishing priorities, project managing, communicating across teams, and updating leadership on our progress with new initiatives.
 The Senior Product Manager reports to the General Manager of FilmFreeway
**What You’ll Do:** 
* Help better define and clarify our opportunities for new products. How they will help our customers and how they will help the business.
* Explain the vision and goals for new products to both leadership and development teams.
* Work closely with engineering, design, and data teams to plan timelines, necessary pre\-work, and overall launch.
* Manage timelines for new projects and drive execution against those timelines.
* Build out backlogs, manage two week sprints \+ related meetings, and maintain consistent team velocity.
* Work with our data team on measurement plans for new initiatives.
* Define KPIs to monitor for new products to measure health and growth
* Iterate and improve new products after launch based on measurement and A/B testing.
* Work with existing product and customer service teams to ensure that new products are well integrated into our overall product.
* Serve as the point person for all communication related to your teams and projects, both within the technology team and to the rest of the business
* Build relationships with teams and individuals of varying levels across the company and potentially externally
* Work with external consultants, vendors, and stakeholders as necessary to ensure project success.
**What we’re looking for from you:** 
* 6\+ years in a Product Management role, with strong technical acumen (engineering, design, or business intelligence background a plus!)
* Experience expanding existing products with large new features or entirely new products.
* Experience with market landscaping and competitor analysis
* Experience working with a mix of fulltime \+ consulting engineering teams.
* Skills to work with teams split across multiple timezones and strong opinions on what works and what doesn’t with remote teams.
* Intermediary or better proficiency with SQL is a bonus.
* Experience with two sided marketplaces
* Exceptional written and verbal communication skills that can be tailored to suit a variety of individual personalities and levels of seniority
* Excellent stakeholder management skills, including driving consensus and alignment
* Familiarity with multiple software development methodologies, such as Scrum and Kanban, and the ability to find the right process and tools for the situation on a case\-by\-case basis
* Bachelor's degree in Computer Science, Information Technology, related field, or equivalent industry experience
* Experience with project and task management software (bonus points for Jira)
**Special Work Conditions** 
* Sedentary – Involves sitting most of the time but may involve walking or standing for brief periods of time. Some positions may entail exerting up to 15 lbs. of force occasionally and/or a negligible amount of force to lift, carry, push, or pull.</t>
        </is>
      </c>
    </row>
    <row r="8">
      <c r="A8" t="inlineStr">
        <is>
          <t>li-4366529533</t>
        </is>
      </c>
      <c r="B8" t="inlineStr">
        <is>
          <t>Senior Product Manager</t>
        </is>
      </c>
      <c r="C8" t="inlineStr">
        <is>
          <t>Backstage</t>
        </is>
      </c>
      <c r="D8" t="inlineStr">
        <is>
          <t>linkedin</t>
        </is>
      </c>
      <c r="E8">
        <f>HYPERLINK("https://www.linkedin.com/jobs/view/4366529533", "https://www.linkedin.com/jobs/view/4366529533")</f>
        <v/>
      </c>
      <c r="F8" t="inlineStr"/>
      <c r="G8" t="inlineStr">
        <is>
          <t>New York, United States</t>
        </is>
      </c>
      <c r="H8" t="inlineStr"/>
      <c r="I8" t="inlineStr">
        <is>
          <t>At Backstage (www.backstage.com), we’re focused on providing the best career platform to match talent like performing artists, crew, content creators with talent seekers in film, social, television, commercials, branded content, theater, and more worldwide.
 Backstage.com seeks a strategic Senior Product Manager with a strong background in product research and execution to join our team. We are looking for someone who has worked hands' on with eCommerce brands or marketplaces on the conversion and growth side of the business. You will be working with members of our engineering, design, data, marketing and operating teams to help drive product ideas, roadmaps and ultimately giving our customers a world class funnel experience.
 We are considering hybrid candidates in the New York area. We believe in collaboration and fun and we get into the office a couple of times in the month to be in\-person with our co\-workers.
 If working together to take a product successfully through its development life\-cycle and into the customer's hands excites you, keep reading!
**What you’ll be doing:** 
* Optimize for core conversion product metrics with existing and new funnel work including feature adoption, utilization and repeat usage.
* Own key funnel metrics (e.g., sign‑up rate, activation, free‑to‑paid, checkout completion, retention, expansion) and be accountable for moving them. Measure and report project success using our existing tooling, such as Amplitude, Looker, Google Analytics and others.
* Work closely with senior management to define and maintain the roadmap, product vision and strategy for the funnel: how users move from awareness to engaged, paying, and returning customers
* Lead the development of new and improved features that make the product more valuable, intuitive, and differentiated for users
* Design and run A/B and multivariate tests on flows. Prioritize based on hypotheses and convictions and systematically iterate on winning tests and learn from failed ones.
* Use qualitative research and customer feedback to understand why users drop off at each funnel stage, not just where.
* Monitor competitor funnels, industry benchmarks, and growth best practices to find new tactics and opportunities.
* Guide the Engineering, Data and DevOps teams through the full software development lifecycle from concept to launch, including estimation, dependency management, timeline creation, documentation, and blocker removal
* Serve as the point person for all communication related to your teams and projects, both within the technology team and to the rest of the business
* Be in the weeds on a project while also maintaining a high\-level view of all projects impacting your teams
**Requirements:** 
* 5\-7\+ years in a Product Management role, with at least some part of it optimizing funnels. Strong technical acumen with engineering, design, or business intelligence background a plus!
* Proven experience with qualitative and quantitative research methods and methodologies
* Experience with market landscaping and competitor analysis
* Intermediary or better proficiency with SQL
* Exceptional written and verbal communication skills that can be tailored to suit a variety of individual personalities and levels of seniority
* Excellent stakeholder management skills, including driving consensus and alignment
* Familiarity with multiple software development methodologies, such as Scrum and Kanban, and the ability to find the right process and tools for the situation on a case\-by\-case basis
* Bachelor's degree in Computer Science, Information Technology, related field, or equivalent industry experience
* Experience with project and task management software (bonus points for Jira)
**Benefits:** 
* Collaborative work environment where you’ll learn about and influence every aspect of the business
* Comprehensive medical, dental, and vision insurance
* The opportunity to work with talented leaders in their disciplines
* A company that works with you to learn, grow, and excel in your career
**Special Work Conditions** 
* Sedentary – Involves sitting most of the time but may involve walking or standing for brief periods of time. Some positions may entail exerting up to 15 lbs. of force occasionally and/or a negligible amount of force to lift, carry, push, or pull.</t>
        </is>
      </c>
    </row>
    <row r="9">
      <c r="A9" t="inlineStr">
        <is>
          <t>li-4342323199</t>
        </is>
      </c>
      <c r="B9" t="inlineStr">
        <is>
          <t>Lead Product Manager</t>
        </is>
      </c>
      <c r="C9" t="inlineStr">
        <is>
          <t>DealRoom</t>
        </is>
      </c>
      <c r="D9" t="inlineStr">
        <is>
          <t>linkedin</t>
        </is>
      </c>
      <c r="E9">
        <f>HYPERLINK("https://www.linkedin.com/jobs/view/4342323199", "https://www.linkedin.com/jobs/view/4342323199")</f>
        <v/>
      </c>
      <c r="F9">
        <f>HYPERLINK("https://jobs.ashbyhq.com/DealRoom%20Inc/814645f8-945c-4677-887e-86907b86aa80?src=LinkedIn&amp;urlHash=0vKO", "https://jobs.ashbyhq.com/DealRoom%20Inc/814645f8-945c-4677-887e-86907b86aa80?src=LinkedIn&amp;urlHash=0vKO")</f>
        <v/>
      </c>
      <c r="G9" t="inlineStr">
        <is>
          <t>Boston, MA</t>
        </is>
      </c>
      <c r="H9" t="inlineStr"/>
      <c r="I9" t="inlineStr">
        <is>
          <t>**Job Title:** 
 Lead Product Manager
 **‍**
**Position Type:** 
 Full\-time
 **‍**
**Location:** 
 Boston\-Based Hybrid (T, W, T In Office / M \&amp; F WFH)
**Work Authorization Requirement:** 
 Applicants must be authorized to work in the United States without the need for current or future visa sponsorship.
**General Job Description**
*DealRoom is seeking a Lead Product Manager to own a critical product domain and drive measurable business impact. Reporting to the VP of Product, you'll discover and solve customer problems, ship products that customers love, and partner closely with Engineering and Design to turn customer insights into elegant solutions. You'll balance strategic thinking with hands\-on execution. Driving outcomes, not just outputs.*
*At DealRoom, PMs are builders who champion customer\-centricity. You'll spend significant time with customers, synthesize insights into clear product direction, and work alongside Engineering and Design to ship complete experiences. Your impact shows up in wins for customers and outcomes for DealRoom.*
**About Us**
 We are on a mission to disrupt M\&amp;A for good. Our software transforms how teams execute M\&amp;A and eliminates friction in the deal process, helping Corporate Development teams move faster and smarter. We’re a fast\-growing, multi\-product SaaS company —primarily focused on selling to financially oriented leaders in corp dev, strategy, and finance.
**Core Responsibilities**
* Partner with Engineering \&amp; Design to learn directly from customers \&amp; iterate quickly
* Lead initiatives from discovery through delivery, keeping momentum through obstacles.
* Own a critical product area, shipping products that improve how customers work and drive business results.
* Shape 1\-2 year strategy for your area, making bold calls on priorities and build/buy/partner decisions.
* Bring customer voice to leadership through compelling stories and data.
* Show exceptional product sense by shipping intuitive experiences and knowing when to simplify or sunset features.
* Spot market shifts early through customer insight and identify opportunities in AI and automation.
* Drive revenue impact by understanding buyer needs and evaluating investments with financial modeling.
* Identify patterns across customer segments to spot early signals of success and churn.
* Build support for your team's work, influencing leadership and stakeholders through customer insights.
**Benefits \&amp; Culture**
* Competitive benefits including 401(k)\+matching, Healthcare, Dental, and Vision plans, with 100% individual / 60% family insurance coverage
* Participation in company equity plan
* Unlimited PTO
* Annual AI Stipend
* Boston\-based hybrid model (T\-Th In Office / M \&amp; F WFH)
* Monthly Commute Stipend
* DealRoom is committed to providing all team members a truly unique experience with the opportunity for involvement in all dimensions of running and growing our business.
* Opportunity to work in a fast\-moving, high\-growth SaaS company</t>
        </is>
      </c>
    </row>
    <row r="10">
      <c r="A10" t="inlineStr">
        <is>
          <t>li-4365881101</t>
        </is>
      </c>
      <c r="B10" t="inlineStr">
        <is>
          <t>Sr Product Manager</t>
        </is>
      </c>
      <c r="C10" t="inlineStr">
        <is>
          <t>Stratasys</t>
        </is>
      </c>
      <c r="D10" t="inlineStr">
        <is>
          <t>linkedin</t>
        </is>
      </c>
      <c r="E10">
        <f>HYPERLINK("https://www.linkedin.com/jobs/view/4365881101", "https://www.linkedin.com/jobs/view/4365881101")</f>
        <v/>
      </c>
      <c r="F10" t="inlineStr"/>
      <c r="G10" t="inlineStr">
        <is>
          <t>Eden Prairie, MN</t>
        </is>
      </c>
      <c r="H10" t="inlineStr"/>
      <c r="I10" t="inlineStr">
        <is>
          <t>**Stratasys is a world leader in 3D printing!** 
**Stratasys** 
 is leading the global shift to additive manufacturing with innovative 3D printing solutions for industries such as aerospace, automotive, consumer products and healthcare. Through smart and connected 3D printers, polymer materials, a software ecosystem, and parts on demand, Stratasys solutions deliver competitive advantages at every stage in the product value chain. The world’s leading organizations turn to Stratasys to transform product design, bring agility to manufacturing and supply chains, and improve patient care.
 The
 **Sr. Product Manager** 
 leads the strategy, roadmap, and lifecycle of key additive manufacturing products and platforms. This role is responsible for identifying market needs, defining product requirements, and delivering successful product launches in collaboration with engineering, marketing, sales, and support teams. The Sr. Product Manager acts as the voice of the customer and the business, driving innovation and execution to meet revenue, margin, and customer satisfaction goals.
**What You Will Be Doing** 
* NPI Efforts (PLCM): Drive new product introduction by leading market research (sizing, VOC, positioning), business case development, PRD/MRD creation, gate reviews, beta programs, pricing boards, initial forecasts, naming conventions, IP reviews, and end\-of\-life management. Manage part numbers, Salesforce/Customer Hub updates, vendor reviews, and packaging/material requalification
* Marketing \&amp; Go\-to\-Market Support (Product Launch Process ): Collaborate with application engineering, marketing and sales on positioning, promotions, branding, webinars, tradeshows, campaigns, videos, whitepapers, and asset creation. Develop product essentials documentation and lead creation of launch sales kits to support effective go\-to\-market enablement
* Support cross\-functional product development from concept through launch and lifecycle. Partner with Application Engineering, project management, R\&amp;D, customer support, operations, sourcing, legal, and quality to ensure successful execution. Support training for sales enablement, create collateral, and manage Monday.com tracking.
* Help define and own your product line, aligning with company strategy, market opportunities, and technology development. Includes roadmap creation, portfolio management, and packaging strategy for different products.
* Forecasting \&amp; Business Insights: Participate in S\&amp;OP and sales forecasting. Monitor Salesforce and
* other systems for materials, systems, and product performance. Lead price adjustments and propose promotions based on business performance data analysis.
* Continuous Engineering \&amp; Product Improvement: Collaborate with R\&amp;D and Operations to drive product enhancements, manage end\-of\-life initiatives, and support processes. Oversee material testing, certifications, and cost\-reduction projects. Lead pricing evaluations while ensuring consistent product quality through ongoing reviews.
* Sales \&amp; Customer Support: Act as product SME for sales and customers and NPI launch projects. Support sales meetings, facility tours, customer presentations, escalations, and service agreements. Provide collateral and updates when needed.
**Must Have For This Role** 
* 5\+ years’ experience in product management in B2B engineering, technolory or industrial.
* Bachelor’s in engineering, marketing, or a related discipline.
* 3\+ years of experience with an advance degree or PhD without equivalent work experience
* 3\+ Years’ leading projects through stage gate processes.
* 3\+ Years experience working on complex VoC activities to gather, test, and synthesize conclusions on customer needs.
* 3\+years’ experience market sizing, financial analysis, competitive analysis, product positioning, pricing, promotion, and similar product management responsibilities
**Nice To Have** 
* Prior work on commercializing products requiring complex combinations of disciplines, including mechanical, electrical, SW, and materials engineering.
* Previous experience using 3D printers.
* Accreditations from Product Management or Project Management organization
* Experience with highly regulated products or services.
 Travel required: 25%
 For this position, the typical annual starting base salary is from $110,000\-$140,000 base salary, which does not include variable incentive pay. This range represents a good faith estimate for this position. Your individual base pay will depend on your skills, qualifications, geographical location, and/or experiences.
 base salary, which does not include variable incentive pay. This range represents a good faith estimate for this position. Your individual base pay will depend on your skills, qualifications, geographical location, and/or experiences.
**What You Will Be Part Of** 
* Company Overview \- https://www.stratasys.com/en/about\-us/history/
* Our Culture and Values \- https://www.stratasys.com/en/about\-us/culture/
* Our Sustainability “3D Printing a Better Tomorrow” \- https://www.stratasys.com/en/about\-us/sustainability/
* Our Locations \- https://www.stratasys.com/en/contact\-us/office\-locations/
* Check out our Video \- https://www.youtube.com/watch?v\=6wmDfmt2bNI
 To perform this job successfully, an individual must be able to perform each essential duty satisfactorily. Stratasys will provide reasonable accommodations for qualified individuals with disabilities. In compliance with federal law, all persons hired will be required to verify identity and eligibility to work in the United States and to complete the required employment eligibility verification form upon hire.
 Stratasys is an Equal Opportunity Employer. All qualified applicants will receive consideration for employment without regard to their protected Veteran or disabled status and will not be discriminated against for their race, color, religion, sex, age, disability, military status, or national origin or any other characteristic protected under federal, state, or applicable local law. Please view Equal Employment Opportunity Posters provided by OFCCP here</t>
        </is>
      </c>
    </row>
    <row r="11">
      <c r="A11" t="inlineStr">
        <is>
          <t>li-4366767498</t>
        </is>
      </c>
      <c r="B11" t="inlineStr">
        <is>
          <t>Product Owner</t>
        </is>
      </c>
      <c r="C11" t="inlineStr">
        <is>
          <t>Pentangle Tech Services | P5 Group</t>
        </is>
      </c>
      <c r="D11" t="inlineStr">
        <is>
          <t>linkedin</t>
        </is>
      </c>
      <c r="E11">
        <f>HYPERLINK("https://www.linkedin.com/jobs/view/4366767498", "https://www.linkedin.com/jobs/view/4366767498")</f>
        <v/>
      </c>
      <c r="F11" t="inlineStr"/>
      <c r="G11" t="inlineStr">
        <is>
          <t>Portland, Oregon Metropolitan Area</t>
        </is>
      </c>
      <c r="H11" t="inlineStr"/>
      <c r="I11" t="inlineStr">
        <is>
          <t>* **Keywords:
 Automation Framework, Virtualized Android, Linux/QNX, Qualcomm SOM, IFE Systems** 
**(all these are must to have)**
* **Job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
* **Key Responsibilities**
* Product Leadership \&amp; Strategy
* Own the vision, roadmap, and backlog for the Automation Framework for virtualized Android\- and Linux\-based IFE systems.
* Prioritize automation features and capabilities based on business value, technical feasibility, team capacity, and program timelines.
* Define KPIs for automation coverage, stability, efficiency, and adoption across multiple platform teams.
* Guide the team on automation needs for:
* Virtualized Android environments
* Linux and QNX subsystems
* Qualcomm SOM\-based hardware
* IFE system integration and certification workflows
* 
* Stakeholder Management
* Serve as the primary liaison between automation engineering and product/program stakeholders across PAC.
* Gather requirements from system verification, platform SW teams, airline program teams, and integration labs.
* Communicate roadmap, progress, risks, and dependencies with clarity and frequency.</t>
        </is>
      </c>
    </row>
    <row r="12">
      <c r="A12" t="inlineStr">
        <is>
          <t>li-4356531205</t>
        </is>
      </c>
      <c r="B12" t="inlineStr">
        <is>
          <t>TECHNICAL PRODUCT OWNER</t>
        </is>
      </c>
      <c r="C12" t="inlineStr">
        <is>
          <t>TALENT Software Services</t>
        </is>
      </c>
      <c r="D12" t="inlineStr">
        <is>
          <t>linkedin</t>
        </is>
      </c>
      <c r="E12">
        <f>HYPERLINK("https://www.linkedin.com/jobs/view/4356531205", "https://www.linkedin.com/jobs/view/4356531205")</f>
        <v/>
      </c>
      <c r="F12" t="inlineStr"/>
      <c r="G12" t="inlineStr">
        <is>
          <t>Minnesota, United States</t>
        </is>
      </c>
      <c r="H12" t="inlineStr"/>
      <c r="I12" t="inlineStr">
        <is>
          <t>**Scope of Work for Product Owner**
 The Product Owner (PO) will serve as the single voice of the business to the Scrum team, ensuring alignment between business objectives and technical delivery. This role is critical for maximizing product value and driving successful outcomes in an Agile environment.
**Key Responsibilities:**
**Product Vision \&amp; Roadmap**
* Define and maintain a clear product vision aligned with organizational goals.
* Develop and adapt product roadmap and release plans based on stakeholder input and market trends.
**Backlog Management**
* Own and prioritize the product backlog to maximize business value.
* Write and refine user stories and acceptance criteria.
* Ensure backlog items are ready for sprint planning and meet quality standards.
**Stakeholder Engagement**
* Act as the liaison between business stakeholders and development teams.
* Gather requirements, communicate updates, and integrate feedback into backlog decisions.
**Sprint Participation**
* Attend key Scrum ceremonies (Sprint Planning, Reviews, Backlog Refinement).
* Provide clarification on requirements and approve completed work.
**Decision\-Making \&amp; ROI**
* Make empowered decisions on priorities and scope.
* Ensure deliverables meet business needs and contribute to ROI.
**Experience Overview for Contract Product Owner**
 Ideal candidates should demonstrate a blend of strategic thinking, technical understanding, and stakeholder management skills. The following experience areas are essential:
**Core Competencies:**
* Proven ability to define product vision and translate it into actionable roadmaps.
* Expertise in Agile/Scrum frameworks, including backlog grooming and sprint planning.
* Strong communication skills for engaging diverse stakeholders and development teams.
**Technical \&amp; Business Acumen:**
* Familiarity with software development processes and ability to balance technical constraints with business priorities.
* Experience in writing user stories, acceptance criteria, and managing evolving requirements.
**Leadership \&amp; Collaboration:**
* Ability to act as the voice of the customer, ensuring product decisions reflect user needs and market trends.
* Skilled in facilitating workshops, managing competing priorities, and driving consensus among stakeholders.
**Preferred Background:**
* Previous experience in contract or consulting roles as a Product Owner or similar positions.
* Certifications such as Certified Scrum Product Owner (CSPO) or equivalent are highly desirable.
**Domain\-Specific Experience (nice to have):**
* Digital Laboratory Products: Understanding of workflows, compliance, and integration with lab systems.
* Logistics \&amp; Order\-to\-Results: Experience managing processes from order initiation through fulfillment and reporting.
* Data \&amp; Analytics: Ability to leverage data for decision\-making and product optimization.
* Vendor Management: Skilled in coordinating with external partners and managing service\-level agreements.
* Billing Processes: Knowledge of billing systems and financial workflows related to product delivery.
**Preferred Skills \&amp; Experience:**
 Experience in Healthcare.
 Certification in Scrum Product Owner
 Healthcare and EPIC API expertise.
**Required Education:** 
 Bachelor's Degree (business, Computer Science, engineering, technology, health care) AND 3\+ years of relevant technical experience OR 7\+ years of relevant technical experience.</t>
        </is>
      </c>
    </row>
    <row r="13">
      <c r="A13" t="inlineStr">
        <is>
          <t>li-4256722823</t>
        </is>
      </c>
      <c r="B13" t="inlineStr">
        <is>
          <t>Product Manager (Reload)</t>
        </is>
      </c>
      <c r="C13" t="inlineStr">
        <is>
          <t>Epic Games</t>
        </is>
      </c>
      <c r="D13" t="inlineStr">
        <is>
          <t>linkedin</t>
        </is>
      </c>
      <c r="E13">
        <f>HYPERLINK("https://www.linkedin.com/jobs/view/4256722823", "https://www.linkedin.com/jobs/view/4256722823")</f>
        <v/>
      </c>
      <c r="F13">
        <f>HYPERLINK("https://epicgames.com/careers/jobs/5543310004?gh_jid=5543310004&amp;gh_src=32b5d0474us&amp;urlHash=0d9X", "https://epicgames.com/careers/jobs/5543310004?gh_jid=5543310004&amp;gh_src=32b5d0474us&amp;urlHash=0d9X")</f>
        <v/>
      </c>
      <c r="G13" t="inlineStr">
        <is>
          <t>Cary, NC</t>
        </is>
      </c>
      <c r="H13" t="inlineStr"/>
      <c r="I13" t="inlineStr">
        <is>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PRODUCT MANAGEMENT
**What We Do**
 Product Management partners with game development, publishing, marketing, and platform teams to provide a data and market\-driven view of product strategy that aligns with business goals. As part of Epic’s Growth Team, we use our product expertise to identify and drive growth levers to grow our player base and business.
**What You'll Do**
 We are looking for a Product Manager to support Fortnite Battle Royale \&amp; Reload. You will use both creative and analytical skills to identify opportunities, define product strategy, support roadmap development, execute live operations, and contribute to strategic planning. You are responsible for driving better experience through disciplined analytics and experimentation.
**In this role, you will**
* Plan, execute, and measure impact from new growth initiatives, supporting go\-to\-market for launch and subsequent major content beats for Fortnite Battle Royale \&amp; Reload
* Partner closely with internal stakeholders and development teams to prioritize, plan, and implement the product roadmap
* Drive product improvements by providing product and market insights in partnership with analytics and user research
* Contribute to product reviews and long\-term business planning and forecasting; support reporting efforts shared with the senior leadership
* Manage partnerships with cross\-functional teams, such as partnerships, legal, finance, and production
* Define measurable features and initiative goals, as well as create detailed business and product requirements that are used to guide design and technical specifications
**What We're Looking For**
* 3\+ years of experience in product management, strategy, analytics, or similar roles
* A passion for games (Shooter \&amp; Battle Royale genre) and a deep understanding of growth, engagement, and retention principles and mechanics
* Experience analyzing large data sets to identify actionable insights; Excel, SQL, and Tableau proficiency are required
* Demonstrated ability to contribute in a fast\-paced, collaborative team environment
* Experience in designing and implementing tests in a live environment
* Outstanding written and oral communication skills
* A business, quantitative, technical, or design degree is a plus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14">
      <c r="A14" t="inlineStr">
        <is>
          <t>li-4366766841</t>
        </is>
      </c>
      <c r="B14" t="inlineStr">
        <is>
          <t>Senior Product Owner</t>
        </is>
      </c>
      <c r="C14" t="inlineStr">
        <is>
          <t>Incedo Inc.</t>
        </is>
      </c>
      <c r="D14" t="inlineStr">
        <is>
          <t>linkedin</t>
        </is>
      </c>
      <c r="E14">
        <f>HYPERLINK("https://www.linkedin.com/jobs/view/4366766841", "https://www.linkedin.com/jobs/view/4366766841")</f>
        <v/>
      </c>
      <c r="F14" t="inlineStr"/>
      <c r="G14" t="inlineStr">
        <is>
          <t>Fort Mill, SC</t>
        </is>
      </c>
      <c r="H14" t="inlineStr"/>
      <c r="I14" t="inlineStr">
        <is>
          <t>***Role: Sr. Product Owner/ Sr Business Analyst/ Sr Product Manager***
***Location: Fort Mill SC***
***Experience: 10\+ Years***
**Job Summary:**
 We are seeking a skilled and strategic
 **Tech Product Owner** 
 with a strong background in
 **Wealth Management (WM)** 
 and
 **Data** 
 to drive the design, development, and delivery of data\-driven solutions. This individual will act as the bridge between business stakeholders, data engineers, and technology teams to develop innovative data products that enhance client experience, portfolio performance insights, compliance, and advisor effectiveness.
**Key Responsibilities:**
**Product Ownership \&amp; Strategy**
* Define and own the product vision and roadmap for WM Data Products (e.g., client 360, investment analytics, advisor dashboards, financial planning tools).
* Translate business requirements into user stories with clear acceptance criteria.
* Prioritize and manage product backlogs in line with business goals and regulatory requirements.
* Collaborate with cross\-functional teams including Wealth Management advisors, data engineers, UX designers, and compliance.
**Data Product Delivery**
* Partner with data architects and engineers to design scalable, reliable data products leveraging structured and unstructured data.
* Define data contracts and data quality requirements for Wealth Management use cases.
* Ensure alignment of data products with regulatory and risk frameworks (e.g., KYC, AML, fiduciary rules).
* Monitor product performance and adoption; refine features based on feedback and usage data.
**Stakeholder Collaboration**
* Act as the voice of the customer (internal advisors, end\-clients, compliance teams) throughout the product lifecycle.
* Conduct regular product reviews and demos with stakeholders.
* Manage expectations and communicate progress, risks, and dependencies transparently.
**Qualifications:**
**Must\-Have:**
* 10\+ years of experience as a Product Owner or Product Manager, with at least 3\-5 years in Wealth Management.
* Strong understanding of Wealth Management products: portfolio management, client onboarding, investment advisory, performance reporting.
* Experience working on or building data\-driven products: data lakes, data marts, analytics platforms, reporting tools.
* Proven track record of working in Agile environments (Scrum, SAFe).
**Required:**
* Experience with cloud data platforms (e.g., AWS).
* Knowledge of data governance, privacy, and financial compliance (e.g., SEC, FINRA, GDPR).
* Coding of SQL , data modeling experience.
**Education:** 
* Bachelor's degree in Business, Finance, Computer Science, or related field. MBA or related advanced degree preferred.
***Regards,***
***Manvendra Singh***
 manvendra.singh1@incedoinc.com
 Direct: 551\-290\-7837</t>
        </is>
      </c>
    </row>
    <row r="15">
      <c r="A15" t="inlineStr">
        <is>
          <t>li-4366915986</t>
        </is>
      </c>
      <c r="B15" t="inlineStr">
        <is>
          <t>Senior Product Manager</t>
        </is>
      </c>
      <c r="C15" t="inlineStr">
        <is>
          <t>Macy's</t>
        </is>
      </c>
      <c r="D15" t="inlineStr">
        <is>
          <t>linkedin</t>
        </is>
      </c>
      <c r="E15">
        <f>HYPERLINK("https://www.linkedin.com/jobs/view/4366915986", "https://www.linkedin.com/jobs/view/4366915986")</f>
        <v/>
      </c>
      <c r="F15" t="inlineStr"/>
      <c r="G15" t="inlineStr">
        <is>
          <t>Atlanta, GA</t>
        </is>
      </c>
      <c r="H15" t="inlineStr"/>
      <c r="I15" t="inlineStr">
        <is>
          <t>Senior, Product Management
 Johns Creek, GA
 Full time Schedule
 $105,000 \- $174,900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Senior, Product Manager brings a high\-energy approach to developing customer\-centric user experiences and features to help grow the customer base, drive user engagement, and improve overall site experience on the fast\-moving e\-commerce team. This role operates as a hybrid between strategy and execution. They partner with stakeholders to define, own, and execute a product roadmap while mentoring more junior colleagues on a range of product skills.
 Working in an agile environment with a focus on continuous improvement, they encourage ideas and feedback. They are empowered to make decisions and contribute in a meaningful and impactful way, fostering customer\-centric thinking to create memorable, loyalty\-building experiences for every Macy's customer and new possibilities for their career.
**What You Will Do**
* Take ownership of the entire product roadmap, from its definition to execution, including establishing and maintaining partnerships with stakeholders to ensure alignment
* Assume responsibility for managing a complex product area or lead as the senior product manager, driving the work forward
* Collaborate with partners and pods to effectively coordinate cross\-functional projects and objectives, with support from senior leaders
* Lead discussions and decision\-making processes in large working team settings, guiding the agenda
* Structure and prioritize analyses to inform the roadmap, including effectively setting up A/B tests
* Maintain a well\-curated backlog of user stories driven by insights gleaned from structured discovery, which directly impacts the product roadmap
* Contribute meaningfully to technical requirements alongside QE and engineering
* Translate business needs into technical requirements for engineers to align with business goals, providing clear, detailed, and timely artifacts
* Offer timely and constructive feedback to team members, leaders, and cross\-functional partners, challenging when necessary
* Actively mentor junior colleagues on various product skills
* Foster an environment of acceptance and respect that strengthens relationships, and ensures authentic connections with colleagues, customers, and communities
**Skills You Will Need**
**Leadership** 
 : Ability to take ownership of the entire product roadmap, manage complex product areas, and lead cross\-functional teams effectively
**Collaboration and Communication** 
 : Skilled at collaborating with partners, stakeholders, and senior leaders, with strong communication abilities to deliver presentations, influence decisions, and answer questions
**Agility and Adaptability** 
 : Thrives in a high\-energy, fast\-paced, outcome\-oriented environment, with the ability to adapt to changing priorities and situations
**Analytical Skills** 
 : Proficient in structuring and prioritizing analyses to inform the product roadmap, utilizing data and analytics to make informed decisions
**Customer\-Centricity** 
 : Customer obsessed with a deep understanding of retail commerce and user experience, distinguishing between store and ecommerce business drivers to create memorable experiences
**Technical Acumen** 
 : Understanding of technical concepts, enabling meaningful contributions to technical requirements alongside engineering teams
**Problem\-Solving and Curiosity** 
 : Naturally curious with a strong desire to understand root causes and solve problems, continuously learning about industry trends, emerging technologies, and new methodologies
**Mentorship and Coaching** 
 : Willingness to mentor and coach junior colleagues, sharing knowledge freely and helping to develop their skills
**Organizational Skills** 
 : Strong attention\-to\-detail, effective time management, and organizational abilities to maintain a well\-curated backlog and prioritize tasks effectively
**Software Proficiency** 
 : Skilled in Microsoft Office Suite and other relevant software tools for product management and analysis.
**Who You Are**
* Candidates with a bachelor’s degree or equivalent work experience in a related field are encouraged to apply.
* 6 plus years of overall work experience with at least 4 years specific product management experience, preferably within an agile framework; experience operating in a retail environment is a plus.
* Regularly required to sit, talk, hear; use hands/fingers to touch, handle, and feel
* Occasionally required to move about the workplace and reach with hands and arms
*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STORES00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row>
    <row r="16">
      <c r="A16" t="inlineStr">
        <is>
          <t>li-4366481832</t>
        </is>
      </c>
      <c r="B16" t="inlineStr">
        <is>
          <t>Government Product Manager</t>
        </is>
      </c>
      <c r="C16" t="inlineStr">
        <is>
          <t>EVONA</t>
        </is>
      </c>
      <c r="D16" t="inlineStr">
        <is>
          <t>linkedin</t>
        </is>
      </c>
      <c r="E16">
        <f>HYPERLINK("https://www.linkedin.com/jobs/view/4366481832", "https://www.linkedin.com/jobs/view/4366481832")</f>
        <v/>
      </c>
      <c r="F16" t="inlineStr"/>
      <c r="G16" t="inlineStr">
        <is>
          <t>Austin, TX</t>
        </is>
      </c>
      <c r="H16" t="inlineStr"/>
      <c r="I16" t="inlineStr">
        <is>
          <t>**Remote \| United States**
**Salary: $140,000 – $165,000 \+ equity**
 We’re hiring a Government Product Manager to lead the strategy and delivery of mission\-critical geospatial products for defence, intelligence, and broader public sector customers.
 This role sits within a high\-growth space and Earth observation technology company focused on making satellite data and analytics easier to access, faster to deploy, and more impactful in real\-world operations.
 You’ll take full ownership of a government\-focused product portfolio, working closely with engineering, design, and commercial teams to deliver secure, compliant, and operationally valuable solutions.
 What you’ll be responsible for
* Owning the product vision, roadmap, and execution for government and public sector offerings
* Translating mission requirements, regulatory constraints, and technical capabilities into clear product direction
* Leading products from early concept through launch and ongoing iteration based on user feedback
* Partnering cross\-functionally with engineering, design, sales, marketing, and program teams
* Ensuring alignment with government security and compliance frameworks including ITAR, FedRAMP, and DoD accreditation processes
* Engaging directly with government users to understand workflows, constraints, and operational challenges
* Tracking product performance, adoption, and delivery metrics to drive continuous improvement
 What we’re looking for
* 5\+ years of product management experience, ideally within government, defence, intelligence, or dual\-use technology
* Strong understanding of US government procurement processes and security requirements
* Proven experience launching and scaling government\-facing technology products
* Ability to translate complex mission needs into intuitive, usable product experiences
* Experience with geospatial data, Earth observation, AI/ML, or intelligence workflows is a strong advantage
* Confident communicator who works well across technical and non\-technical stakeholders
* Eligibility to hold a US security clearance, with an active clearance strongly preferred
 What’s on offer
* Competitive salary with equity participation
* Comprehensive medical, dental, and vision coverage
* 20 days paid time off plus parental leave
* Fully remote working within the US
* The opportunity to build products with real\-world mission impact in a fast\-growing space technology environment
 If you’re a product leader driven by complex challenges, national\-scale impact, and cutting\-edge technology, we’d love to hear from you.
*Equal opportunity employer. Diversity and inclusion are actively encouraged.*</t>
        </is>
      </c>
    </row>
    <row r="17">
      <c r="A17" t="inlineStr">
        <is>
          <t>li-4366911357</t>
        </is>
      </c>
      <c r="B17" t="inlineStr">
        <is>
          <t>Product Manager, Banking as a Service</t>
        </is>
      </c>
      <c r="C17" t="inlineStr">
        <is>
          <t>Stripe</t>
        </is>
      </c>
      <c r="D17" t="inlineStr">
        <is>
          <t>linkedin</t>
        </is>
      </c>
      <c r="E17">
        <f>HYPERLINK("https://www.linkedin.com/jobs/view/4366911357", "https://www.linkedin.com/jobs/view/4366911357")</f>
        <v/>
      </c>
      <c r="F17" t="inlineStr"/>
      <c r="G17" t="inlineStr"/>
      <c r="H17" t="inlineStr"/>
      <c r="I1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BaaS team enables users to build and launch successful card programs and financial features into their product using powerful programmatic APIs. The team creates the infrastructure, user facing abstractions, and partner integrations needed to manage the lifecycle of a card, enable money movement, and increase spend. This is a great opportunity to help build one of Stripe’s fastest growing businesses. Our top users span fintechs to large enterprises \&amp; cover a range of verticals including Buy Now Pay Later, vertical SaaS platforms, on\-demand marketplaces, expense management platforms, fleet, travel \&amp; more. What you’ll do
 As a Product Manager within our Banking as a Service team, you’ll have the opportunity to own core APIs, embedded and hosted experiences, and partner integrations. This role will play a critical role in delivering sophisticated financial services products to our users, with as small a footprint of technical and operational complexity required. This is a highly complex and challenging role that will require you to deeply understand user needs and collaborate across internal and partner teams to build and launch a seamless product experience at scale.
 We need a strong Product Manager with expertise in end\-user facing and/or platform products to realize this aspiration. This Product Manager will spend significant time with senior customer stakeholders to discuss strategy and roadmap, with external developers understanding their current pain points and needs, end users to build delightful experiences, and Stripe’s sales leadership to help win new business on Stripe.
**Responsibilities**
* Own key user journeys, from integration to core business operation
* Help shape the direction, define product strategy, and establish practices to address user needs
* Collaboratively partner with other Stripe teams (engineering, design, legal, risk, compliance, etc.) early in the product development lifecycle and jointly shape product plans that lead with delightful onboarding and integration experiences
* Own the roadmap and go to market, with product marketing, of your BaaS product area
* Act as the voice of the user in product and API designs, gathering direct feedback from customers
* Ensure we’re building in a scalable, performant way
 Who you are
**We're Looking For Someone Who**
* Brings 8\+ years of experience in a product role
* Strong focus on user\-experiences, from front\-end UI through developer docs and technical integrations
* Has an obsession over product quality
* Has domain knowledge in financial products, particularly card issuing, funds storage, or remittance
* Has experience building platform and/or API products
* Has strong written and verbal communication skills with a talent for precise articulations of customer problems
* Can put themselves in the shoes of their users and be a steward of crafting great experiences
* Enjoys being a generalist working on whatever it takes to solve problems and delight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$162,400 \- $243,600\.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8">
      <c r="A18" t="inlineStr">
        <is>
          <t>li-4366772476</t>
        </is>
      </c>
      <c r="B18" t="inlineStr">
        <is>
          <t>Product Manager, Media Management</t>
        </is>
      </c>
      <c r="C18" t="inlineStr">
        <is>
          <t>Descript</t>
        </is>
      </c>
      <c r="D18" t="inlineStr">
        <is>
          <t>linkedin</t>
        </is>
      </c>
      <c r="E18">
        <f>HYPERLINK("https://www.linkedin.com/jobs/view/4366772476", "https://www.linkedin.com/jobs/view/4366772476")</f>
        <v/>
      </c>
      <c r="F18" t="inlineStr"/>
      <c r="G18" t="inlineStr"/>
      <c r="H18" t="inlineStr"/>
      <c r="I18" t="inlineStr">
        <is>
          <t>**About The Role**
 Descript's core innovation is editing video by editing the script. And every script edit — whether humans or AI — depends on accurate transcripts, precise alignment, and correct speaker detection. Underlord, our video editing agent, relies on precise visual understanding to make your video look better.
 As the Product Manager for Media Management, you'll own the media processing pipelines that turn raw recordings into editable, searchable, AI\-ready content from transcription to visual understanding. You'll also build the media library that makes Descript the home for everything that teams upload, record, and generate. In short, this role owns the capabilities that make Descript smart, and you'll be building infrastructure that every other team depends on.
 What you’ll do
* Create search capabilities that unlocks content reuse across projects, enabling both humans and AI agents to quickly find and repurpose content
* Own the upload, transcription, and visual understanding pipelines, making strategic tradeoffs between accuracy, latency, and cost
* Work with AI research to make sure we have the best models in the world for our media understanding and processing pipelines
* Make it seamless for large teams to ingest and export high volumes of media from their systems.
* Balance competing priorities across customer segments, from small creators who need simple, reliable uploads to enterprises processing thousands of files
 Who you are
* You've built enterprise products that people love. You have 5 or more years of product experience creating products for users with high volumes, complex needs, and zero tolerance for downtime, all without sacrificing the user experience that makes people want to use your product.
* You can steer technical teams. You can work effectively with research and engineering teams to push for better outcomes without being a researcher or engineer yourself. You're comfortable evaluating ML models, running experiments to measure quality improvements, and making tradeoffs between accuracy, performance, and cost.
* You start with the customer: Plenty of “AI products” start with the technology and they all suck. You care deeply about understanding customers, and have experience in doing customer discovery and defining features that solve real problems.
* You are a fog sculptor: There are aspects to our product and its design that do not have real competitors yet. The product intuition and design conventions have not been decided. We need product managers who are attracted to ambiguous problems, know how to ask smart questions, and translate ideas into action.
* You care about craft: Our product is not a hype machine that runs on empty promises and vaporware. We think our product will be successful because people love to use it. That means sweating the details. But without the sweat, because you aren’t stressed out.
* You are funny, creative, maybe kind of weird: Ok, this isn’t a hard requirement but Descript is kind of a quirky place and the people who love it tend to like that about working here. So, just want to drop a hint early on. Also, the sense of humor is important because even though we take our work seriously it’s still just, like, video creation and editing. We aren’t flying rockets into space so let’s all have a good time.
 The base salary range for this role is $171,000 \- $235,000/year. Final offer amounts will carefully consider multiple factors, including prior experience, expertise, and location, and may vary from the amount above.
**About Descript**
 Descript is building a simple, intuitive, fully\-powered editing tool for video and audio — an editing tool built for the age of AI. We are a team of 150 and the backing of some of the world's greatest investors (OpenAI, Andreessen Horowitz, Redpoint Ventures, Spark Capital).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row>
    <row r="19">
      <c r="A19" t="inlineStr">
        <is>
          <t>li-4366798381</t>
        </is>
      </c>
      <c r="B19" t="inlineStr">
        <is>
          <t>Product Owner</t>
        </is>
      </c>
      <c r="C19" t="inlineStr">
        <is>
          <t>IDR, Inc.</t>
        </is>
      </c>
      <c r="D19" t="inlineStr">
        <is>
          <t>linkedin</t>
        </is>
      </c>
      <c r="E19">
        <f>HYPERLINK("https://www.linkedin.com/jobs/view/4366798381", "https://www.linkedin.com/jobs/view/4366798381")</f>
        <v/>
      </c>
      <c r="F19" t="inlineStr"/>
      <c r="G19" t="inlineStr">
        <is>
          <t>Eagan, MN</t>
        </is>
      </c>
      <c r="H19" t="inlineStr"/>
      <c r="I19" t="inlineStr">
        <is>
          <t>IDR is seeking a
 **Product Owner** 
 to join one of our top clients for an opportunity in Eagan, Minnesota. This role involves managing mobile app and web products within a healthcare environment, collaborating with Scrum teams in an Agile setting. The company is a leader in healthcare technology solutions, focused on improving patient outcomes through innovative digital products.
**Position Overview for the Product Owner:** 
* Develop and manage digital product strategies, ensuring alignment with organizational goals
* Collaborate with cross\-functional teams, including Scrum teams, to deliver high\-quality products
* Prioritize product backlog items and mitigate roadblocks to achieve sprint and release goals
* Communicate effectively with stakeholders to manage changing and conflicting needs
* Utilize analytic tools to monitor product performance and inform future development
**Requirements for the Product Owner:** 
* Experience developing mobile app and/or web products
* Minimum of 1\-3 years in a Product Owner (or similar) role
* Experience working with a Scrum team in an Agile environment
* Working knowledge of product development architecture
* Ability to effectively manage changing and conflicting needs of stakeholders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20">
      <c r="A20" t="inlineStr">
        <is>
          <t>li-4366785331</t>
        </is>
      </c>
      <c r="B20" t="inlineStr">
        <is>
          <t>Product Manager - Entry level and Remote</t>
        </is>
      </c>
      <c r="C20" t="inlineStr">
        <is>
          <t>Resumai Solutions</t>
        </is>
      </c>
      <c r="D20" t="inlineStr">
        <is>
          <t>linkedin</t>
        </is>
      </c>
      <c r="E20">
        <f>HYPERLINK("https://www.linkedin.com/jobs/view/4366785331", "https://www.linkedin.com/jobs/view/4366785331")</f>
        <v/>
      </c>
      <c r="F20" t="inlineStr"/>
      <c r="G20" t="inlineStr"/>
      <c r="H20" t="inlineStr"/>
      <c r="I20" t="inlineStr">
        <is>
          <t>**Product Manager (Remote, Entry Level)** 
**United States (Remote)** 
**On behalf of a US\-based Tech Client** 
**About the Role** 
 We’re partnering with a fast\-growing
 **US technology company** 
 to identify an
 **Entry\-Level Product Manager** 
 who’s excited to work on real\-world digital products used by thousands of users.
 This is a
 **remote\-first opportunity** 
 designed for early\-career professionals, career switchers, and recent graduates who want hands\-on exposure to product strategy, user experience, and cross\-functional collaboration.
**What You’ll Do** 
* Support the product lifecycle from idea to launch
* Collaborate with engineering, design, and business teams
* Help define product requirements and user stories
* Analyze user feedback and product performance
* Participate in roadmap planning and sprint reviews
* Assist in market and competitor research
**Who Should Apply** 
 This role is intentionally
 **open and accessible** 
 . You’re encouraged to apply if you have:
* Strong interest in
 **technology, startups, or digital products**
* Analytical and problem\-solving skills
* Clear written and verbal communication
* Experience from
 **internships, school projects, bootcamps, or self\-learning**
* Backgrounds in
 **business, engineering, marketing, design, analytics, or operations**
**Career switchers welcome** 
**Recent grads encouraged to apply** 
**Nice to Have (Not Required)** 
* Familiarity with Agile/Scrum
* Exposure to tools like Jira, Confluence, Figma, Notion, or Productboard
* Basic understanding of UX, data analysis, or APIs
**What’s Offered** 
* 🌎 100%
 **Remote (US\-based)**
* 📈 Clear growth path into
 **Product Manager / Senior PM**
* 🤝 Mentorship from experienced product leaders
* 💻 Exposure to real production systems
* 💰 Competitive entry\-level compensation (based on experience)</t>
        </is>
      </c>
    </row>
    <row r="21">
      <c r="A21" t="inlineStr">
        <is>
          <t>li-4347396160</t>
        </is>
      </c>
      <c r="B21" t="inlineStr">
        <is>
          <t>Product Owner</t>
        </is>
      </c>
      <c r="C21" t="inlineStr">
        <is>
          <t>Inhabit®</t>
        </is>
      </c>
      <c r="D21" t="inlineStr">
        <is>
          <t>linkedin</t>
        </is>
      </c>
      <c r="E21">
        <f>HYPERLINK("https://www.linkedin.com/jobs/view/4347396160", "https://www.linkedin.com/jobs/view/4347396160")</f>
        <v/>
      </c>
      <c r="F21">
        <f>HYPERLINK("https://www.paycomonline.net/v4/ats/web.php/portal/3B7D41D91746BB95F1A4DACFC560089B/jobs/321241&amp;urlHash=8_pq", "https://www.paycomonline.net/v4/ats/web.php/portal/3B7D41D91746BB95F1A4DACFC560089B/jobs/321241&amp;urlHash=8_pq")</f>
        <v/>
      </c>
      <c r="G21" t="inlineStr">
        <is>
          <t>Chandler, AZ</t>
        </is>
      </c>
      <c r="H21" t="inlineStr"/>
      <c r="I21" t="inlineStr">
        <is>
          <t>**About Inhabit**
 Inhabit operates a unique collective of tech\-forward companies serving the residential, commercial, and short\-term rental industries. Our team members deliver best\-in\-class software solutions and services while fostering innovation and collaboration with business leaders and industry experts. Inhabit believes that property managers are central to the success of the residential and short\-term rental markets and delivers products built to empower them, their investors, and communities. Come help build the company you want to Inhabit. To learn more, visit inhabit.com.
**About Streamline Vacation Rental Software**
 We are the industry leader in vacation rental software. Our clients use our cutting\-edge technology and modern solutions to manage their entire property management operations: online bookings, maintenance, housekeeping accounting, etc.
 If you’re interested in joining a team working to build a unique, world\-class software with a relentless focus on the customer, you’ve come to the right place.
 We are looking for a Product Owner to join our team. Are you a self\-starter who can take control of minor/large projects with collaboration as needed? This may be the role for you!
**What You'll Do (Functions \&amp; Responsibilities)**
* Define, refine, and manage product backlogs to align with business strategy and goals
* Collaborate with stakeholders across teams to gather and prioritize requirements
* Identify resource needs, dependencies, and complexities before initiating large development projects
* Write clear, detailed user stories, acceptance criteria, and supporting documentation
* Work closely with UI/UX designers and developers to refine product features and stories
* Ensure seamless coordination with QA, engineering, and customer support teams
* Lead and participate in sprint planning, backlog grooming, and product demos
* Partner with Training, Support, and SMEs to update knowledge sources for new or updated features
* Develop and lead webinars to showcase feature releases and generate excitement.
* Coordinate custom development projects, including requirements gathering, user story creation, user acceptance testing (UAT), and feedback collection
* Manage pilot and beta testing programs, including planning, participant coordination, feedback collection, and analysis to ensure product readiness and quality before full release
* Organize client surveys and focus groups in collaboration with UI/UX designers
* Conduct case studies with clients to identify needs and gaps
* Test development tasks to ensure features meet client needs
* Research industry trends and competitor offerings to identify opportunities and gaps
* Perform additional duties as assigned
 Qualifications
**What We're Looking For (Minimum Qualifications)**
* 2 \+ years of experience as a Junior Product Owner, Product Owner, or similar role in a software or technology company
* Proven UI/UX experience, including updating existing features to meet new front\-end requirements and collaborating closely with design teams.
* Strong experience in Agile methodologies and tools such as JIRA, Asana, Figma, or similar platforms
* Tech Savvy with a strong desire to learn
* Creative thinker with the ability to translate business needs into actionable product requirements
* Excellent time management and organizational skills
* Quick learner, detail oriented, and collaborative team player
* Excellent communication skills, with the ability to interact with cross\-functional teams
* Experience working with multiple development teams and familiar with software development lifecycles.
* Experience in vacation/corporate rental software, property management, or hospitality tech
* Experience implementing AI\-driven features or functionality within software products
* Familiarity with APIs, data integrations, or accounting platforms
* Understanding of XML/JSON
**Education Requirements**
* Bachelor’s degree in Information Technology, Computer Science, Business equivalent relevant experience.
**Type**
* Full time; Salaried
**Location**
* Chandler, Arizona (Hybrid) 4 days in office 1 day work from home
* We have an in\-office work style, with most team members working in the office from Monday to Thursday and remotely on Friday
**Benefits Include**
* Competitive Pay
* Health Insurance: Medical, Dental, Vision and Prescription Plans
* Health Savings Accounts
* Flexible Spending Account
* Dependent Flexible Spending Account
* Critical Illness
* Accident
* Retirement Savings Plan (401K) with discretionary company match
* Short\- and Long\-Term Disability
* Company Paid $25,000\.00 life insurance
* Supplemental Life and AD\&amp;D Insurance
* Employee Assistance Program
* Paid Holidays
* Paid Vacation
* Paid Volunteer Time
* Inhabit Employee Discount Programs
*Our Company is an Equal Opportunity Employer and complies with all federal, state, and local laws, including providing reasonable accommodations to applicants. \#Inhabithires*</t>
        </is>
      </c>
    </row>
    <row r="22">
      <c r="A22" t="inlineStr">
        <is>
          <t>li-4366512680</t>
        </is>
      </c>
      <c r="B22" t="inlineStr">
        <is>
          <t>Senior Product Manager</t>
        </is>
      </c>
      <c r="C22" t="inlineStr">
        <is>
          <t>Valon</t>
        </is>
      </c>
      <c r="D22" t="inlineStr">
        <is>
          <t>linkedin</t>
        </is>
      </c>
      <c r="E22">
        <f>HYPERLINK("https://www.linkedin.com/jobs/view/4366512680", "https://www.linkedin.com/jobs/view/4366512680")</f>
        <v/>
      </c>
      <c r="F22" t="inlineStr"/>
      <c r="G22" t="inlineStr">
        <is>
          <t>New York, NY</t>
        </is>
      </c>
      <c r="H22" t="inlineStr"/>
      <c r="I22"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
 The results speak for themselves. We've transformed mortgage servicing from a 0% margin business into 60%\+ margins while dramatically improving customer experience. Major enterprise contracts are now deploying across the industry.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
**Responsibilities**
 As a Senior Product Manager, you will own the product strategy and execution for a critical vertical within mortgage servicing, such as collections, loss mitigation, foreclosure, payments, or escrow. This is a senior IC role reporting to the Director of Product.
* Develop and manage a cohesive product roadmap, prioritize features that deliver measurable business outcomes for our SaaS customers
* Write clear, comprehensive PRDs and specifications that eliminate ambiguity for engineering
* Deeply understand customer and user needs across internal servicing teams and external partners (e.g., law firms, vendors) and translate them into clear product requirements
* Manage timelines and dependencies; make decisive trade\-offs between speed, scope, and technical quality
* Ensure successful rollouts in partnership with Deployment Strategy and Product Operations
**Ideal Background**
* 5\+ years of product management experience
* Proven track record of shipping complex B2B software products from concept to production
* Ability to balance near\-term business goals while setting a longer\-term product strategy
* Demonstrated leadership to bring together stakeholders and drive alignment
* Curiosity and willingness to learn the full landscape of mortgage servicing, including areas like foreclosure, bankruptcy, litigation, and REO, in order to make stronger product decisions
* Strong written communication skills; an effective partner to engineering
* Comfortable managing multiple initiatives and ensuring their collective success
* Ability to handle ambiguity and make decisions with incomplete information
**Why Join Valon?**
* Transform a $12 trillion industry by building the operating system for mortgage servicing, replacing 40\-year\-old legacy systems with modern, AI\-powered infrastructure
* Join at a pivotal moment: We're rapidly scaling from 1M to XXM\+ loans under management, with contracts signed or in negotiation representing nearly XX% of the entire mortgage servicing market
* Work on complex, high\-impact problems with massive scale, our platform will power servicing operations for millions of homeowners across the country
* Product and Engineering\-led culture with exceptional talent density, work alongside world\-class engineers and product leaders who value velocity, clarity, and deep technical excellence
* Real product ownership with enterprise impact: your decisions will directly influence how major financial institutions operate and serve their customers
* Unique market position: We're winning against entrenched incumbents by delivering XX%\+ cost reduction and a modern software experience that were previously not possible
**Benefits**
* Compensation: competitive salary with a meaningful stake in the company via equity, and 401k plan
* Health \&amp; well\-being: we’ll invest in your physical and mental well\-being with comprehensive medical, dental, \&amp; vision benefits
* Commuter benefits: We offer pre\-tax deductions for public transportation, rideshare services, and parking expenses to make your commute more affordable and convenient.
* Grow together: Company wide orientation for you to successfully onboard and other learning \&amp; development opportunities including regular review cycles that feature 360 degree feedback
* Play together: quarterly budgets for team and company outings. Use it for team swag, cooking classes, or team dinners!
* Generous time off: flexible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Compensation Range: $178\.5K \- $241K</t>
        </is>
      </c>
    </row>
    <row r="23">
      <c r="A23" t="inlineStr">
        <is>
          <t>li-4366504933</t>
        </is>
      </c>
      <c r="B23" t="inlineStr">
        <is>
          <t>Senior Product Manager - Shopping Experience</t>
        </is>
      </c>
      <c r="C23" t="inlineStr">
        <is>
          <t>SRI Tech Solutions Inc.</t>
        </is>
      </c>
      <c r="D23" t="inlineStr">
        <is>
          <t>linkedin</t>
        </is>
      </c>
      <c r="E23">
        <f>HYPERLINK("https://www.linkedin.com/jobs/view/4366504933", "https://www.linkedin.com/jobs/view/4366504933")</f>
        <v/>
      </c>
      <c r="F23" t="inlineStr"/>
      <c r="G23" t="inlineStr">
        <is>
          <t>Cupertino, CA</t>
        </is>
      </c>
      <c r="H23" t="inlineStr"/>
      <c r="I23" t="inlineStr">
        <is>
          <t>**Role:** 
 Product Manager (Shopping Experience)
**Location:** 
 Onsite in Cupertino 3 days a week (Tuesday through Thursday).
**Summary** 
 Seeking an experienced Product Manager to join the Retail Online Store team and focus on enhancements to key purchase flow shopping pages. This position requires strong cross\-functional and project management skills, business sense and technical curiosity. You should have a passion for creating outstanding customer experiences through innovative solutions. You will partner on driving a large initiative already in progress, helping to influence design solutions, define requirements, oversee development progress, and establish a robust go\-live strategy.
 We are looking for someone who is collaborative, highly adaptable, and open to developing deep technical knowledge. It is a great opportunity to work on an important initiative and learn the Client’s culture and ways of working.
**Key Responsibilities** 
* Partner on leading and delivering a project in\-progress:
* Engage various cross\-functional partners to address broad business needs
* Consider input and feedback from a variety of partners when making key project decisions and recommendations
* Facilitate regular meetings with partner teams to quickly problem\-solve
* Understand the technical landscape related to the project to identify solutions
* Establish the required next steps to drive the project through development, testing, and launch
* Achieve all project milestones in a timely manner as established by the project Timeline
**While executing on the project, you will:** 
* Collaborate with a Product Manager peer to ensure success of the project
* Prioritize team activities and drive resolution of issues across all areas of the project
* Communicate project status to various partners, up to senior leadership
* Advise and carry\-out risk assessment and mitigation plans as needed
* Prioritize issues and tasks accounting for multiple tracks of intersecting work
* Maintain a keen eye for the details while ensuring the overall progress of the Project
**Requirements to be Successful** 
* Experience organizing and planning large cross\-functional projects
* Strong product management skills
* Ability to manage ambiguity and take initiative
* Experience developing innovative front\-end customer experiences
* Account for multiple business stakeholders across variety of teams and technical systems, and synthesize features and capabilities
* Excellent communication and presentation skills, both at the project level and to senior leadership, in a variety of forums
* Ability to learn technical (product) concepts quickly
* Ability to engage operational teams to plan for launch and provide a detailed strategy for ongoing management of the final product
* Excellent analytical reasoning and attention to detail
* Self\-motivated and ability to thrive in a fast\-paced environment
* Comfortable working in a constantly evolving environment where ambiguity and short turnaround schedules are the norm
* Clear and thorough documentation of project details and operational plans
* Successfully deliver the full scope of the project
**Education \&amp; Experience** 
* Bachelor’s degree or equivalent education. Technical background is strongly preferred
* Experience in product/project management for a larger internet site a big plus
* Minimum 5 years product management experience, with expertise in leading purchase flow enhancements preferred</t>
        </is>
      </c>
    </row>
    <row r="24">
      <c r="A24" t="inlineStr">
        <is>
          <t>li-4366519602</t>
        </is>
      </c>
      <c r="B24" t="inlineStr">
        <is>
          <t>Senior Product Manager</t>
        </is>
      </c>
      <c r="C24" t="inlineStr">
        <is>
          <t>Valon</t>
        </is>
      </c>
      <c r="D24" t="inlineStr">
        <is>
          <t>linkedin</t>
        </is>
      </c>
      <c r="E24">
        <f>HYPERLINK("https://www.linkedin.com/jobs/view/4366519602", "https://www.linkedin.com/jobs/view/4366519602")</f>
        <v/>
      </c>
      <c r="F24" t="inlineStr"/>
      <c r="G24" t="inlineStr">
        <is>
          <t>San Francisco, CA</t>
        </is>
      </c>
      <c r="H24" t="inlineStr"/>
      <c r="I24"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
 The results speak for themselves. We've transformed mortgage servicing from a 0% margin business into 60%\+ margins while dramatically improving customer experience. Major enterprise contracts are now deploying across the industry.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
**Responsibilities**
 As a Senior Product Manager, you will own the product strategy and execution for a critical vertical within mortgage servicing, such as collections, loss mitigation, foreclosure, payments, or escrow. This is a senior IC role reporting to the Director of Product.
* Develop and manage a cohesive product roadmap, prioritize features that deliver measurable business outcomes for our SaaS customers
* Write clear, comprehensive PRDs and specifications that eliminate ambiguity for engineering
* Deeply understand customer and user needs across internal servicing teams and external partners (e.g., law firms, vendors) and translate them into clear product requirements
* Manage timelines and dependencies; make decisive trade\-offs between speed, scope, and technical quality
* Ensure successful rollouts in partnership with Deployment Strategy and Product Operations
**Ideal Background**
* 5\+ years of product management experience
* Proven track record of shipping complex B2B software products from concept to production
* Ability to balance near\-term business goals while setting a longer\-term product strategy
* Demonstrated leadership to bring together stakeholders and drive alignment
* Curiosity and willingness to learn the full landscape of mortgage servicing, including areas like foreclosure, bankruptcy, litigation, and REO, in order to make stronger product decisions
* Strong written communication skills; an effective partner to engineering
* Comfortable managing multiple initiatives and ensuring their collective success
* Ability to handle ambiguity and make decisions with incomplete information
**Why Join Valon?**
* Transform a $12 trillion industry by building the operating system for mortgage servicing, replacing 40\-year\-old legacy systems with modern, AI\-powered infrastructure
* Join at a pivotal moment: We're rapidly scaling from 1M to XXM\+ loans under management, with contracts signed or in negotiation representing nearly XX% of the entire mortgage servicing market
* Work on complex, high\-impact problems with massive scale, our platform will power servicing operations for millions of homeowners across the country
* Product and Engineering\-led culture with exceptional talent density, work alongside world\-class engineers and product leaders who value velocity, clarity, and deep technical excellence
* Real product ownership with enterprise impact: your decisions will directly influence how major financial institutions operate and serve their customers
* Unique market position: We're winning against entrenched incumbents by delivering XX%\+ cost reduction and a modern software experience that were previously not possible
**Benefits**
* Compensation: competitive salary with a meaningful stake in the company via equity, and 401k plan
* Health \&amp; well\-being: we’ll invest in your physical and mental well\-being with comprehensive medical, dental, \&amp; vision benefits
* Commuter benefits: We offer pre\-tax deductions for public transportation, rideshare services, and parking expenses to make your commute more affordable and convenient.
* Grow together: Company wide orientation for you to successfully onboard and other learning \&amp; development opportunities including regular review cycles that feature 360 degree feedback
* Play together: quarterly budgets for team and company outings. Use it for team swag, cooking classes, or team dinners!
* Generous time off: flexible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Compensation Range: $178\.5K \- $241K</t>
        </is>
      </c>
    </row>
    <row r="25">
      <c r="A25" t="inlineStr">
        <is>
          <t>li-4366792921</t>
        </is>
      </c>
      <c r="B25" t="inlineStr">
        <is>
          <t>Senior Product Manager- AdTech</t>
        </is>
      </c>
      <c r="C25" t="inlineStr">
        <is>
          <t>Xperi Inc.</t>
        </is>
      </c>
      <c r="D25" t="inlineStr">
        <is>
          <t>linkedin</t>
        </is>
      </c>
      <c r="E25">
        <f>HYPERLINK("https://www.linkedin.com/jobs/view/4366792921", "https://www.linkedin.com/jobs/view/4366792921")</f>
        <v/>
      </c>
      <c r="F25" t="inlineStr"/>
      <c r="G25" t="inlineStr">
        <is>
          <t>San Jose, CA</t>
        </is>
      </c>
      <c r="H25" t="inlineStr"/>
      <c r="I25" t="inlineStr">
        <is>
          <t>Xperi invents, develops and delivers technologies that create extraordinary experiences at home and on the go for millions of people around the world. Powering billions of consumer electronics, connected cars and digital content titles, we make entertainment more immersive, driving more intelligent and every interaction seamlessly personalized through our renowned consumer brands: DTS®, HD Radio™ and TiVo®.       Xperi (NYSE: XPER) is a publicly traded technology company headquartered in San Jose, CA with employees across North America, Europe and Asia. Come join a thriving team where you can play an integral role in shaping the future of entertainment technology. Senior Product Manager – TiVo Media Platform MonetizationAbout the RoleWe are seeking an experienced Senior Product Manager to lead the strategy, vision, and execution of our TiVo media platform advertising products. In this role, you will define and build innovative ad experiences, improve yield across inventory sources, and partner with engineering, sales, partnerships, and data teams to drive revenue growth. You will be accountable for scaling our CTV ad platform, delivering exceptional advertiser value, and ensuring a compelling, user‑centric viewing experience.This is a high‑impact role suited for someone who understands the CTV ecosystem end\-to\-end, has deep experience with ad tech, and thrives at the intersection of business strategy and technical execution.Key ResponsibilitiesProduct Strategy \&amp; Vision
 * Develop the long\-term product strategy for CTV monetization across direct\-sold, programmatic, and hybrid ad sales channels.
* Identify new opportunities for revenue growth, yield optimization, and innovative ad formats tailored to CTV environments.
* Build and maintain a roadmap that aligns business goals with market trends, customer needs, and platform capabilities.
 Execution \&amp; Delivery
 * Help influence cross\-functional teams—engineering, data science, sales, partnerships, and operations—through feature design, development, and launch.
* Define requirements for ad serving, inventory management, measurement, and targeting capabilities.
* Ensure products meet performance, reliability, and compliance standards across all devices and platforms.
 Advertising \&amp; Monetization Expertise
 * Work with programmatic partners (SSPs, DSPs, exchanges) to optimize auction dynamics and demand density.
* Develop and refine ad formats (pre\-roll, mid\-roll, dynamic ad insertion, interactive ads, shoppable ads, etc.).
* Collaborate with revenue teams to improve packaging, pricing, and yield strategies.
* Leverage insights to drive continuous optimization and identify new CTV\-specific monetization opportunities.
* Understand and anticipate the impact of privacy, identity, and regulatory changes on monetization strategy.
 Stakeholder \&amp; Partner Collaboration
 * Serve as a trusted advisor to sales, marketing, and executive stakeholders regarding TiVo media platform monetization.
* Manage relationships with ad tech vendors, measurement partners, device manufacturers, and third\-party platforms.
* Communicate product vision, roadmap, and performance updates to leadership and cross\-functional teams.
 QualificationsRequired
 * 5\+ years product management experience, including direct ownership of advertising or monetization products.
* Deep understanding of CTV, OTT, and streaming video ecosystems.
* Hands\-on experience with ad tech such as:
	+ Ad servers (e.g., FreeWheel, Google Ad Manager)
	+ SSAI/DAI workflows
	+ Programmatic systems (SSPs, DSPs, OpenRTB)
	+ Measurement (VAST, VPAID, MRC standards, IAB guidelines)
* Strong analytical skills and ability to make data\-driven decisions.
* Proven ability to manage complex technical products and cross\-functional teams.
* Excellent communication, prioritization, and stakeholder management skills.
 Life @ Xperi:At Xperi, we value People, Customers, Performance and Innovation. We are dedicated to creating a workplace where all employees have a voice and sense of belonging, feel safe and valued, and are acknowledged for how their unique differences contribute to organizational culture and business outcomes.Our employees and their families are important to us, and our comprehensive pay, stock and benefits programs reflect that. Xperi supports personal well\-being, builds financial security and enables employees to share in our collective success.Rewards include:·   Competitive compensation (salary, equity and bonuses) and comprehensive benefits designed to foster work\-life balance, care for your health, protect your finances and help you save and invest for the future.·   Generous paid time away from work, including flexible time off, holidays and sick time, health and wellness initiatives, and a charitable match program to help you give back to your community.·   Great perks, which vary by location and can be site\-specific: employee discounts, transportation reimbursements, and fitness facilities.A flexible, hybrid work environment combining the best of in\-office collaboration and community\-building along with the benefits of working from home.The estimated base salary range for this full\-time position is $150,000\- $170,000 plus bonus and benefits, and can vary if outside of this location. Our salary ranges are determined by role, level, and location. Within the range, individual pay is determined by work location and additional factors, including job\-related skills, competencies, experience, market demands, internal parity, and relevant education or training. Your recruiter can share more about the specific salary range and perks and benefits for your location during the hiring process.</t>
        </is>
      </c>
    </row>
    <row r="26">
      <c r="A26" t="inlineStr">
        <is>
          <t>li-4366919502</t>
        </is>
      </c>
      <c r="B26" t="inlineStr">
        <is>
          <t>Agile Product Owner</t>
        </is>
      </c>
      <c r="C26" t="inlineStr">
        <is>
          <t>Wright Technical Services</t>
        </is>
      </c>
      <c r="D26" t="inlineStr">
        <is>
          <t>linkedin</t>
        </is>
      </c>
      <c r="E26">
        <f>HYPERLINK("https://www.linkedin.com/jobs/view/4366919502", "https://www.linkedin.com/jobs/view/4366919502")</f>
        <v/>
      </c>
      <c r="F26" t="inlineStr"/>
      <c r="G26" t="inlineStr"/>
      <c r="H26" t="inlineStr"/>
      <c r="I26" t="inlineStr">
        <is>
          <t>**Title: – Product Owner for Welding Software Solutions** 
**Type:** 
 FTE, Direct Hire
**Location:** 
 Cleveland, Ohio – Hybrid (Euclid)
**Eligibility:** 
 Candidate must be authorized to work in the US on a continuous basis without sponsorship.
**Summary** 
 :
 Wright Technical Services is proud to represent a Fortune 500 Global Manufacturer for this role. WE are seeking a highly motivated and experienced Product Owner to join our team and serve as a vital link between Product Management and R\&amp;D Development teams.
 As the Product Owner, you will be responsible for maximizing the value of our product and service offerings by creating, prioritizing, and managing product backlogs according to strategic product goals. You will function as an interface between Product Managers and R\&amp;D Development teams, ensuring that the development activities align with business objectives and deliver value to our customers. As a key leader within the team, you will help create and communicate the product vision and roadmap, while defining key operational processes critical to the success of the business.
 This position will focus on the product vision and development roadmap for welding equipment which includes associated software applications used for configuration and data monitoring. You will partner with critical stakeholders and customers to provide the voice\-of\-the\-customer for these solutions. Experience with the Scrum framework is required along with preferred experience using Azure DevOps for industrial product development. Additional experience with welding equipment or welding processes would be ideal for this position.
**BASIC REQUIREMENTS:** 
* Bachelor’s degree in Business, Engineering, Computer Science, or a related field.
* 3\+ years of experience as a Product Owner or similar role in Agile/Scrum environments.
* Proven experience working with Product Managers and software development teams.
* Strong understanding of the Scrum framework and Agile methodologies.
* Ability to lead cross\-functional initiatives and drive cultural change while using the Scrum Framework.
* Certifications (Preferred): Certified Scrum Product Owner (CSPO) or equivalent certification.
* Hands\-on experience with Azure DevOps (or similar tools) for backlog management, Sprint planning, and reporting.
* Excellent communication and collaboration skills across technical and non\-technical teams.
* Experience working on industrial products, such as manufacturing systems, automation, or hardware\-integrated solutions.
* Familiarity with UX/UI design principles and customer\-centric design.
**DUTIES AND RESPONSIBILITIES:** 
* Serve as the primary liaison between Product Management and R\&amp;D Development teams while providing feedback to refine product roadmaps.
* Lead and facilitate the Scrum Planning and Review events while participating in Sprint Retrospectives.
* Own and manage the product backlog, ensuring clarity, prioritization, and alignment with business objectives.
* Translate product strategy into detailed user stories, use cases, and acceptance criteria. Serve as a stage gate to assure requirements are ready to be worked on.
* Continuously refine backlog items based on stakeholder feedback, technical constraints, and evolving market needs to promptly build the right functionality into products.
* Collaborate with cross\-functional teams to ensure timely and high\-quality delivery of product features.
* Monitor Sprint team deliverables, ensuring alignment with product goals and timelines.
* Promote Agile best practices along with the Scrum framework to foster a culture of continuous improvement.</t>
        </is>
      </c>
    </row>
    <row r="27">
      <c r="A27" t="inlineStr">
        <is>
          <t>li-4356481818</t>
        </is>
      </c>
      <c r="B27" t="inlineStr">
        <is>
          <t>Sr Product Manager - Venmo</t>
        </is>
      </c>
      <c r="C27" t="inlineStr">
        <is>
          <t>PayPal</t>
        </is>
      </c>
      <c r="D27" t="inlineStr">
        <is>
          <t>linkedin</t>
        </is>
      </c>
      <c r="E27">
        <f>HYPERLINK("https://www.linkedin.com/jobs/view/4356481818", "https://www.linkedin.com/jobs/view/4356481818")</f>
        <v/>
      </c>
      <c r="F27" t="inlineStr"/>
      <c r="G27" t="inlineStr">
        <is>
          <t>New York, NY</t>
        </is>
      </c>
      <c r="H27" t="inlineStr"/>
      <c r="I2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focuses on leveraging data to derive insights that align with the product’s shared vision and customer needs. It involves gathering customer experience insights to inform product requirements and analyzing research, market data, and usability studies for data\-driven decision\-making. Responsibilities include monitoring product profitability and budget, leading sprint planning, daily standups, and retrospectives to ensure effective execution, and collaborating with content developers, data scientists, product designers, and user experience researchers to uncover new opportunities. This job is an individual contributor.
**Job Description:**
**Essential Responsibilities:**
* Uses data to build insights on product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leadership as needed.
* Partners with content developers, data scientists, product designers and user experience researchers to identify new opportunities.
**Minimum Qualifications:**
* Minimum of 5 years of relevant work experience and a Bachelor's degree or equivalent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https://careers.pypl.com/Contact\-Us/default.aspx
 to view the notice.
 REQ ID R0134558</t>
        </is>
      </c>
    </row>
    <row r="28">
      <c r="A28" t="inlineStr">
        <is>
          <t>li-4366927281</t>
        </is>
      </c>
      <c r="B28" t="inlineStr">
        <is>
          <t>Senior Business Analyst / Product Owner</t>
        </is>
      </c>
      <c r="C28" t="inlineStr">
        <is>
          <t>The Value Maximizer</t>
        </is>
      </c>
      <c r="D28" t="inlineStr">
        <is>
          <t>linkedin</t>
        </is>
      </c>
      <c r="E28">
        <f>HYPERLINK("https://www.linkedin.com/jobs/view/4366927281", "https://www.linkedin.com/jobs/view/4366927281")</f>
        <v/>
      </c>
      <c r="F28" t="inlineStr"/>
      <c r="G28" t="inlineStr">
        <is>
          <t>Austin, TX</t>
        </is>
      </c>
      <c r="H28" t="inlineStr"/>
      <c r="I28" t="inlineStr">
        <is>
          <t>**Senior Business Analyst / Product Owner \- Wealth Management (Account Opening \&amp; Client Onboarding)**
**Location**
 Dallas Texas
 **Experience**
**10\-15\+ years (with strong Wealth Management domain exposure)** 
**Role Summary**
 We are seeking a highly experienced Senior Business Analyst / Product Owner with deep domain expertise in Wealth Management account opening and digital client onboarding platforms. The role will partner closely with business stakeholders, compliance, operations, and technology teams to deliver scalable, compliant, and client\-centric onboarding solutions across brokerage, advisory, and managed accounts.
 **Key Responsibilities**
**Business Analysis \&amp; Product Ownership**
 Act as a Product Owner / Lead BA for Wealth Management
 **Account Opening and Client Onboarding platforms** 
 , owning requirements from concept through delivery.
**Wealth Management \&amp; Onboarding Expertise**
 Drive solutions across digital and assisted account opening, including:Individual, Joint, Trust, IRA, Corporate, and Advisory accountsKYC / AML / CIP / KYB workflowsSuitability, risk profiling, and client disclosuresDocument capture, e\-signature, and verificationDeep understanding of brokerage and advisory onboarding journeys, including straight\-through processing (STP) and exception handling.Partner with Compliance and Legal teams to ensure adherence to SEC, FINRA, FATCA, CRS, and regional regulatory requirements.
 **Stakeholder \&amp; Delivery Leadership**
 Serve as the primary liaison between business stakeholders, technology teams, vendors, and external partners.Collaborate with UX/UI teams to design intuitive, compliant, and frictionless onboarding experiences.Support Agile delivery ceremonies including PI planning, sprint planning, backlog grooming, demos, and UAT.Lead UAT planning, execution, and defect triage with business and operations teams.
**Required Skills \&amp; Experience**
**Domain \&amp; Functional Expertise**
 10\+ years as a Business Analyst or Product Owner in Wealth Management / Capital Markets.Strong hands\-on experience with Account Opening or Client Onboarding platforms (digital or advisor\-assisted).In\-depth knowledge of:Brokerage \&amp; advisory business modelsClient lifecycle managementRegulatory\-driven onboarding controls
 **Technical \&amp; Delivery Skills**
 Proven experience working in
 **Agile / SAFe environments** 
 as a PO or Lead BA.Strong documentation skills: BRDs, FRDs, user stories, process flows, data mappings.Experience working with
 **core brokerage platforms** 
 , onboarding vendors, or custom\-built solutions.Ability to work closely with engineering teams to clarify requirements and support solution design.
**Preferred Qualifications**
 Experience with large Wealth Management firms, broker\-dealers, or advisory platforms through IT Consulting firms.Exposure to digital transformation or platform modernization initiatives.</t>
        </is>
      </c>
    </row>
    <row r="29">
      <c r="A29" t="inlineStr">
        <is>
          <t>li-4366772550</t>
        </is>
      </c>
      <c r="B29" t="inlineStr">
        <is>
          <t>Technical Product Owner</t>
        </is>
      </c>
      <c r="C29" t="inlineStr">
        <is>
          <t>HealthPlanOne</t>
        </is>
      </c>
      <c r="D29" t="inlineStr">
        <is>
          <t>linkedin</t>
        </is>
      </c>
      <c r="E29">
        <f>HYPERLINK("https://www.linkedin.com/jobs/view/4366772550", "https://www.linkedin.com/jobs/view/4366772550")</f>
        <v/>
      </c>
      <c r="F29" t="inlineStr"/>
      <c r="G29" t="inlineStr">
        <is>
          <t>Shelton, CT</t>
        </is>
      </c>
      <c r="H29" t="inlineStr"/>
      <c r="I29" t="inlineStr">
        <is>
          <t>The Technical Product Owner partners closely with operations, sales, engineering, QA, UX, compliance, marketing and go\-to\-market teams to deliver compliant, scalable, and user\-centered solutions. The Product Owner serves as the voice of the customer and business within agile delivery teams, ensuring solutions improve member outcomes, operational efficiency, and regulatory compliance.
**Duties/Responsibilities:** 
* Partner with Operations and Sales to identify problems that require engineering attention.
* Embed with the Agent Facing team.
* Work closely with VP Product on perpetual prioritization.
* Own and manage the product backlog; write clear user stories, acceptance criteria, and prioritize work based on business value and risk.
* Partner with engineering and UX to deliver high\-quality, on\-time feature functionality.
* Make day\-to\-day product decisions to keep delivery moving efficiently.
* Support user testing.
* Act as the primary liaison between business leaders, operations, and technology.
* Align product priorities with enterprise strategy and roadmap commitments.
* Communicate trade\-offs, progress, and outcomes clearly to stakeholders.
* Leverage analytics, user feedback, and operational data to inform prioritization and measure success.
* Define and track KPIs tied to project outcomes.
* Identify process gaps and opportunities to improve workflows, automation, and user experience.
* Support release planning, UAT, and post\-launch performance evaluation.
* Incorporate learnings into future iterations and roadmap planning.
* Other duties as assigned.
**Required Skills/Abilities:** 
* Bachelor’s degree in healthcare administration, business, or engineering.
* 3\-5 years of experience as a Product Owner, Product Manager, or similar role
* Strong understanding of agile and Scrum methodologies.
* Proven ability to translate complex business or regulatory requirements into clear product stories.
* Excellent communication and stakeholder management skills.
* Excellent verbal and written communication skills.
* Experience using Jira to manage projects.
* Proficient in Microsoft Office products.
**Preferred Skills/Abilities:** 
* Experience in healthcare, health insurance, or regulated health technology
* Knowledge of CMS rules and regulations.
* Experience with payer, provider, Medicare/Medicaid, or healthcare brokerage platforms.
* Experience working with call center, enrollment, claims, or care management workflows.
* Experience working with web analytics platforms (HEAP, Google Analytics, Mixpanel).
**Physical Requirements:** 
* Must be able to remain in a stationary position (e.g., sitting or standing) for extended periods of time, typically in a cubicle environment (constant noise, fluorescent overhead lighting)
* Frequent use of a computer, dual monitors, keyboard, mouse, and other standard office equipment such as a telephone, copier, and printer.
* Must be able to communicate effectively, including exchanging information in person, in writing, by telephone, email or video conferencing.
* Visual and auditory acuity required to perform job duties effectively, including reading, writing, and interpreting information on screens or in print.
* Hand dexterity, fine motor skills needed to operate a keyboard and mouse efficiently
* Reach with hands and arms occasionally
**For Hybrid Roles:** 
* Must be able to commute to an office setting as required, which may include walking short distances and navigating an office environment.
* Occasionally moves about the office to access files, office machinery, and meet with others.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30">
      <c r="A30" t="inlineStr">
        <is>
          <t>li-4359716245</t>
        </is>
      </c>
      <c r="B30" t="inlineStr">
        <is>
          <t>Product Manager</t>
        </is>
      </c>
      <c r="C30" t="inlineStr">
        <is>
          <t>REHAU Window Solutions</t>
        </is>
      </c>
      <c r="D30" t="inlineStr">
        <is>
          <t>linkedin</t>
        </is>
      </c>
      <c r="E30">
        <f>HYPERLINK("https://www.linkedin.com/jobs/view/4359716245", "https://www.linkedin.com/jobs/view/4359716245")</f>
        <v/>
      </c>
      <c r="F30" t="inlineStr"/>
      <c r="G30" t="inlineStr">
        <is>
          <t>Leesburg, VA</t>
        </is>
      </c>
      <c r="H30" t="inlineStr"/>
      <c r="I30" t="inlineStr">
        <is>
          <t>The job holder is responsible for program development, sales preparation, and sales in relation to the defined product/program areas.
 In doing so, he/she is responsible for defining strategic, global, or cross\-regional tasks and has authority to issue guidelines for the market areas.
**Responsibilities:** 
* Responsible for the income statement and profit and loss statement for the defined product/program areas (in their area).
* Develops (in coordination with the market areas) the strategy and strategic planning (sales, EBIT, investments) for the defined product/program areas.
* Formulates guidelines for market development and sales structures (in the market areas) in relation to the defined product/program areas.
* Controls the program and process orientation of the area by communicating and implementing the strategy and product concept in the market areas.
* Defines the global supply chain concept (manufacturing, production concepts, plant networks) in coordination with OPS in relation to the defined product/program areas.
* Allocates production capacities and, if necessary, designs the creation of new capacities.
* Ensures the profitability and return on invest.
* Manages communication of the strategy and product concept.
* Responsible for the development and refinement of product variants related to the defined product/program areas based on feedback from the market areas.
* Leads the development of solution concepts by identifying global market and customer requirements.
* Increases sales potential by proactively identifying and responding to global market trends
* Maintains dialogue with customers regarding current and potential product developments
* Negotiates with global/international key accounts.
* Represents the division at relevant industry events.
* Organizes and leads regular cross\-market area division conferences for strategy development and coordination regarding products, sales and marketing concepts, and customers
* Leads and supports the division in change processes
**Qualifications:** 
* Bachelor's degree or equivalent
* 5\+ years of experience in Product and client management.
* Project leading.
* Background in window manufacturing or construction is a PLUS
* Advance Excel skills.
* Strong written, verbal and communication skills</t>
        </is>
      </c>
    </row>
    <row r="31">
      <c r="A31" t="inlineStr">
        <is>
          <t>li-4366782858</t>
        </is>
      </c>
      <c r="B31" t="inlineStr">
        <is>
          <t>Technical Product Owner With Fintech</t>
        </is>
      </c>
      <c r="C31" t="inlineStr">
        <is>
          <t>VySystems</t>
        </is>
      </c>
      <c r="D31" t="inlineStr">
        <is>
          <t>linkedin</t>
        </is>
      </c>
      <c r="E31">
        <f>HYPERLINK("https://www.linkedin.com/jobs/view/4366782858", "https://www.linkedin.com/jobs/view/4366782858")</f>
        <v/>
      </c>
      <c r="F31" t="inlineStr"/>
      <c r="G31" t="inlineStr">
        <is>
          <t>Berkeley Heights, NJ</t>
        </is>
      </c>
      <c r="H31" t="inlineStr"/>
      <c r="I31" t="inlineStr">
        <is>
          <t>experience in using product management tools, such as JIRA or Trello
 2\+ years of experience with Agile methodologies, such as Scrum or Kanban
 Experience coding: Golang, Java, JavaScript, Python, Bash
 Scrum certification and/or training
 Experience in financial regulations</t>
        </is>
      </c>
    </row>
    <row r="32">
      <c r="A32" t="inlineStr">
        <is>
          <t>li-4366792873</t>
        </is>
      </c>
      <c r="B32" t="inlineStr">
        <is>
          <t>Product Manager II - Credit Building</t>
        </is>
      </c>
      <c r="C32" t="inlineStr">
        <is>
          <t>Super.com</t>
        </is>
      </c>
      <c r="D32" t="inlineStr">
        <is>
          <t>linkedin</t>
        </is>
      </c>
      <c r="E32">
        <f>HYPERLINK("https://www.linkedin.com/jobs/view/4366792873", "https://www.linkedin.com/jobs/view/4366792873")</f>
        <v/>
      </c>
      <c r="F32" t="inlineStr"/>
      <c r="G32" t="inlineStr"/>
      <c r="H32" t="inlineStr"/>
      <c r="I32" t="inlineStr">
        <is>
          <t>**About Super.com**
 We started Super.com to help maximize lives–both the lives of our customers and the lives of our team – so that everyone can experience all that life has to offer. For our employees, our promise is that Super.com is more than just a job; it’s an opportunity to unlock one’s potential, where learning is celebrated and impact is realized.
 We are more than a fast\-paced, high\-growth tech company; we care about our people and take career progression seriously. This is your career and our aim is to supercharge it through the people, the work, and the programs that fuel who we are.
**About The Role**
 This is a critical role of ‘Co\-pilot’ Product Manager II for our “Credit Building” Mission Aligned Team (MAT) to help everyday Americans build their credit score so they can get more out of life.
 You will be responsible for building credit building tools, capabilities and experiences for everyday Americans which translates into a sustainable and scalable business. You will be primarily responsible for execution across acquisition, activation, engagement, retention, LTV:CAC, and other key metrics, for our existing credit building products and any new products that help members build credit.
 As you lead execution of this space, you will work directly with the MAT Lead (Senior PM), who is accountable for the outcomes of this team and will report directly to the Sr. Group PM for Financial Products who will be your coach throughout this journey. You will regularly interface with and present to executives (GM, CTO, SVP Product, etc.) on a routine basis. You will collaborate with design, engineering, data, growth, legal, compliance and many other cross\-functional partners to write PRDs, organize and execute sprints, perform analysis, deliver outcomes and support product strategy. We are looking for someone who is excellent at leading execution for 0\-1 products, drives teams to execute in ambiguous circumstances, and is able to dig deep into the data, extract key insights, and make critical decisions based on analysis. We want someone with a strong bias for action, takes ownership, and brings solutions to problems we didn’t know existed.
**About The Team**
 The Credit Building team’s mission is to help members improve their credit in a way that is transparent, accessible, and genuinely effective. The team owns the end\-to\-end credit building experience, including the Super.com secured credit card, reporting (rent, payments, credit utilization) and monitoring, onboarding, and engagement, with a focus on long\-term customer outcomes and sustainable business growth.
 The team operates with high ownership and strong execution, partnering closely with design, engineering, risk, legal, compliance and partner bank to ship responsibly and move fast. Product managers are expected to think holistically across user experience, data, and business impact, iterate quickly based on real behavior, and make clear tradeoffs. This team plays a critical role in Super.com’s strategy and builds products that have real, measurable impact on people’s financial lives.
**What You’ll Be Working On**
* Drive outcomes through execution \- Deliver, end to end, on the OKRs working with your MAT lead and teammates. Update the appropriate stakeholders as to challenges, wins, and blockers. Do whatever it takes for your team to win
* Execute on the Roadmap \- Be responsible for end to end execution of your cross\-functional MAT team, and the outcomes of the team. Collaborate and lead in sprint and agile ceremonies deep in the weeds to get teams unblocked and work with the MAT lead to plan out where the team is headed at the top level. Own the roadmap from end to end in terms of output and impact.
* Write, Launch, and Study PRDs \&amp; Experiments \- Create detailed documentation for products and experiments, A/B test, smoke test, and launch in a myriad of other ways, and study the impact of these products and make decisions on outcomes. Define and study the best KPIs that define winning.
* Manage Stakeholders \- Influence key leaders (Sr. GPM, Directors, Managers, MAT leads etc) and adjacent MAT lead teammates. Keep your vertical and product colleagues in step with you, be in step with them, and operate as an effective execution leader.
* Analyze, Research, and Assess \- Dig deep into Amplitude, interviews, UXR research, Hotjar, and many other tools to understand the customer, their needs and jobs to be done, the performance of the product and business, and more, so that you make strong, data\-driven decisions. Present insights to key leaders on a routine basis.
* Own the Experience \- Take accountability for the customer experience from end to end in your domain, ensuring the customers needs are met with high quality products. Know when to compromise and put your foot down, and truly solve your customer’s problems.
* Build Customer Empathy \- Research, listen to, and understand our customers and their needs along with the unique financial situations and jobs to be done they face. Actively use and engage with the product to QA what we’re building and build empathy for the people who use our products on a daily basis.
**What We’re Looking For**
* 3\+ years of B2C FinTech product management, with prior experience in finding PMMC fits, Growth, Retention focused product development
* Background in financial products, with consumer fintechs, or similar
* 3\+ years collaborating with design, engineering, and data teams
* 1\+ years experience working with Growth (Ads, Landing page optimization, activation)
* Can show successful products in the market that you’ve shipped 0 to 1 and that you’ve worked on from 1 to 10
* Strong project management \&amp; excellent communication skills with immediate teams, engineers, designers, executives (written, oral, and presentational)
* Strong leadership of teams and stakeholders with an ability to drive large meetings effectively and execute with authority
* Data driven analytical thinking, and back statements up with facts and examples.
* Ability to thrive in ambiguity with a strong bias for action.
* Humble, flexible, and willing to jump into weeds and able to jump back up to the right altitude. Gets your hands dirty in execution mode routinely and then shifts to think about what is ahead in 3 months.
**Bonus Points For**
* Background in FinTech or building Credit Building products
* Background in data analytics or engineering
* Mastery of product management principles (e.g. Reforge, PMMC fit, etc)
* Experience working directly with Amplitude, Figma, Jira, Notion, Looker, and Google Suite
* Deep understanding of subscription and membership models and space
* Experience with UXR and customer, competitive, and market research
 At Super.com, we believe in supporting our team so they can thrive—both at work and in life.
* Remote\-First Flexibility: Work from anywhere in the world and choose the hours that suit you best. We trust you to get great work done on your terms.
* Time to Recharge: Enjoy unlimited PTO, company\-wide recharge days, and annual team offsites.
* Everyday Perks: Weekly UberEats credits and travel discounts on SuperTravel help you enjoy the little things.
* Family\-Friendly Benefits: We support growing families with generous parental leave and a flexible return\-to\-work plan.
* Comprehensive Compensation: Competitive salary, equity options, and top\-tier benefits starting on day one.
* Investing in You: Access to wellness budgets, personal development funds, and team\-level learning resources.
 At Super.com, we are proud to leverage cutting\-edge artificial intelligence (AI) technology to make our hiring process smarter, faster, and more inclusive. By integrating AI tools into our recruitment, we enhance our ability to identify top talent efficiently while promoting fairness and consistency for every applicant.
 Super.com is an equal opportunity employer. We do not discriminate on the basis of race, religion, color, national origin, gender, sexual orientation, age, marital status, veteran status, or disability status.
 Accommodations are available on request for candidates taking part in all aspects of the selection process. If needed, please notify your Talent Acquisition Partner.
 Compensation Range: $105K \- $144K</t>
        </is>
      </c>
    </row>
    <row r="33">
      <c r="A33" t="inlineStr">
        <is>
          <t>li-4366901843</t>
        </is>
      </c>
      <c r="B33" t="inlineStr">
        <is>
          <t>Product Manager, Banking as a Service</t>
        </is>
      </c>
      <c r="C33" t="inlineStr">
        <is>
          <t>Stripe</t>
        </is>
      </c>
      <c r="D33" t="inlineStr">
        <is>
          <t>linkedin</t>
        </is>
      </c>
      <c r="E33">
        <f>HYPERLINK("https://www.linkedin.com/jobs/view/4366901843", "https://www.linkedin.com/jobs/view/4366901843")</f>
        <v/>
      </c>
      <c r="F33">
        <f>HYPERLINK("https://stripe.com/jobs/listing/product-manager-banking-as-a-service/7561053?gh_src=73vnei&amp;urlHash=32vL", "https://stripe.com/jobs/listing/product-manager-banking-as-a-service/7561053?gh_src=73vnei&amp;urlHash=32vL")</f>
        <v/>
      </c>
      <c r="G33" t="inlineStr">
        <is>
          <t>Chicago, IL</t>
        </is>
      </c>
      <c r="H33" t="inlineStr"/>
      <c r="I3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BaaS team enables users to build and launch successful card programs and financial features into their product using powerful programmatic APIs. The team creates the infrastructure, user facing abstractions, and partner integrations needed to manage the lifecycle of a card, enable money movement, and increase spend. This is a great opportunity to help build one of Stripe’s fastest growing businesses. Our top users span fintechs to large enterprises \&amp; cover a range of verticals including Buy Now Pay Later, vertical SaaS platforms, on\-demand marketplaces, expense management platforms, fleet, travel \&amp; more. What you’ll do
 As a Product Manager within our Banking as a Service team, you’ll have the opportunity to own core APIs, embedded and hosted experiences, and partner integrations. This role will play a critical role in delivering sophisticated financial services products to our users, with as small a footprint of technical and operational complexity required. This is a highly complex and challenging role that will require you to deeply understand user needs and collaborate across internal and partner teams to build and launch a seamless product experience at scale.
 We need a strong Product Manager with expertise in end\-user facing and/or platform products to realize this aspiration. This Product Manager will spend significant time with senior customer stakeholders to discuss strategy and roadmap, with external developers understanding their current pain points and needs, end users to build delightful experiences, and Stripe’s sales leadership to help win new business on Stripe.
**Responsibilities**
* Own key user journeys, from integration to core business operation
* Help shape the direction, define product strategy, and establish practices to address user needs
* Collaboratively partner with other Stripe teams (engineering, design, legal, risk, compliance, etc.) early in the product development lifecycle and jointly shape product plans that lead with delightful onboarding and integration experiences
* Own the roadmap and go to market, with product marketing, of your BaaS product area
* Act as the voice of the user in product and API designs, gathering direct feedback from customers
* Ensure we’re building in a scalable, performant way
 Who you are
**We're Looking For Someone Who**
* Brings 8\+ years of experience in a product role
* Strong focus on user\-experiences, from front\-end UI through developer docs and technical integrations
* Has an obsession over product quality
* Has domain knowledge in financial products, particularly card issuing, funds storage, or remittance
* Has experience building platform and/or API products
* Has strong written and verbal communication skills with a talent for precise articulations of customer problems
* Can put themselves in the shoes of their users and be a steward of crafting great experiences
* Enjoys being a generalist working on whatever it takes to solve problems and delight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$162,400 \- $243,600\.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4">
      <c r="A34" t="inlineStr">
        <is>
          <t>li-4366916484</t>
        </is>
      </c>
      <c r="B34" t="inlineStr">
        <is>
          <t>Senior Growth Product Manager</t>
        </is>
      </c>
      <c r="C34" t="inlineStr">
        <is>
          <t>Kit</t>
        </is>
      </c>
      <c r="D34" t="inlineStr">
        <is>
          <t>linkedin</t>
        </is>
      </c>
      <c r="E34">
        <f>HYPERLINK("https://www.linkedin.com/jobs/view/4366916484", "https://www.linkedin.com/jobs/view/4366916484")</f>
        <v/>
      </c>
      <c r="F34" t="inlineStr"/>
      <c r="G34" t="inlineStr"/>
      <c r="H34" t="inlineStr"/>
      <c r="I34" t="inlineStr">
        <is>
          <t>Kit is an email\-first operating system for creators who mean business. We help creators grow and monetize their audience with ease. For coaches, YouTubers, authors, podcasters, and other creatives, there isn't a better marketing hub to rely on to grow audiences, automate email marketing, and sell digital products — all within one platform.
 More importantly, there isn't a team more committed to helping creators earn a living. We're on a mission to help creators earn $1 billion using our creator marketing platform. We have always been 100% independent and 100% remote.
 We are proud to have built a product that our customers love, and we look for people who have enthusiasm and belief in our mission, vision, and values to join our team. We're also embracing AI thoughtfully — both in how we build and how we hire to ensure our team is adaptable, innovative, and ready for what's next.
****The role****
 Growth at Kit isn't a side function \- it's core to our product strategy. We're looking for a
 **Senior Product Growth Manager** 
 to drive high\-impact growth initiatives across activation, monetization, and expansion that help creators succeed faster and more predictably.
 This role is about building durable growth systems that compound over time, not one\-off tactics. You'll own key growth surfaces end\-to\-end \- from identifying opportunities to shipping experiments to scaling what works.
 This is a full\-time senior IC role ideal for someone who thrives on measurable impact, enjoys hypothesis\-driven experimentation, and is excited to shape how growth systems work at a scaling company.
****Your support system****
 You'll report to Katie Swett Miller, our Chief Product Officer and collaborate closely with Engineering, Design, Data, Marketing, and Lifecycle teams. You'll partner across functions to ensure alignment between product experiences and go\-to\-market efforts, while having access to a peer group of Product Managers across Kit for support and mentorship.
****What you'll do****
* First Week: Dive into Kit's product ecosystem, growth metrics dashboards, and current experimentation framework. Attend Get\-To\-Know\-You (GTKY) meetings with cross\-functional partners. Get access and learn key tools like Linear, Mixpanel, Omni, and our experimentation platform.
* First Month: Analyze onboarding flows and activation funnels to understand current conversion patterns. Review past experiments and their outcomes. Present your observations and opportunity areas to the team.
* First Six Months: Own and evolve your product\-led growth roadmap with at least 3\-5 shipped experiments. Lead hypothesis\-driven tests that reduce friction in key workflows. Partner with Data to establish clear success metrics and translate insights into product decisions. Successfully improve a core growth metric (activation, conversion, or expansion).
* First Year: Drive measurable improvement across Kit's growth funnel through systematic experimentation and scaled solutions. Build durable growth systems that contribute meaningfully to Kit's 2025 revenue target and our long\-term vision of $100,000,000 ARR from 250,000 creators. Establish yourself as a trusted growth product leader whose work compounds over time.
****What will S.E.T. you up for success****
**Skills**
* Product\-led growth expertise (funnel optimization, experimentation, conversion)
* Data\-informed decision making and quantitative analysis
* Hypothesis development and experiment design
* Strong product judgment and prioritization
* Systems thinking and building for scale
* Cross\-functional influence and collaboration
* Clear written and verbal communication
**Experiences**
* 6\-9\+ years in product management with significant ownership of growth metrics (activation, conversion, retention, expansion)
* Proven track record driving measurable product\-led growth in consumer or prosumer products
* Deep experience with experimentation frameworks and funnel analysis
* Led growth initiatives from opportunity identification through scaled impact
* Partnered closely with data science or analytics teams
* Exposure to platform or lifecycle growth loops
**Traits**
* High ownership and autonomy in ambiguous environments
* Comfort balancing short\-term wins with long\-term platform health
* Systems thinker who builds foundations, not just features
* Low ego, strong collaborator who influences without authority
* Intellectually curious with a bias toward learning
* Clear communicator who can articulate strategy, tradeoffs, results at multiple levels
* Customer\-focused while maintaining business discipline
****What won't set you up for success****
* Seeking highly structured environments with predetermined solutions
* Preferring tactics over systems thinking
* Needing extensive direction to identify opportunities
* Discomfort with data\-driven decision making and experimentation
* Prioritizing features shipped over outcomes achieved
* Difficulty distinguishing signal from noise in ambiguous situations
****Working hours and location****
 We're 100% remote with team members across the globe. We work mostly on East Coast time—so if you're based on the West Coast of the United States, Europe, or Asia, you might have a few early mornings or late evenings. We do our best to keep things reasonable, but a little time zone juggling comes with the territory.
****Compensation \+ perks \+ benefits****
 Kit has standardized salaries based on position, no matter where you live. For this role, we're hiring at our level 4 ($173,000\). Level is determined based on experience and our interview process.
****Perks \+ benefits include:****
* Profit Sharing
* Kit equity
* 401k with a 5% match
* We cover up to $2,100 per month toward medical premiums, with dental and vision premiums fully covered. We offer Health Insurance plans through Aetna
* $2,000 equipment allowance for your first two years, $1,000 budget every following two years. Company\-provided laptops are issued to every Kit team member and are not included in the equipment budget
* Individual learning \+ development budget ($3,500/year)
* Gender affirming benefits
* Childcare benefit up to $3,000 annually
* Twenty (20\) days of paid time off during each year of employment
* Paid paid vacation: An after\-tax bonus of $1,000 for taking five consecutive days of vacation where you’re fully unplugged from work
* Ten (10\) paid holidays a year
* Two weeks of paid sick time each year, including mental health \+ well being days
* Twelve (12\) weeks paid parental leave and flexible scheduling in your child’s first year
* Up to six weeks of paid bereavement leave, medical leave, and disaster after six months of employment, two weeks of each paid leave in your first six months
* Winter Break Closure: Kit closes for a week at the end of December, giving everyone a collective break to enjoy the holiday season. Essential support services remain available, with teams coordinating to ensure coverage during this period
* Four\-week, paid sabbatical after five years with the team
* Fantastic in\-person or virtual retreats with the team twice a year
****How to apply****
 We usually receive a large number of applications, and our goal is to follow up with you within two weeks. You’ll hear from us either way. Here’s what you can expect from the rest of our hiring process:
* A phone screen with our recruiter
* Hiring manager interview
* Take\-home assignment
* Panel interview with cross functional stakeholders
* Final interview
 We’ll keep you informed through every step. To get started, complete this application, including a cover letter and answers to the questions on the next page. We read every single application, and your cover letter and responses help put your experience into context.
**Kit is an equal opportunity employer**
 We value diversity in all of its forms. Research tells us that applicants who are female or non\-binary, as well as applicants who are people of color, are less likely to apply for roles they do not feel 100% qualified for. If you think you meet more than 50% of our requirements but fewer than 100% of them, please apply.
 We’re imperfect communicators, so think of our job postings as the starting point for discussion rather than proof that you shouldn’t apply.
 Kit does not discriminate on the basis of race, sex, color, religion, age, national origin, marital status, disability, veteran status, genetic information, sexual orientation, gender identity or any other reason prohibited by law in provision of employment opportunities and benefits.
 Compensation Range: $173K</t>
        </is>
      </c>
    </row>
    <row r="35">
      <c r="A35" t="inlineStr">
        <is>
          <t>li-4356481745</t>
        </is>
      </c>
      <c r="B35" t="inlineStr">
        <is>
          <t>Product Manager</t>
        </is>
      </c>
      <c r="C35" t="inlineStr">
        <is>
          <t>IBM</t>
        </is>
      </c>
      <c r="D35" t="inlineStr">
        <is>
          <t>linkedin</t>
        </is>
      </c>
      <c r="E35">
        <f>HYPERLINK("https://www.linkedin.com/jobs/view/4356481745", "https://www.linkedin.com/jobs/view/4356481745")</f>
        <v/>
      </c>
      <c r="F35" t="inlineStr"/>
      <c r="G35" t="inlineStr">
        <is>
          <t>San Jose, CA</t>
        </is>
      </c>
      <c r="H35" t="inlineStr"/>
      <c r="I35"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This role is for someone who has prior experience in the cybersecurity space with expertise in secrets management, static/dynamic secrets, PKI, compliance, threat monitoring, and is familiar with enterprise SDLC and loves to interact with large customers and their complex use cases \&amp; requirements.
**Your Responsibilities**
* Perform market and competitive analysis, develop insights and contribute to the overall product vision \&amp; strategy
* Prioritize the product roadmap by taking feedback from customer, field teams, community practitioners and other internal \&amp; external stakeholders
* Author detailed Product Requirement Documents (PRDs) to distill user/market research into requirements for engineering to deliver
* Collaborate with engineering, design, PMM, and other internal stakeholders to execute on high customer impact product initiatives
* Keep field teams (SEs, account managers, SMEs etc) and Marketing updated on feature releases and keep Engineering informed on feature requests
* Help with Sales and Marketing enablement to educate on the product story and features (website copy, whitepapers, sales decks, FAQs, etc)
* Assist field teams with customer conversations, roadmap presentations, demos etc
**Preferred Education**
 Bachelor's Degree
**Required Technical And Professional Expertise**
* 5\+ years of product management experience with a enterprise security product
* Exceptional verbal and written communication skills
* Ability to organize multiple stakeholders towards a common goal
* Analytical with the ability to prioritize and make tradeoffs
* Strong technical acumen, with a solid understanding of privileged access, IAM, cloud and the security space in general
* Proven approach to delivering products with an eye toward End\-User Experience
**Preferred Technical And Professional Experience**
* Defining the product roadmap and strategy
* Writing product requirements documents (PRDs)
* Deep collaboration with Engineering teams
* Leading sales engineer and support education sessions
* Enabling the community and partner contributions
* Conduct customer interviews
* Perform market research
* Backlog management</t>
        </is>
      </c>
    </row>
    <row r="36">
      <c r="A36" t="inlineStr">
        <is>
          <t>li-4366510861</t>
        </is>
      </c>
      <c r="B36" t="inlineStr">
        <is>
          <t>Senior Product Manager</t>
        </is>
      </c>
      <c r="C36" t="inlineStr">
        <is>
          <t>Strategic Employment Partners (SEP)</t>
        </is>
      </c>
      <c r="D36" t="inlineStr">
        <is>
          <t>linkedin</t>
        </is>
      </c>
      <c r="E36">
        <f>HYPERLINK("https://www.linkedin.com/jobs/view/4366510861", "https://www.linkedin.com/jobs/view/4366510861")</f>
        <v/>
      </c>
      <c r="F36" t="inlineStr"/>
      <c r="G36" t="inlineStr">
        <is>
          <t>San Francisco, CA</t>
        </is>
      </c>
      <c r="H36" t="inlineStr"/>
      <c r="I36" t="inlineStr">
        <is>
          <t>We’re a high\-growth tech company modernizing a large, legacy industry. This role leads the strategy and execution for our eCommerce platform, partnering closely with engineering, design, marketing, sales, and data teams. You’ll build products and services that help manufacturers and distributors increase sales through data\-driven insights, targeted marketing services, and optimized merchandising. Experience in both eCommerce and advertising technology is strongly preferred to drive growth and monetization.
*\*\*This role is primarily remote; you may be asked to attend up to 1–2 in\-person meetings per month at a coworking space in downtown San Francisco.* 
**Qualifications** 
* 5\+ years of product management experience, with a strong background in eCommerce and adtech
* Technical fluency to collaborate effectively with engineering on APIs, data, and system constraints
* Strong analytical skills; comfort with experimentation, dashboards, and data\-driven decisions
* Excellent verbal and written communication; clear, structured storytelling
* Proven leadership driving cross\-functional teams to successful outcomes
* Adaptable in fast\-paced environments; skilled at prioritization and trade\-offs
* Curiosity and comfort using AI tools for rapid prototyping and exploration
**Preferred experience** 
* Familiarity with the foodservice ecosystem
* Building adtech\-enabled features such as campaign tools, targeting, attribution, and reporting
* Designing distributed systems focused on reliability, scalability, and fault tolerance
* Data pipelines and event\-driven architectures supporting real\-time decisions and analytics
* Experimentation platforms (A/B testing), metrics instrumentation, and performance tuning
**Why Join** 
* High\-impact ownership on a revenue\-critical platform
* Innovative environment focused on building real value for customers
* Competitive compensation: base salary, stock options, medical, dental, vision, 401(k), unlimited PTO
* Remote flexibility with an engaged Bay Area team</t>
        </is>
      </c>
    </row>
    <row r="37">
      <c r="A37" t="inlineStr">
        <is>
          <t>li-4366514012</t>
        </is>
      </c>
      <c r="B37" t="inlineStr">
        <is>
          <t>Product Manager</t>
        </is>
      </c>
      <c r="C37" t="inlineStr">
        <is>
          <t>Eccalon, LLC</t>
        </is>
      </c>
      <c r="D37" t="inlineStr">
        <is>
          <t>linkedin</t>
        </is>
      </c>
      <c r="E37">
        <f>HYPERLINK("https://www.linkedin.com/jobs/view/4366514012", "https://www.linkedin.com/jobs/view/4366514012")</f>
        <v/>
      </c>
      <c r="F37">
        <f>HYPERLINK("https://recruiting.myapps.paychex.com/appone/MainInfoReq.asp?R_ID=7048608&amp;B_ID=91&amp;fid=1&amp;Adid=0&amp;ssbgcolor=5B5B5B&amp;SearchScreenID=23884&amp;CountryID=3&amp;LanguageID=2&amp;urlHash=Nqcg", "https://recruiting.myapps.paychex.com/appone/MainInfoReq.asp?R_ID=7048608&amp;B_ID=91&amp;fid=1&amp;Adid=0&amp;ssbgcolor=5B5B5B&amp;SearchScreenID=23884&amp;CountryID=3&amp;LanguageID=2&amp;urlHash=Nqcg")</f>
        <v/>
      </c>
      <c r="G37" t="inlineStr">
        <is>
          <t>Detroit, MI</t>
        </is>
      </c>
      <c r="H37" t="inlineStr"/>
      <c r="I37" t="inlineStr">
        <is>
          <t>**Description**
* This is an on\-site position, NOT remote/hybrid\*\*\*
**Travel: 15% (Domestic trade shows, supplier visits, athlete/coach insight** 
 s)
**Job Description**
 The Product Manager is responsible for owning the full product life cycle of Epoch Sports’ hard\-goods equipment (e.g., lacrosse, hockey, and baseball/softball lines) from concept through end\-of\-life. Operating out of our Detroit headquarters and collaborating daily with Engineering, Design, Manufacturing, Marketing, Sales, and Finance, the Product Manager will translate athlete insights and market analytics into profitable, best\-in\-class products that reinforce Epoch’s reputation for performance and innovation.
**Key Responsibilities** 
* Strategy \&amp; Road\-Mapping
+ Build and maintain a 3\-year product roadmap aligned with corporate strategy, category trends, and revenue/profit targets.
+ Conduct market segmentation, competitor benchmarking, pricing analysis, and consumer research to identify white\-space opportunities
* New Product Development (NPD)
+ Author product briefs with clear value propositions, feature sets, volumes, cost targets, and launch timing; secure cross\-functional approval through stage\-gate process.
+ Serve as the Program Manager for assigned NPD projects—driving timeline adherence, risk mitigation, and milestone communication.
+ Champion voice\-of\-customer (VOC) testing with athletes, coaches, and dealers; translate feedback into actionable design requirements.
* Lifecycle Management
+ Monitor sell\-through, margin, and inventory health post\-launch; drive cost\-reduction, line extensions, or end\-of\-life decisions.
+ Collaborate with Operations and Finance to manage SKU rationalization and maintain optimal inventory turns.
* Commercial Readiness
+ Partner with Marketing to build go\-to\-market (GTM) assets—positioning statements, feature/benefit narratives, packaging, POP, and digital content.
+ Train Sales Reps, Customer Service, and Retail Partners on product knowledge, differentiation, and competitive advantages.
+ Source additional manufacturing equipment to bring products to market.
* Financial Ownership
+ Own P\&amp;L for assigned categories—set pricing, forecast volumes, track COGS, and optimize gross margin.
+ Prepare business cases and ROI analyses for capital expenditures or tooling investments.
* Continuous Improvement \&amp; Innovation
+ Stay abreast of emerging materials, technologies, and consumer trends; recommend patent or IP opportunities.
+ Facilitate cross\-functional retrospectives to capture lessons learned and refine the Product Development Process (PDP).
**Qualifications**
* Bachelor’s degree in Business, Engineering, Industrial Design, Sports Management, or a related field.
* 3–5 years of product management experience in consumer goods; sporting\-goods or performance equipment strongly preferred.
* Demonstrated success launching products from concept through commercialization with measurable revenue impact.
* Proficiency in data analytics tools (Excel, Power BI, Tableau, or similar) and familiarity with PLM/ERP systems.
* Strong project\-management skills—ability to lead cross\-functional teams, manage overlapping priorities, and hit aggressive timelines.
* Excellent written and verbal communication skills; comfortable presenting to executives, retailers, and end\-users.
* Passion for sports and understanding of athlete performance needs; lacrosse, hockey, or baseball background a plus.
**Preferred Qualifications**
* MBA or Master’s in Product Design/Engineering.
* Experience with Lean Product Development or Agile methodologies.
* Knowledge of materials science (composites, polymers), protective equipment standards, or sports governing\-body certification processes (NOCSAE, ASTM, CSA).
**Work Environment and Physical Demands**
* Office, R\&amp;D lab, and production floor settings; may require occasional use of PPE
* Ability to lift up to 25 lbs. for product samples/field testing
* Willingness to attend weekend tournaments, clinics, and trade shows several times per year.
 About the Organization Eccalon provides global solutions to the most challenging technological issues of the 21st\-century, and our evolving portfolio spans five major markets: Machine Learning, Cybersecurity, Aerospace \&amp; Defense, Material Sciences, Advance Manufacturing, Sports Science, Biotechnology, and Health \&amp; Life Sciences.
 Why Join Us?
 Eccalon's Executives foster a supportive work environment allowing our teams to thrive, and have a fierce dedication to innovation, security, and people. Our culture is built on inclusion, teamwork, trust, and we are committed to offering career advancement opportunities to all employees. Encouraging a healthy and balanced life, we offer an extensive benefits package to support the wellness of our employees and their families. You will be joining a team of innovators, working with cutting edge technologies, supporting mission critical projects, and making an impact.
 Apply today to advance your career!
 EOE Statement Eccalon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EEO is the law.</t>
        </is>
      </c>
    </row>
    <row r="38">
      <c r="A38" t="inlineStr">
        <is>
          <t>li-4366494594</t>
        </is>
      </c>
      <c r="B38" t="inlineStr">
        <is>
          <t>EverHealth - Product Manager: Document Management</t>
        </is>
      </c>
      <c r="C38" t="inlineStr">
        <is>
          <t>RemoteHunter</t>
        </is>
      </c>
      <c r="D38" t="inlineStr">
        <is>
          <t>linkedin</t>
        </is>
      </c>
      <c r="E38">
        <f>HYPERLINK("https://www.linkedin.com/jobs/view/4366494594", "https://www.linkedin.com/jobs/view/4366494594")</f>
        <v/>
      </c>
      <c r="F38" t="inlineStr"/>
      <c r="G38" t="inlineStr"/>
      <c r="H38" t="inlineStr"/>
      <c r="I38" t="inlineStr">
        <is>
          <t>About the Opportunity:
 Medical practices spend significant uncompensated time managing inbound and outbound documents—reviewing faxes, filing records, routing tasks, and coordinating approvals. This work is essential, fragmented, and largely manual.
 As the Product Manager overseeing Document Management functions, you are responsible for improving how practices ingest, understand, route, and act on documents, reducing unnecessary human steps and cognitive load. Your work supports the organization’s goal of reducing uncompensated time around a visit, currently estimated at about eight minutes per visit.
 This is an individual contributor role with end\-to\-end ownership of the document management product area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Collaborate with design and engineering to deliver solutions that reduce manual document handling; translate requirements into user stories and work within an Agile environment.
 • Apply automation and AI to classify and summarize documents, file them correctly, and trigger downstream workflows such as tasking, routing, and provider sign\-off.
 • Ensure solutions are scalable and extensible across products. Define clear success metrics and be accountable for results.
 Requirements:
 • Five or more years of product management experience.
 • Proven ability to own complex, workflow\-driven product areas and deliver measurable outcomes.
 • Strong product discovery skills and comfort operating in ambiguity.
 • Experience with healthcare workflows or EHRs preferred.
 • Track record of shipping practical solutions adopted by teams and customers.
 • Basic foundational knowledge of AI and LLMs preferred.
 Benefits \&amp; Perks:
 • Flexibility to work in\-office, remote, or hybrid within the country of employment
 • Robust health and wellness benefits, including an annual wellness stipend
 • Professional development investment through Udemy
 • 401k or RRSP with company match
 • Flexible and generous paid time off
 • Employee Stock Purchase Program
 Compensation:
 • The annual base salary range for this position is $110,000 to $125,000 USD per year.
 • Salary range is a general guideline combining distinct labor markets within the US.
 • Compensation decisions consider position scope, candidate experience, location, education, skills, internal equity, market data, and business considerations.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li-4366511355</t>
        </is>
      </c>
      <c r="B39" t="inlineStr">
        <is>
          <t>Product Manager, Principal</t>
        </is>
      </c>
      <c r="C39" t="inlineStr">
        <is>
          <t>Strategy</t>
        </is>
      </c>
      <c r="D39" t="inlineStr">
        <is>
          <t>linkedin</t>
        </is>
      </c>
      <c r="E39">
        <f>HYPERLINK("https://www.linkedin.com/jobs/view/4366511355", "https://www.linkedin.com/jobs/view/4366511355")</f>
        <v/>
      </c>
      <c r="F39" t="inlineStr"/>
      <c r="G39" t="inlineStr">
        <is>
          <t>Tysons Corner, VA</t>
        </is>
      </c>
      <c r="H39" t="inlineStr"/>
      <c r="I39" t="inlineStr">
        <is>
          <t>**Company Description**
**Strategy (Nasdaq: MSTR)** 
 is at the forefront of transforming organizations into intelligent enterprises through data\-driven innovation. We don't just follow trends—we set them and drive change. As a market leader in enterprise analytics and mobility software, we've pioneered the BI and analytics space, empowering people to make better decisions and revolutionizing how businesses operate.
 But that's not all. Strategy is also leading a groundbreaking shift in how companies approach their treasury reserve strategy, boldly adopting Bitcoin as a key asset. This visionary move is reshaping the financial landscape and solidifying our position as a forward\-thinking, innovative force in the market. Four years after adopting the Bitcoin Standard, Strategy's stock has outperformed every company in the S\&amp;P 500\.
 Our people are the core of our success. At Strategy, you'll join a team of smart, creative minds working on dynamic projects with cutting\-edge technologies. We thrive on curiosity, innovation, and a relentless pursuit of excellence.
 Our corporate values—bold, agile, engaged, impactful, and united—are the foundation of our culture. As we lead the charge into the new era of AI and financial innovation, we foster an environment where every employee's contributions are recognized and valued.
 Join us and be part of an organization that lives and breathes innovation every day. At Strategy, you're not just another employee, you're a crucial part of a mission to push the boundaries of analytics and redefine financial investment
**Job Description**
**Job Description**
**The Role** 
 The Product Management team at Strategy sits at the intersection of customer need, market opportunity, and technological innovation, directly shaping our product vision and continuous evolution. As a Product Manager, your focus will span from understanding customer challenges and market dynamics to defining solutions, driving adoption, and achieving measurable business outcomes.
 You'll thrive in a dynamic, fast\-paced environment where no two days look alike. Leveraging your customer empathy and market insights, you'll identify high\-impact capabilities and enhancements, translating them into strategic product initiatives. Your success will be measured by the tangible impact your products deliver—driving adoption, customer value, and incremental revenue growth.
 You'll operate as part of a collaborative pod, partnering closely with Design, Engineering, and customer\-facing teams, reporting directly to a VP of Product Management.
**Location:** 
 This role is based at our Tysons Corner, VA headquarters, requiring in\-person attendance four days a week, with limited travel for customer meetings and industry conferences.
**Your Focus** 
* Discovery \&amp; Strategy: Engage deeply with customers, leveraging qualitative and quantitative data to understand pain points and opportunities.
* Roadmap \&amp; Prioritization: Own and continuously refine your product backlog, ensuring alignment with customer value, strategic vision, and revenue goals.
* Execution \&amp; Delivery: Collaborate daily with Engineering and Design teams in agile environments, managing priorities, trade\-offs, and timelines effectively.
* Adoption \&amp; Outcomes: Define clear success metrics, instrument analytics, and partner cross\-functionally to drive customer adoption and measure post\-launch impact.
* Continuous Improvement: Regularly assess performance, solicit customer feedback, and conduct competitive analyses to inform iterative enhancements.
**About You**
* Resilience \&amp; Accountability: You bring perseverance and follow\-through to your work. When you commit to a goal, you take ownership and drive it to completion.
* Intellectual Curiosity: You regularly ask “why” and “how” to better understand industry challenges, improve processes, and enhance customer and product experiences.
* Design Mindset: You appreciate thoughtful design and user experience, and you value how strong product and system design influence usability, adoption, and customer satisfaction.
* Execution \&amp; Collaboration: You are action\-oriented and work effectively across teams to deliver outcomes, manage priorities, and contribute to shared success.
* Data \&amp; Metrics Orientation: You are comfortable working with key performance metrics such as funnels, adoption, retention, and upsell. You use data to inform decisions and understand how product choices impact business outcomes.
**Required Experience \&amp; Skills**
* 5\-8 years of experience in Product Management or an adjacent role delivering B2B data, analytics, or software products.
* Strong understanding of data concepts including SQL based application, cloud data platforms (e.g., Snowflake, BigQuery, Redshift), AI/ML fundamentals, and data governance.
* Demonstrated ability to translate complex customer and market insights into clear product strategies and measurable business outcomes.
* Excellent communication skills, capable of effectively engaging diverse stakeholders from engineering teams to executive leadership.
**Additional Information**
 Strategy is an equal opportunity employer. All applicants will receive consideration for employment without regard to race, creed, color, religion, national origin, gender, sex, sexual orientation, gender identity, disability, veteran status, age, genetic information, or any other legally\-protected basis.
 Strategy provides reasonable accommodation for qualified individuals with disabilities in the hiring process. If you have any difficulty using our online system and you need an accommodation due to a disability, you may contact us about your interest in employment at application\_accommodations@strategy.com.
 Visit Strategy’s Careers page for additional information.</t>
        </is>
      </c>
    </row>
    <row r="40">
      <c r="A40" t="inlineStr">
        <is>
          <t>li-4366792897</t>
        </is>
      </c>
      <c r="B40" t="inlineStr">
        <is>
          <t>Technical Product Manager - Platform &amp; Integrations</t>
        </is>
      </c>
      <c r="C40" t="inlineStr">
        <is>
          <t>Faro</t>
        </is>
      </c>
      <c r="D40" t="inlineStr">
        <is>
          <t>linkedin</t>
        </is>
      </c>
      <c r="E40">
        <f>HYPERLINK("https://www.linkedin.com/jobs/view/4366792897", "https://www.linkedin.com/jobs/view/4366792897")</f>
        <v/>
      </c>
      <c r="F40">
        <f>HYPERLINK("https://www.adzuna.com/details/5593557758?v=7046450E0BA8F6953E0625AE7EE945EC28727D6B&amp;ccd=9a5956ffefa713a6ef1dafe400f953ab&amp;r=21153964&amp;frd=a29fddeabd3f1174e6d2f89945f12ff1&amp;utm_source=linkedin7&amp;utm_medium=organic&amp;chnlid=1931&amp;title=Technical%20Product%20Manager%20-%20Platform%20%26%20Integrations&amp;a=e&amp;urlHash=sIBW", "https://www.adzuna.com/details/5593557758?v=7046450E0BA8F6953E0625AE7EE945EC28727D6B&amp;ccd=9a5956ffefa713a6ef1dafe400f953ab&amp;r=21153964&amp;frd=a29fddeabd3f1174e6d2f89945f12ff1&amp;utm_source=linkedin7&amp;utm_medium=organic&amp;chnlid=1931&amp;title=Technical%20Product%20Manager%20-%20Platform%20%26%20Integrations&amp;a=e&amp;urlHash=sIBW")</f>
        <v/>
      </c>
      <c r="G40" t="inlineStr">
        <is>
          <t>California, United States</t>
        </is>
      </c>
      <c r="H40" t="inlineStr"/>
      <c r="I40" t="inlineStr">
        <is>
          <t>**About Faro Health**
 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lovely main headquarters enjoying a gym with classes and (early next year) spa services, outdoor lawn work area, and steeply discounted food hall. Remote employees work from home and visit the main office for group events and in\-person collaboration.
 Open to current California residents ONLY.
*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Role Overview
 As a
 **Technical Product Manager** 
 at Faro Health, you will serve as the bridge between our customers, partners, and engineering teams. You’ll own Faro’s platform and integration strategy, driving scalable architecture, reliable data exchange, and interoperable solutions that connect clinical systems and power intelligent trial design.
 You will translate complex customer and partner technical requirements into clear engineering deliverables, define integration roadmaps, and ensure that Faro’s platform and data services enable seamless, secure, and compliant collaboration across the clinical trial ecosystem.
**Requirements**
 Key Responsibilities
* Own Faro’s platform and integration strategy: Define and execute a roadmap for integrations that strengthen the scalability and interoperability of the Faro platform.
* Translate technical requirements: Work closely with customers, partners, and engineers to transform clinical and operational needs into detailed product and integration specifications.
* Act as a solution consultant: Roll up your sleeves to design, prototype, and validate integration solutions—collaborating directly with engineering and customer teams to ensure successful technical implementation and data flow.
* Drive end\-to\-end integration lifecycle: From discovery to design, testing, and launch, ensure integrations deliver measurable value, reliability, and compliance.
* Collaborate cross\-functionally: Partner with data, engineering, product design, and customer strategy teams to build and execute end\-to\-end strategies for customers—ensuring alignment, scalability, and seamless integration across the Faro platform.
* Platform enablement: Define standards and tools that make it easier for internal teams and external partners to build on Faro’s platform.
* Ecosystem development: Evaluate and prioritize integrations that enhance connectivity and data flow across clinical trial systems.
* Measure success: Define KPIs for platform performance, integration uptime, adoption, and ecosystem growth.
* Stay ahead of standards: Track industry interoperability standards (e.g., CDISC, HL7 FHIR, ODM) and ensure Faro’s platform evolves accordingly.
* Available to work East Coast hours occasionally to accommodate customers in Europe and Asia.
 Qualifications
* Bachelor’s degree required in Computer Science, Engineering, Life Sciences, or a related technical field; Masters Degree preferred.
* 5\+ years of product management experience, with at least 2 years focused on platforms, integrations, or technical products.
* Experience managing external integrations or platform ecosystems in life sciences.
* Strong technical foundation: understanding of data architecture, APIs, system integrations, and cloud platforms (AWS, Azure, GCP).
* Proficiency in at least one programming language, preferably Python.
* SQL knowledge preferred
* Experience integrating a product using external API’s to produce one\-off reports is a plus.
* Excellent analytical and problem\-solving skills; ability to translate complex user needs into scalable technical solutions.
* Strong communicator able to bridge business and engineering domains and present technical concepts clearly to non\-technical audiences.
* Experience with regulated data environments (HIPAA, GxP) is a plus.
**Benefits**
**Annual salary**
 The salary range for this position is $163,000 to $185,000\.
**Equity**
 In addition to this position's salary (listed above), equity will be a major component of the total compensation for this position. We aim to offer higher\-than\-average equity compensation for a company of our size, and communicate equity amounts at the time of offer issuance.
**US Benefits**
* Health care plan (Medical, Dental \&amp; Vision)
* Retirement plan (401k)
* Life insurance (Basic)
* Short term and long term disability
* Paid time off: flexible vacation policy; paid sick days \&amp; public holidays observed
* Continuous training \&amp; development with up to $1000/year reimbursed fees subject to manager approval</t>
        </is>
      </c>
    </row>
    <row r="41">
      <c r="A41" t="inlineStr">
        <is>
          <t>li-4355977744</t>
        </is>
      </c>
      <c r="B41" t="inlineStr">
        <is>
          <t>Group Product Manager</t>
        </is>
      </c>
      <c r="C41" t="inlineStr">
        <is>
          <t>Ritchie Bros.</t>
        </is>
      </c>
      <c r="D41" t="inlineStr">
        <is>
          <t>linkedin</t>
        </is>
      </c>
      <c r="E41">
        <f>HYPERLINK("https://www.linkedin.com/jobs/view/4355977744", "https://www.linkedin.com/jobs/view/4355977744")</f>
        <v/>
      </c>
      <c r="F41" t="inlineStr"/>
      <c r="G41" t="inlineStr">
        <is>
          <t>Portland, OR</t>
        </is>
      </c>
      <c r="H41" t="inlineStr"/>
      <c r="I41" t="inlineStr">
        <is>
          <t>**About Us**
 RB Global (NYSE: RBA)
 RB Global (NYSE: RBA) (TSX: RBA) is a leading, omnichannel marketplace that provides value\-added insights, services and transaction solutions for buyers and sellers of commercial assets and vehicles worldwide. Through its auction sites in 13 countries and digital platform, RB Global serves customers in more than 170 countries across a variety of asset classes, including automotive, commercial transportation, construction, government surplus, lifting and material handling, energy, mining and agriculture.
 The company’s marketplace brands include Ritchie Bros., the world’s largest auctioneer of commercial assets and vehicles offering online bidding, and IAA, a leading global digital marketplace connecting vehicle buyers and sellers. RB Global’s portfolio of brands also includes Rouse Services, which provides a complete end\-to\-end asset management, data\-driven intelligence and performance benchmarking system; SmartEquip, an innovative technology platform that supports customers’ management of the equipment lifecycle and integrates parts procurement with both OEMs and dealers; Xcira, a leader in live simulcast auction technologies; and Veritread, an online marketplace for heavy haul transport.
 RB Global full\-time employees are offered medical, dental, vision, and basic life insurances. Employees are able to enroll in our company’s 401k plan and RB Global will match 100% for the first 4% contributed. Employees will also receive 15 days of PTO each year.
**Job Description**
 The Group Product Manager is responsible for setting the vision/strategy for a significant portion of the buyer experience, while managing a team. This role will work with stakeholders across the organization to develop and own their, and their teams’ roadmaps. Works closely with design, engineering, and product to ensure a unified experience for our customers and hires, mentors, trains, and coaches direct reports, which may include a mix of full\-time and contract employees.
**Responsibilities**
* Responsible for co\-creating, shaping, and clarifying ambiguous and impactful strategies across the teams and organizations in conjunction with senior stakeholders to drive alignment
* Evaluates market and consumer user experience research and results based on discovered industry trends and competitor landscapes, through conversations with the customer, data analysis and metrics
* Effectively defines analysis/research across a broad range of areas and uses data as a key input for product decisions
* Ensures roadmap rationale is clear and in line with strategy, and in support of teams’ roadmaps
* Crafts a clear narrative to gain buy\-in and to inspire others to ensure teams are aligned
* Meticulously ensures strategy and vision are up to date and thinks coherently across multiple teams while working to define what they need to learn
* Identifies and anticipates risks and issues, and proactively finds solutions to obstacles
* Acts as a role model and coaches, mentors, and manages others
* Performs other duties as assigned
**Qualifications**
* 7 plus years’ experience in Product Management in progressively higher levels
* Prior experience managing staff in a technical environment
* Demonstrated obsession with building great user experiences and an eye for detail
* Ability to think big and small, to take a large vision and build incremental features and prototypes to align to that vision. Comfortable working with paper prototypes as you are building scalable features
* Communicates, in writing or in person, product decisions, rationale behind them, and are comfortable influencing people to get things done
* Experience working with qualitative and quantitative customer data to inform decisions. Should be able to switch between thinking creatively and analytically</t>
        </is>
      </c>
    </row>
    <row r="42">
      <c r="A42" t="inlineStr">
        <is>
          <t>li-4356630924</t>
        </is>
      </c>
      <c r="B42" t="inlineStr">
        <is>
          <t>Product Manager</t>
        </is>
      </c>
      <c r="C42" t="inlineStr">
        <is>
          <t>Dechra</t>
        </is>
      </c>
      <c r="D42" t="inlineStr">
        <is>
          <t>linkedin</t>
        </is>
      </c>
      <c r="E42">
        <f>HYPERLINK("https://www.linkedin.com/jobs/view/4356630924", "https://www.linkedin.com/jobs/view/4356630924")</f>
        <v/>
      </c>
      <c r="F42" t="inlineStr"/>
      <c r="G42" t="inlineStr"/>
      <c r="H42" t="inlineStr"/>
      <c r="I42" t="inlineStr">
        <is>
          <t>Summary
 Thanks for checking out our vacancy, we're delighted you want to learn more about Dechra!
 Dechra is a growing, global specialist within the world of veterinary pharmaceuticals. Our expertise is in the development, manufacture, marketing and sales of high quality products exclusively for veterinarians worldwide.
 Here at Dechra, our values are embedded within our culture and thrive within our family of almost 2000 colleagues globally. From manufacturing to marketing, (
 **D** 
 )edication, (
 **E** 
 )njoyment, (
 **C** 
 )ourage, (
 **H** 
 )onesty, (
 **R** 
 )elationships and (
 **A** 
 )mbition are at the heart of our everyday operations and the way we do business
**The Opportunity** 
 The
 **Product Manager** 
 will lead the strategic planning and execution for a portfolio of specialized pet health products. This role requires strong analytical competencies to drive market expansion, optimize product performance, and ensure data\-backed decision\-making. This individual will collaborate closely with veterinary professionals, sales teams, and internal/external stakeholders to enhance brand positioning and customer engagement.
 So, what will you be doing? This role has a broad and varied scope and the successful candidate will have responsibility for duties including:
* Responsible for the development, implementation and execution of strategic plans that optimize sales, market share and revenue growth for a brand or set of brands in the short and long term.
* Provide high level data analysis of potential brand opportunities utilizing insights from market research, industry trends, competitive intelligence, customer insights, and understanding of therapeutic areas to develop data\-driven marketing strategies with return on investment, adjusting strategies based on analytical insights.
* Strong ability to navigate and lead change, ensuring smooth transitions during product updates, regulatory shifts, or market disruptions.
* Manage both operations and implementation of brand strategies as well as the execution of all 6Ps (Product, Price, Promotion, Placement, POP, Protocol) for the brand.
* Drive consistent execution of product strategies with internal and external cross functional teams.
* Serves as the Voice Of the Customer (VOC) by capturing the requirements/feedback from the customer (Veterinarians, Consumers, Retail Partners) and deliver best\-in\-class programs that meet the customer's needs/wants.
* Develops customer/channel specific marketing strategies by leveraging knowledge of all customer marketing channels and co\-promotion partners to add market and brand value.
* Gather feedback from the sales, corporate accounts, and retail teams to better understand how customers use the product line and identify which SKUs, collateral, or educational materials may need to be added or removed.
* Coordinate the development of market research to identify opportunities for increased penetration and growth of existing products, including competitor analysis.
* Help manage the marketing budget to ensure that financial targets are achieved
* Participate in key national and regional veterinary conferences, helping to coordinate activities and maximize the value gained from these events
 Here at Dechra we pride ourselves on being an inclusive employer and we embrace candidates from all walks of life. We're particularly excited to hear from those who have/are:
* Minimum 5 years previous Product Marketing, Field Sales or relevant work experience, with a minimum of 3 years in a Marketing/Product specific role.
* A bachelor's degree or higher is required.
* Thorough understanding of marketing business processes and fundamentals
* Experience in the animal health sector is preferred.
* Digital marketing proficiency
* Proven work experience in a similar role.
* Strong ability to analyse and synthesize large datasets, including sales performance, market research, and financial forecasting, to guide product strategy and marketing initiatives.
* Ability to develop and implement long\-term product strategies that align with business objectives, market trends, and customer needs.
* Ability to navigate regulatory, technical, and legal processes effectively.
* Effective change management and leadership skills and the ability to resolve conflicts successfully.
* Demonstrated organization, planning \&amp; project management skills along with solid decision making \&amp; negotiation skills.
* Proven ability to work on multiple projects \&amp; prioritize effectively.
 As a people first values\-based culture, we provide free weekly wellness sessions focused on our employee's physical and mental wellbeing, and flexible work arrangements. We offer a generous employer 401k match and an other incentives for long\-term financial wellness. Our full array of health, financial and voluntary benefit programs are what you would expect from a recognized Best Place to Work.</t>
        </is>
      </c>
    </row>
    <row r="43">
      <c r="A43" t="inlineStr">
        <is>
          <t>li-4366532254</t>
        </is>
      </c>
      <c r="B43" t="inlineStr">
        <is>
          <t>Product Manager - BAC Sealants</t>
        </is>
      </c>
      <c r="C43" t="inlineStr">
        <is>
          <t>Critical Fit Recruiting</t>
        </is>
      </c>
      <c r="D43" t="inlineStr">
        <is>
          <t>linkedin</t>
        </is>
      </c>
      <c r="E43">
        <f>HYPERLINK("https://www.linkedin.com/jobs/view/4366532254", "https://www.linkedin.com/jobs/view/4366532254")</f>
        <v/>
      </c>
      <c r="F43" t="inlineStr"/>
      <c r="G43" t="inlineStr">
        <is>
          <t>Boston, MA</t>
        </is>
      </c>
      <c r="H43" t="inlineStr"/>
      <c r="I43" t="inlineStr">
        <is>
          <t>**Product Manager \- BAC Sealants \- Boston, MA** 
**DESCRIPTION:** 
 The Product Manager\-BAC (Building and Construction) Sealants will be responsible for the end to\-end lifecycle of all products within the assigned industry segment. This high\-impact role is responsible for managing product portfolio, developing and leading product roadmaps, guiding technical development, ensuring regulatory compliance, driving commercialization e orts, and aligning solutions with customer application needs by understanding the full customer buying journey and crafting differentiated value propositions.
**RESPONSIBILITIES:** 
* Develop and execute strategic product roadmaps.
* Monitor competitive intelligence and market trends by geography to inform strategy with insights and communication functions.
* Continuously evaluate product offerings to ensure relevance, efficiency, productivity and profitability.
* Lead product development from ideation to execution.
* Identify and validate high\-value customer problems and innovation opportunities.
* Collaborate with R\&amp;D and sales to assess feasibility, prioritize features, articulate value proposition vs competition, and define clear product scope and success criteria.
* Manage the commercialization and stage gate processes in coordination with R\&amp;D, sales, supply chain, operations and manufacturing functions.
* Drive cross\-functional execution of the development stage gate process.
* Partner across R\&amp;D, Operations, Sales, Legal, Supply Chain, Marketing \&amp; Pricing.
* Ensure rigorous testing, validation, and regulatory compliance.
* Optimize development timelines and costs without compromising quality.
* Manage product lifecycles across assigned the industry segment.
* Guide products through introduction, growth, maturity, and sunset phases.
* Monitor product performance and market fit to inform lifecycle decisions.
* Partner with supply chain, sales, and finance to adjust forecasts, inventory strategy, and profitability targets.
* Manage all product data, including data sheets and application guides.
* Coordinate with legal, R\&amp;D, and marketing to ensure consistency and availability of literature.
* Support digitization e orts by maintaining clean, structured data. Manage product certifications and regulatory compliance
* Ensure that products meet all applicable regulatory requirements based on the region and application.
* Ensure that all SKUs have proper labeling, packaging, and usage instructions that align with industry and customer standards.
* Manage trademarking processes for new products, working closely with marketing and legal teams to protect intellectual property and mitigate brand risk.
* Leverage analytics to drive continuous improvement in product portfolio performance and customer satisfaction.
* Translate market insights, competitive intelligence, and customer feedback into actionable recommendations for product roadmap planning and optimization.
* Design and execute field trials in partnership with application development teams to gather insights, identify potential improvements, and ensure readiness for commercialization.
* Oversee internal and third\-party material testing to confirm product compliance, durability, and performance standards.
**BACKGROUND PROFILE:** 
* Bachelor’s degree required, Advanced degree preferred
* 5\+ years of experience in product development and management.
* Proven track record of successfully managing products from concept to launch.
* Demonstrated ability to collaborate with cross\-functional teams and manage complex projects.
* Strong analytical and problem\-solving skills, with a data\-driven approach to decision\-making.
**Preferred Qualifications :** 
* Experience in the global chemical industry, with a preference for manufacturing formulated products.
* Experience in adhesives, sealants, and coatings for the building and construction industry is highly desirable.</t>
        </is>
      </c>
    </row>
    <row r="44">
      <c r="A44" t="inlineStr">
        <is>
          <t>li-4366228810</t>
        </is>
      </c>
      <c r="B44" t="inlineStr">
        <is>
          <t>Global Product Manager - Aftermarket Parts</t>
        </is>
      </c>
      <c r="C44" t="inlineStr">
        <is>
          <t>Flowserve Corporation</t>
        </is>
      </c>
      <c r="D44" t="inlineStr">
        <is>
          <t>linkedin</t>
        </is>
      </c>
      <c r="E44">
        <f>HYPERLINK("https://www.linkedin.com/jobs/view/4366228810", "https://www.linkedin.com/jobs/view/4366228810")</f>
        <v/>
      </c>
      <c r="F44" t="inlineStr"/>
      <c r="G44" t="inlineStr">
        <is>
          <t>Houston, TX</t>
        </is>
      </c>
      <c r="H44" t="inlineStr"/>
      <c r="I44" t="inlineStr">
        <is>
          <t>**Role Summary:** 
 We are seeking a passionate, growth‑driven business leader to oversee our highly strategic Aftermarket Parts product family within the Flow Control Division. This Product Management–oriented role is responsible for shaping and executing the global strategy for aftermarket parts, building and scaling new parts programs and kitting offerings, strengthening OE parts identity and branding, and developing a long‑term roadmap to drive sustainable growth. This position is based in either Houston, TX or Irving, TX and requires approximately 20% domestic and international travel.
**Responsibilities:** 
* Own and drive the overall product line strategy and growth for the Aftermarket Parts portfolio (Valve Division)
* Develop a comprehensive product plan that serves as the foundation for long‑term product line strategy
* Lead the development and scaling of aftermarket parts and kitting solutions
* Establish OE parts identity and branding for valve‑related aftermarket products to differentiate Flowserve parts in the market
* Define and manage product lifecycle and End‑of‑Life processes, ensuring alignment with supply chain and business continuity needs
* Create and maintain a five‑year strategic roadmap for the aftermarket parts product family
* Use market insights to define strategic direction and build value propositions that create sustainable competitive advantage, win market share, and grow the business
* Collaborate with global cross‑functional teams to shape and lead Parts program development, pricing, commercial approaches, and operational initiatives aligned to the product family strategy
* Define and sustain effective channel strategies across Fulfillment Centers, Company‑Owned Service Centers, and Certified Service Centers, and lead the development and deployment of go‑to‑market plans
* Create and drive organizational accountability to set, track, and achieve growth targets
**Requirements:** 
* Four‑year business or engineering degree required
* Strong market‑led and customer‑driven mindset
* At least 5 years of experience in Services, Aftermarket, Product Management, or Commercial/Sales Operations, demonstrating flexibility, agility, and high energy
* Proven track record in one or more global industries such as Oil \&amp; Gas, Chemical, Energy, Power, Water, or General Industrial
* At least 3 years in a functional leadership role delivering measurable business impact in Product Management, Marketing, Commercial, Sales, or Engineering for industrial products
* Proven success working within global matrix organizations in multinational environments
* Emotionally intelligent leader able to influence at all levels, solve complex problems, and manage conflict effectively
* Clear and confident communicator with strong storytelling skills and executive presence
* Ability to operate effectively within a complex global organization
* Strong prioritization, time‑management, and urgency, including working across multiple time zones
* Results‑driven approach with a commitment to driving accountability
* Experience using voice‑of‑customer insights, market and competitor analysis, and financial analysis to inform decision‑making
* Ability to develop hardware‑digital value propositions tied to customer needs and application‑specific value drivers
* Innovative thinker who promotes creative, “outside‑the‑box” solutions
* Demonstrated strength in leading go‑to‑market and commercialization initiatives
* Ability to travel up to 20%, both domestically and internationally
**Preferred:** 
* MBA and/or advanced engineering degree
* Experience in the Flow Control industry, including actuation, control valves, and isolation valves
**Benefits:** 
 Flowserve offers competitive pay, annual bonuses, medical benefits starting on day one, generous paid vacation time, paid holidays, a 401(k), and many other excellent benefits.
**Req ID** 
 : R\-17666
**Job Family Group** 
 : Marketing
**Job Family** 
 : MK Product Management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is>
      </c>
    </row>
    <row r="45">
      <c r="A45" t="inlineStr">
        <is>
          <t>li-4137065180</t>
        </is>
      </c>
      <c r="B45" t="inlineStr">
        <is>
          <t>Senior Product Manager, Learning</t>
        </is>
      </c>
      <c r="C45" t="inlineStr">
        <is>
          <t>Duolingo</t>
        </is>
      </c>
      <c r="D45" t="inlineStr">
        <is>
          <t>linkedin</t>
        </is>
      </c>
      <c r="E45">
        <f>HYPERLINK("https://www.linkedin.com/jobs/view/4137065180", "https://www.linkedin.com/jobs/view/4137065180")</f>
        <v/>
      </c>
      <c r="F45" t="inlineStr"/>
      <c r="G45" t="inlineStr">
        <is>
          <t>Pittsburgh, PA</t>
        </is>
      </c>
      <c r="H45" t="inlineStr"/>
      <c r="I45" t="inlineStr">
        <is>
          <t>Duolingo is the world's most popular learning app. Beyond our core learning product, we also offer English proficiency testing with the Duolingo English Test, and are bringing new subjects into the Duolingo app, where people can develop their Math and Music skills.
 We are passionate about educating our users, making fact\-based decisions, and finding innovative solutions to complex problems. We offer meaningful work, limitless learning opportunities, and collaboration with world\-class minds. Come brighten your life and over half a billion more!
 You'll be a product manager in our Learning Pillar and will be responsible for developing products that make learning a new language fun and effective, regardless of one's level. We've recently introduced a number of new ways to learn, including Stories, DuoRadio, Adventures, and Video Call, and are always looking for better ways to teach. You will partner with your cross\-functional peers to build delightful learning experiences, shape our overall learning strategy, and impact the lives of tens of millions of learners.
 Duolingo is the world's most popular learning app. Beyond our core learning product, we also offer English proficiency testing with the Duolingo English Test, and are bringing new subjects into the Duolingo app, where people can develop their Math and Music skills.
 We are passionate about educating our users, making fact\-based decisions, and finding innovative solutions to complex problems. We offer meaningful work, limitless learning opportunities, and collaboration with world\-class minds. Come brighten your life and over half a billion more!
 You'll be a product manager in our Learning Pillar and will be responsible for developing products that make learning a new language fun and effective, regardless of one's level. We've recently introduced a number of new ways to learn, including Stories, DuoRadio, Adventures, and Video Call, and are always looking for better ways to teach. You will partner with your cross\-functional peers to build delightful learning experiences, shape our overall learning strategy, and impact the lives of tens of millions of learners.
**:brain:** 
**You Will...**
* Be responsible for improving the learning experience through delightful and impactful products
* Drive product features through their entire creative cycle: ideation, specification, development, release, analysis, and iteration
* Establish the strategy for your focus area, and build alignment across product teams, cross\-functional partners, and the leadership team
* Perform qualitative and quantitative research to explore and validate feature ideas
* Work with engineers to help guide feature development
* Perform experiment analysis on features and find opportunities for optimization
* Execute with urgency and excellence
**:check: You have...**
* A desire to make the world a better place through technology and education
* Experience generating outstanding results as a product manager
* Ability to utilize user insights, data, and statistical analyses to inform decisions
* Top\-tier design sense \-\- every pixel matters at Duolingo
* Demonstrated ability to be resourceful, curious, and innovative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46">
      <c r="A46" t="inlineStr">
        <is>
          <t>li-4356570768</t>
        </is>
      </c>
      <c r="B46" t="inlineStr">
        <is>
          <t>Group Product Manager, Logistics</t>
        </is>
      </c>
      <c r="C46" t="inlineStr">
        <is>
          <t>Ladders</t>
        </is>
      </c>
      <c r="D46" t="inlineStr">
        <is>
          <t>linkedin</t>
        </is>
      </c>
      <c r="E46">
        <f>HYPERLINK("https://www.linkedin.com/jobs/view/4356570768", "https://www.linkedin.com/jobs/view/4356570768")</f>
        <v/>
      </c>
      <c r="F46" t="inlineStr"/>
      <c r="G46" t="inlineStr"/>
      <c r="H46" t="inlineStr"/>
      <c r="I46" t="inlineStr">
        <is>
          <t>For our client, we are seeking a Group Product Manager Logistics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$202,000 – $259,000 annually.
**Responsibilities**
* Lead a team of Product Managers focused on service coverage and delivery optimization
* Develop the roadmap and strategy for long\-term growth and profitability
* Build products that create value for all sides of the marketplace
* Maintain a portfolio of experiments to drive iterative improvements
* Collaborate with engineering, machine learning, data science, and operations teams
* Ensure effective shopper matching and positioning strategies
**Qualifications**
* 8\+ years of product management or similar experience
* Team management experience, including developing others and providing feedback
* Strong understanding of marketplace dynamics and systems thinking
* Proficient in cross\-functional communication in complex scenarios
* Preferred: Experience in a marketplace\-oriented role related to algorithm\-driven products
**Benefits**
* Flex First remote work model that prioritizes employee preferences
* Opportunity for a new hire equity grant and annual refresh grants
* Regular in\-person events for community building
* Access to a comprehensive package of market\-competitive benefits
 Our client is an equal opportunity employer. We encourage you to apply even if you don’t meet every qualification—your background could be exactly what this team needs.</t>
        </is>
      </c>
    </row>
    <row r="47">
      <c r="A47" t="inlineStr">
        <is>
          <t>li-4366503339</t>
        </is>
      </c>
      <c r="B47" t="inlineStr">
        <is>
          <t>Senior Product Manager II - Growth</t>
        </is>
      </c>
      <c r="C47" t="inlineStr">
        <is>
          <t>RemoteHunter</t>
        </is>
      </c>
      <c r="D47" t="inlineStr">
        <is>
          <t>linkedin</t>
        </is>
      </c>
      <c r="E47">
        <f>HYPERLINK("https://www.linkedin.com/jobs/view/4366503339", "https://www.linkedin.com/jobs/view/4366503339")</f>
        <v/>
      </c>
      <c r="F47">
        <f>HYPERLINK("https://www.remotehunter.com/apply-with-ai/33365a54-b197-4c9f-944a-f0d76d050eaf?utm_medium=job_posting&amp;utm_source=linkedin&amp;utm_campaign=product_manager_remote&amp;utm_category=product_manager&amp;utm_term=senior_product_manager_ii_growth&amp;urlHash=-Ku5", "https://www.remotehunter.com/apply-with-ai/33365a54-b197-4c9f-944a-f0d76d050eaf?utm_medium=job_posting&amp;utm_source=linkedin&amp;utm_campaign=product_manager_remote&amp;utm_category=product_manager&amp;utm_term=senior_product_manager_ii_growth&amp;urlHash=-Ku5")</f>
        <v/>
      </c>
      <c r="G47" t="inlineStr"/>
      <c r="H47" t="inlineStr"/>
      <c r="I47"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8">
      <c r="A48" t="inlineStr">
        <is>
          <t>li-4323383882</t>
        </is>
      </c>
      <c r="B48" t="inlineStr">
        <is>
          <t>Lead Product Manager</t>
        </is>
      </c>
      <c r="C48" t="inlineStr">
        <is>
          <t>Code for America</t>
        </is>
      </c>
      <c r="D48" t="inlineStr">
        <is>
          <t>linkedin</t>
        </is>
      </c>
      <c r="E48">
        <f>HYPERLINK("https://www.linkedin.com/jobs/view/4323383882", "https://www.linkedin.com/jobs/view/4323383882")</f>
        <v/>
      </c>
      <c r="F48">
        <f>HYPERLINK("https://www.codeforamerica.org/jobs/posting/7407338?gh_jid=7407338&amp;grnh.se=369a4df81us&amp;gh_src=7691645b1us&amp;urlHash=aI-x", "https://www.codeforamerica.org/jobs/posting/7407338?gh_jid=7407338&amp;grnh.se=369a4df81us&amp;gh_src=7691645b1us&amp;urlHash=aI-x")</f>
        <v/>
      </c>
      <c r="G48" t="inlineStr"/>
      <c r="H48" t="inlineStr"/>
      <c r="I48" t="inlineStr">
        <is>
          <t>Code for America believes government can work for the people, by the people, in the new digital age, and that government at all levels can and should work well for all people. For more than a decade, we’ve worked to show that with the mindful use of technology, we can break down barriers, meet community needs, and find real solutions.
 Our employees build and transform government and community tools and services, making them so good they inspire change. We merge the best parts of technology, nonprofit, and government to help support the people who need it most.
 With a focus on transparency and fairness, and deep empathy for partners in government and community organizations and the people that our partners serve, we’re building a movement of motivated change agents driven by meaningful results and lasting impact.
 At Code for America, you contribute to exciting work while learning and developing in a supportive and flexible environment. Our compensation and benefits are holistic and thoughtfully curated to represent our employees and our mission. Help us drive real generational change that lasts.
 Code for America is looking for a talented
 **Lead Product Manager** 
 , who will drive meaningful outcomes for clients by supporting and advancing our Safety Net, Tax Benefits, and/or Criminal Justice products, and collaborate with government partners to enhance their ability and capacity to deliver critical services and benefits.
**About the role:**
 The Lead Product Manager will own and set direction and strategy for a product or program area. You’ll lead cross\-functional teams to solve large, complex problems and deliver user\-centered products and services using your expert skills in product management, stakeholder management, agile methodologies, and modern software development practices. In doing so, you’ll help our partner government agencies deliver better digital services to the public, creating lasting impact.
 This role will report to the
 **Director of Product** 
 and is expected to travel no more than
 **15%** 
 of the time.
 We plan to hire both full\-time permanent and full\-time term limited positions from this posting, for specific projects. Employment type will be determined by project needs at the time of offer.
 Code for America is based in California and can employ those who reside full\-time within the United States. This is a remote position.
**In this position you will:**
* Setting product strategy for the product or program area
+ Partner with the Program manager and other cross\-disciplinary team members to define the overall strategy for your project or program
+ Develop and own the product strategy and execution of a project or program area
* Driving stakeholder alignment
+ Communicate product vision and strategy to your team with clarity and enthusiasm
+ Drive external stakeholder alignment with the product vision and strategy, partnering with internal cross\-functional team members when appropriate
* Executing on the product or service
+ Work closely with the PM team and others to deliver products and services that execute your program area’s strategy and promotes systems change
+ Help lead a talented multi\-disciplinary team (which may include design, research, and engineering) to test and develop new solutions that work for underserved communities and increase our impact
+ Collaborate with other leaders to effectively escalate risks and determine ways to mitigate them
+ Collaborate with engineering and other team leads to develop and evolve team processes that enable us to focus on the right things and execute efficiently
+ Collaborate with designers on the creation of prototypes and models
* Other duties as assigned
**About you:**
 The position is a perfect fit for a mission\-driven product manager who leads with empathy, thrives in complexity, and builds user\-centered solutions. You excel at aligning stakeholders and delivering impactful digital services for historically underserved communities.
* 7\+ years of product management experience.
* Medicaid/healthcare/insurance experience (Medicaid strongly preferred).
* Proven ability to lead high quality product development using an agile methodology \- iteratively improving products through delivery cycles.
* Proven ability to interpret and leverage user research, usability testing, and data analytics to make and validate product decisions.
* Strong product judgment \- knowing when to prototype and when to code, when to experiment, and when to change direction.
* Review and write effective product strategy docs and product/feature specs and give thoughtful feedback to the team.
* Strong communication skills and experience and comfort with managing project stakeholders internally and externally. Ability to incorporate feedback when it's best for the product, program, and the people.
* Make tough trade\-off decisions and facilitate effective conversations on the team at those inflection points.
* Have a handle on the day to day and an ability to forecast, plan, connect incremental short\-term progress with a long\-term vision.
* Ability to identify product issues and advocate effectively to address these issues, whether by adding or changing resources or adjusting scope or requirements.
* Ability to engage effectively on future possible opportunities for projects, including helping to shape the potential work.
* Understand how to tie your team's efforts to Code for America strategy, and make recommendations based on those factors in order to maximize team outcomes.
* Drive alignment for the entire product/program portfolio team and with key members of leadership.
* A passion for our mission of making government services better for people who need them.
**It’s a bonus if you have:**
* Product advisory/consulting work with government, civic tech, or highly regulated industry.
* Medicaid experience
**What You’ll Get \-**
**Salary:**
 Code for America’s salary bands are transparent as a part of our commitment to transparency and fairness. As part of our hiring practices, we aim to target the midpoint of the 2nd quartile of the range for all new hires.
 Offer targets vary based on market / geographic location. The offer targets for this role range from
 **$128,945 to $157,850** 
 , annually.
**Benefits and Perks:** 
* Values:
+ Leadership and teammates who share a strong work ethic and values, and who respect and care for one another
+ A collaborative, cross\-functional, hardworking, and joyful environment
* Employee Enablement Support:
+ Laptop provided
+ A one\-time $700 payment for remote environment setup; $200 stipend (in first paycheck) and up to $500 reimbursement, in accordance with our equipment policy
+ Cell phone and/or internet reimbursement of $50 per month
* Professional Development:
+ $500 annual (per calendar year) stipend towards professional development; prorated at time of hire
+ Up to $500 of professional development funds can be rolled over each year, up to a maximum of $1000
+ Training / guidance for staff required to utilize AI as part of their role, plus opportunities for employees to gain AI\-related skills to support job and career growth
* Retirement \&amp; 401k Plans:
+ Employees receive a 100% employer match on the first 3% of contributions.
+ Employees with 3\+ years of service receive an additional 50% match on contributions between 3% and 5%, for a maximum employer contribution of 5%
* Medical:
+ At least one no cost health insurance option for full\-time employees for employee\-only coverage
+ A minimum of 80% of the cost of dependent coverage
* Remote Work:
+ Code for America employees may work remotely across the US
+ Code for America employees main residence must be within the US
+ Full\-time employees work 40 hours per week, Monday \- Friday
+ Collaborative working hours: we aim to hold all internal meetings between 10 AM \- 3 PM PT. We expect all Code for America staff to be available during these set working hours
* Time Off:
+ Open personal time off (subject to manager approval), a minimum of 14 paid holidays, and an org\-wide closure from Christmas Day through New Year's Day
+ Paid sick time; up to 96 hours annually
+ 17 weeks of paid parental and family leave
+ 3 weeks of paid sabbatical after 5 years of service
**Equal Employment Opportunity:**
 Code for America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**Code for America Workers United:**
 This position is not covered by a Collective Bargaining Agreement between Code for America and Code for America Workers United, affiliated with OPEIU, Local 1010\. The agreement was ratified on January 13, 2026, and is currently in effect.</t>
        </is>
      </c>
    </row>
    <row r="49">
      <c r="A49" t="inlineStr">
        <is>
          <t>li-4366535173</t>
        </is>
      </c>
      <c r="B49" t="inlineStr">
        <is>
          <t>Principal Product Manager - Application AI</t>
        </is>
      </c>
      <c r="C49" t="inlineStr">
        <is>
          <t>SAP</t>
        </is>
      </c>
      <c r="D49" t="inlineStr">
        <is>
          <t>linkedin</t>
        </is>
      </c>
      <c r="E49">
        <f>HYPERLINK("https://www.linkedin.com/jobs/view/4366535173", "https://www.linkedin.com/jobs/view/4366535173")</f>
        <v/>
      </c>
      <c r="F49" t="inlineStr"/>
      <c r="G49" t="inlineStr">
        <is>
          <t>Palo Alto, CA</t>
        </is>
      </c>
      <c r="H49" t="inlineStr"/>
      <c r="I4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**Your Team**
 You will be part of the Application AI team at SAP. This team works with all other Application LOB Teams. Our team comprises of AI Product PM's, Engineers and Data Scientists. We are driven to curate and build AI first applications that create meaningful impact for our customers and their business. We partner with the various LOB's to analyze paint points and then work with customers to vet potential areas that can be scaled. This is a terrific and exciting team to be part of to solve legacy Enterprise issues using AI.
**Role Description**
* Experience with various LLM architecture design using RAG, MCP and hybrid models
* Good understanding of choosing the right ML algorithms based on business problems
* Experience in prototyping AI solutions including having a good understanding of data vectorizations and or feature designs
* Collaborate with SAP external customers specifically Retail, Manufacturing.. to drive workshops and outline AI use\-cases. Develop PRD’s to clearly communicate requirements to the Engineering teams.
* Leverage AI to solve pressing business challenges for our enterprise customer
* Use the various AI Studios to quickly create a proposed prototype for both neural networks and Agentic AI use cases
* Partner with leadership, customers, and prospects to identify opportunities where AI can deliver value at scale for multiple SAP customers to build end to end processes using AI
* Define and track key business metrics that demonstrate the business impact
* Collaborate with our engineering and development teams working on AI technologies, UX designers and GTM teams to accelerate bringing products to the market.
* Develop customer facing multi\-modal Generative AI demos specific to use cases and document the script, set\-up environment for partners and solution architects to leverage.
* Conduct hands\-on market research to validate requirements and ensure we're building solutions that address real customer needs and market opportunities
* Document what you know and guide others. This can vary from building targeted training for partners, Solutions Architects, and other internal stakeholders, to writing blogs, and to simply working through hard problems with a customer on a whiteboard
**Experience**
* 8\+ years of product management expertise with a proven track record of shipping
* 3\+ years of and hands on building generative AI models and shipping at scale
* Experience building conversational tools and chatbot
* Experience in selecting the optimial algorithms and prototyping neural networks
* Experience working with customers and building long\-term strong relationships
* Strong time\-management and organization skills for coordinating multiple initiatives, priorities and implementations of new technology and products into complex projects.
* Strong analytical and problem\-solving skills
* Experience successfully partnering with Data Science teams
* Passion for directly engaging with customers—from requirements gathering to demos and sales support
* Experience working and guiding product and engineering teams distributed globally
 \#SAPAICareers \#SAPAIAPP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192,500 \- 420000(USD)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439372 \| Work Area: Solution and Product Management \| Expected Travel: 0 \- 10% \| Career Status: Professional \| Employment Type: Regular Full Time \| Additional Locations:</t>
        </is>
      </c>
    </row>
    <row r="50">
      <c r="A50" t="inlineStr">
        <is>
          <t>li-4366520557</t>
        </is>
      </c>
      <c r="B50" t="inlineStr">
        <is>
          <t>Senior Product Manager, Product Infrastructure</t>
        </is>
      </c>
      <c r="C50" t="inlineStr">
        <is>
          <t>Valon</t>
        </is>
      </c>
      <c r="D50" t="inlineStr">
        <is>
          <t>linkedin</t>
        </is>
      </c>
      <c r="E50">
        <f>HYPERLINK("https://www.linkedin.com/jobs/view/4366520557", "https://www.linkedin.com/jobs/view/4366520557")</f>
        <v/>
      </c>
      <c r="F50" t="inlineStr"/>
      <c r="G50" t="inlineStr">
        <is>
          <t>New York, NY</t>
        </is>
      </c>
      <c r="H50" t="inlineStr"/>
      <c r="I50"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
 The results speak for themselves. We've transformed mortgage servicing from a 0% margin business into 60%\+ margins while dramatically improving customer experience. Major enterprise contracts are now deploying across the industry.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
**About The Team**
 You’ll join the core Platform \&amp; Infrastructure product org. This team builds the foundational systems and services that serve as the backbone for features across our entire product suite.
 While many infrastructure teams operate behind the scenes, ours sits at an intersection. We build systems that internal vertical teams depend on, and we also deliver features that directly touch end users (e.g. platforms, self\-service tools, dashboards). Because of that, you’ll balance deep technical rigor with customer empathy.
 We operate in a high\-growth, high\-authenticity engineering culture. You’ll partner with senior engineers, architects, and cross\-functional leads, and have high visibility across the org.
**Responsibilities**
 As a Senior Product Manager, Infrastructure \&amp; Platform, you will:
* Define and own the roadmap for one or more core infrastructure domains (such as notification platform, documents platform, user management, etc.)
* Deeply engage with internal stakeholders (engineering leads, vertical PMs, operations) and our customers to drive discovery and specification.
* Drive initiatives end\-to\-end: from ideation, discovery, scoping, to launch, adoption, and iteration.
* Work directly with customers/stakeholders (sometimes on\-site at their operations) so that your deliverables are finely tuned to their unique and complex processes
* Ensure infrastructure is resilient, scalable, observable, and secure — balancing performance, reliability, and long\-term extensibility.
* Lead discovery for complex customer processes: conduct customer interviews and complete process mapping across multiple customers of varying profiles
* Deep ability to map processes and systems even in high ambiguity — e.g. you can take a domain with many moving pieces and build a reliable abstraction
* Write clear, structured product specs, user stories that are easy to understand, even for someone without any domain knowledge
* Partner closely with engineering leadership and architects to make tradeoffs on design, performance, scale, and technical debt
* Evangelize infrastructure best practices across the organization and influence roadmap tradeoffs
**Ideal Background**
* 5\+ years of product management (or equivalent) experience, ideally with exposure to b2b saas products, product infrastructure, and platforms
* Strong technical fluency: experience working with engineers around systems, APIs, data models, etc.
* Excellent customer discovery skills: comfortable conducting interviews, writing journey maps, and synthesizing qualitative \+ quantitative inputs
* Track record of shipping infrastructure or platform features that were adopted broadly or had measurable impact
* Highly structured thinker, able to write and communicate complex concepts simply
* Comfortable operating with high autonomy, ambiguity, and responsibility
* Strong collaboration skills: able to manage stakeholders, drive alignment, and hold cross\-team accountability
**Benefits**
* Compensation: competitive salary with a meaningful stake in the company via equity, and 401k plan
* Health \&amp; well\-being: we’ll invest in your physical and mental well\-being with comprehensive medical, dental, \&amp; vision benefits
* Commuter benefits: We offer pre\-tax deductions for public transportation, rideshare services, and parking expenses to make your commute more affordable and convenient.
* Grow together: Company wide orientation for you to successfully onboard and other learning \&amp; development opportunities including regular review cycles that feature 360 degree feedback
* Play together: quarterly budgets for team and company outings. Use it for team swag, cooking classes, or team dinners!
* Generous time off: flexible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Compensation Range: $178\.5K \- $241K</t>
        </is>
      </c>
    </row>
    <row r="51">
      <c r="A51" t="inlineStr">
        <is>
          <t>li-4366504235</t>
        </is>
      </c>
      <c r="B51" t="inlineStr">
        <is>
          <t>Growth Product Manager, Website</t>
        </is>
      </c>
      <c r="C51" t="inlineStr">
        <is>
          <t>RemoteHunter</t>
        </is>
      </c>
      <c r="D51" t="inlineStr">
        <is>
          <t>linkedin</t>
        </is>
      </c>
      <c r="E51">
        <f>HYPERLINK("https://www.linkedin.com/jobs/view/4366504235", "https://www.linkedin.com/jobs/view/4366504235")</f>
        <v/>
      </c>
      <c r="F51" t="inlineStr"/>
      <c r="G51" t="inlineStr"/>
      <c r="H51" t="inlineStr"/>
      <c r="I51" t="inlineStr">
        <is>
          <t>About the Opportunity:
 The organization is the creator of a leading time series platform used to collect, store, and analyze time series data at any scale. Developers can query and analyze their time\-stamped data in real\-time to discover, interpret, and share new insights. This remote\-first organization seeks an experienced and entrepreneurial Growth Product Manager to join the Marketing team. The role involves delivering website strategies to increase awareness, drive customer acquisition, and improve product adoption. The position functions as both Product Manager of the main website and driver of customer experience journeys for solution discovery.
 Responsibilities:
 • Own the website as a growth channel, including conversion rate optimization, site performance, and user experience improvements to drive developer signups and product adoption
 • Design and execute marketing experiments focused on product\-led growth and lead generation; prioritize test ideas with cross\-functional teams, run A/B tests, analyze results, and implement successful experiments
 • Develop and execute a technical SEO/GEO roadmap to improve crawlability, indexability, structured data, and discoverability in AI\-powered search results for organic growth
 • Manage the web development roadmap, balancing priorities between conversion optimization, technical improvements, and new capabilities
 • Analyze user behavior, conversion funnels, and test results to identify effective strategies and areas for change
 • Establish regular reporting cadence to communicate website performance, organic growth metrics, and experiment results to leadership and cross\-functional teams
 • Understand B2B SaaS marketing and sales motions to drive cross\-functional success
 Requirements:
 • 4\+ years of growth product management experience, especially in a fast\-paced product\-led growth environment
 • Strong analytical skills with the ability to independently analyze data, identify growth opportunities, and make actionable decisions
 • Expertise in hypotheses\-driven website experimentation and relevant tools including Google Analytics, A/B testing platforms, design collaboration tools such as Figma, and CMS like Contentful or Sanity; knowledge of SQL/Python is a plus
 • Working knowledge of GEO/AEO principles and modern SEO tactics for AI\-powered search engines
 • Exceptional communication, relationship management, and organizational skills, with proven ability to lead complex, multi\-quarter, cross\-functional projects
 • Bias for action and ability to work autonomously; ability to identify opportunities, make quick decisions with imperfect information, and ship iteratively
 • Empathy for developers and enthusiasm for building products they will love
 Benefits \&amp; Perks:
 • Medical, dental, and vision insurance with 100% employee coverage
 • Company contribution to Flexible Spending Account (FSA)
 • Flexible Time Off policy
 • Life insurance, short\-term and long\-term disability insurance
 • 401(k) retirement plan
 • Wellness programs
 • Annual professional development budget
 • Financial planning and legal advice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2">
      <c r="A52" t="inlineStr">
        <is>
          <t>li-4347721528</t>
        </is>
      </c>
      <c r="B52" t="inlineStr">
        <is>
          <t>Sr. Product Manager II</t>
        </is>
      </c>
      <c r="C52" t="inlineStr">
        <is>
          <t>Vivint</t>
        </is>
      </c>
      <c r="D52" t="inlineStr">
        <is>
          <t>linkedin</t>
        </is>
      </c>
      <c r="E52">
        <f>HYPERLINK("https://www.linkedin.com/jobs/view/4347721528", "https://www.linkedin.com/jobs/view/4347721528")</f>
        <v/>
      </c>
      <c r="F52" t="inlineStr"/>
      <c r="G52" t="inlineStr">
        <is>
          <t>Lehi, UT</t>
        </is>
      </c>
      <c r="H52" t="inlineStr"/>
      <c r="I52"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**Senior Product Manager II – Smart Home \&amp; Energy Management (VPP)**
**Location:** 
 Lehi, UT / Houston, TX / Remote (Hybrid)
 Join
 **Vivint** 
 and
 **NRG** 
 in redefining how millions of homes interact with energy. We’re building a smarter, cleaner, and more connected future—where every thermostat, battery, solar panel, and EV can work together to power the grid of tomorrow.
 As a
 **Senior Product Manager II** 
 , you’ll lead the strategy and execution of our
 **Virtual Power Plant (VPP)** 
 platform—connecting and orchestrating distributed energy resources (DERs) like smart thermostats, solar systems, batteries, and EVs to drive customer savings, grid resiliency, and sustainability impact.
**What You’ll Do**
* Lead the vision for Vivint \| NRG’s Virtual Power Plant (VPP) and distributed energy ecosystem.
* Build and launch capabilities that connect DERs (thermostats, batteries, solar, EVs) into a cohesive platform for grid services and customer value.
* Collaborate cross\-functionally with software engineering, data science, partnerships, and energy operations to deliver scalable, data\-driven energy products.
* Shape the roadmap for demand flexibility, load optimization, and participation in wholesale and retail energy programs.
* Identify and integrate new device partners and market opportunities that expand the VPP’s reach and value.
* Translate insights into impact —analyzing customer data, market trends, and performance metrics to guide innovation.
**What You’ll Bring**
* 5\+ years of product management experience, including 3\+ years in energy, smart home, or connected devices (IoT).
* Strong knowledge of distributed energy resources (DERs)—such as thermostats, solar, batteries, or EVs—and how they create grid and customer value.
* A track record of delivering complex, cross\-functional products that bridge hardware, software, and energy systems.
* Clear, confident communication and the ability to align diverse stakeholders around a common mission.
* Technical fluency with APIs, data platforms, and device integrations.
* MBA or advanced degree preferred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53">
      <c r="A53" t="inlineStr">
        <is>
          <t>li-4366932152</t>
        </is>
      </c>
      <c r="B53" t="inlineStr">
        <is>
          <t>Android Product Manager</t>
        </is>
      </c>
      <c r="C53" t="inlineStr">
        <is>
          <t>HP</t>
        </is>
      </c>
      <c r="D53" t="inlineStr">
        <is>
          <t>linkedin</t>
        </is>
      </c>
      <c r="E53">
        <f>HYPERLINK("https://www.linkedin.com/jobs/view/4366932152", "https://www.linkedin.com/jobs/view/4366932152")</f>
        <v/>
      </c>
      <c r="F53" t="inlineStr"/>
      <c r="G53" t="inlineStr">
        <is>
          <t>Spring, TX</t>
        </is>
      </c>
      <c r="H53" t="inlineStr"/>
      <c r="I53" t="inlineStr">
        <is>
          <t>**Job Summary**
 The Retail \&amp; Industry Solutions (RIS) Android Product Manager is part of the Global Business Unit and is responsible for understanding the Android market and identifying key opportunities for innovation. This role will lead new product introduction and long\-term platform planning to ensure a competitive and scalable Android portfolio. It works cross functionally to define product requirements, prioritize features, and guide products through the development lifecycle. The position also drives the creation and execution of product introduction plans to support successful launch and adoption. Strong collaboration, strategic planning, and influence across cross functional teams are essential to success in this role.
**Responsibilities**
* Coordinates with cross functional teams to develop and execute new Android platform introductions.
* Understands the Android market and identifies key opportunities to advance the product portfolio.
* Applies advanced subject matter expertise, contributes to complex initiatives, and exercises independent judgment in resolving business issues and shaping product direction.
* Contributes to defining program metrics, goals, and benchmarks, and establishes mechanisms to track and communicate progress.
* Participates in developing and securing approval for comprehensive go to market (GTM) plans.
* Conducts postlaunch analysis to assess product and marketing effectiveness, identify insights, and drives follow up actions.
* Supports the development of customer segmentation strategies and helps tailor product experiences to key customer groups.
* Collaborates with sales teams to develop product training materials that improve knowledge and selling effectiveness.
* Participates in retailer or reseller account engagements to strengthen partnerships and support product adoption.
**Education \&amp; Experience Recommended**
* Four\-year or Graduate Degree in Marketing, Business Administration, or any other related discipline or commensurate work experience or demonstrated competence.
* Typically has 10\+ years of work experience, preferably in product marketing, product design, or a related field.
**Preferred Certifications**
 NA
**Knowledge \&amp; Skills**
* Agile Methodology
* Analytics
* Business Development
* Business Strategies
* Business To Business
* Customer Relationship Management
* Data Analysis
* Digital Marketing
* Go\-to\-Market Strategy
* Key Performance Indicators (KPIs)
* Market Research
* Marketing
* Marketing Strategies
* New Product Development
* Product Management
* Product Marketing
* Product Strategy
* Project Management
* Thought Leadership
* Value Propositions
**Cross\-Org Skills**
* Effective Communication
* Results Orientation
* Learning Agility
* Digital Fluency
* Customer Centricity
**Impact \&amp; Scope**
* Impacts large functions and leads large, cross\-division functional teams or projects.
**Complexity**
* Provides highly innovative solutions to complex problems within established policy.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**$130,700** 
 to
 **$205,200**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54">
      <c r="A54" t="inlineStr">
        <is>
          <t>li-4366494563</t>
        </is>
      </c>
      <c r="B54" t="inlineStr">
        <is>
          <t>Product Owner - Courts</t>
        </is>
      </c>
      <c r="C54" t="inlineStr">
        <is>
          <t>RemoteHunter</t>
        </is>
      </c>
      <c r="D54" t="inlineStr">
        <is>
          <t>linkedin</t>
        </is>
      </c>
      <c r="E54">
        <f>HYPERLINK("https://www.linkedin.com/jobs/view/4366494563", "https://www.linkedin.com/jobs/view/4366494563")</f>
        <v/>
      </c>
      <c r="F54">
        <f>HYPERLINK("https://www.remotehunter.com/apply-with-ai/0e05a128-940b-4433-bf06-263291e6639e?utm_medium=job_posting&amp;utm_source=linkedin&amp;utm_campaign=product_manager_remote&amp;utm_category=product_manager&amp;utm_term=product_owner_courts&amp;urlHash=-IN-", "https://www.remotehunter.com/apply-with-ai/0e05a128-940b-4433-bf06-263291e6639e?utm_medium=job_posting&amp;utm_source=linkedin&amp;utm_campaign=product_manager_remote&amp;utm_category=product_manager&amp;utm_term=product_owner_courts&amp;urlHash=-IN-")</f>
        <v/>
      </c>
      <c r="G54" t="inlineStr"/>
      <c r="H54" t="inlineStr"/>
      <c r="I54" t="inlineStr">
        <is>
          <t>About the Opportunity:
 This organization is a technology\-driven software application company providing enterprise management software solutions across private and semi\-private club, foodservices, construction, metal service centers, moving \&amp; storage, and attractions \&amp; leisure, fitness \&amp; sports industries. With multiple respected brands, it serves over 8000 customers in 15 countries and operates offices in Canada, the United States, the United Kingdom, and the Caribbean. The Product Owner \- Courts role involves managing internal projects within the Product team, overseeing product planning, quality assurance, and documentation around product releases. The position requires close collaboration with engineering, sales, marketing, and support to meet customer satisfaction and align product outcomes with the organization’s strategy. This role also acts as an industry consultant for private club staff on racquet and athletic software, reporting to the Head of Product and managing 1\-2 QA Analysts.
 Responsibilities:
 • Oversee product development from ideation to deployment
 • Ensure on\-time, on\-budget product launches that meet customer expectations
 • Conduct market research to understand customer needs and industry trends
 • Prioritize features aligned with strategic goals to focus the product roadmap
 • Collaborate with engineering, marketing, sales, and other teams for product launch and management
 • Participate actively in sprint planning meetings
 • Create Product Requirements Documents with prioritized features and justifications
 • Design wireframe mockups for enhancements and new product interfaces
 • Manage QA resources to meet user expectations and address bugs and product enhancements
 • Run beta and pilot programs, including client enlistment, training, and collaboration
 • Write internal and external product release notes and agreement language for new products
 • Continuously monitor and optimize products to maintain competitiveness and meet evolving needs
 • Represent the product at tradeshows, webinars, demos, and occasional client site visits
 Requirements:
 • 2\-5 years of experience as Product Owner, Manager, or Analyst
 • Familiarity with the private club industry
 • Strong communication skills to convey product vision, strategy, and progress; comfortable leading webinars
 • Ability to balance client and business needs effectively
 • Skilled at translating user and business requirements into detailed specifications
 • Proficient in conflict resolution and problem\-solving
 • Evidence\-based decision\-making and rigorous prioritization abilities
 • Ability to say “no” with clear explanations understood by stakeholders
 • Transparency in prioritization and roadmap processes
 • Proven success in defining and launching products
 • Technical background with software product management experience
 • Understanding of UI and UX best practices
 • Strong teamwork and cross\-functional influence skills without formal authority
 • Experience working with external third parties on partnerships and integrations
 • Entrepreneurial, self\-starting work style
 • Excellent organizational, interpersonal, and communication skills
 • Ability to work well with designers and engineers
 • Skilled at tactfully communicating progress to senior management
 • User advocacy and understanding of user motivation
 • Comfortable managing change and ambiguity with composure under pressure
 • Commitment to meeting expectations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5">
      <c r="A55" t="inlineStr">
        <is>
          <t>li-4366526466</t>
        </is>
      </c>
      <c r="B55" t="inlineStr">
        <is>
          <t>Product Manager, Data Governance</t>
        </is>
      </c>
      <c r="C55" t="inlineStr">
        <is>
          <t>Cleveland Clinic</t>
        </is>
      </c>
      <c r="D55" t="inlineStr">
        <is>
          <t>linkedin</t>
        </is>
      </c>
      <c r="E55">
        <f>HYPERLINK("https://www.linkedin.com/jobs/view/4366526466", "https://www.linkedin.com/jobs/view/4366526466")</f>
        <v/>
      </c>
      <c r="F55" t="inlineStr"/>
      <c r="G55" t="inlineStr">
        <is>
          <t>Cleveland, OH</t>
        </is>
      </c>
      <c r="H55" t="inlineStr"/>
      <c r="I55" t="inlineStr">
        <is>
          <t>Join the Cleveland Clinic team where you will work alongside passionate caregivers and provide patient\-first healthcare. Here, you will receive endless support and appreciation as you build a rewarding career with one of the most respected healthcare organizations in the world.
 The Product Manager, Data Governance is responsible for managing the vision, roadmap, and execution of enterprise data governance capabilities that ensure data is trustworthy, consistent, and ready for advanced analytics and AI. This role leads the lifecycle and adoption of governance products and operating models—including data stewardship, semantic standards, metadata, lineage, and data quality—across clinical, operational, and analytic domains.
 This individual will ensure that products align with strategic goals, meet evolving business needs, and deliver measurable value. They will work cross\-functionally with clinical, operational, and engineering teams to identify key challenges, governance gaps, resolve semantic inconsistencies, and embed governance into data platforms and workflows. Key product management skills essential for success in this role include a strong ability to define product vision, create clear and actionable roadmaps, and manage end\-to\-end product lifecycles from ideation to deployment. They should possess exceptional stakeholder management abilities to drive alignment across functions and communicate product impact to senior leadership effectively. Further, they must effectively communicate complex governance concepts to diverse audiences, lead change management and adoption efforts, and continuously improve governance capabilities to meet evolving regulatory, clinical, and business needs. A data\-driven approach to product performance and a commitment to continuous improvement are also crucial.
**A caregiver in this position works remotely, Monday\-Friday 8:00AM – 5:00PM, with one on\-site day per month in Northeast Ohio.**
 A caregiver who excels in this role will:
* Leads planning and execution efforts to expand capabilities and value of products
* Own the product vision, roadmap, and execution for enterprise data governance capabilities, including data stewardship, semantic standards, metadata, lineage, and data quality, ensuring alignment with enterprise data strategy and digital transformation goals.
* Delivery of business value across products
* Expansion of product capabilities to meet business/clinical requirements
* Use data analytics to guide decisions, refine products iteratively, and report progress and measurable outcomes to senior leadership, aligning products with Value Stream goals.
* Collaborate closely with IT and engineering teams to ensure cohesive, scalable, and forward\-thinking digital architectures.
* Champion transformative digital solutions by leveraging technology to meet evolving healthcare needs.
* Define product roadmap and vision that aligns with the organization’s digital transformation goals and drives long\-term, impactful solutions
* Set clear timelines and milestones to guide development and evaluate product success.
* Provide regular, concise updates to senior leadership on product vision, progress, and measurable outcomes, aligning with organizational goals, ensuring all stakeholders understand the value and direction of digital initiatives.
* Manage end\-to\-end lifecycles from ideation and planning to development, testing, and deployment, ensuring all products meet high standards of usability, effectiveness, and clinical relevance.
* Regularly assess and refine products based on feedback, performance metrics, and evolving organizational needs, ensuring a balance between short\-term improvements and strategic transformation
* Implement an iterative approach to product refinement, continuously seeking opportunities to enhance product functionality, efficiency, and clinical value in response to feedback and new insights.
* Other duties as assigned.
 Minimum qualifications for the ideal future caregiver include:
* Bachelor’s degree in computer science, Information Technology, or a related field.
* 3 years of experience as a Team Lead or Manager in an IT or technology\-focused environment.
* 4 additional years functionally related technical experience may offset the degree requirement.
* Proven track record of leading digital product transformations and driving measurable impact.
* Experience working within multidisciplinary teams and engaging stakeholders across clinical, operational, and technical fields.
* For Information Technology Division caregivers, ITIL Foundations certification is required within 6 months of position start date.
**Physical Requirements:**
* Ability to perform work in a stationary position for extended periods.
* Ability to travel throughout the hospital system.
* Ability to operate a computer and other office equipment.
* Ability to communicate and exchange accurate information.
**Personal Protective Equipment:**
* Follow standard precautions using personal protective equipment as required.
**Pay Range**
 Minimum Annual Salary: $112,110\.00
 Maximum Annual Salary: $170,955\.00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56">
      <c r="A56" t="inlineStr">
        <is>
          <t>li-4356501401</t>
        </is>
      </c>
      <c r="B56" t="inlineStr">
        <is>
          <t>Senior Product Manager - Foundations (Fanatics Ecosystem)</t>
        </is>
      </c>
      <c r="C56" t="inlineStr">
        <is>
          <t>Fanatics</t>
        </is>
      </c>
      <c r="D56" t="inlineStr">
        <is>
          <t>linkedin</t>
        </is>
      </c>
      <c r="E56">
        <f>HYPERLINK("https://www.linkedin.com/jobs/view/4356501401", "https://www.linkedin.com/jobs/view/4356501401")</f>
        <v/>
      </c>
      <c r="F56" t="inlineStr"/>
      <c r="G56" t="inlineStr"/>
      <c r="H56" t="inlineStr"/>
      <c r="I56" t="inlineStr">
        <is>
          <t>**Job Description**
**The Role**
 Fanatics is building the world’s leading digital sports platform, with the Fanatics App as the front door to fandom and a growing ecosystem spanning commerce, ticketing, collectibles, content, and experiences.
 The
 **Foundations team** 
 builds the core platform capabilities that enable Fanatics to better
 **identify, understand, target, personalize, and communicate with fans across the entire ecosystem** 
 . These foundational services power growth, revenue, and engagement by connecting identity, data, segmentation, experimentation, and real\-time orchestration into a cohesive fan platform.
 We are seeking a
 **Senior Product Manager, Foundations** 
 to own the end\-to\-end roadmap for Fanatics’ shared growth and engagement infrastructure. This role is accountable for translating complex business goals into scalable, reliable, and real\-time platform capabilities — spanning event instrumentation, shared segmentation services, identity, CRM activation, attribution, analytics, and experimentation.
 This is a highly cross\-functional, hands\-on role working closely with Mobile Engineering, Data \&amp; Platform Engineering, CRM/Lifecycle Marketing, Growth, Commerce, Ticketing, and Product teams across the Fanatics Ecosystem.
**What You’ll Do**
**Own the Foundations Platform Roadmap**
 Own and execute the roadmap for core ecosystem services that enable fan targeting, personalization, and communication, including:
* Shared segmentation services
* Real\-time fan event ingestion and governance
* Identity and fan context foundations
* CRM, push, in\-app messaging, and lifecycle execution infrastructure
* Attribution, experimentation, and performance reporting foundations
 Translate quarterly ecosystem and Growth priorities into clear product plans, sequencing, and delivery milestones across multiple teams and dependencies.
**Build Shared Segmentation \&amp; Fan Intelligence Services**
 Own the vision and execution of
 **shared segmentation as a first\-class platform capability** 
 , enabling:
* Reusable, centrally managed segments consumed by CRM, Growth, Commerce, and Fanatics\-built services.
* Clean integration with off\-the\-shelf tools (e.g., CRM, experimentation, analytics) and internal services.
* Segmentation that combines offline fan data with real\-time fan behavior
* Support for both real\-time and batch use cases across online and offline channels.
 This work requires a strong
 **data and technical mindset** 
 , balancing flexibility, performance, reliability, and governance.
**Enable Real\-Time, Event\-Driven Fan Journeys**
**Partner With Mobile, Data, And Platform Engineering To**
* Define and standardize event schemas.
* Address fragmented observability across surfaces
* Move the organization from batch\-based marketing to near\-real\-time, event\-driven orchestration.
* Ensure stable, performant SDK logging and event delivery across iOS, Android, and embedded web experiences.
**Build CRM as a Scalable Execution Layer**
 Ensure CRM platforms are positioned as powerful execution engines, not siloed intelligence systems, by:
* Enabling CRM access to shared identity, segments, and real\-time events.
* Supporting reactive, fan\-intent\-driven journeys triggered directly from app behavior.
* Ensuring deep integration with the Fanatics App for push notifications and in\-product messaging.
* Empowering non\-technical operators to independently create, manage, organize, reuse, and scale templates, journeys, and campaigns without ongoing engineering involvement.
**Enable Personalization, Growth \&amp; Cross\-Ecosystem Value**
**Enable Product, Growth, And Lifecycle Teams To**
* Personalize fan communications using product\-level, pricing, loyalty, FanCash, and ecosystem context.
* Target and suppress fans intelligently with built\-in guardrails and data quality protections.
* Measure downstream impact across acquisition, engagement, conversion, and cross\-sell between Fanatics properties.
**Operate as a Senior Cross\-Functional Leader**
* Act as the single product owner for Foundations initiatives spanning App, Data, CRM, Growth, and Platform teams.
* Write clear PRDs, technical requirements, and success metrics for complex, multi\-system platform work.
* Drive prioritization, sequencing, and trade\-offs across multiple teams with competing demands.
* Proactively identify and mitigate risks related to data quality, identity stitching, performance, scale, and platform constraints.
* Communicate clearly and credibly with senior stakeholders across Product, Engineering, Growth, and Marketing.
**What We’re Looking For**
* \+ 6 years experience as a Product Manager owning platform, Foundations, MarTech, Growth, CRM, or data\-heavy systems for consumer digital products.
* Proven experience building or scaling event\-driven, data\-intensive platforms that power personalization, lifecycle, or growth.
* Strong understanding of:
+ Mobile app instrumentation and SDKs
+ Event pipelines, schemas, and real\-time data flows
+ CRM platforms (e.g., Salesforce, Braze, XP)
+ Attribution and measurement platforms (e.g., AppsFlyer)
+ Analytics and data platforms (e.g., Amplitude, Snowflake, CDPs)
* Experience designing shared services used by multiple downstream teams and products.
* Comfortable operating at the intersection of product, engineering, data, and marketing.
* Highly structured thinker who can simplify complex systems into clear, actionable plans.
* Strong written and verbal communicator, able to influence senior stakeholders and align teams.
* Experience thriving in fast\-moving, multi\-team environments with direct business impact.</t>
        </is>
      </c>
    </row>
    <row r="57">
      <c r="A57" t="inlineStr">
        <is>
          <t>li-4365630184</t>
        </is>
      </c>
      <c r="B57" t="inlineStr">
        <is>
          <t>Product Owner</t>
        </is>
      </c>
      <c r="C57" t="inlineStr">
        <is>
          <t>Jellyvision</t>
        </is>
      </c>
      <c r="D57" t="inlineStr">
        <is>
          <t>linkedin</t>
        </is>
      </c>
      <c r="E57">
        <f>HYPERLINK("https://www.linkedin.com/jobs/view/4365630184", "https://www.linkedin.com/jobs/view/4365630184")</f>
        <v/>
      </c>
      <c r="F57">
        <f>HYPERLINK("https://grnh.se/qcajva7q2us&amp;urlHash=smv2", "https://grnh.se/qcajva7q2us&amp;urlHash=smv2")</f>
        <v/>
      </c>
      <c r="G57" t="inlineStr">
        <is>
          <t>Chicago, IL</t>
        </is>
      </c>
      <c r="H57" t="inlineStr"/>
      <c r="I57" t="inlineStr">
        <is>
          <t>**Product Owner \- MyALEXHealth**
**Who we are**
 Jellyvision makes ALEX®, the employee decision\-support platform trusted by thousands of employers and millions of people to make smart benefits choices. We've done that profitably, at scale, for a long time—over $600M in lifetime sales, without losing our soul or our sense of humor.
 Now we're taking on an even messier problem: Medicare.
 A small, senior team is building
 **MyALEXHealth™** 
 , a digital Medicare guide designed to help people move from employer coverage into Medicare with clarity, confidence, and dignity. Our goal is simple and ambitious: reduce decision stress, improve plan fit, and help people feel good—not overwhelmed—about one of the most important health and financial decisions they'll ever make.
 This is an incubation\-stage product. Translation: ambiguity is a feature, not a bug.
**What's the role?**
 We're looking for a technical Product Owner to help shape how MyALEXHealth gets planned, built, and delivered. You'll be a central force on a small, fast\-moving team building a product that actually helps people—not just checks boxes. You'll work closely with Leadership, Design, Engineering, and Marketing to shape features early, navigate complexity and compliance, and bring order to the chaos without slowing us down. You'll have real influence over priorities and plans, and the trust to help define what "great" looks like here. For the right person, this role comes with meaningful ownership—and the satisfaction of putting structure and momentum behind a product that genuinely matters.
 We're looking for people who are:
* Smart, scrappy, and comfortable figuring things out as they go
* Obsessed with users and the market—every interaction is a chance to learn
* Gritty enough to wrestle Medicare's complexity without flinching
* Clear communicators who collaborate well and wear more than one hat
* Champions of progress over process
 This is how we show up. And our principles aren't posters—they're how decisions get made.
**What you'll do to be successful**
* Shape scope before work starts
* You'll help define what we're building before engineers ever pick it up.
* You'll lead scoping and feature\-shaping conversations, identify dependencies and risks early (technical, content, compliance), and help translate fuzzy ideas into clear, testable requirements.
* You'll partner closely with Design and Engineering to define what "done" actually means.
*Success looks like: work enters development with clarity, shared understanding, and no major "oh wait" moments.*
* Own planning, estimation, and delivery accountability
* You'll lead estimation with the team and turn it into delivery plans that are ambitious but believable.
* You'll help the team understand capacity, make smart tradeoffs, and sequence work so progress is steady and intentional.
* You'll surface risks early, challenge assumptions when timelines get magical, and push for course correction before things go sideways.
*Success looks like: we hit commitments because we planned well—not because we got lucky.*
* Make decisions and priorities visible
* You'll be the keeper of context.
* You'll maintain decision logs, translate decisions into clear next steps, and keep Jira honest and up to date.
* You'll reduce cognitive load for the team by making priorities, dependencies, and status obvious at all times.
*Success looks like: anyone can quickly understand what we're doing, why we're doing it, and what's coming next.*
**Experience \&amp; skills you'll need**
* A healthy amount of experience as a Product Owner, Product Manager, TPM, or similar role with real delivery accountability as well as a lifetime of being a tinkerer
* A track record of shaping scope and plans for complex, interdependent systems
* Strong technical fluency and comfort working close to engineers, with the ability to understand and discuss APIs, integrations, data flows, and system constraints
* Experience using product and content development tools like the Atlassian Suite, Figma, Claude, ChatGPT, CMS platforms
* The backbone to challenge timelines and assumptions when they don't hold water
* Highly organized, detail\-oriented, and disciplined about follow\-through
* Willingness to do hands\-on work—not just coordinate it
* Pragmatic, direct, and focused on outcomes over ceremony
* Strong written and verbal communication skills, with an instinct to advocate for users
* Ability to thrive in fast\-moving, evolving environments
* Curious, humble, collaborative teammate
* Experience in regulated or highly complex industries is a plus
**This job is** 
**not** 
**for you if…**
* You're looking for a well\-oiled machine with fixed requirements, long roadmaps, and minimal ambiguity. This is a build\-in\-flight product, not a maintenance role.
* You prefer process for process's sake. We use structure to move faster and think more clearly—not to create ceremony or hide behind Jira hygiene.
* You want to be handed fully baked specs and told what to ship. This role exists because the specs don't exist yet—and someone needs to help create them.
* You're uncomfortable pushing back on leadership, timelines, or assumptions. We value respectful challenge and clear\-eyed realism over optimism theater.
* You like staying safely in your lane. Medicare, compliance, content, UX, engineering, and business realities all collide here. Curiosity and range matter.
* You want to manage work without owning outcomes. This role carries real accountability for delivery, clarity, and momentum.
* You're allergic to regulated complexity. Medicare is nuanced, rule\-bound, and occasionally absurd. If that sounds exhausting rather than interesting, this will be a long year.
**Core Competencies**
* Communicates Effectively
* Cultivates Innovation
* Drives Results
* Leads with Trust
* Mission Focus
* Strategic Mindset
**The Details**
* **Location** 
 : Remote, with a strong preference for Chicago\-based candidates. The team is largely Chicago\-based and likes to get together in the office from time to time.
* **Starting Salary:** 
 $105,000 \- $140,000
* **To Apply:** 
 please submit your resume as well as a cover letter detailing three reasons why you're right for the gig!
**What Jellyvision will give** 
***you***
**Check out our benefits here!**
 Jellyvision is committed to continuous evolution and fostering a more diverse and inclusive workplace where everyone is welcomed, valued, and respected. It doesn't matter your race, ethnicity, religion, age, disability, sexual orientation, gender, gender identity/expression, country of origin, genetic information, veteran status, marital status, pregnancy or related condition (including breastfeeding), criminal histories consistent with legal requirements or any other basis protected by law...we just want amazing people who are willing to grow along with us.
 Although we have a Chicago\-based HQ that employees are welcome to work out of whether they're local or just visiting, this position is also eligible for work by a remote employee out of CA, CO, FL, GA, IL, IN, KY, MI, MN, NC, NY, OH, OR, PA, SC, TN, TX, UT, VA, WA or WI.</t>
        </is>
      </c>
    </row>
    <row r="58">
      <c r="A58" t="inlineStr">
        <is>
          <t>li-4320360057</t>
        </is>
      </c>
      <c r="B58" t="inlineStr">
        <is>
          <t>Product Manager – Technology Innovation</t>
        </is>
      </c>
      <c r="C58" t="inlineStr">
        <is>
          <t>Ropes &amp; Gray LLP</t>
        </is>
      </c>
      <c r="D58" t="inlineStr">
        <is>
          <t>linkedin</t>
        </is>
      </c>
      <c r="E58">
        <f>HYPERLINK("https://www.linkedin.com/jobs/view/4320360057", "https://www.linkedin.com/jobs/view/4320360057")</f>
        <v/>
      </c>
      <c r="F58" t="inlineStr"/>
      <c r="G58" t="inlineStr">
        <is>
          <t>Boston, MA</t>
        </is>
      </c>
      <c r="H58" t="inlineStr"/>
      <c r="I58" t="inlineStr">
        <is>
          <t>**About Ropes \&amp; Gray**
 Ropes \&amp; Gray is a preeminent global law firm. The firm has been ranked in the top three on The American Lawyer's prestigious A\-List for eight consecutive years and \#1 on Law.com's UK A\-List twice in the past three years—rankings that honor the "best of the best" law firms.
 The firm has approximately 2,500 lawyers and professionals serving clients in major centers of business, finance, technology, and government in Boston, Chicago, Dublin, Hong Kong, London, Los Angeles, Milan, New York, Paris, San Francisco, Seoul, Shanghai, Silicon Valley, Singapore, Tokyo and Washington, D.C.
 The firm has consistently been recognized for its leading practices in many areas, including asset management, private equity, M\&amp;A, finance, real estate, tax, antitrust, life sciences, health care, intellectual property, litigation \&amp; enforcement, privacy \&amp; cybersecurity, and business restructuring.
 Ropes \&amp; Gray is an equal opportunity employer.
**Overview**
 Under the leadership of the Director of Technology Innovation, the AI Product Manager will drive the strategy, roadmap, delivery, and adoption of AI products across the firm—spanning internally developed tools and integrations as well as selected commercial offerings. The ideal candidate is passionate about technology and its application to solving business problems, viewing obstacles as exciting challenges that demand creative solutions. The Product Manager will translate attorney and business needs into secure, compliant, high\-value custom AI capabilities that improve delivery of client service and business operations at the firm. This person understands business process analysis and can evaluate technology solutions for business needs.
 This position requires close collaboration with other groups within the Information Services department to ensure any new and innovative technology solutions fit into the firm’s overall information technology and information security landscape.
**Responsibilities**
* Own the product lifecycle for internally built AI solutions, including discovery and requirements gathering, prioritization, roadmap, backlog, testing, delivery, launch, and continuous improvement. Ensure clear problem statements, success metrics, and release notes are documented.
* Lead internally built AI tools and integrations. Work with the application development team on solution build and design, including architectural tradeoffs, model/feature choices, and phased rollouts.
* Partner with other groups in IS to evaluate and manage selection, configuration and adoption of commercial AI products for the firm, such as Microsoft Copilot, ChatGPT Enterprise and others.
* Assist with AI and technology adoption programs, including communications, enablement, training content, office hours, and feedback loops; partner with Practice Technology, Legal KM and practice groups to help capture exemplars and playbooks.
* Run product usage analytics, including reporting on adoption, satisfaction, quality/accuracy, and time saved for owned products and partner with Practice Technology and Legal KM to assist with same for other tools.
* Collaborate with Practice Technology and Legal KM, as appropriate, to manage stakeholders across practices/offices; synthesize requirements from attorneys, business support leaders, and technologists; maintain a transparent, ranked backlog.
* Collaborate with Practice Technology and Legal KM in maintaining standards, playbooks, prompt libraries, model cards, and decision logs; contribute to firm policies on responsible AI.
* Maintain an understanding of technologies currently available for the legal market as well as the roadmaps for many of the larger providers of such products.
* Continuously monitor industry trends, emerging technologies, and competitive developments to identify opportunities for innovation or elimination of redundant products and solutions.
* Collaborate with Practice Technology and Legal KM on conducting technology pilots and building out prototypes or proof of concept solutions to validate the feasibility and effectiveness of new technologies.
**Qualifications**
* Technology Expertise – must have solid working knowledge of a variety of technologies including, but not limited to, generative AI, web application development, search, collaboration technologies, Microsoft solution stack, expert systems, database and report design, and IA/UX principles.
* Must be able to get consensus and collaborate across many business units; ability to explain complex concepts in layman’s terms; ability to communicate with all levels of management and staff establishing straightforward productive relationships.
* 5\+ years of professional experience in a global professional services organization. Law firm experience preferred.
* Bachelor’s degree required.
* Experience working with application development teams to deliver custom solutions.
* Strong working knowledge of modern AI concepts (LLMs, prompt design, RAG, embeddings/vector stores, evaluation techniques) and of enterprise platforms (APIs, events, identity/permissions).
* Understanding of system, application and network architecture.
* Knowledge of deploying and managing Azure resources.
* Knowledge of databases, database design principles and ability to query data.
* Familiarity with information security/risk frameworks (e.g., ISO 27001, ISO 42001, NIST) and with legal/regulated\-data considerations.
* Demonstrates excellent professional presence and business acumen.
* Analytical and conceptual thinker with experience developing creative, strategic solutions for business problems.
* Excellent relationship management and interpersonal skills.
* Goal oriented with high standards for quality, performance and excellent attention to detail.
* High comfort level working in a continually changing environment and managing multiple competing priorities.
* Excellent oral and written communication skills, including the ability to effectively communicate technical information to both technical and non\-technical personnel.
* Strong analytical and problem\-solving skills.
**Compensation And Total Rewards Package**
 Ropes \&amp; Gray is proud to offer a comprehensive Total Rewards package to our business support team members. The firm also offers comprehensive health and well\-being benefits, personal and professional development, career growth opportunities and a collegial and supportive culture. The anticipated pay range for this role is listed below and represents our good faith and reasonable estimate of the starting salary range at the time of posting. In addition, this role is eligible for a discretionary bonus based on performance. The actual offered rate for this position will be determined based on job\-related, non\-discriminatory factors, including qualifications and experience, geographic location, education, external market data and consideration of internal equity.
* Boston, Chicago, Washington D.C.: $150,100 \- $240,150
* New York: $161,000 \- $257,600
**Working Conditions**
 This position requires hybrid on\-site presence as an essential function of the role. Consistent and predictable on\-site presence is required for ongoing business continuity, professional development and effective collaboration with colleagues and management.</t>
        </is>
      </c>
    </row>
    <row r="59">
      <c r="A59" t="inlineStr">
        <is>
          <t>li-4366512808</t>
        </is>
      </c>
      <c r="B59" t="inlineStr">
        <is>
          <t>Lead Product Manager, Developer Experience</t>
        </is>
      </c>
      <c r="C59" t="inlineStr">
        <is>
          <t>Klaviyo</t>
        </is>
      </c>
      <c r="D59" t="inlineStr">
        <is>
          <t>linkedin</t>
        </is>
      </c>
      <c r="E59">
        <f>HYPERLINK("https://www.linkedin.com/jobs/view/4366512808", "https://www.linkedin.com/jobs/view/4366512808")</f>
        <v/>
      </c>
      <c r="F59">
        <f>HYPERLINK("https://www.klaviyo.com/careers/jobs?gh_jid=7608869003&amp;gh_src=1284ec8c3us&amp;urlHash=kxPM", "https://www.klaviyo.com/careers/jobs?gh_jid=7608869003&amp;gh_src=1284ec8c3us&amp;urlHash=kxPM")</f>
        <v/>
      </c>
      <c r="G59" t="inlineStr">
        <is>
          <t>San Francisco, CA</t>
        </is>
      </c>
      <c r="H59" t="inlineStr"/>
      <c r="I59"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Klaviyo is on a mission to build a world\-class, AI\-first engineering organization. To do this, we’re looking for a Lead Product Manager of Developer Experience who will craft and drive the vision for our internal development environment. In this role, you’ll treat developers as your customers — making their daily workflows faster, safer, and more joyful. Your work will directly impact how quickly and confidently Klaviyo engineers can build, test, and release high\-quality products.
 In this role, you’ll partner deeply with Engineering leaders across Developer Infra, SRE, and product teams to shape how Klaviyo develops software. Your focus will be on outcomes: enabling faster cycle times, reducing incidents, leveraging AI to automate toil, and making Klaviyo a magnet for top engineering talent.
 **Please note this is a hybrid role and requires 3 days/week in our SF office. Fully remote candidates will not be considered at this time.**
**What You’ll Do**
* Set the Vision: Define the product strategy for Klaviyo’s developer environment, aligning to our Need for Speed program — targeting massive improvements in engineering velocity, developer experience, and quality.
* Make Developers Your Customers: Treat Klaviyo engineers as the primary stakeholders. Identify pain points across the PDLC (coding, testing, deployment, maintenance) and prioritize investments that meaningfully improve their productivity and happiness.
* Accelerate with AI: Institutionalize AI as a force multiplier — from autonomous code agents to AI copilots for reviews and testing. Ensure Klaviyo leads in adopting AI\-first development practices, reducing friction without compromising safety.
* Deliver Measurable Outcomes: Drive success metrics such as PR throughput, cycle time, change failure rate, developer experience index, and AI tool adoption.
* Champion Quality \&amp; Safety: Partner with SRE and QE to ensure reliability and safety are built into every paved path — incidents and defects decrease even as velocity increases.
* Scale for the Future: Guide architecture and tooling choices that will keep Klaviyo’s developer experience sustainable and scalable for years to come.
* Be Data\-Driven: Establish instrumentation, run surveys, and analyze metrics to continuously validate impact and adjust based on outcomes, not assumptions.
* Build for Collaboration: Create transparency and open feedback loops with engineers, EMs, and leadership to ensure alignment and adoption of developer tooling and practices.
**Who You Are**
* Strategic Builder: You’re an Engineering leader turned Product think or Founder. Or you’ve led product for developer platforms, infrastructure, or tools, with a track record of improving engineering velocity and reliability.
* Developer\-Centric Thinker: You deeply empathize with engineers and have experience making their workflows easier, faster, and safer.
* AI\-Forward Mindset: You understand the transformative potential of AI in software development and can separate hype from practical value.
* Metrics\-Oriented: You are fluent in measuring success via engineering productivity, quality, and reliability metrics (e.g., PR throughput, CFR, incident rates, DevEx indices).
* Influential Collaborator: You can partner with senior engineering leaders (Infra, SRE, QE, product teams) and influence without authority.
* Bias for Action: You thrive in fast\-moving environments, balance short\-term wins with long\-term strategy, and bias toward automation and self\-service.
**Success In This Role Looks Like**
* Klaviyo engineers feel they can deliver faster, safer, and with higher confidence than ever before.
* AI tools are seamlessly integrated into workflows, with widespread adoption and measurable productivity gains.
* Development cycle times shrink, while incidents, defect escapes, and change failure rates decrease.
* Developers rank Klaviyo’s internal tooling and environment as best\-in\-class, making it a competitive advantage in attracting and retaining talent.
* The Dev Infra \&amp; SRE product strategy is clear, measurable, and directly tied to Klaviyo’s ability to deliver customer value quickly and reliably.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$168,000—$252,000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60">
      <c r="A60" t="inlineStr">
        <is>
          <t>li-4366508827</t>
        </is>
      </c>
      <c r="B60" t="inlineStr">
        <is>
          <t>Technical Product Manager</t>
        </is>
      </c>
      <c r="C60" t="inlineStr">
        <is>
          <t>Jobs via Dice</t>
        </is>
      </c>
      <c r="D60" t="inlineStr">
        <is>
          <t>linkedin</t>
        </is>
      </c>
      <c r="E60">
        <f>HYPERLINK("https://www.linkedin.com/jobs/view/4366508827", "https://www.linkedin.com/jobs/view/4366508827")</f>
        <v/>
      </c>
      <c r="F60">
        <f>HYPERLINK("https://click.appcast.io/t/m0reZoyTt43c6CrNaV_6nJ-w0r_FcPN3oN3p3RRY40M=&amp;urlHash=eL6_", "https://click.appcast.io/t/m0reZoyTt43c6CrNaV_6nJ-w0r_FcPN3oN3p3RRY40M=&amp;urlHash=eL6_")</f>
        <v/>
      </c>
      <c r="G60" t="inlineStr"/>
      <c r="H60" t="inlineStr"/>
      <c r="I60" t="inlineStr">
        <is>
          <t>Dice is the leading career destination for tech experts at every stage of their careers. Our client, AIT Global, Inc., is seeking the following. Apply via Dice today!
**Job Title: Technical Product Manager
 Location: Remote**
**Skills required:**
* Software Development Life Cycle (SDLC) \&amp; Methodologies: Expertise in managing the product development process using Agile methodologies (Scrum, Kanban) is essential, along with a deep understanding of the entire software development lifecycle.
* DevOps and Infrastructure Basics: Knowledge of how J2EE applications are built, tested, and deployed is important.
* Web Frameworks: Familiarity with popular frameworks
* Persistence Frameworks: Knowledge of how data is stored and retrieved
* APIs and Web Services: Understanding of Service\-Oriented Architecture (SOA
* Database Knowledge: Proficiency with database concepts.
* Front\-end Technologies: knowledge of related web technologies to understand UI/UX constraints and possibilities.
**Core Product Management \&amp; Soft Skills:**
* Communication \&amp; Stakeholder Management: Acts as a crucial bridge between highly technical engineering teams and non\-technical business, marketing, and sales teams. Excellent written and oral communication skills are necessary to translate complex technical issues into business implications and vice versa.
* Strategic Thinking and Roadmap Planning: The ability to define the product vision, create a compelling roadmap, and prioritize features and tasks based on user needs, market trends, and business goals.
* Problem\-Solving \&amp; Analytical Skills: Utilizes data analysis and critical thinking to identify user pain points, assess potential technical problems, and make data\-driven decisions.
* Leadership \&amp; Collaboration: Inspires and guides cross\-functional teams, manages expectations, resolves conflicts, and ensures alignment across all departments involved in the product's success.
* Risk Management: Proactively identifies potential technical bottlenecks or project risks and develops mitigation strategies.
**Key Responsibilities:**
* Requirements Definition: Translating business needs into detailed technical specifications for development.
* Technical Strategy: Defining the technical vision and roadmap, ensuring scalability, security, and long\-term viability.
* Engineering Collaboration: Working directly with engineers to detail requirements, prioritize features, and resolve technical challenges.
* Roadmap Management: Balancing technical debt, new features, and business demands on the product roadmap.
* Market \&amp; User Understanding: Researching market trends, competitor products, and user feedback, often focusing on technical users (developers).
* Cross\-Functional Alignment: Ensuring marketing, sales, and design teams understand the technical aspects and limitations.</t>
        </is>
      </c>
    </row>
    <row r="61">
      <c r="A61" t="inlineStr">
        <is>
          <t>li-4366499158</t>
        </is>
      </c>
      <c r="B61" t="inlineStr">
        <is>
          <t>Medicare Product Manager</t>
        </is>
      </c>
      <c r="C61" t="inlineStr">
        <is>
          <t>AmeriHealth Caritas</t>
        </is>
      </c>
      <c r="D61" t="inlineStr">
        <is>
          <t>linkedin</t>
        </is>
      </c>
      <c r="E61">
        <f>HYPERLINK("https://www.linkedin.com/jobs/view/4366499158", "https://www.linkedin.com/jobs/view/4366499158")</f>
        <v/>
      </c>
      <c r="F61">
        <f>HYPERLINK("https://careers.amerihealthcaritas.com/us/en/job/44074/Medicare-Product-Manager?%26source=LinkedIn&amp;source=LinkedIn&amp;urlHash=wUD3", "https://careers.amerihealthcaritas.com/us/en/job/44074/Medicare-Product-Manager?%26source=LinkedIn&amp;source=LinkedIn&amp;urlHash=wUD3")</f>
        <v/>
      </c>
      <c r="G61" t="inlineStr"/>
      <c r="H61" t="inlineStr"/>
      <c r="I61" t="inlineStr">
        <is>
          <t>**Role Overview:** 
 The Medicare Product Manager is responsible for managing the Medicare product portfolio and supporting strategic initiatives that drive Medicare integration, growth, and market expansion. This role plays a critical part in enhancing plan performance, entering new markets, optimizing benefit design, and ensuring compliance with state and federal regulations.
**Work Arrangement:**
* Remote \- Associate can be located anywhere in the United States
**Responsibilities:**
* Oversee the full end\-to\-end product management cycle for Medicare products, ensuring competitive plan offerings and operational readiness.
* Lead the bid development process by partnering with actuaries and internal teams to define product inputs, pricing strategies, and key assumptions; ensure timely submission of required Health Plan Management System (HPMS) documentation.
* Collaborate with the Vendor Program/Supplemental Benefits Team to conduct product\-related research and engage vendors that meet portfolio needs.
* Conduct ongoing competitive analysis and market research to inform product positioning, identify trends, and support strategic decision\-making.
* Identify priority populations and opportunities to support near\-term and long\-term membership growth across products and geographic regions.
* Partner with Analytics to review utilization, cost trends, and performance insights to guide product enhancements.
* Work closely with regional leadership to localize product offerings based on the provider landscape and service\-area needs.
* Support initiatives related to growth, retention, Stars performance, member experience, and overall plan optimization.
* Develop and maintain detailed plan design materials, including Plan Benefit Package (PBP) documentation, benefit grids, and internal summary tools.
* Provide guidance regarding benefit interpretation to claims configuration to ensure operational accuracy.
* Deliver annual product training to internal and external partners, such as customer service, sales, and market leadership teams.
* Contribute product information for regulatory communications, including Annual Notice of Coverage (ANOC), Evidence of Coverage (EOC), and Summary of Benefits.
* Maintain expertise in Centers for Medicare \&amp; Medicaid Services (CMS) regulations, guidelines, and annual updates; translate changes into actionable product updates and strategic recommendations.
* Lead documentation, project tracking, and process improvement efforts across the product lifecycle.
* Perform other duties as assigned.
**Education \&amp; Experience:**
* Bachelor’s degree required; Master’s degree preferred.
* Three to five years of experience in Medicare product management, project management, or a related healthcare field.
* Experience preparing CMS regulatory documents and submissions.
* Demonstrated experience managing complex processes and executing continuous improvement initiatives.
**Skills \&amp; Abilities**
* Ability to analyze data, interpret trends, and apply insights to product strategy.
* Excellent communication and presentation skills to support cross\-functional collaboration and stakeholder engagement.
* Strong organizational skills with the ability to manage multiple priorities and deadlines.
* Proficiency in building documentation, developing training, and supporting operational execution.
* Ability to work effectively across diverse teams.</t>
        </is>
      </c>
    </row>
    <row r="62">
      <c r="A62" t="inlineStr">
        <is>
          <t>li-4356561591</t>
        </is>
      </c>
      <c r="B62" t="inlineStr">
        <is>
          <t>Staff Product Manager, Billing</t>
        </is>
      </c>
      <c r="C62" t="inlineStr">
        <is>
          <t>Airwallex</t>
        </is>
      </c>
      <c r="D62" t="inlineStr">
        <is>
          <t>linkedin</t>
        </is>
      </c>
      <c r="E62">
        <f>HYPERLINK("https://www.linkedin.com/jobs/view/4356561591", "https://www.linkedin.com/jobs/view/4356561591")</f>
        <v/>
      </c>
      <c r="F62" t="inlineStr"/>
      <c r="G62" t="inlineStr">
        <is>
          <t>New York, NY</t>
        </is>
      </c>
      <c r="H62" t="inlineStr"/>
      <c r="I62"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**This role is Singapore based, please apply only if you are open to relocate to Singapore. Thanks.**
**Responsibilities**
* Define and drive Airwallex’s payments and billing product strategy — from vision and solution design to roadmap planning and execution across cross\-border payments, FX, settlements, reconciliation, invoicing, and subscription billing.
* Build and enhance billing and invoicing solutions that support recurring payments, automated reconciliation, and global compliance requirements.
* Leverage AI/ML insights to optimize billing processes (e.g., automated invoice categorization, payment reconciliation, fraud prevention, churn prediction, and personalized billing experiences).
* Collaborate closely with engineering, design, data science, and commercial teams to deliver scalable global billing and payment products that can handle increased adoption, transaction volume, and complexity while maintaining reliability and compliance.
* Inform product strategy by deeply understanding customer billing needs, payment flows, target markets, the competitive fintech landscape, and emerging AI and payments technologies.
* Rapidly iterate on new billing features (e.g., subscription management, smart invoicing, flexible pricing models) and AI\-powered enhancements based on user feedback and data.
* Manage and mentor a high\-performing team of Product Managers, fostering a culture of innovation, experimentation, and responsible AI adoption in fintech, payments, and billing.
**Minimum Qualifications**
* 5–10 years of experience in Product Management, with exposure to payments, billing, invoicing, or financial services.
* Proven track record of taking products from ideation to delivery at scale, ideally in global payments, billing platforms, or digital wallets.
* Experience building or managing billing systems (subscription billing, invoicing, automated reconciliation, recurring payments).
* Strong ability to balance long\-term product vision with short\-term growth and execution needs.
* Comfortable working in data\-driven, cross\-functional teams, leveraging analytics or AI\-powered billing tools to guide decisions.
* Flexibility to work across multiple time zones.
* Exceptional communication skills, able to articulate complex billing, payments, and AI product strategies to both technical and non\-technical audiences.
**Preferred Qualifications**
* Experience in building end\-user experiences in invoicing, subscription billing, or merchant payment solutions, ideally with AI\-powered automation.
* Background in hyper\-growth startup environments, fintech, or software engineering.
* Experience collaborating with AI/ML engineers on billing and payments use cases such as fraud detection, automated reconciliation, invoice categorization, and revenue recognition.
* Bachelor’s degree in Computer Science, Engineering, Data Science, Finance, or a related field is strongly preferred.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189K \- SGD 250K</t>
        </is>
      </c>
    </row>
    <row r="63">
      <c r="A63" t="inlineStr">
        <is>
          <t>li-4366772752</t>
        </is>
      </c>
      <c r="B63" t="inlineStr">
        <is>
          <t>Senior Program Manager</t>
        </is>
      </c>
      <c r="C63" t="inlineStr">
        <is>
          <t>Roku</t>
        </is>
      </c>
      <c r="D63" t="inlineStr">
        <is>
          <t>linkedin</t>
        </is>
      </c>
      <c r="E63">
        <f>HYPERLINK("https://www.linkedin.com/jobs/view/4366772752", "https://www.linkedin.com/jobs/view/4366772752")</f>
        <v/>
      </c>
      <c r="F63" t="inlineStr"/>
      <c r="G63" t="inlineStr">
        <is>
          <t>San Jose, CA</t>
        </is>
      </c>
      <c r="H63" t="inlineStr"/>
      <c r="I63"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Consumer Apps team is responsible for Roku’s core user\-facing applications across streaming and utility experiences, including The Roku Channel and the Roku Mobile App. We deliver The Roku Channel across Roku devices and off\-platform environments (including web and third\-party connected TV platforms), and we build mobile experiences that help customers discover, stream, and engage with the Roku ecosystem at scale. We partner closely with Engineering, UX, Content, Data, and Business teams to deliver cohesive, high\-quality experiences that drive engagement and growth.
**About the role** 
 As a Senior Program Manager, The Roku Channel (Cross\-Platform), you will drive execution for The Roku Channel across Roku OS, web, third\-party connected TV platforms, and mobile/tablet experiences. You’ll be the operational leader who turns strategy into predictable delivery, aligning teams, managing dependencies, establishing program cadence, and ensuring launch readiness across a complex set of stakeholders.
 In this role, you’ll lead two core pillars:
* Cross\-Platform Roku Channel Program Leadership: Orchestrate delivery across client teams and platforms, aligning work to shared milestones, launch goals, and customer outcomes.
* Operating Cadence \&amp; Launch Excellence: Build repeatable mechanisms for planning, dependency management, quality readiness, and executive visibility, bringing structure without unnecessary process.
 The Roku Channel requires coordination across client teams (Product, Engineering, UX, QA, Data/Analytics) and contributing organizations (including personalization/recommendations and content strategy/operations). This role is ideal for someone who thrives in ambiguity, brings structure without bureaucracy, and can influence across multiple organizations to ship customer\-facing experiences at scale.
 This position is based in San Jose and reports to the Director of Product Consumer Apps.
 For California Only \- The estimated annual salary for this position is between $148,000 \- $350,000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Lead end\-to\-end program planning and execution for The Roku Channel initiatives spanning Roku OS, web, third\-party connected TV platforms, and mobile/tablet
* Run quarterly and continuous planning across The Roku Channel workstreams; drive re\-plans as priorities shift, and dependencies change
* Build and maintain integrated delivery plans across multiple teams (milestones, critical paths, risks, decision points, and launch readiness criteria)
* Establish and run operating mechanisms that improve predictability: weekly program reviews, dependency forums, release readiness checkpoints, and post\-launch retrospectives
* Coordinate cross\-functional stakeholders across Product, Engineering, UX, QA, Data/Analytics, and operational partners to ensure clarity on scope, ownership, and timelines
* Orchestrate dependencies with contributing teams such as personalization/recommendations, content operations, and platform experience stakeholders impacting discovery, navigation, content mix, and monetization flows
* Drive RACI\-style clarity for cross\-team initiatives; ensure healthy scope and ownership boundaries across platforms and partner teams
* Forecast capacity and identify gaps early across Engineering, UX, QA, Data, and partner teams to support planning and delivery commitments
* Publish and maintain program reporting and executive\-facing communication: status, risks, tradeoffs, decisions needed, and mitigations—keeping teams aligned and unblocked
* Partner with engineering leadership to improve delivery hygiene and quality readiness, supporting cross\-platform consistency while respecting platform\-specific constraints
* Support program scaling as The Roku Channel grows, helping define tooling, templates, and future program management needs
**We're excited if you have** 
* 8\+ years of program management (or technical program management) experience leading complex cross\-functional initiatives in consumer software, media/streaming, or platform products
* Proven ability to deliver multi\-team, multi\-workstream programs with high dependency complexity and multiple stakeholder groups
* Experience working closely with engineering teams and technical systems (client/server integration, APIs, experimentation, analytics, release processes)
* Strong execution discipline: critical path planning, risk management, escalation, and crisp stakeholder communication
* Comfort navigating ambiguity and driving alignment without authority across diverse organizations
* Familiarity with streaming concepts (AVOD/SVOD/FAST/LIVE), discovery and personalization/recommendations, and content operations is a plus
* Experience with multi\-platform product delivery (CTV, web, mobile) and the realities of differing release trains and quality requirements is a plus
* Bachelor’s degree in a technical or related field (or equivalent experience)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64">
      <c r="A64" t="inlineStr">
        <is>
          <t>li-4366916328</t>
        </is>
      </c>
      <c r="B64" t="inlineStr">
        <is>
          <t>Staff Product Manager, Orchestration Lead</t>
        </is>
      </c>
      <c r="C64" t="inlineStr">
        <is>
          <t>Stripe</t>
        </is>
      </c>
      <c r="D64" t="inlineStr">
        <is>
          <t>linkedin</t>
        </is>
      </c>
      <c r="E64">
        <f>HYPERLINK("https://www.linkedin.com/jobs/view/4366916328", "https://www.linkedin.com/jobs/view/4366916328")</f>
        <v/>
      </c>
      <c r="F64">
        <f>HYPERLINK("https://stripe.com/jobs/listing/staff-product-manager-orchestration-lead/7568987?gh_src=73vnei&amp;urlHash=Gba-", "https://stripe.com/jobs/listing/staff-product-manager-orchestration-lead/7568987?gh_src=73vnei&amp;urlHash=Gba-")</f>
        <v/>
      </c>
      <c r="G64" t="inlineStr">
        <is>
          <t>Seattle, WA</t>
        </is>
      </c>
      <c r="H64" t="inlineStr"/>
      <c r="I64" t="inlineStr">
        <is>
          <t>Staff Product Manager, Orchestration lead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Orchestration team is building the engine for Stripe’s multiprocessor future. Our mission is to provide businesses with a unified platform to process payments globally, offering unparalleled reliability, performance, and flexibility. We build and own the foundational infrastructure that abstracts away the complexity of the global payments ecosystem, including Stripe's own payment processing and third\-party processors alike. We also build a user\-facing product that acts as an intelligent routing layer that sits on top of this infrastructure.
 What you’ll do
 You will lead Stripe Orchestration, a product at the heart of our long\-term enterprise strategy. In this high\-leverage technical role, you will take full end\-to\-end ownership of a nascent product, shaping its vision, architecture, and market entry. You will operate at a high pace to build infrastructure that powers the world's most critical payment flows.
**Responsibilities**
* Define a multi\-year vision for Orchestration that anticipates the next decade of user scale and complexity.
* Lead Engineering and Design through every phase of the product lifecycle, from 0\-to\-1 development to General Availability.
* Enforce rigorous standards for product quality, API design, and system reliability, building trust with our largest enterprise users.
* Partner with Sales and GTM teams to pitch the product, win key deals, and translate user feedback into roadmap priorities.
* Serve as the internal subject matter expert on the payment orchestration landscape, managing relationships with partners and ecosystem vendors.
* Drive cross\-functional alignment with teams like Core API and Stripe Checkout to deliver a cohesive platform experience.
* Mentor or manage emerging PM talent within the domain.
 Who you are
 We are looking for someone who meets the minimum requirements below. If you see yourself in this description, we encourage you to apply. Preferred qualifications are a bonus, not a necessity.
**Minimum Requirements**
* 10\+ years of experience in product management or a related product role.
* A track record of shipping technical B2B products at a high velocity.
* An obsession with product quality in all its forms—from API design to dashboard UX and documentation.
* Existing knowledge of the payments landscape or a demonstrated ability to learn complex domains quickly.
* Strong written and verbal communication skills, with a talent for articulating user problems precisely.
* An ownership mindset; you are willing to do whatever it takes to solve problems and delight users.
* Ability to dig deep into data, think from first principles, and deliver the right results.
**Preferred Qualifications**
* A background in Computer Science, Engineering, or a related technical field.
* The ability to understand complex systems at a deep technical level.
* Specific experience in payment orchestration or payment processing.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65">
      <c r="A65" t="inlineStr">
        <is>
          <t>li-4356531646</t>
        </is>
      </c>
      <c r="B65" t="inlineStr">
        <is>
          <t>Staff Product Manager, Billing</t>
        </is>
      </c>
      <c r="C65" t="inlineStr">
        <is>
          <t>Airwallex</t>
        </is>
      </c>
      <c r="D65" t="inlineStr">
        <is>
          <t>linkedin</t>
        </is>
      </c>
      <c r="E65">
        <f>HYPERLINK("https://www.linkedin.com/jobs/view/4356531646", "https://www.linkedin.com/jobs/view/4356531646")</f>
        <v/>
      </c>
      <c r="F65">
        <f>HYPERLINK("https://jobs.ashbyhq.com/airwallex/60e66d9d-0128-407d-9026-784dd30a3b85/application?utm_source=linkedin&amp;urlHash=SuCm", "https://jobs.ashbyhq.com/airwallex/60e66d9d-0128-407d-9026-784dd30a3b85/application?utm_source=linkedin&amp;urlHash=SuCm")</f>
        <v/>
      </c>
      <c r="G65" t="inlineStr">
        <is>
          <t>San Francisco, CA</t>
        </is>
      </c>
      <c r="H65" t="inlineStr"/>
      <c r="I65"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**This role is Singapore based, please apply only if you are open to relocate to Singapore. Thanks.**
**Responsibilities**
* Define and drive Airwallex’s payments and billing product strategy — from vision and solution design to roadmap planning and execution across cross\-border payments, FX, settlements, reconciliation, invoicing, and subscription billing.
* Build and enhance billing and invoicing solutions that support recurring payments, automated reconciliation, and global compliance requirements.
* Leverage AI/ML insights to optimize billing processes (e.g., automated invoice categorization, payment reconciliation, fraud prevention, churn prediction, and personalized billing experiences).
* Collaborate closely with engineering, design, data science, and commercial teams to deliver scalable global billing and payment products that can handle increased adoption, transaction volume, and complexity while maintaining reliability and compliance.
* Inform product strategy by deeply understanding customer billing needs, payment flows, target markets, the competitive fintech landscape, and emerging AI and payments technologies.
* Rapidly iterate on new billing features (e.g., subscription management, smart invoicing, flexible pricing models) and AI\-powered enhancements based on user feedback and data.
* Manage and mentor a high\-performing team of Product Managers, fostering a culture of innovation, experimentation, and responsible AI adoption in fintech, payments, and billing.
**Minimum Qualifications**
* 5–10 years of experience in Product Management, with exposure to payments, billing, invoicing, or financial services.
* Proven track record of taking products from ideation to delivery at scale, ideally in global payments, billing platforms, or digital wallets.
* Experience building or managing billing systems (subscription billing, invoicing, automated reconciliation, recurring payments).
* Strong ability to balance long\-term product vision with short\-term growth and execution needs.
* Comfortable working in data\-driven, cross\-functional teams, leveraging analytics or AI\-powered billing tools to guide decisions.
* Flexibility to work across multiple time zones.
* Exceptional communication skills, able to articulate complex billing, payments, and AI product strategies to both technical and non\-technical audiences.
**Preferred Qualifications**
* Experience in building end\-user experiences in invoicing, subscription billing, or merchant payment solutions, ideally with AI\-powered automation.
* Background in hyper\-growth startup environments, fintech, or software engineering.
* Experience collaborating with AI/ML engineers on billing and payments use cases such as fraud detection, automated reconciliation, invoice categorization, and revenue recognition.
* Bachelor’s degree in Computer Science, Engineering, Data Science, Finance, or a related field is strongly preferred.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189K \- SGD 250K</t>
        </is>
      </c>
    </row>
    <row r="66">
      <c r="A66" t="inlineStr">
        <is>
          <t>li-4366762729</t>
        </is>
      </c>
      <c r="B66" t="inlineStr">
        <is>
          <t>Senior Manager - Digital Product Manager</t>
        </is>
      </c>
      <c r="C66" t="inlineStr">
        <is>
          <t>CVS Health</t>
        </is>
      </c>
      <c r="D66" t="inlineStr">
        <is>
          <t>linkedin</t>
        </is>
      </c>
      <c r="E66">
        <f>HYPERLINK("https://www.linkedin.com/jobs/view/4366762729", "https://www.linkedin.com/jobs/view/4366762729")</f>
        <v/>
      </c>
      <c r="F66" t="inlineStr"/>
      <c r="G66" t="inlineStr">
        <is>
          <t>Hartford, CT</t>
        </is>
      </c>
      <c r="H66" t="inlineStr"/>
      <c r="I6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If you are eager to make a real impact in the health care industry through your own meaningful contributions, explore a role in technology with CVS Health. Our journey calls for technical innovators and data visionaries: come help us pave the way. 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which will allow you to grow your technical skills and engineering expertise.
 Currently we are seeking a Senior Manager – Digital Product Manager who will play a crucial role in building and delivering high\-quality software that enhances customer experiences. This Senior Manager will be involved in all phases of software engineering, from requirements analysis to deployment, while adhering to agile software development methodologies. Collaboration is key, as you will work closely with cross\-functional teams to deliver integrated solutions that meet the evolving needs of our business.
 The Commercial Product program that this role supports is overly complex that spans across almost all the Aetna Technology domains/applications. A Senior Product Owner in this area requires significant business and systems knowledge and expertise in navigating multiple business units and external vendors.
**Expectations For The Role**
* Partner with multiple Product Owners and Product leadership team right from the ideation phase to mature the product concepts and helps them with IT evaluation exercise (SWAT)
* Work with multiple IT and business areas to develop IT solution, strategy, MVP (Minimum Viable Product and provides the IT Guidance ranges/cost estimates
* Coordinate release planning, oversees delivery milestones, resolves issues, and removes the barriers that may hinder project execution
* Proactively evaluates all work that is in flight, builds contingency plans, and executes corrective action on a timely basis to mitigate risks such as scope and/or budget variances
* Ensure that projects/enhancements align with the Commercial Product delivery objectives by thoroughly understanding the business segment's drivers and issues
* Identify and leverage project interdependencies to ensure synergy between the projects and to promote benefits realization across the portfolio. Proactively identifies additional cost\-savings to reduce overall project expenses
* Ensure delivery milestones are met, and project activities are completed on time for successful IT delivery
* Work closely with Product Managers, Sales teams, Underwriters, Compliance, various Business areas and Technology Teams including Architecture, Security, and Infrastructure
* Provide insights into Current State of Technical capabilities
* Leverage strong technical skills to develop and manage multiple concurrent, time\-bound Product implementations.
* Work collaboratively with cross functional domain/technical teams
* Innovative mindset with strong conviction for Technology Excellence
* Keep abreast of technology advances across various lines of business with keenness to cross apply the innovations across Lines of Business
* Strong Client Interfacing, Stakeholder Management and High Impact Communication skills
* Collaborate with the program business and the individual domain teams and/or vendors to translate overall project/ business objectives to application specific needs
* Create and maintain functional and technical documentation, including system designs, workflow, and ensure end to end traceability is maintained
* Explore new tools, frameworks, and techniques to improve digital solutions and drive innovation within the engineering team
**Required Qualifications**
* 7\+ years of experience of Product Manager experience, preferably with Commercial Medical Product Development collaborating with various stakeholders in maturing a Product Concept from its initial stages, providing directional guidance, advising on technical capabilities, collaborating on roadmap followed by design and implementation
* 6\+ years of experience in collaborating with external Vendors that support various Programs (e.g., Maternity, Chronic Conditions, Clinical engagement etc.) for Commercial Plan Sponsors
* 5\+ years of experience in working with Engineering, and Cross functional team to solve complex business and/or technical problems
* 4\+ years of experience independently managing deliverables
* 3\+ years of experience in effort estimation
**Preferred Qualifications**
* Proven experience independently leading and completing tasks
* Prior experience in dealing with a wide variety of stakeholders across the spectrum
* Effective written and verbal communication skills within and across teams
* Experience with complex systems and solving challenging analytical problems
* Previous experience in delivering new Commercial Medical Product Concepts within tight budgets and challenging timelines
**EDUCATION**
 Bachelor’s degree or equivalent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67">
      <c r="A67" t="inlineStr">
        <is>
          <t>li-4347780394</t>
        </is>
      </c>
      <c r="B67" t="inlineStr">
        <is>
          <t>Senior Data Management Professional - Data Product Owner - Private Deals &amp; Valuations</t>
        </is>
      </c>
      <c r="C67" t="inlineStr">
        <is>
          <t>Bloomberg</t>
        </is>
      </c>
      <c r="D67" t="inlineStr">
        <is>
          <t>linkedin</t>
        </is>
      </c>
      <c r="E67">
        <f>HYPERLINK("https://www.linkedin.com/jobs/view/4347780394", "https://www.linkedin.com/jobs/view/4347780394")</f>
        <v/>
      </c>
      <c r="F67" t="inlineStr"/>
      <c r="G67" t="inlineStr">
        <is>
          <t>New York, NY</t>
        </is>
      </c>
      <c r="H67" t="inlineStr"/>
      <c r="I67" t="inlineStr">
        <is>
          <t>Location
 New York
 Business Area
 Data
 Ref \#
 10047920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domain expertise, and technical insight to continuously improve our data offerings, ensuring they remain reliable, scalable, and fit\-for\-purpose in a fast\-changing landscape.
**Our Team**
 The Private Deals Data team is responsible for Bloomberg’s private transactions data model—an essential foundation for understanding global private markets. This data defines and enriches private companies, linking them to. Private company data plays a critical role in research, investment analysis, compliance, and due diligence. Integrating diverse datasets with our core private company data helps clients uncover insights, validate exposures, monitor evolving risks, and identify new opportunities in opaque and fast\-growing markets.
**The Role**
 We are seeking a Data Product Owner, Private Deals and Valuation to lead the design and execution of Bloomberg’s strategy for integrating M\&amp;A, Private Market, and related datasets into Bloomberg’s broader semantic model and analytics stack. You’ll define how private company and deal data connect to Bloomberg’s discovery tools, APIs, and BQL—making them intuitive, queryable, and analytically powerful for clients and internal users alike. You will own the roadmap for embedding private market content into Bloomberg’s data ecosystem, ensuring seamless discoverability, interoperability, and analytical consistency. Working closely with engineering, product, and analytics teams, you’ll translate complex user needs into actionable integration requirements—bridging the gap between data architecture and client workflow impact.
**You Will**
* Own the roadmap for integrating M\&amp;A, private company, and valuation datasets into Bloomberg’s semantic model and BQL.
* Define how users discover and interact with private market data through Bloomberg functions, search, and API access.
* Translate business use cases into schema, metadata, and data exposure requirements
* Partner with Engineering to deliver scalable integrations that support both internal and client\-facing workflows.
* Identify and prioritize cross\-domain data linkages (e.g., ESG, financials, ownership, transactions) that enhance insight generation.
* Drive internal alignment on integration priorities across multiple product verticals.
* Define acceptance criteria for integrations and ensure they meet performance, completeness, and usability standards.
* Advocate for user\-centric data design—ensuring private market datasets are as accessible and discoverable as their public counterparts.
**You’ll Need To Have**
* We use years of experience as a guide but will consider all candidates who can demonstrate the
**Required Skills.**
* 4\+ years of experience in product management, data platform strategy, or data integration.
* Strong understanding of private market data (companies, transactions, valuations) and its analytical use cases.
* Proven ability to translate client workflows into data requirements and functional specifications.
* Experience working with data engineers and modelers to design integration schemas.
* Familiarity with data discovery, cataloging, or semantic modeling concepts.
* Excellent communication skills, with the ability to bridge technical and non\-technical teams.
* Demonstrated success managing cross\-functional roadmaps and competing priorities.
**We’d Love To See**
* Experience working with Bloomberg Query Language (BQL) or comparable query frameworks.
* Familiarity with enterprise data integration, APIs, or graph\-based models.
* Understanding of how M\&amp;A, private equity, and venture datasets interconnect within financial analysis.
* Track record of delivering data products that improve discoverability or analytical capability.
* Curiosity about evolving data integration patterns and private market data innovations.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68">
      <c r="A68" t="inlineStr">
        <is>
          <t>li-4366508796</t>
        </is>
      </c>
      <c r="B68" t="inlineStr">
        <is>
          <t>Product Owner Pharmacy (PBM)</t>
        </is>
      </c>
      <c r="C68" t="inlineStr">
        <is>
          <t>Jobs via Dice</t>
        </is>
      </c>
      <c r="D68" t="inlineStr">
        <is>
          <t>linkedin</t>
        </is>
      </c>
      <c r="E68">
        <f>HYPERLINK("https://www.linkedin.com/jobs/view/4366508796", "https://www.linkedin.com/jobs/view/4366508796")</f>
        <v/>
      </c>
      <c r="F68">
        <f>HYPERLINK("https://click.appcast.io/t/HZ9nWMuBYa1QCMOiIe0AM08Kg1Q4sgrBpJYDRVK-BBs=&amp;urlHash=jV-N", "https://click.appcast.io/t/HZ9nWMuBYa1QCMOiIe0AM08Kg1Q4sgrBpJYDRVK-BBs=&amp;urlHash=jV-N")</f>
        <v/>
      </c>
      <c r="G68" t="inlineStr"/>
      <c r="H68" t="inlineStr"/>
      <c r="I68" t="inlineStr">
        <is>
          <t>Dice is the leading career destination for tech experts at every stage of their careers. Our client, EA Team, Inc., is seeking the following. Apply via Dice today!
 Job Title: Product Owner Pharmacy (PBM)
 Location: 100% Remote
 Duration: Long term contract
**Job Description:**
**7\+ years relevant experience as a Senior Level Technical Product Owner (Pharmacy Benefit Manager (PBM)**
* Experience in Pharmacy Finance area including Billing and Collections
* Jira
* Seasoned with the ability to navigate politics, meet tight deadlines, work in a dynamic environment and lead proactively
* Excellent technical, analytical, presentation skills and communication skills required.
 Duties:
 The Agile Product Owner Senior Advisor is responsible for the initiatives supporting the Specialty Pharmacy Area. This position utilizes technical and operational aptitude and experience to provide business support to Express Scripts Operations to ensure satisfaction with technology products, systems and services in alignment with ESI objectives. Assists with ensuring requirements are clear and actionable and that the execution of approved initiatives drives value in the department. Manages deadlines and ensures overall success of assigned portfolio initiatives from beginning to end.
**Primary Functions:**
* Provide business direction and project management for cross\-functional, operational, strategic and/or tactical initiatives in our Specialty Pharmacy area.
* Coordinate cross\-functional team members' activities to ensure that designated projects and relevant tasks are completed on time to support the project team's efforts.
* Gather and analyze data, develop queries, document necessary requirements, track action items via a project plan, and provide status reports. Ensure proper processes are met and documented by responsible team and business lead.
* Responsible for timely completion of initiatives and communicating with leadership on roadblocks and changing priorities.
* Optimize results within acceptable product scope and time constraints. Partner with cross\-functional project teams to assess status, support escalated issues as they arise and drive the resolution of product impediments.
* Assist in the establishment of the strategic direction and product roadmap.
* Act as liaison between business and technology to execute portfolio level initiatives, resolve issues, monitor KPI results and provide leadership status updates.
* Accountable for completing financial analysis with resource management partner and tracking savings/margin/benefit with leadership.
* Understanding of trends and metrics associated with your product/capability area.
* Leverage data to come up with new opportunities for product improvement.
* Work with business and technology partners to understand our customers' needs to meet business objectives and to improve customer satisfaction/NPS.
* Partner with technology and analytics teams to develop new data sources for KPI's currently not in place.
* Lead large/complex technology projects in our Specialty Pharmacy area and assist others in gathering and documenting requirements.
 Skills:
* 5\+ years relevant experience; i.e., business analysis and/or technology development
* Experience in Pharmacy Finance area including Billing and Collections preferred
* Experience working in an agile environment preferred
* PC skills including knowledge of Microsoft Office, Agile tools (Jira, Rally), Business Process Modeling tools
* Ability to handle analysis from issue identification to proposal of potential solutions
* Strong business and organizational skills
* Demonstrated initiative with commitment and ability to work under pressure and meet tight deadlines.
* Excellent technical, analytical, presentation skills and communication skills required.
* Ability to effectively operate within a fast pace, dynamic organization
* Ability to influence and build strong relationship across the organization
* Proven ability to work in a team environment
 Education:
* Bachelor's degree preferred; MBA preferred
 Required Skills:
* Organizational Skills
* Presentation Skills
* Product Management
* Project Plan
* Billing
 Additional Skills:
* Agile
* Microsoft Office
* Rally
* Jira
* Financial Analysis
* Liaison
* Data Sources
* Finance
* Product Roadmap
* Strategic Direction
* Business Analysis
* Credit Issues
* Metrics
* Project Management
* Pharmacy
* Documenting
* Operations</t>
        </is>
      </c>
    </row>
    <row r="69">
      <c r="A69" t="inlineStr">
        <is>
          <t>li-4366533049</t>
        </is>
      </c>
      <c r="B69" t="inlineStr">
        <is>
          <t>PRODUCT MANAGER AI W2</t>
        </is>
      </c>
      <c r="C69" t="inlineStr">
        <is>
          <t>Jobs via Dice</t>
        </is>
      </c>
      <c r="D69" t="inlineStr">
        <is>
          <t>linkedin</t>
        </is>
      </c>
      <c r="E69">
        <f>HYPERLINK("https://www.linkedin.com/jobs/view/4366533049", "https://www.linkedin.com/jobs/view/4366533049")</f>
        <v/>
      </c>
      <c r="F69" t="inlineStr"/>
      <c r="G69" t="inlineStr">
        <is>
          <t>Manhasset, NY</t>
        </is>
      </c>
      <c r="H69" t="inlineStr"/>
      <c r="I69" t="inlineStr">
        <is>
          <t>Dice is the leading career destination for tech experts at every stage of their careers. Our client, S3 Staffing USA, is seeking the following. Apply via Dice today!
**Product Manager AI**
**Location: Iselin, NJ or Manhattan, NY (Onsite, Local Only)**
**Duration: 6\+ Months**
**TN**
**Video Interview**
**Role Overview**
* Manage roadmaps across all Platform pillars
* Insurance background mandatory
* Strong stakeholder management skills
* Ensure smooth communication across the business
* Active listener</t>
        </is>
      </c>
    </row>
    <row r="70">
      <c r="A70" t="inlineStr">
        <is>
          <t>li-4362061480</t>
        </is>
      </c>
      <c r="B70" t="inlineStr">
        <is>
          <t>Technical Program Manager</t>
        </is>
      </c>
      <c r="C70" t="inlineStr">
        <is>
          <t>Request Technology, LLC</t>
        </is>
      </c>
      <c r="D70" t="inlineStr">
        <is>
          <t>linkedin</t>
        </is>
      </c>
      <c r="E70">
        <f>HYPERLINK("https://www.linkedin.com/jobs/view/4362061480", "https://www.linkedin.com/jobs/view/4362061480")</f>
        <v/>
      </c>
      <c r="F70" t="inlineStr"/>
      <c r="G70" t="inlineStr">
        <is>
          <t>Fremont, CA</t>
        </is>
      </c>
      <c r="H70" t="inlineStr"/>
      <c r="I70" t="inlineStr">
        <is>
          <t>**Technical Program Manager**
 Salary: Open \+ Bonus
 Location: Fremont, CA
 Hybrid: up to 3 days onsite/week
 Travel: up to 30%
 \*This role is open to United States Citizens only\*
**Qualifications** 
* Bachelor’s Degree
* 7\+ years technical program/project management or relevant experience
* The ability to read and interpret wiring diagrams and electrical / electronic schematics
* Experience working with RF Communications Equipment, Spectrum Monitoring \&amp; Management Systems and/or Signals Intelligence Systems
* Excellent verbal and written communications skills
* International Travel Experience
**Preferred** 
* Previous or current security clearance and/or military experience; must be clearable
* PMP certification
**Responsibilities** 
* Create and execute project work plans and budgets and revise as appropriate to meet changing needs and requirements.
* Manage day\-to\-day operational aspects of a project and scope.
* Manage teams of engineers and field technicians to complete project tasks both locally and in Customer countries.
* Ability to perform tasks and complete projects with minimal supervision.
* Manage aspects of pre\-shipment process, Engineering and Production requirements and deadlines, and planning and supporting of customer Factory Acceptance Testing when necessary.
* Support customers’ installation \&amp; site preparation planning, including identifying and managing subcontractors, coordinating Statement of Work documentation, ensuring quality of work, and managing customer modifications in scope.
* Manage all on\-site activities, including site preparation; arrangements for and inspection of incoming shipments; installation and commissioning of hardware and software; performance of Site Acceptance Tests; training of customers; and local and remote diagnostics and troubleshooting.
* Serve as the customer’s primary point of contact during execution (manufacturing, installation and post\-sale support periods).
* Support sales and marketing activities in project and program management roles in preparation of proposals.</t>
        </is>
      </c>
    </row>
    <row r="71">
      <c r="A71" t="inlineStr">
        <is>
          <t>li-4356451616</t>
        </is>
      </c>
      <c r="B71" t="inlineStr">
        <is>
          <t>Senior Product Manager, Technical Programs - Core Infra for Issuing</t>
        </is>
      </c>
      <c r="C71" t="inlineStr">
        <is>
          <t>Airwallex</t>
        </is>
      </c>
      <c r="D71" t="inlineStr">
        <is>
          <t>linkedin</t>
        </is>
      </c>
      <c r="E71">
        <f>HYPERLINK("https://www.linkedin.com/jobs/view/4356451616", "https://www.linkedin.com/jobs/view/4356451616")</f>
        <v/>
      </c>
      <c r="F71" t="inlineStr"/>
      <c r="G71" t="inlineStr">
        <is>
          <t>San Francisco, CA</t>
        </is>
      </c>
      <c r="H71" t="inlineStr"/>
      <c r="I71"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**This role is Singapore based, please apply only if you are open to relocate to Singapore, thanks!**
**Role Summary**
 We are looking for a technical, execution\-oriented talent to drive the global expansion of our Issuing Product. In this role, you will act as the "glue" between our external partners (networks, banks, and vendors) and our internal Solution Engineering (SE) and Product teams. You will own the technical success of our regional growth and be responsible for building products that allow our infrastructure to scale.
**Key Responsibilities**
* Regional Expansion \&amp; Strategic Launches
* End\-to\-End Technical Setup: Own the technical workstreams for launching the Issuing Product in new markets and expanding our issuing infrastructure capability map.
* Partner Orchestration: Serve as the primary technical point of contact for external partners across the card payment ecosystem.
* White\-label Platform Deployment
* Customer Enablement: Partner with Solution Engineering (SE) to deploy white\-label platform programs to market.
* Program Management: Lead the technical journey for platform customers, from initial inquiry to market launch.
* Compliance \&amp; Partner Management
* Integration Oversight: Manage the wide variety of technical partners and integrations core to the Issuing product's function.
* Regulatory Reporting: Maintain responsibility for partner\-specific reporting and compliance.
* Innovation Mindset: Lead and support AI\-driven initiatives to automate and supplement manual processes to streamline our operations.
**Requirements \&amp; Skills**
 Technical Expertise: A deep understanding of the card\-issuing lifecycle or a background in Fintech is preferred. Previous experience working with card schemes (Visa/Mastercard) and digital wallet providers is highly valued.
* Project Leadership: Proven ability to manage complex, multi\-stakeholder launches across different time zones and regulatory environments.
* Operational Rigor: Strong handle on compliance reporting and the ability to interface effectively with bank sponsors.
* Collaborative Mindset: Experience partnering with Solution Engineering and Sales teams to bridge the gap between "sold" and "live."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146K \- SGD 220K</t>
        </is>
      </c>
    </row>
    <row r="72">
      <c r="A72" t="inlineStr">
        <is>
          <t>li-4351636407</t>
        </is>
      </c>
      <c r="B72" t="inlineStr">
        <is>
          <t>Director, Product Manager, Risk - Selby Jennings</t>
        </is>
      </c>
      <c r="C72" t="inlineStr">
        <is>
          <t>Jobs via eFinancialCareers</t>
        </is>
      </c>
      <c r="D72" t="inlineStr">
        <is>
          <t>linkedin</t>
        </is>
      </c>
      <c r="E72">
        <f>HYPERLINK("https://www.linkedin.com/jobs/view/4351636407", "https://www.linkedin.com/jobs/view/4351636407")</f>
        <v/>
      </c>
      <c r="F72">
        <f>HYPERLINK("https://click.appcast.io/t/2_qoCEz4WS24RAkG-N-BNiubqO1ExFqsTjw-FG9o1hQ=&amp;urlHash=s2kj", "https://click.appcast.io/t/2_qoCEz4WS24RAkG-N-BNiubqO1ExFqsTjw-FG9o1hQ=&amp;urlHash=s2kj")</f>
        <v/>
      </c>
      <c r="G72" t="inlineStr">
        <is>
          <t>Manhattan, NY</t>
        </is>
      </c>
      <c r="H72" t="inlineStr"/>
      <c r="I72" t="inlineStr">
        <is>
          <t>Director, Product \&amp; Platform Manager \- Risk \&amp; Liquid Financing \| New York City
 A leading global financial institution is seeking a Director\-level Product \&amp; Platform Manager to join its Liquid Financing business \- a multi\-asset, cross‑product platform spanning traditional securities financing, Delta One, synthetic financing, and prime services. This rapidly expanding global franchise integrates Equities, Fixed Income Financing, Repo, Swaps, and Delta One into a cohesive client offering focused on capital efficiency, risk optimization, and cutting‑edge product innovation.
 This newly created leadership role sits within the Liquid Finance Risk organization, partnering directly with the Global Head of Liquid Finance Risk to build and execute a comprehensive product and platform strategy across credit, counter party credit, market, and liquidity risk. With an ambitious AI road map underway \- this function is central to transforming the firm's risk management capabilities.
 You will lead the development of the global operating model for this risk platform, support mission‑critical margin management initiatives, and drive adoption of proprietary products. This role collaborates closely with trading, risk, technology, AI/ML teams, and other product leads.
**What You'll Do**
* Own and execute the global product \&amp; platform strategy for Liquid Finance Risk, partnering closely with the Global Head of Liquid Finance Risk.
* Lead product design, transformation, and operating‑model buildout for a risk function covering credit risk, counter party credit risk, market risk, liquidity risk, and margin management.
* Drive AI‑enabled risk capabilities, including detection models and proactive risk‑monitoring tools.
* Support and enhance the margin and collateralization framework across financing businesses, ensuring clients are appropriately collateralized from both a prime services and risk‑control perspective.
* Partner with product leads to deliver unified, scalable, cross‑asset risk solutions.
* Work across three major risk modules:
**Traditional Risk Management** 
 ,
 **Liquidity Market Risk** 
 , and
 **Central Risk** 
 .
* Build and lead a newly formed team, while influencing a broad virtual team across regions.
* Engage with stakeholders across trading, risk, technology, operations, and quantitative modeling.
* Serve as a senior thought partner to the business on risk innovation, collateral strategy, and cross‑product risk architecture.
**What We're Looking For**
* 15\+ years of product management, risk product ownership, or platform leadership experience in financial services.
* Deep expertise in counter party credit risk, liquidity risk, and familiarity with market risk frameworks.
* Strong content knowledge across fixed income and equities.
* Experience in synthetic financing, margin methodologies, prime services, or cross‑product risk platforms is highly advantageous.
* Demonstrated ability to transform organizations, build operating models, and establish new product frameworks in previously unstructured environments.
* Experience working with or overseeing AI/ML‑driven risk tools (e.g., anomaly detection, predictive risk analytics).
* Strong cross‑functional leadership skills with the ability to influence senior stakeholders across trading, risk, technology, and quant teams.
* Ability to manage both direct and matrixed teams across global financial hubs.</t>
        </is>
      </c>
    </row>
    <row r="73">
      <c r="A73" t="inlineStr">
        <is>
          <t>li-4358349240</t>
        </is>
      </c>
      <c r="B73" t="inlineStr">
        <is>
          <t>Program Manager, Content</t>
        </is>
      </c>
      <c r="C73" t="inlineStr">
        <is>
          <t>HealthEdge</t>
        </is>
      </c>
      <c r="D73" t="inlineStr">
        <is>
          <t>linkedin</t>
        </is>
      </c>
      <c r="E73">
        <f>HYPERLINK("https://www.linkedin.com/jobs/view/4358349240", "https://www.linkedin.com/jobs/view/4358349240")</f>
        <v/>
      </c>
      <c r="F73">
        <f>HYPERLINK("https://careers-healthedge.icims.com/jobs/7135/program-manager,-content/job?mode=apply&amp;iis=LinkedIn&amp;urlHash=fV0E", "https://careers-healthedge.icims.com/jobs/7135/program-manager,-content/job?mode=apply&amp;iis=LinkedIn&amp;urlHash=fV0E")</f>
        <v/>
      </c>
      <c r="G73" t="inlineStr"/>
      <c r="H73" t="inlineStr"/>
      <c r="I73" t="inlineStr">
        <is>
          <t>**Overview**
**Position Overview :**
 We are seeking a Program Manager to own the end\-to\-end content program for the Wellframe application, embedded within the Care Solutions product vertical . This role is responsible for ensuring that all content within the Wellframe ecosystem—from intake and development through review, approval, deployment, and ongoing maintenance—is delivered in a compliant, scalable, and operationally sound manner.
 This is a high\-ownership individual contributor role operating within a complex, regulated environment. While embedded within the Care Solution team, the scope spans the entire content lifecycle and requires close partnership with Product, Clinical, Compliance, Engineering, and Customer\-facing teams. The role is expected to bring structure to ambiguity, apply sound judgment, and design repeatable processes that enable the business to scale without introducing clinical or regulatory risk.
**About Care Solutions:**
 Our Care Solutions team unites the powerful capabilities of GuidingCare and Wellframe to transform care delivery and member engagement in healthcare. GuidingCare excels in offering an integrated care management platform that streamlines workflows, enhances collaboration, and drives better health outcomes for members. Wellframe complements this by providing a digital care management solution that connects health plans with their members through personalized resources and support. Care Solutions empowers healthcare organizations with the technology to make smarter, faster decisions while fostering meaningful connections with members. Our Care Solutions create new standards of care management and member support, paving the way for a healthier, more connected future.
**Your Impact :**
**Program Ownership \&amp; Content Operations**
* Own the full lifecycle of content operations for the Wellframe application, serving as the primary point of accountability for execution across the content ecosystem
* Manage day\-to\-day content workflows across CMS platforms (including Paligo ) and internal admin systems
* Translate stakeholder requirements and business needs into clear, actionable content deliverables
* Support content development activities, including drafting, editing, and refining content to meet product strategy and customer expectations
* Ensure content moves efficiently from intake through development, review, approval, release, and maintenance
* Establish and manage program plans, milestones, dependencies, and risks within the Care Solutions content portfolio
**Process, Systems, and Execution**
* Design, implement, and refine content workflows, approval gates, and documentation standards to support reliable execution
* Build and maintain Jira\-based workflows with clear ownership and visibility
* Implement and leverage tools to enforce rigorous style guide standards across all content deliverables
* Establish quality assurance processes to ensure consistency, accuracy, and adherence to brand and editorial standards
* Identify opportunities to improve efficiency through better system usage, automation, integration and process optimization
* Compliance \&amp; Risk Management
* Partner closely with compliance and clinical SMEs to operationalize content review and approval processes aligned to Medicaid and Medicare (CMS) requirements
* Maintain documentation, audit trails, and approval artifacts to support customer reviews and regulatory submissions
* Ensure content meets standards for clinical accuracy, regulatory compliance, and quality
* Apply judgment to balance speed, quality, and risk, escalating issues when appropriate
**Cross\-Functional Collaboration**
* Work closely with the Product Manager for Member Experience to support content\-driven features and enhancements
* Collaborate with customer\-facing teams to understand content needs and translate customer feedback into content improvements
* Partner with clinical, enablement, documentation, and customer implementation teams to ensure content readiness and compliance
* Influence prioritization and sequencing of work through clear communication and data\-driven insights
**Continuous Improvement**
* Identify opportunities to improve content operations through tooling, automation, and better ways of working
* Stay current on best practices in content operations and digital health within regulated environments
* Measure and communicate operational performance, risks, and improvement opportunities
**What You Bring:**
* 5–7\+ years of experience in program management, content operations, product operations , content management or a related field
* Experience working in healthcare or regulated environments, preferably supporting digital health, care management, or health plan solutions
* Working knowledge of CMS, Medicaid, and Medicare regulatory requirements
* Experience managing complex, cross\-functional work with multiple dependencie s
* Hands\-on experience with content management systems ( Paligo preferred) and workflow tools such as Jira
* Experience translating stakeholder requirements into content deliverables
* Demonstrated ability to bring structure and clarity to ambiguous or evolving environments
* Program ownership mindset: Accountable for outcomes, not just tasks
* Autonomous execution: Operates independently while keeping stakeholders aligned
* Operational rigor: Builds clear processes, documentation, and controls
* Risk\-aware judgment: Thoughtful about compliance and clinical implications
* Strong collaborator: Works effectively across Product, Clinical, Compliance, and Engineering
* Technical fluency: Comfortable working with systems, integrations, and automation tools
* Clear communicator: Able to explain trade\-offs, risks, and progress effectively
**Bonus Points:**
* Experience supporting regulated content or health education programs
* Background in clinical operations or healthcare content development
* Experience managing style guides or content quality standards
* Experience improving or scaling operations within a product team
 HealthEdge commits to building an environment and culture that supports the diverse representation of our teams. We aspire to have an inclusive workplace. We aspire to be a place where all employees have the opportunity to belong, make an impact and deliver excellent software and services to our customers.
**Geographic Responsibility:** 
 While HealthEdge is located in Boston, MA you may live anywhere in the US
**Type of Employment:** 
 Full\-time, permanent
**Work Environment:** 
 The physical demands described here are representative of those that must be met by an employee to successfully perform the essential functions of this job:
* The employee is occasionally required to move around the office. Specific vision abilities required by this job include close vision, color vision, peripheral vision, depth perception, and ability to adjust focus.
* Work across multiple time zones in a hybrid or remote work environment.
* Long periods of time sitting and/or standing in front of a computer using video technology.
* May require travel dependent on company needs.
 The above statements are intended to describe the general nature and level of the job being performed by the individual(s) assigned to this position. They are not intended to be an exhaustive list of all duties, responsibilities, and skills required . HealthEdge reserves the right to modify , add, or remove duties and to assign other duties as necessary. In addition, reasonable accommodations may be made to enable individuals with disabilities to perform the essential functions of this position in compliance with the Americans with Disabilities Act of 1990\. Candidates may be required to go through a pre\-employment criminal background check.
 HealthEdge is an equal opportunity employer. We are committed to workforce diversity and actively encourage all qualified persons to seek employment with us, including, but not limited to, racial and ethnic minorities, women, veterans and persons with disabilities.
* The annual US base salary range for this position is $119,000 to $165,000\. This salary range may cover multiple career levels at HealthEdge . Final compensation will be determined during the interview process and is based on a combination of factors including, but not limited to, your skills, experience, qualifications and education.</t>
        </is>
      </c>
    </row>
    <row r="74">
      <c r="A74" t="inlineStr">
        <is>
          <t>li-4355800559</t>
        </is>
      </c>
      <c r="B74" t="inlineStr">
        <is>
          <t>Lead Product Owner, Supply Chain Finance, Commercial Bank - Wells Fargo</t>
        </is>
      </c>
      <c r="C74" t="inlineStr">
        <is>
          <t>Jobs via eFinancialCareers</t>
        </is>
      </c>
      <c r="D74" t="inlineStr">
        <is>
          <t>linkedin</t>
        </is>
      </c>
      <c r="E74">
        <f>HYPERLINK("https://www.linkedin.com/jobs/view/4355800559", "https://www.linkedin.com/jobs/view/4355800559")</f>
        <v/>
      </c>
      <c r="F74" t="inlineStr"/>
      <c r="G74" t="inlineStr">
        <is>
          <t>Irving, TX</t>
        </is>
      </c>
      <c r="H74" t="inlineStr"/>
      <c r="I74" t="inlineStr">
        <is>
          <t>**About this role:**
 Wells Fargo is seeking a customer\-centric Lead Product Owner to support the build of our next\-generation Supply Chain Finance (SCF) platform. Partnering closely with Product, Technology, Risk, Operations, and Business stakeholders, you will translate strategy into clear, actionable backlog items and lead agile delivery squads to ship high\-quality capabilities that elevate client experience and business results.
 This role sits within the Commercial Bank's Supply Chain Finance business and is integral to delivering the SCF platform's end\-to\-end outcomes.
**In this role, you will:**
 Own the Backlog \&amp; Outcomes
* Translate product strategy into a prioritized backlog with well\-formed epics/features/user stories; continuously refine scope and acceptance criteria to drive measurable customer and business value.
* Establish and track product goals and KPIs/OKRs, ensuring delivery stays aligned to vision, regulatory expectations, and risk controls.
 Drive Customer\-Centered Delivery
* Facilitate frequent collaboration with clients, stakeholders, and scrum teams; synthesize feedback into backlog updates and release plans
* Partner with our Client Advisory Board program to ingest insights and close the "feedback\-to\-action" loop within sprints and quarterly planning.
 Enable High\-Velocity, High\-Quality Execution
* Lead sprint ceremonies (planning, refinement, reviews) with Technology to ensure clarity, flow, and quality; review and accept completed work against defined DoD/DoR.
* Coordinate dependencies across squads and product areas to deliver cohesive, omni\-channel experiences on a modern SCF platform.
 Anchor on Risk, Compliance \&amp; Governance
* Embed policy, SDLC, and control requirements into stories and release processes; maintain transparent documentation and auditability.
 Elevate Team Craft \&amp; Continuous Improvement
* Champion agile and product best practices; coach partners on discovery, experimentation, and data\-informed decisions that improve speed and outcomes.
**As the ideal candidate, you are:**
* A Builder with Bias for Action: You thrive in complex environments, turning ambiguity into clarity and momentum through crisp backlog management and decisive prioritization.
* A Customer\-Obsessed Problem Solver: You translate qualitative and quantitative insights into simple, valuable solutions\-and keep client experience at the center.
* A Cross\-Functional Connector: You collaborate seamlessly with Technology, Risk, Operations, and Business partners to ship secure, scalable capabilities on a modern platform.
**Required Qualifications:**
* 5\+ years of Product Management, product development, strategic planning, process management, change delivery experience, or equivalent demonstrated through one or a combination of the following: work experience, training, military experience, education
* Hands\-on experience writing user stories, defining acceptance criteria, leading testing/feature acceptance, and managing a backlog for agile delivery teams
**Desired Qualifications:**
* Experience in Financial Services/Commercial Banking/Supply Chain Finance or other B2B platforms.
* Proven collaboration across multiple scrum teams, delivery leads, and cross\-functional stakeholders (engineering, XD, data).
* Familiarity with SDLC/policy requirements and embedding risk, compliance, and controls into product delivery.
* Strength in customer discovery, insight synthesis, and metrics\-driven prioritization (OKRs/KPIs).
**Job Expectations:**
* Travel: 10% of the time
* This position offers a hybrid work schedule
* Willingness to work on\-site at stated location on the job opening.
* Specific compliance policies may apply regarding outside activities or personal investing; affected employees will be expected to provide information to the Wells Fargo Personal Account Dealing Team and abide by applicable policy requirements if hired. Information will be shared about expectations during the recruitment process
**Posting End Date:**
 27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t>
        </is>
      </c>
    </row>
    <row r="75">
      <c r="A75" t="inlineStr">
        <is>
          <t>li-4356491095</t>
        </is>
      </c>
      <c r="B75" t="inlineStr">
        <is>
          <t>Business Program Manager</t>
        </is>
      </c>
      <c r="C75" t="inlineStr">
        <is>
          <t>Rivet Industries</t>
        </is>
      </c>
      <c r="D75" t="inlineStr">
        <is>
          <t>linkedin</t>
        </is>
      </c>
      <c r="E75">
        <f>HYPERLINK("https://www.linkedin.com/jobs/view/4356491095", "https://www.linkedin.com/jobs/view/4356491095")</f>
        <v/>
      </c>
      <c r="F75" t="inlineStr"/>
      <c r="G75" t="inlineStr">
        <is>
          <t>Washington, DC</t>
        </is>
      </c>
      <c r="H75" t="inlineStr"/>
      <c r="I75" t="inlineStr">
        <is>
          <t>Rivet develops hardened systems for industrial workforces and defense personnel. In an era when skilled workers are retiring and global competition demands data\-driven action, we aim to multiply the effectiveness of every individual. We stand for renewed frontline grit, elevated for decisive outcomes in all environments.
 Technicians, maintainers, first responders, engineers, and trade specialists. Soldiers, Sailors, Airmen, and Marines. They embody the hard work, meritocratic values, and ingenuity that drives western prosperity. Yet they’re forced to rely on outdated tools that fail under modern pressures.
 The front lines can’t win when they are in last place for new technologies. Rivet exists to reset priorities.
 Whether they build our vehicles, maintain our infrastructure, or defend our civilization, our working heroes deserve tools that withstand the weight they carry. Rivet is delivering new capabilities where they matter most.
 We are committed to the people who take on the world’s most challenging missions.
**Role Description**
 You'll work with group of committed and brilliant people across all aspects of solution development, strategy, sales, and delivery, to include engineering, finance, solution delivery, business development, capture management to strategically plan \&amp; execute against our product ambition, business goals, and customer obligations.
**What You'll Do**
**Project and Program Planning:**
 Manage end\-to\-end program lifecycles, from planning and execution to delivery and closure. This includes coordinating cross\-functional teams ensuring projects are completed on time, within budget, and exceeding quality standards.
**Strategic Alignment:**
 Ensure internal and customer program execution align with the company’s business objectives, by connecting technical teams and executive leadership to translate business goals into actionable plans.
**Resource Management:**
 Allocate and optimize resources, including personnel, budget, and technology, to maximize efficiency and meet program deliverables. This often involves negotiating priorities and resolving resource conflicts across hardware and software teams.
**Risk Management:**
 Identify potential risks (across supply chain, hardware, software, manufacturing or integration issues) and develop mitigation strategies to keep programs on track. This requires proactive problem\-solving and contingency planning.
**Cross\-Functional Collaboration:**
 Facilitate collaboration between hardware teams and software teams to ensure seamless integration and functionality of tech products.
**Performance Tracking and Reporting:**
 Define and monitor performance indicators (OKRs/KPIs) to evaluate program success, such as time\-to\-market, customer satisfaction, or revenue impact. Deliver data\-driven insights to leadership for decision\-making.
**Budget Management:**
 Oversee financial aspects of programs, ensuring expenditures stay within allocated budgets while balancing the costs of hardware prototyping and software development.
**Change Management:**
 Lead teams through changes, such as shifts in project scope, new technology adoption, or market\-driven pivots, ensuring minimal disruption to timelines and morale.
**Qualifications**
* Demonstrable experience in business opportunity planning
* Strong understanding of financial modeling
* Proven in developing process, project planning, and performance metrics
* Extreme diligence with PM tools across project, finance, and agile development tools
* 5\+ in Product and Operations Management in a big\-tech or Defense industrial base product team
* You must be a US Citizen, with the ability to obtain a US Security Clearance</t>
        </is>
      </c>
    </row>
    <row r="76">
      <c r="A76" t="inlineStr">
        <is>
          <t>li-4366494564</t>
        </is>
      </c>
      <c r="B76" t="inlineStr">
        <is>
          <t>EverCommerce - Program Manager</t>
        </is>
      </c>
      <c r="C76" t="inlineStr">
        <is>
          <t>RemoteHunter</t>
        </is>
      </c>
      <c r="D76" t="inlineStr">
        <is>
          <t>linkedin</t>
        </is>
      </c>
      <c r="E76">
        <f>HYPERLINK("https://www.linkedin.com/jobs/view/4366494564", "https://www.linkedin.com/jobs/view/4366494564")</f>
        <v/>
      </c>
      <c r="F76">
        <f>HYPERLINK("https://www.remotehunter.com/apply-with-ai/cb2b21b6-6ac3-45c7-ab59-6de017af0de8?utm_medium=job_posting&amp;utm_source=linkedin&amp;utm_campaign=program_manager_remote&amp;utm_category=program_manager&amp;utm_term=ever_commerce_program_manager&amp;urlHash=H4yr", "https://www.remotehunter.com/apply-with-ai/cb2b21b6-6ac3-45c7-ab59-6de017af0de8?utm_medium=job_posting&amp;utm_source=linkedin&amp;utm_campaign=program_manager_remote&amp;utm_category=program_manager&amp;utm_term=ever_commerce_program_manager&amp;urlHash=H4yr")</f>
        <v/>
      </c>
      <c r="G76" t="inlineStr"/>
      <c r="H76" t="inlineStr"/>
      <c r="I76" t="inlineStr">
        <is>
          <t>About the Opportunity:
 The program focuses on digitally transforming the service economy with comprehensive SaaS solutions that enhance interactions between customers and service professionals across Home \&amp; Field Services, Health Services, and Fitness \&amp; Wellness industries. The Program Manager in the Enterprise PMO will support the planning and execution of strategic transformation programs and projects, working closely with leadership to implement large\-scale changes impacting Configure Price Quote (CPQ), Billing, and Revenue operations.
 Responsibilities:
 • Lead large\-scale technology transformation programs through all phases from discovery to stabilization.
 • Drive lead\-to\-quote and quote\-to\-revenue programs across multiple business units focusing on CPQ, billing, fulfillment/provisioning, and revenue recognition.
 • Design program plans integrating cross\-functional workstreams with focus on collaboration, risk management, communication, and change control.
 • Set program goals aligned with enterprise and business\-unit strategies.
 • Build partnerships with workflow owners, product leads, engineering, systems integrators, business SMEs, and external stakeholders for cohesive delivery.
 • Oversee project and program outputs to ensure successful outcomes in partnership with project managers.
 • Support project managers by removing blockers, facilitating decisions, and addressing upstream/downstream impacts.
 • Collaborate across teams to gather requirements and define success criteria.
 • Identify risks, assist in mitigation strategies, and escalate issues to senior leadership as needed.
 • Maintain program documentation including RAID logs, communication plans, and governance materials.
 • Report progress, risks, and outcomes to executive leadership through structured updates and steering committee materials.
 • Drive change control by evaluating impacts of scope, timeline, or architectural changes and partnering with stakeholders for decisions.
 • Manage contractor delivery and performance ensuring quality and timeliness.
 • Partner with enterprise teams, business units, and consultants to optimize operations and ensure alignment on business rules and downstream accounting impacts.
 • Collaborate with executive leadership and stakeholders through regular check\-ins and structured reporting to maintain alignment.
 • Translate complex technical and architectural tradeoffs into clear decision options for leadership.
 • Drive cross\-functional alignment on critical business processes and ensure documentation and communication of decisions.
 • Communicate expectations, decisions, and next steps clearly, translating technical and financial concepts into accessible information.
 • Partner with Sales/CX, Billing, Accounting, Finance, Product, Engineering, and others to prioritize requirements and sequence work.
 • Use strong communication skills to manage stakeholder expectations, facilitate alignment, and resolve conflicts or ambiguities.
 • Foster transparent communication among project teams, business functions, senior leadership, and external partners.
 Requirements:
 • Bachelor’s degree in Business Administration, Management, Project Management, or related field.
 • Certifications such as PMP, PMI\-ACP, or Prosci are a plus.
 • 6\+ years of experience in project and program management with success leading complex, cross\-functional SaaS or enterprise systems programs.
 • Experience supporting change management initiatives including stakeholder adoption, communication planning, and operational readiness.
 • Experience delivering quote\-to\-revenue or billing technology implementations, including integration design and business process reengineering, is a major plus.
 • Ability to manage and prioritize multiple complex projects and program workstreams.
 • Strong understanding of change management and communication practices in enterprise systems and process transformation.
 • Excellent communication skills with technical and non\-technical stakeholders; ability to translate business needs and system capabilities.
 • Strong problem\-solving and risk management skills.
 • Proficiency in building presentations and writing decision documentation.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7">
      <c r="A77" t="inlineStr">
        <is>
          <t>li-4365190338</t>
        </is>
      </c>
      <c r="B77" t="inlineStr">
        <is>
          <t>Program Manager - Wharton Executive Education</t>
        </is>
      </c>
      <c r="C77" t="inlineStr">
        <is>
          <t>University of Pennsylvania</t>
        </is>
      </c>
      <c r="D77" t="inlineStr">
        <is>
          <t>linkedin</t>
        </is>
      </c>
      <c r="E77">
        <f>HYPERLINK("https://www.linkedin.com/jobs/view/4365190338", "https://www.linkedin.com/jobs/view/4365190338")</f>
        <v/>
      </c>
      <c r="F77">
        <f>HYPERLINK("https://wd1.myworkdaysite.com/recruiting/upenn/careers-at-penn/job/SCC-Aresty-InstExec-Ed/Program-Manager\u002d\u002d-Wharton-Executive-Education_JR00116171-1?source=LinkedIn_JobPosting&amp;urlHash=D0ZQ", "https://wd1.myworkdaysite.com/recruiting/upenn/careers-at-penn/job/SCC-Aresty-InstExec-Ed/Program-Manager\u002d\u002d-Wharton-Executive-Education_JR00116171-1?source=LinkedIn_JobPosting&amp;urlHash=D0ZQ")</f>
        <v/>
      </c>
      <c r="G77" t="inlineStr">
        <is>
          <t>Philadelphia, PA</t>
        </is>
      </c>
      <c r="H77" t="inlineStr"/>
      <c r="I77"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Program Manager \- Wharton Executive Education
**Job Profile Title**
 Program Manager, Executive Education
**Job Description Summary**
 Founded in 1881 as the world’s first collegiate business school, the Wharton School of the University of Pennsylvania is shaping the future of business by incubating ideas, driving insights, and creating leaders who change the world. With campuses in both Philadelphia and San Francisco, Wharton has over 850 staff, a faculty population of more than 235 renowned professors, and 5,000 undergraduate, MBA, executive MBA, and doctoral students. Each year 13,000 professionals from around the world advance their careers through Wharton Executive Education’s individual, company\-customized, and online programs. More than 104,000 Wharton alumni form a powerful global network of leaders who transform business every day. Wharton is home to a dynamic community of staff, bringing a wide range of skills, experiences, and perspectives. To learn more, visit www.wharton.upenn.edu.
 The Program Manager is the Wharton Executive Education team member who manages all the logistical aspects, before, during, and after the completion of programs delivered by Wharton Executive Education. Reporting to the Senior Associate Director of Program Delivery, the Program Manager will work day\-to\-day with the Program Directors running their assigned WEE programs. The Program Manager will work closely with Program Directors, IT, SCC facility operator staff and others to ensure all Executive Education programs are delivered with high\-quality service levels to ensure an outstanding participant learning experience.
 This position represents the frontline interaction with WEE participants and client representatives, prior to the start of the program; during program delivery; as well as post\-program interactions to ensure the best possible learning experience. The position will manage faculty and client relationships in collaboration with Program Directors and Associate Directors during the design and planning of programs. The Program Manager is also responsible for the management of needs assessments, and provide administrative support of all follow\-up initiatives for all programs.
 The Program Manager will also assure appropriate classroom assignments and accommodations for program participants and will monitor and track program financial details, working with SCC facility operator, Admin and financial staff to ensure expenses are accounted for accurately.
**Job Description**
**Job Responsibilities**
* Collaborate with Program Directors to ensure that all program materials (notebooks, evaluations, classroom setups, meals, rooms and special events) are accurate and timely. Work collaboratively with the Senior Associate Director of Program Delivery, SCC facility operator staff, and other Program Managers to ensure that all client needs are met in order to deliver a seamless, high\-quality program that exceeds expectations. Work with IT and AV staff to ensure all technology needs are properly supported.
* Maintain ownership of entire faculty scheduling process for a large portfolio of programs. Manage faculty relationships relative to program delivery, support follow up efforts as determined by program directors as well as new program design development.
* Maintain ownership of client relationships related to all aspects of program delivery, scheduling and special events. Work closely with corporate sponsors of all programs. Serve as primary contact for clients and program faculty. Serve as liaison between clients and faculty. Communicate program content to clients on behalf of faculty where appropriate.
* Monitor measurements of quality for all facets of the delivery process for programs (i.e. participant program evaluations and faculty feedback, facility and dining service comments). Monitor sessions to ensure that the customer is satisfied and appropriate content is being delivered. Discuss, respond to and monitor logistical, content and service requests made by clients including responding to client inquiries.
* Responsible for the implementation and management of needs assessment process, observable outcomes, and follow\-up for all programs in portfolio.
* Monitor program finances related to all client billing. Organize and compile all financial and budgetary information.
* Assures accommodations for all Executive Education programs. Master knowledge of all allocated program delivery space; anticipate and troubleshoot challenges.
* Review all logistical information recorded in Amadeus or appropriate space management system (space allocation, spreadsheet of events and BEOs) before weekly delivery meetings to confirm information and identify potential problems.
* Work with the Academic Director and Program Director to give appropriate feedback to faculty and suggest changes in future programs.
* Other duties and responsibilities as assigned, suvch as assisting with training.
**Qualifications**
 Bachelor’s degree required; minimum of 2\-3 years relevant work experience. 2\-3 years’ experience coordinating conference or management training programs preferred.
* Ability to work autonomously and in a team\-based environment.
* Ability to be a creative, collaborative problem\-solver.
* Must have strong written and oral communication skills and mature judgment.
* Ability to build and maintain strong working relationships.
* Ability to plan, organize \&amp; monitor multiple projects simultaneously.
* Proven ability to integrate ideas and concepts.
* Highly developed organizational skills, strict attention to details.
* Friendly, flexible, service\-oriented manner.
* Proven ability to respond positively to extreme pressures of time and workload.
* Proven ability in public speaking.
* Computer skills and systems knowledge required
* Ability and willingness to work early mornings, late evenings, and weekends as needed; and serve as essential staff in emergencies.
* Employment contingent upon background check.
**Job Location \- City, State**
 Philadelphia, Pennsylvania
**Department / School**
 Wharton School
**Pay Range**
 $50,000\.00 \- $75,000\.00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t>
        </is>
      </c>
    </row>
    <row r="78">
      <c r="A78" t="inlineStr">
        <is>
          <t>li-4366484902</t>
        </is>
      </c>
      <c r="B78" t="inlineStr">
        <is>
          <t>LIMS Program Manager</t>
        </is>
      </c>
      <c r="C78" t="inlineStr">
        <is>
          <t>Precise Software Solutions, Inc.</t>
        </is>
      </c>
      <c r="D78" t="inlineStr">
        <is>
          <t>linkedin</t>
        </is>
      </c>
      <c r="E78">
        <f>HYPERLINK("https://www.linkedin.com/jobs/view/4366484902", "https://www.linkedin.com/jobs/view/4366484902")</f>
        <v/>
      </c>
      <c r="F78">
        <f>HYPERLINK("https://workforcenow.adp.com/mascsr/default/mdf/recruitment/recruitment.html?cid=bb701725-cfbd-420b-854c-683a7c2b8761&amp;ccId=19000101_000001&amp;jobId=592982&amp;source=LR&amp;lang=en_US&amp;source=LI&amp;source=LI&amp;urlHash=cvi_", "https://workforcenow.adp.com/mascsr/default/mdf/recruitment/recruitment.html?cid=bb701725-cfbd-420b-854c-683a7c2b8761&amp;ccId=19000101_000001&amp;jobId=592982&amp;source=LR&amp;lang=en_US&amp;source=LI&amp;source=LI&amp;urlHash=cvi_")</f>
        <v/>
      </c>
      <c r="G78" t="inlineStr"/>
      <c r="H78" t="inlineStr"/>
      <c r="I78" t="inlineStr">
        <is>
          <t>**Position Summary** 
 Precise Software Solutions, Inc. is a fast\-growing and highly respected small business committed to providing high quality Information Technology (IT) consulting services to government and commercial organizations. Precise focuses on agility and practicality and is committed to meeting highest client expectations and delivering value to our clients.
 This position is contingent upon a contract award. 
**Key Responsibilities** 
 The Technical Project Manager will lead the full lifecycle of LIMS projects, acting as the key liaison between stakeholders, technical teams, and government leadership. The Project Manager will support mission\-critical environments and must understand the complexities of LIMS deployments and delivery. Duties include:
* Leads LIMS implementation from requirements through go\-live
* Responsible for ensuring all requirements are met and all contractor work performed under the PWS is compliant, timely, and within budget
* Ensures the approved LIMS implementation schedule is followed and maintained
* Coordinate across cross\-functional teams (architects, developers, QA, and client stakeholders)
* Own project plans, financial tracking, risk management, and status reporting
* Translate technical deliverables into clear, actionable updates for non\-technical stakeholders
* Oversee documentation, validation (IQ/OQ/PQ), and ensure compliance with NIST, ATO, and agency governance
* Facilitate project reviews, team standups, and executive briefings
* Support contract oversight with internal and external stakeholders
**Required Qualifications** 
* 5\+ years managing complex LIMS projects
* Experience managing LIMS implementations and deployments with an existing LIMS data migration
* Experience working with federal/public sector clients in highly regulated federal environments
* Understanding of NIST 800, GxP, Part 11, and data integrity standards
* Proven ability to manage teams and client communication
* Familiarity with Agile/Kanban delivery
* Preferred background in lab science or lab informatics configuration
**Preferred Qualifications** 
* Bachelor’s degree in Life Sciences, Information Systems, Informatics, or related field
* PMP certification preferred
**ABOUT US** 
 Precise Software Solutions, Inc. is a mission\-focused technology services company delivering secure digital platforms, infrastructure, and operational IT services to government organizations. A CMMI Level 3–appraised company, Precise partners with agency technology leaders and solution providers to design, build, operate, and modernize enterprise IT solutions that support critical public missions combining agility, innovation, and performance to deliver measurable results. 
 Precise specializes in cloud and hybrid infrastructure, platform engineering, security operations and compliance, application modernization, and data platforms and analytics. The company is known for its agile, delivery\-driven approach and innovative engineering practices, applying operational rigor and performance\-focused execution to improve system resilience, security, and scalability across complex government environments.
**BENEFITS AND PERKS:** 
* Comprehensive Health Benefits (Medical, Dental and Vision)
* Flexible Spending Accounts (FSA) \&amp; Health Savings Account (HSA)
* Retirement Plan with 4% match and discretionary match at year end
* Paid Time Off (PTO): 15 days of PTO accrued per year; 7 holidays\+ 3 Floating holidays; 2 Innovation days (paid training days)
* Short Term and Long\-Term Disability
* Paid Parental Leave
* Paid Jury Duty leave
* Life and AD\&amp;D Insurance
* Critical Illness Insurance
* Training and Development
* Wellness Incentives \&amp; Discount programs
* Employee Referral Program
* Annual Charity Donation Match
* Awards and Recognition
**Equal Employment Opportunity Statement** 
 Precise Software Solutions is committed to providing a workplace free from discrimination and harassment. All qualified applicants will receive consideration for employment without regard to race, color, religion, sex, pregnancy, age, national origin, disability, sexual orientation, gender identity or expression, marital status, genetic information, protected veteran status, or other legally protected status.
 We are an inclusive organization and actively promote equality of opportunity for all with the right mix of talent, skills and potential. We expect every member of the Precise community to do their part to cultivate and maintain an environment where everyone has the opportunity to feel included and is afforded the respect and dignity they deserve.</t>
        </is>
      </c>
    </row>
    <row r="79">
      <c r="A79" t="inlineStr">
        <is>
          <t>li-4366520902</t>
        </is>
      </c>
      <c r="B79" t="inlineStr">
        <is>
          <t>Program Manager, Prepaid</t>
        </is>
      </c>
      <c r="C79" t="inlineStr">
        <is>
          <t>Fiserv</t>
        </is>
      </c>
      <c r="D79" t="inlineStr">
        <is>
          <t>linkedin</t>
        </is>
      </c>
      <c r="E79">
        <f>HYPERLINK("https://www.linkedin.com/jobs/view/4366520902", "https://www.linkedin.com/jobs/view/4366520902")</f>
        <v/>
      </c>
      <c r="F79" t="inlineStr"/>
      <c r="G79" t="inlineStr">
        <is>
          <t>Omaha, NE</t>
        </is>
      </c>
      <c r="H79" t="inlineStr"/>
      <c r="I79"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Program Manager, Prepaid
**What Does a Successful Program Manager Do At Fiserv**
 As a successful Program Manager, you will deliver enterprise payments and financial services solutions to banks, merchants and fintech partners. You will oversee multiple, interdependent programs and align on delivery for government business. You will focus on driving portfolio outcomes, operational scalability and regulatory/compliance adherence while partnering with product, engineering and business stakeholders.
**What You Will Do**
* Define and oversee program governance, roadmaps, milestones, and success criteria for multi\-team initiatives.
* Drive coordination across engineering, product, security, operations, QA, and third‑party vendors to remove impediments and manage cross\-program dependencies.
* Establish and manage program\-level risk, issue, and change\-control processes; implement mitigation and escalation strategies.
* Lead program financials including budgeting, forecasting, variance analysis, and portfolio reporting to senior leadership.
* Facilitate scaled\-Agile practices and Program Increment planning; align teams on delivery cadence and release strategies.
* Ensure program deliverables meet security, regulatory, and testing requirements for payments and financial services.
* Develop vendor management and contract oversight practices, including SLAs and integration governance.
* Responsibilities listed are not intended to be all\-inclusive and may be modified as necessary.
**What You Will Need To Have**
* 10\+ years of experience in leading large\-scale, complex enterprise programs and program governance, including scaled\-Agile/SAFe implementations.
* 8\+ years of experience in cloud strategy and enterprise cloud delivery (AWS, Azure) and cloud migration planning.
* 8\+ years of experience implementing security and regulatory compliance frameworks for financial services (PCI DSS, SOC 2, SOX).
* 6\+ years of experience in program financial management, budgeting, forecasting, and portfolio reporting (Excel, Adaptive Insights, Workday Planning).
* 6\+ years of experience managing vendor relationships, contracts, SLAs, and third\-party integrations.
* 6\+ years of experience with Agile tooling and delivery platforms (Jira, Confluence, Azure DevOps) and release coordination.
* 6\+ years of equivalent combination of educational background, related experience, and/or military experience.
**What Would Be Great To Have**
* PgMP, PMP, or other program/project management certification.
* SAFe Program Consultant (SPC) or SAFe Agilist certification and hands\-on PI planning experience.
* Direct experience with payments protocols and standards (NACHA, ISO 20022, card processing).
* Experience with enterprise integration platforms, APIs, and middleware used in payments ecosystems.
* Experience leading transformation, consolidation, or post\-merger integration programs in financial services.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**Salary Range**
 $118,500\.00 \- $201,600\.00
*These pay ranges apply to employees in Massachusetts, California (excluding Sunnyvale) and District of Columbia.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80">
      <c r="A80" t="inlineStr">
        <is>
          <t>li-4347640698</t>
        </is>
      </c>
      <c r="B80" t="inlineStr">
        <is>
          <t>Program Manager</t>
        </is>
      </c>
      <c r="C80" t="inlineStr">
        <is>
          <t>Perrigo Company plc</t>
        </is>
      </c>
      <c r="D80" t="inlineStr">
        <is>
          <t>linkedin</t>
        </is>
      </c>
      <c r="E80">
        <f>HYPERLINK("https://www.linkedin.com/jobs/view/4347640698", "https://www.linkedin.com/jobs/view/4347640698")</f>
        <v/>
      </c>
      <c r="F80" t="inlineStr"/>
      <c r="G80" t="inlineStr">
        <is>
          <t>Grand Rapids, MI</t>
        </is>
      </c>
      <c r="H80" t="inlineStr"/>
      <c r="I80" t="inlineStr">
        <is>
          <t>At Perrigo, we are driven by our mission to
 ***Makes Lives Better Through Trusted Health and Wellness Solutions, Accessible to All***
 . We are proud to be a Top 10 player in the European Consumer Self\-Care market and the largest U.S. store brand provider of over the counter and infant formula. Dedicated to providing
 ***The Best Self\-Care for Everyone***
 , we are the people behind the brands you trust. We are Opill®, Compeed®, Solpadeine®, NiQuitin®, and many more.
 **We Are Perrigo** 
 . We are committed to enhancing the wellbeing of our colleagues and consumers alike. We pride ourselves on fostering an inclusive, collaborative culture where each person can experience a sense of belonging.
 Join us on our One Perrigo journey as we evolve to win in self\-care.
**Description Overview**
 The IT Program Manager will lead and execute multiple complex programs and projects, partnering with business and IT stakeholders to deliver strategic initiatives. This role ensures efficiency, coordination, and consistency across IT projects, leveraging best practices in program management. The Program Manager will develop and manage detailed program plans, scorecards, and governance processes to ensure successful delivery of outcomes aligned with Perrigo’s business objectives.
**Scope of the Role**
**Program \&amp; Project Leadership**
* Manage large\-scale, cross\-functional IT programs from initiation through delivery, ensuring alignment with business goals.
* Develop and maintain integrated program plans, timelines, and budgets; monitor progress and mitigate risks.
* Ensure critical path milestones are met and proactively address barriers to progress.
* Serve as a mentor and resource to less senior project managers within IT.
**Strategic Planning \&amp; Process Improvement**
* Drive continuous improvement in program delivery processes, leveraging Agile and Waterfall methodologies.
* Establish governance frameworks and reporting standards for program performance.
* Identify opportunities to enhance operational efficiency and optimize resource utilization.
**Stakeholder Engagement \&amp; Communication**
* Partner with business leaders and IT leadership to define program objectives and success criteria.
* Communicate program status, risks, and financial performance to senior leadership through dashboards and reports.
* Facilitate collaboration across global teams and external vendors.
**Resource \&amp; Vendor Management**
* Oversee internal and contract resources; hire, train, and evaluate performance as needed.
* Manage vendor relationships to ensure quality and cost\-effective delivery of services.
**Experience Required**
* Education: Bachelor’s degree in Information Technology, Computer Science, Business, or related field.
* Experience: Minimum 10 years of experience in IT program/project management, including large\-scale, complex initiatives.
* Methodologies: Proven experience with both Agile and Waterfall frameworks.
* Certifications: PMP certification preferred; Agile certifications a plus.
* Skills:
+ Strong leadership and stakeholder management skills.
+ Excellent communication and presentation abilities.
+ Financial acumen for budgeting and cost management.
+ Proficiency in program management tools and techniques.
+ Ability to manage multiple priorities in a fast\-paced environment.
**Benefits**
 We believe our people are our greatest asset. Alongside competitive compensation, we offer benefits tailored to supporting you and your family, as well as career development opportunities to ensure you feel valued and supported, both professionally and personally.
 Find out more about
 **Total Rewards** 
 at Perrigo.
**Hybrid Working Approach**
 We love our offices and the setting they provide for in\-person collaboration and celebration. But we also appreciate the opportunity to work remotely can energise you too, so we promote flexibility with the ability to work two days a week from home in many roles.
 We are proud to be included in the Forbes list of "America's Best Employers by State 2024". Find out more
 **here**
**Applicants please note:** 
 To apply to this position please click the APPLY button at the bottom of the application. (The SAVE button will only save your profile information but not submit an application for this open position.) Thank you.
*We are an equal opportunity employer. All qualified applicants will receive consideration for employment without regard to race, color, religion, sex, sexual orientation, gender identity, national origin, disability, status as a protected veteran, or other characteristics protected by law. \#weareperrigo*</t>
        </is>
      </c>
    </row>
    <row r="81">
      <c r="A81" t="inlineStr">
        <is>
          <t>li-4366914673</t>
        </is>
      </c>
      <c r="B81" t="inlineStr">
        <is>
          <t>Staff Technical Program Manager, IT</t>
        </is>
      </c>
      <c r="C81" t="inlineStr">
        <is>
          <t>SoFi</t>
        </is>
      </c>
      <c r="D81" t="inlineStr">
        <is>
          <t>linkedin</t>
        </is>
      </c>
      <c r="E81">
        <f>HYPERLINK("https://www.linkedin.com/jobs/view/4366914673", "https://www.linkedin.com/jobs/view/4366914673")</f>
        <v/>
      </c>
      <c r="F81">
        <f>HYPERLINK("https://boards.greenhouse.io/sofi/jobs/7598550003?gh_src=7ed8869b3us&amp;urlHash=azlA", "https://boards.greenhouse.io/sofi/jobs/7598550003?gh_src=7ed8869b3us&amp;urlHash=azlA")</f>
        <v/>
      </c>
      <c r="G81" t="inlineStr">
        <is>
          <t>Cottonwood Heights, UT</t>
        </is>
      </c>
      <c r="H81" t="inlineStr"/>
      <c r="I8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Staff Technical Program Manager (TPM) plays a critical role in enabling
 **program\-based delivery across the IT organization** 
 . This role exists to ensure complex, cross\-team initiatives move predictably from approval through design, build, and operate, while balancing risk, dependencies, and capacity across multiple teams.
 As a Staff TPM, you will operate at the program level, partnering with Technology, Business and Compliance stakeholders to drive clarity in ambiguity, surface trade\-offs early, and enable informed decision\-making.
 You will focus on delivery readiness, sequencing, governance, and program health \- not sprint execution, backlog management, or Scrum Master responsibilities. Success in this role means improving predictability, reducing late\-stage surprises, and ensuring solutions are operationally supportable, secure, and audit\-ready
 **.**
 This role directly contributes to SoFi’s mission by strengthening how IT delivers outcomes in a regulated, high\-scale environment, while preserving team autonomy and sustainable execution.
**What you’ll do:**
 On a day\-to\-day basis, you will:
* Drive work from approval → project kickoff → design → ARB → build → operate
* Ensure approved work is structured correctly in Jira, aligned to program goals and roadmaps
* Drive creation of high\-level work definitions and ensure readiness for Project Kickoff
* Ensure Design Documents exist, are complete, and ready for Architecture Review Board (ARB) review
* Identify, manage, and resolve cross\-team dependencies and sequencing risks
* Facilitate scrum\-of\-scrums\-style coordination focused on dependency resolution—not status reporting
* Partner with IT Managers to ensure realistic capacity planning across projects and BAU
* Identify, frame, and escalate delivery risks and trade\-offs early, providing options and recommendations to leadership
* Synthesize Jira signals into program\-level health reporting, highlighting risks, trade\-offs, and decisions
* Ensure operate readiness, including runbooks, monitoring, and Tier 1 support handoff
* Act as a trusted partner to Program Leads and IT leadership on delivery health and prioritization
 This role is hybrid, with in\-office collaboration expected 6 times per month. Occasional extended in\-office hours may be required during critical delivery milestones or escalations.
**What you’ll need:**
**Required qualifications:**
* Bachelor’s degree or equivalent practical experience
* 8\+ years of experience in Technical Program Management, Program Management, or a closely related role
* Proven experience managing complex, cross\-team programs with multiple dependencies
* Strong understanding of technical systems, integrations, and infrastructure concepts
* Experience working with design governance and architecture review processes
* Demonstrated ability to operate in ambiguous environments and drive clarity
* Experience using Jira as a system of record for delivery and reporting
* Strong written and verbal communication skills, with the ability to distill complex topics for varied audiences
**Nice to have**
* PMI Program Management Professional (PgMP) certification or equivalent program\-level delivery certification
* PMP or similar project management certification (valued, but secondary to program\-level experience)
* Technical or cloud platform certifications (e.g., AWS, GCP, Azure)
* Experience delivering programs in regulated, audit\-driven, or security\-sensitive environments
* Background in platform, infrastructure, DevOps, or security\-focused programs
* Experience mentoring or coaching other Technical Program Managers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82">
      <c r="A82" t="inlineStr">
        <is>
          <t>li-4305188586</t>
        </is>
      </c>
      <c r="B82" t="inlineStr">
        <is>
          <t>Program Manager</t>
        </is>
      </c>
      <c r="C82" t="inlineStr">
        <is>
          <t>Snow Companies</t>
        </is>
      </c>
      <c r="D82" t="inlineStr">
        <is>
          <t>linkedin</t>
        </is>
      </c>
      <c r="E82">
        <f>HYPERLINK("https://www.linkedin.com/jobs/view/4305188586", "https://www.linkedin.com/jobs/view/4305188586")</f>
        <v/>
      </c>
      <c r="F82" t="inlineStr"/>
      <c r="G82" t="inlineStr">
        <is>
          <t>Williamsburg, VA</t>
        </is>
      </c>
      <c r="H82" t="inlineStr"/>
      <c r="I82" t="inlineStr">
        <is>
          <t>**PROGRAM MANAGER**
**Patient Experience**
**JOB SUMMARY** 
**:**
 The Program Manager position represents the core of the Snow Companies business model. This position is ultimately responsible for planning and executing patient education programs in a virtual or live setting, as well as responsible for program promotion and attendance. The key transferable skills for this position are: Virtual \&amp; live event planning and coordination, attention to detail, communication, organization, and resourcefulness. Programs team members are responsible for liaising with the Account team members to effectively understand the needs of the clients with regard to program selection and development. Program Managers report directly to Associate or Program Directors. Snow’s business is centered around the patient journey, and the Program Manager, like all positions at Snow, must be open, compassionate, and sensitive to the unique life experiences of these patients and caregivers. The Program Manager must be able to incorporate the unique patient/caregiver experience into the strategies and solutions we provide to our clients.
**Patient Privacy**
 The core of our business is working with patients. It is most likely that you will come in contact with personally identifiable information (PII) and personal health information (PHI) of patients living with chronic illness. The Program Manager will be required to successfully complete and adhere to training courses which may include, but are not limited to:
* Snow Policies and Procedures
* Health Insurance Portability and Accountability Act (HIPAA) requirements such as the Privacy Rule, the Security Rule, and Sunshine Act reporting
* Adverse Event (AE) Reporting
* The promotional requirements for pharmaceuticals under the FDA and FTC and other applicable federal or state regulations
* Privacy and Data Security
**Essential Job Functions And Responsibilities**
 It is preferred that the Program Manager has experience in and is able to perform the following essential duties and functions:
* Coordinate virtual webinars and events geared towards a patient and caregiver audience on behalf of our pharmaceutical clients
* Coordinate live event details including all management of venue set up, menu selection, and Audio/Visual needs
* Understand technical requirements and meeting outcomes to make appropriate platform recommendations (AdobeConnect, Webex, Zoom)
* Create virtual events with the appropriate platform settings and provide training for clients and presenters as needed
* Communicate with clients, pharmaceutical sales representatives, and internal teams to solidify details for events (live or virtual)
* Lead the production of events and take on the role of the production director during the event (live or virtual)
* Provide primary technical support to the client and internal team during the virtual engagement process, including any tech run\-throughs scheduled prior to the actual event
* Perform as the event host or moderator for part of or the entire event (live or virtual)
* Conduct research and analysis of key competitive markets and make recommendations regarding the program platform or location and design of the event
* Participate in client meetings and conference calls to identify issues and make recommendations on how to eliminate future occurrences
* Individuals will be responsible for interfacing with contractors and vendors in a professional manner and assisting the department staff in programs, outreach, promotions, research, and campaigns
* Coordinate with third\-party vendors to provide supervision on contractual details and instruct contractors on details and expectations
* Provide regular communication with client representatives regarding ongoing program development and effectiveness
* Establish an excellent working relationship with assigned clients and continuously strive to improve the level of overall service the company is providing
* This position may include up to 25% in travel
**The Program Manager** 
**may be asked to perform additional duties and responsibilities consistent with those listed above based on business needs.**
**Knowledge**
**KNOWLEDGE, SKILLS, AND ABILITIES** 
**:**
* Proficient working knowledge in a Microsoft Windows environment to include:
* Word processors (Word)
* Spreadsheets (Excel)
* Presentation software (PowerPoint)
* Email (Outlook)
* Salesforce (preferred)
* Zoom (preferred)
* Event planning and coordination
* Basic mathematics and business statistics
**Skills**
* Public speaking
* Teamwork mentality
* Organization and file management
* Multitasking
* Empathy
* Attention to detail
**Abilities** 
* Flexibility in job roles/responsibilities/business hours
+ Although day\-to\-day work should take place mostly during regular office hours (9:00 a.m.–6:00 p.m., Monday–Friday), candidates selected for the Program Manager position should expect that the workload and nature of the work will require hours that may extend past the business hours of the company. This includes working on the weekends
* Comprehension of general documents related to the pharmaceutical/biotechnology industry
* Critical thinking
* Travel
* Problem\-solving
* Conduct outreach calls
+ Outreach calls are a necessary function of those in a Senior Program Manager position. Therefore, candidates selected for this position will be expected to contribute as needed to this important function. Candidates not comfortable or willing to make outreach calls, which are typically “cold calls,” should take this under consideration when applying
**Education, Experience, And Related Qualifications**
 Bachelor's degree from a four\-year college or university and three to five years of related experience and/or training preferred. Candidates must have a valid driver’s license. In some instances, a passport may be necessary.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While performing the duties of this job, the employee is regularly required to stand, walk, sit, use hands (to finger, handle, or feel), reach with hands and arms, and talk or hear. The employee must regularly lift and/or move up to 25 pounds and occasionally lift and/or move more than 25 pounds. Specific vision abilities required by this job include close vision, color vision, and the ability to adjust focus.
**Work Environment/Environmental Conditions**
 The work environment characteristics described here are representative of those an employee encounters while performing the essential functions of this job. Reasonable accommodations may be made to enable individuals with disabilities to perform essential functions. The noise level in the work environment is usually moderate with no or very limited exposure to physical risk.
*Omnicom Health is committed to hiring and developing exceptional talent. We agree that talent is uniquely distributed, and we’re focused on developing inclusive teams that can bring the best solutions to everything we do. We strongly believe that celebrating what makes us different makes us better together. Join us—we look forward to getting to know you. We will process your personal data in accordance with our* 
*Recruitment Privacy Notice* 
*.*</t>
        </is>
      </c>
    </row>
    <row r="83">
      <c r="A83" t="inlineStr">
        <is>
          <t>li-4358442090</t>
        </is>
      </c>
      <c r="B83" t="inlineStr">
        <is>
          <t>Senior Business Program Manager</t>
        </is>
      </c>
      <c r="C83" t="inlineStr">
        <is>
          <t>Microsoft</t>
        </is>
      </c>
      <c r="D83" t="inlineStr">
        <is>
          <t>linkedin</t>
        </is>
      </c>
      <c r="E83">
        <f>HYPERLINK("https://www.linkedin.com/jobs/view/4358442090", "https://www.linkedin.com/jobs/view/4358442090")</f>
        <v/>
      </c>
      <c r="F83">
        <f>HYPERLINK("https://apply.careers.microsoft.com/careers/job/1970393556642416?utm_source=linkedin&amp;domain=microsoft.com&amp;src=LinkedIn&amp;urlHash=RxpQ", "https://apply.careers.microsoft.com/careers/job/1970393556642416?utm_source=linkedin&amp;domain=microsoft.com&amp;src=LinkedIn&amp;urlHash=RxpQ")</f>
        <v/>
      </c>
      <c r="G83" t="inlineStr">
        <is>
          <t>Redmond, WA</t>
        </is>
      </c>
      <c r="H83" t="inlineStr"/>
      <c r="I83" t="inlineStr">
        <is>
          <t>**Overview**
 This Business Development (Strategic Partnership) role advances Digital Direct Sales (DDS) strategy by planning, structuring, and negotiating strategic partnerships and by program managing initiatives that deliver profitable, customer centric growth. The mission is to drive profitable growth in Consumer and SMB ecommerce by structuring strategic partnerships, commercial win\-rooms, and executing cross functional programs with sales excellence and agility.
**Responsibilities**
 Key Responsibilities
* Strategic Pursuit \&amp; Deal Execution
* Lead pursuits aligned to DDS strategy and business growth plans: plan, structure, and negotiate strategic partnerships.
* Embed DDS value proposition in every pursuit: differentiate Microsoft’s direct experience through strategic partnerships (e.g, trade\-in, financing, 3P offerings)
* Drive commercial win\-room and ensure deal quality and compliance: balance customer outcomes with Microsoft business rules, protect margin, mitigate risk, and ensure delivery SLAs are met.
* Partnerships \&amp; Complex Deal Structuring
* Structure and negotiate multi\-party agreements with ecosystem partners, vendors, and strategic customers to enable joint value creation (devices, subscriptions, and selected 3P products).
* Manage interfaces across Legal/CELA, Finance, Category, CSS/Ops, GTM, and Engineering; navigate approvals and close complex deals with clear economics and incentives.
* Identify new 3P opportunities to reinforce Microsoft Store differentiation and strengthen the reason to buy.
* Business Program Management
* Design and improve programs: define strategy, gather requirements, align to FY27 priorities, assess risks, and implement mitigations.
* Advocate program value using metrics; secure stakeholder buy\-in; monitor objectives; and run change management efficiently.
* Scale winning motions across geographies using VOC insights and market trends.
* Cross\-Functional Orchestration and Business planning
* Coordinate across DDS and Microsoft teams (Category Sales, MCAPS, Finance, Legal/CELA, CSS, Engineering, Marketing) to shape business plans, opportunity sizing, whitespace ideation for growth in Focused Markets.
* Participate in platform planning governance rhythms (Sunderland, MBR) to provide market\-relevant business cases to support engineering roadmap and roll\-out plan in regions.
* Regional Compliance \&amp; Localization
* Translate regulatory changes (e.g., Digital Acts, EO, payments, currency) into clear business impact, functional requirements for prioritization.
* Partner with teams to deliver compliant, market\-ready experiences; reduce localization time and defects; measure impact and reapply learnings globally.
**Qualifications**
* 3–6 years in Business Development (strategic partnerships), eCommerce, category management, or program management.
* Proven ability to plan, structure, and negotiate complex partner/customer agreements. Strong analytical skills with experience in eCommerce KPIs and financial modeling.
* Familiarity with Microsoft sales methodology and Consumer/SMB buying behaviors.
* Cross\-functional collaboration and stakeholder management skills.
* Experience with AI\-driven tools and transformation initiatives (preferred).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4">
      <c r="A84" t="inlineStr">
        <is>
          <t>li-4366903352</t>
        </is>
      </c>
      <c r="B84" t="inlineStr">
        <is>
          <t>Program Manager</t>
        </is>
      </c>
      <c r="C84" t="inlineStr">
        <is>
          <t>Goldbelt Frontier LLC</t>
        </is>
      </c>
      <c r="D84" t="inlineStr">
        <is>
          <t>linkedin</t>
        </is>
      </c>
      <c r="E84">
        <f>HYPERLINK("https://www.linkedin.com/jobs/view/4366903352", "https://www.linkedin.com/jobs/view/4366903352")</f>
        <v/>
      </c>
      <c r="F84" t="inlineStr"/>
      <c r="G84" t="inlineStr">
        <is>
          <t>Falls Church, VA</t>
        </is>
      </c>
      <c r="H84" t="inlineStr"/>
      <c r="I84" t="inlineStr">
        <is>
          <t>**Overview**
 Please note that this position is contingent upon the successful award of a contract currently under bid.
 Goldbelt Frontier is committed to providing support for a range of health technology management operations, projects, and services across the government and commercial industries. Frontier collaborates with clients and partners with other businesses to ensure that the right solution with the right people is delivered to meet the client’s needs. Many senior project managers and business analysts are subject matter experts in their respective fields. Frontier understands how to support multiple stakeholders to aid in developing and implementing national policies, strategies, and doctrine.
**Summary:**
 The Program Manager (PM) provides overall leadership, oversight, and strategic direction for the Armed Services Blood Program (ASBP), ensuring efficient, effective, and compliant management of blood operations across the Armed Forces. The PM leads program planning, data analysis, business process improvement, stakeholder engagement, and operational oversight. This role ensures timely and cost\-effective availability of blood products to meet peace and wartime operational requirements, manages analytics and reporting, and supports strategic initiatives to optimize ASBP performance.
**Responsibilities**
**Essential Job Functions:**
* Lead strategic and tactical initiatives for ASBP, ensuring alignment with mission objectives and operational needs.
* Analyze business processes, operational workflows, and data trends to identify areas for improvement and implement process re\-engineering solutions.
* Conduct data analytics using the Enterprise Blood Management System\-Donor (EBMS\-D) and other data sources to support decision\-making, generate insights, and measure performance using key performance indicators (KPIs).
* Create visual representations of current and proposed business processes to identify inefficiencies and support solution implementation.
* Support strategic planning, business process improvement, and program optimization, including stakeholder engagement, briefings, and presentations to program leadership.
* Craft, review, track, and maintain Memoranda of Agreement (MOAs) with external partners, civilian blood centers, and other agencies, ensuring documentation and compliance.
* Conduct comparability assessments of foreign nation blood programs and prepare reports to determine equivalency with U.S. standards.
* Build and maintain effective relationships with diverse stakeholders, including legal counsel, Service Blood Program managers, Medical Treatment Facility personnel, and ASBP leadership.
* Ensure regulatory compliance, risk management, and continuous process improvement across all ASBP operations.
**Qualifications**
**Necessary Skills and Knowledge:**
* Expertise in data analytics, business process improvement, and operational workflow optimization.
* Familiarity with blood program operations, donor management, and supply chain requirements for military or large\-scale healthcare systems.
* Ability to develop and analyze KPIs, process metrics, and operational reports.
* Knowledge of strategic planning, stakeholder management, and Memorandum of Agreement (MOA) development.
* Ability to lead cross\-functional teams, coordinate multi\-site operations, and implement program\-wide initiatives.
* Strong written and verbal communication skills, including briefings, training, and executive reporting.
**Minimum Qualifications:**
* Minimum of 7\-10 years of program management experience.
* Ability to travel to locations within the USA and overseas, such as Germany and Japan.
* U.S. citizenship and ability to obtain and maintain any required security clearance.
**Preferred Qualifications:**
* Bachelor’s or Master’s degree in a related field.
* Program Management Professional (PMP) certification or equivalent.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row>
    <row r="85">
      <c r="A85" t="inlineStr">
        <is>
          <t>li-4366630010</t>
        </is>
      </c>
      <c r="B85" t="inlineStr">
        <is>
          <t>Assistant Program Manager</t>
        </is>
      </c>
      <c r="C85" t="inlineStr">
        <is>
          <t>Devereux</t>
        </is>
      </c>
      <c r="D85" t="inlineStr">
        <is>
          <t>linkedin</t>
        </is>
      </c>
      <c r="E85">
        <f>HYPERLINK("https://www.linkedin.com/jobs/view/4366630010", "https://www.linkedin.com/jobs/view/4366630010")</f>
        <v/>
      </c>
      <c r="F85">
        <f>HYPERLINK("https://careers-devereux.icims.com/jobs/48860/assistant-program-manager/job?in_iframe=1&amp;mode=apply&amp;iis=LinkedIn&amp;urlHash=2WHg", "https://careers-devereux.icims.com/jobs/48860/assistant-program-manager/job?in_iframe=1&amp;mode=apply&amp;iis=LinkedIn&amp;urlHash=2WHg")</f>
        <v/>
      </c>
      <c r="G85" t="inlineStr">
        <is>
          <t>Goleta, CA</t>
        </is>
      </c>
      <c r="H85" t="inlineStr"/>
      <c r="I85" t="inlineStr">
        <is>
          <t>**Are you looking to advance in the behavioral health field? Are you interested in making a positive difference in the lives of adults with developmental disabilities?**
 If you answered YES, then consider joining our Devereux Advanced Behavioral Health team!
**Being an Assistant Supervisor has its Advantages!**
 As An Assistant Supervisor, You Will Work With Other Dedicated Professionals Who Share Your Passion For Helping Individuals In Need. We Offer
* The opportunity to develop the leadership skills needed to step up into a Program Management position
* Working in a respectful, inclusive and diverse environment
* Excellent Benefits \+ Tuition Assistance (learn more at benefits.devereux.org)
* Tuition Assistance up to $25k and Student Loan assistance up to 5k a year through our new Program ASCEND
 Devereux Advanced Behavioral Health is one of the largest and most advanced behavioral healthcare organizations in the country. Nestled near the beaches between the Pacific Coast and Santa Ynez mountains, Devereux California is a therapeutic behavioral health treatment facility offering residential services, community living, day programs, and clinical services for adults with multiple diagnoses, including autistic spectrum disorders, emotional and/or behavioral differences, intellectual and developmental disabilities, dementia and other cognitive disorders. Our beautiful Goleta campus overlooks the Pacific Ocean, and has been treating adults with co\-occurring diagnoses in California since 1945\.
**Weisman Assistant Supervisor:** 
 This position is responsible for assisting the Program Manager with overseeing the efficient operation of our Weisman program. Weisman Center is a residential care facility for the elderly that serves both men and women, age 59 and older. The capacity of this warm, caring home is 15 people. The goal of Weisman is to maintain an excellent quality of life for an aging population. Maintaining skills, functioning and good health are all promoted.
**Pay: $24\-$25/hour DOE**
**Schedule: May vary, but looking for candidates that are primarily available in the afternoons/evenings (3pm\-11pm). Minimum of one weekend day required.**
**Responsibilities Include**
* Provide direct care support to individuals served
* Provide guidance and support to staff
* Management of petty cash funds
* Staff scheduling and allocation per established staff/individual served ratios within programs
* Maintains, collects (from assigned staff) and enters all PSR compliance data
* Oversees accurate and timely collection of individual served data by Direct Care Staff per individual goals and objectives
* Enters data into electronic health system
* Plan and create activities for individuals served
* Creates mileu support, schedules, and other materials
* Must have the ability to work with individuals with moderate to severe challenging behaviors
* Other duties as assigned by Program Administrator
**\#sponsored**
**Qualifications**
* Must have a valid license and clean driving record.
* Must be able to complete a two week new hire orientation training; hours are approximately 8:45 a.m. to 5 p.m. each day
* Must be able to clear a background check and livescan fingerprint screen
* High School Diploma/GED required .
* Bachelor ’ s degree in human services field preferred.
* 1 year of experience providing direct care to individuals with developmental disabilities required
* 2 years of experience and prior supervisory/lead staff experience in developmental services highly preferred.
* Must obtain Direct Support Professional Year 1 Certification within 1 year of employment
* Must obtain Direct Support Professional Year 2 Certification within 2 years of employment.
* Must obtain Administrator certification through the State of California, Community Care Licensing Division upon hire. Adult Residential Administrator (ARF) or Residential Care Facility for the Elderly RCFE Certification as required per program regulation.
* Proficiency using Word \&amp; Excel.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86">
      <c r="A86" t="inlineStr">
        <is>
          <t>li-4366797025</t>
        </is>
      </c>
      <c r="B86" t="inlineStr">
        <is>
          <t>Health Careers Program Manager</t>
        </is>
      </c>
      <c r="C86" t="inlineStr">
        <is>
          <t>Northern Vermont Area Health Education Center</t>
        </is>
      </c>
      <c r="D86" t="inlineStr">
        <is>
          <t>linkedin</t>
        </is>
      </c>
      <c r="E86">
        <f>HYPERLINK("https://www.linkedin.com/jobs/view/4366797025", "https://www.linkedin.com/jobs/view/4366797025")</f>
        <v/>
      </c>
      <c r="F86">
        <f>HYPERLINK("https://de.jobsyn.org/426BCCC7273746C3ADBBDA5FC63072255044&amp;urlHash=Z14D", "https://de.jobsyn.org/426BCCC7273746C3ADBBDA5FC63072255044&amp;urlHash=Z14D")</f>
        <v/>
      </c>
      <c r="G86" t="inlineStr">
        <is>
          <t>St Johnsbury, VT</t>
        </is>
      </c>
      <c r="H86" t="inlineStr"/>
      <c r="I86" t="inlineStr">
        <is>
          <t>This job was posted by https://www.vermontjoblink.com : For more
 information, please see: https://www.vermontjoblink.com/jobs/1331488
 \*\*HealthCareersProgram Manager\*\*
 Full\-Time \\\| Year\-Round \\\| Hybrid
 \*Immediate hire applications reviewed on a rolling basis.\*
* Support youth and young adults to succeed in health science and
 health\-related careers!\*\*
 Share your knowledge about community health, health science, and
 personal well\-being with youth as they explore and prepare for college
 and careers! We are looking for a detail\-oriented, motivated individual
 with a background in health care or education to help plan, coordinate,
 and deliver science enrichment and career exploration programs to youth
 in northern Vermont. The focus of this position is on providing high
 quality education enrichment to youth in medically underserved
 communities and from backgrounds underrepresented in medicine. With an
 emphasis on strengthening and diversifying the health care workforce in
 northern Vermont, our programming engages skilled professionals and
 expert faculty online and in\-person to introduce youth to current issues
 and practices in health care and public health and highlight Vermonts
 fastest growing health careers.
 \*\*Position Overview\*\*
 The Health Careers Program Manager is responsible for supporting health
 careers programming for Vermont youth in grades 5 through 12\. This role
 includes lesson planning, activity coordination, program design,
 participant outreach, working with volunteers, partnership development,
 program delivery, and evaluation\*.\*
 The goal of this position is to spark student interest in highneed
 health science fieldsparticularly within underserved communitiesthrough
 education and training delivered in clinical, community, and school
 environments throughout northern Vermont.
 Anticipated Pay Range: \\$25\.00\-\\$29\.00/hour
 Benefits: Full range of benefits, including paid time off, health
 insurance, retirement contribution, life insurance, short\-term
 disability insurance, and expense reimbursement.
 \*\*Key Responsibilities\*\*
 Collaborate with the Northern VT AHEC team to develop strategies aligned
 with the organizations mission.
 Build professional networks and partnerships that create linkages to
 strengthen health careers programming at the community level.
 Deliver instruction to groups on health science, wellness, and career
 pathways.
 Plan and coordinate programs by identifying faculty, training mentors,
 and developing lesson plans and curriculum.
 Track program information related to participation, hours, and learning
 objectives for reporting to funders.
 Work in collaboration with staff throughout the Vermont AHEC network on
 shared objectives.
 Support online engagement with students, parents, and educators.
 Other duties as assigned.
 \*\*Preferred Experience\*\*
 Strong skills in collaboration and teamwork.
 Experience in program design and delivery.
 Background in healthcare or education.
 \*\*Required Qualifications\*\*
 Bachelors degree (minimum).
 Experience with program management, coordination, and implementation.
 Strong communication skills.
 Ability to plan and develop programs with diverse community partners.
 Ability to present to groups of varying sizes.
 Analytical skills for managing budgets and projects.
 \*\*Additional Position Requirements\*\*
 Willingness to work oncall during summer programs and occasionally
 outside regular hours.
 Willingness to travel throughout northern Vermont.
 Valid Vermont drivers license and good driving record.
 Access to personal transportation.
 Ability to transport materials and equipment.
 Willingness to undergo a criminal background check.
* To apply, send a resume and cover letter by email to Nicole LaPointe,
 Executive Director, at nlapointe@nvtahec.org.\*\*</t>
        </is>
      </c>
    </row>
    <row r="87">
      <c r="A87" t="inlineStr">
        <is>
          <t>li-4365437845</t>
        </is>
      </c>
      <c r="B87" t="inlineStr">
        <is>
          <t>Program Manager</t>
        </is>
      </c>
      <c r="C87" t="inlineStr">
        <is>
          <t>STS Technical Services</t>
        </is>
      </c>
      <c r="D87" t="inlineStr">
        <is>
          <t>linkedin</t>
        </is>
      </c>
      <c r="E87">
        <f>HYPERLINK("https://www.linkedin.com/jobs/view/4365437845", "https://www.linkedin.com/jobs/view/4365437845")</f>
        <v/>
      </c>
      <c r="F87" t="inlineStr"/>
      <c r="G87" t="inlineStr">
        <is>
          <t>Melbourne, FL</t>
        </is>
      </c>
      <c r="H87" t="inlineStr"/>
      <c r="I87" t="inlineStr">
        <is>
          <t>STS Aviation Services is hiring
 **Program Managers** 
 in
 **Melbourne, Florida.**
**Educational Background/Experience**
* High School Diploma or GED
* Airframe or Powerplant License
* 5 years’ experience in aircraft heavy maintenance or modification
* 5 years’ supervisory or lead experience in heavy maintenance or modifications
* Working knowledge of FAA regulations pertaining to FAR Part 145 repair station operations
**General Qualifications/Knowledge, Skills, Abilities (KSA)**
* Excellent verbal, written, computer, and presentation skills necessary to work effectively with a variety of individuals, departments and organizations.
* Demonstrated proficiency in the operation of Microsoft Office Word and Excel, database software such as AvPro, or similar, email and other web\-based applications
**Preferred Skills**
* Associates or Bachelor’s degree in business management or related technical field
* Project Management certification
* Two (2\) years previous project management experience at a FAR 145 repair station
* Working knowledge of process improvement methodology and application i.e. (Six Sigma. Lean Principles)
**Nature Of Work**
* Office environment
* Will work with the production team on aircraft to evaluate status of program to make sure all program goals are met, and to provide guidance if changes are required.
* Possibility of travel to meet customers’ project needs, or to evaluate offsite project production.
**Desired Characteristics**
* Possess verbal, written presentation, problem solving and interpersonal skills necessary to effectively communicate, update, persuade and/or facilitate discussions with all levels of employees, management \&amp; customers
* Proven planning and organizational skills to process, coordinate, prioritize and track workload requirements in a multi\-project environment
* Excellent working knowledge of all aspects of maintenance to include mechanical, structural and avionics systems
* Be self\-motivated and able to work independently or as part of a team
**Classification**
* Non\-Exempt Hourly – Full Time Regular
**General Responsibilities**
* Provide planning, administrative, budgetary, and reporting of assigned Modification or Heavy Maintenance lines.
* Also, provides support to avionics, fuel, composite and paint.
* Ensure work is performed safely within budgeted time and while remaining in regulatory compliance and meeting customer and company guidelines.
* Performs and recommends management actions related to hiring, scheduling, employee development, coaching, mentoring.
* Being the liaison point of contact between STS and the customer.
* Any other duties delegated by the DOM, or VP of Operations.
**About STS Aviation Services**
 STS Aviation Services operates three state\-of\-the\-art aircraft hangars, two interior modification facilities and more than 40 line maintenance stations both stateside and aboard. These facilities, and the expert personnel that call each home, fuel the company’s drive to seamlessly blend a growing portfolio of MRO services to deliver all\-encompassing aircraft maintenance, engineering and modification solutions to the global aviation industry.
 To learn more about STS Aviation Services and what makes it the company with “
 ***Solutions to Keep You Flying***
 ,” please visit www.stsaviationgroup.com or call
 **1\-800\-800\-2400 Ext 9176\.**
 \#IndeedAM</t>
        </is>
      </c>
    </row>
    <row r="88">
      <c r="A88" t="inlineStr">
        <is>
          <t>li-4366487557</t>
        </is>
      </c>
      <c r="B88" t="inlineStr">
        <is>
          <t>Web Marketing Program Manager - Senior Consultant</t>
        </is>
      </c>
      <c r="C88" t="inlineStr">
        <is>
          <t>Sia Experience</t>
        </is>
      </c>
      <c r="D88" t="inlineStr">
        <is>
          <t>linkedin</t>
        </is>
      </c>
      <c r="E88">
        <f>HYPERLINK("https://www.linkedin.com/jobs/view/4366487557", "https://www.linkedin.com/jobs/view/4366487557")</f>
        <v/>
      </c>
      <c r="F88" t="inlineStr"/>
      <c r="G88" t="inlineStr">
        <is>
          <t>San Francisco, CA</t>
        </is>
      </c>
      <c r="H88" t="inlineStr"/>
      <c r="I88" t="inlineStr">
        <is>
          <t>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**About Sia Experience \- Marketing Advisory** 
 Sia Experience is the end\-to\-end marketing and customer experience arm of Sia, a global management consulting firm. Agile and collaborative, our Marketing Advisory Business Line is recognized for delivering high\-impact, growth\-focused solutions by blending marketing, CX, creative, AI, and deep industry expertise.
 As strategic partners, we empower clients across technology, luxury, consumer goods, finance, energy, and more to scale operational excellence and drive brand\-led growth through AI\- and data\-driven strategies. Our teams lead full\-funnel marketing transformations—from strategy and go\-to\-market execution to experience design, performance measurement, and sustainable impact.
 It’s an exciting time to join us. We’re growing rapidly and building SiaX into the go\-to partner for brands seeking to accelerate growth, supported by a team that’s passionate about delivering great work—and having fun along the way.
**Job Description** 
**About the Role** 
 At Sia Experience, Program Managers operate as engagement leaders and delivery strategists, accountable for the successful execution of complex, multi\-initiative digital portfolios for enterprise clients. Rather than managing isolated workstreams, you will oversee interconnected digital programs spanning platform enhancements, integrations, and net\-new builds across the full delivery lifecycle.
 The role centers on enterprise digital platforms, including websites and web\-based applications, requiring fluency in technical delivery models, stakeholder governance, financial management, and cross\-functional coordination. You will serve as the primary point of accountability across product, engineering, design, QA, and client teams, ensuring work progresses predictably, risks are actively managed, and outcomes align with client objectives.
 This position is particularly focused on web\-enabled marketing and customer experience platforms, where you will advise clients on how broader marketing and growth initiatives translate into scalable digital capabilities. You will help clients prioritize investments, structure delivery roadmaps, and connect strategic intent to execution ensuring digital platforms evolve in a way that supports performance, usability, and long\-term sustainability.
**Your Impact** 
* **Web Platform Orchestrator:** 
 You’ll manage the full lifecycle of web\-based platforms—not only launches, but also the ongoing updates and enhancements they require. You’ll coordinate across designers, developers, QA, and other stakeholders to define who needs to be involved, estimate effort and timelines, and ensure smooth delivery. You’ll ensure all updates and enhancements follow web marketing best practices and align with client goals, audience needs, and performance standards. You’ll bring marketing\-minded structure to workflows, driving accuracy across content, creative, SEO, and engineering deliverables.
* **Connector Across Teams:** 
 You’ll bridge communication between clients and internal teams, translating requirements into clear deliverables, reporting back on progress, and keeping stakeholders aligned. You’ll guide clients through recommendations, clarify what success looks like, and proactively spot opportunities to improve their website experience, structure, and performance.
* **Risk Anticipator:** 
 You’ll proactively identify dependencies, risks, and blockers—resolving issues or escalating early to keep web initiatives on track. You’ll also foresee downstream impacts across creative, content, engineering, and SEO, ensuring decisions are sequenced correctly and tradeoffs are understood. Process Driver: You’ll bring structure and repeatable practices to technical workflows, improving predictability and velocity while keeping quality high.
* **Trusted Partner:** 
 You’ll be a steady, client\-facing presence, known for strong documentation, clear updates, and consistent follow\-through.
**What Success Looks Like** 
* **Smooth Delivery:** 
 Web products and enhancements move efficiently through all phases with minimal blockers and clean handoffs across functions. Projects stay aligned with web marketing goals, user needs, and measurable outcomes.
* **Flawless Launches:** 
 Sites and applications go live on time, with quality assured and technical requirements fully met.
* **Client Confidence:** 
 Clients view you as a trusted advisor who can translate complex technical roadmaps into clear action plans and deliverables.
* **Team Alignment:** 
 Internal and external teams stay on track because you keep priorities, timelines, and responsibilities clear and moving forward.
* **Operational Maturity:** 
 Your project management practices improve team efficiency, reduce risk, and create predictable outcomes across multiple accounts. You elevate the quality of web marketing execution across client portfolios by driving structure, clarity, and proactive optimization.
**Qualifications** 
* 5\+ years of project management experience, ideally in a consulting firm or agency environment.
* Proven success managing large\-scale website or web application projects from kickoff through deployment.
* Strong understanding of web development lifecycles, including discovery, UX/UI design, engineering, QA/testing, and launch.
* Ability to interpret and manage requirements across technical teams; familiarity with tech stacks and integration flows a plus.
* Excellent organizational and communication skills, with client\-facing experience.
* Skilled in project management tools (Airtable, Kantata, Jira, Asana, or similar).
* Proactive, solution\-oriented mindset with the ability to anticipate and resolve technical and workflow challenges.
* Bachelors Degree required.
**Additional Information** 
 We believe in supporting our team professionally and personally. Here’s a snapshot of the comprehensive benefits you’ll enjoy as part of Sia.
**Competitive Compensation** 
* Annual base salary starting at $124,400 \- $135,700 commensurate with experience and qualifications
* Annual performance based discretionary bonus
**Robust Health Coverage** 
* 3 Medical plans
* Dental and Vision
* Life, AD\&amp;D and other voluntary insurance
**Tax\-Advantaged Accounts** 
* 401K retirement plan
* 4% matching and 100% vested upon enrollment
* Health Savings Account (HSA)
* Flexible Spending Account (FSA)
* Health, Dependent Care, Commuter
**Family Friendly Benefits** 
* 100% paid parental leave for all new parents with eligible tenure
* Building Healthy Families program if enrolled through Medical plan
**Time Off to Recharge** 
* Generous Paid Time Off (PTO) policy
* 9 company holidays plus 1 floating holiday
**Extras that Make Life Easier** 
* College savings and student loan repayment assistance
* Monthly cell phone stipend
* Access to wellness programs at no cost if enrolled through Medical plan, including:
* Gym membership reimbursement
* LiveHealth Online virtual care
* Personalized support from a Well\-being Coach
* Employee Assistance Program at no cost
* Free confidential counseling and emotional support services
* On\-demand access to Emotional Well\-being resources (ranging from relaxation techniques to stress management)
**Diversity, Equity, Inclusion \&amp; Belonging** 
 At Sia, we believe in fostering a
 **diverse, equitable and inclusive** 
 culture where our employees and partners are valued and thrive in a sense of
 **belonging** 
 .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Please visit our website for more information.
 Sia is an
 **equal opportunity employer** 
 . All aspects of employment, including hiring, promotion, remuneration, or discipline, are based solely on performance, competence, conduct, or business needs.
**Office Workplace Guidelines** 
 Sia is committed to providing a flexible workplace environment that supports client, business, and market needs. Consultants located in our primary market office locations—New York City, Charlotte, Seattle, and San Francisco—are expected to live within a reasonable commuting distance and attend the office at least three days per week. For Consultants outside of our primary markets, we can offer more flexible in\-person requirements in accordance with your location.
**Work Authorization \&amp; Sponsorship** 
 At this time, Sia does not intend to employ any applicant who will require, either now or in the future, employment visa sponsorship or sponsorship for work authorization (i.e., H\-1B visa, F\-1/OPT or STEM OPT, TN, etc.).</t>
        </is>
      </c>
    </row>
    <row r="89">
      <c r="A89" t="inlineStr">
        <is>
          <t>li-4366915985</t>
        </is>
      </c>
      <c r="B89" t="inlineStr">
        <is>
          <t>Federal Construction Program Manager</t>
        </is>
      </c>
      <c r="C89" t="inlineStr">
        <is>
          <t>All Native Group, The Federal Services Division of Ho-Chunk Inc.</t>
        </is>
      </c>
      <c r="D89" t="inlineStr">
        <is>
          <t>linkedin</t>
        </is>
      </c>
      <c r="E89">
        <f>HYPERLINK("https://www.linkedin.com/jobs/view/4366915985", "https://www.linkedin.com/jobs/view/4366915985")</f>
        <v/>
      </c>
      <c r="F89">
        <f>HYPERLINK("https://careers-allnativegroup.icims.com/jobs/9930/federal-construction-program-manager/job?iis=Job+Board&amp;iisn=LinkedIn&amp;urlHash=W-zc", "https://careers-allnativegroup.icims.com/jobs/9930/federal-construction-program-manager/job?iis=Job+Board&amp;iisn=LinkedIn&amp;urlHash=W-zc")</f>
        <v/>
      </c>
      <c r="G89" t="inlineStr">
        <is>
          <t>Orlando, FL</t>
        </is>
      </c>
      <c r="H89" t="inlineStr"/>
      <c r="I89" t="inlineStr">
        <is>
          <t>**Summary**
 All Native Group is seeking a Construction Program Manager to deliver complex construction projects for the U.S. Army Corps of Engineers and Naval Facilities Engineering Systems Command. This position can be located in Long Island, NY Orlando, FL or Jacksonville, FL or can potentially be remote with a great deal of travel to these areas.
 The Construction Program Manager is responsible for the overall management, execution, and financial performance of USACE and NAVFAC projects. This role leads project teams from award through closeout, ensuring compliance with contract requirements, schedule milestones, quality standards, and safety regulations.
**Essential Functions**
* Manage all phases of federal construction projects from preconstruction through closeout
* Serve as the primary point of contact with Government Contracting Officers, CORs, and QA personnel
* Ensure compliance with USACE and NAVFAC contract documents, specifications, and quality requirements
* Direct and coordinate Superintendents, Quality Control Managers, SSHOs, and subcontractors
* Oversee project schedules, budgets, cost controls, and change management
* Review and approve submittals, RFIs, and change orders
* Ensure Quality Control Plans and Safety Plans are implemented and enforced
* Monitor subcontractor performance, productivity, and compliance
* Maintain accurate project documentation, reporting, and communication with stakeholders
* Support project turnover, commissioning, and closeout processes
**Supervisory Responsibility**
 Will supervise Superintendents, Quality Control Managers, SSHOs, and subcontractors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 Must be able to remain in a stationary position 75% of the time.
* Occasionally moves about inside the office to access file cabinets, office machinery, etc.
* Constantly operates a computer and other office productivity machinery, such as a calculator, copy machine, and computer printer.
* Expresses or exchanges ideas by means of the spoken word. Those activities in which they must convey detailed or important spoken instructions to other workers accurately, loudly or quickly.
* Frequently moves standard office equipment up to 25 pounds.
* Must be able to work indoor conditions 90% of the time.
 While performing the duties of this job, the employee is regularly required to talk or hear. The employee frequently is required to stand; walk; use hands to finger, handle or feel; and reach with hands and arms.
**Education**
* Degree in Construction Management, Engineering, or related field
**Additional Eligibility Qualifications**
* Experience with design build federal projects
* Background in vertical construction, healthcare, military, or secure facilities
* Experience managing multiple concurrent federal projects
* Additional certifications such as PMP or CCM a plus
**Security Clearance**
 None required for this position
**Travel**
 Travel is primarily local during the business day, although some out of the area travel and overnight may be expected.
**Drug Free Workplace** 
 All Native Group is a Drug Free Workplace. It is our policy that all new hires must successfully complete a pre\-employment drug screen as a condition of employment. In addition, all employees are subject to random drug screens throughout the term of their employment with All Native Group.
**AAP/EEO Statement**
 All Native Group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
**About Ho\-Chunk, Inc. \&amp; All Native Group**
**Ho\-Chunk, Inc.** 
 is an award\-winning economic development corporation of the Winnebago Tribe of Nebraska. Our mission is to provide long\-term economic development for the Winnebago Tribe and job opportunities for Tribal members.
 All Native Group Is a Network Of Small Businesses That Support The Critical Missions Of Various U.S. Government Customers. Our Capabilities Include Telecommunications, Health, Logistics, Specialized Training, Professional Services, And IT Solutions. Since Earning Our First Federal Contract In 2004, We Have Continued To Grow And Diversify Our Services While Maintaining a Strong Commitment To Excellence. As a Tribally Owned Organization, All Native Group Operates Multiple Subsidiary Businesses, Providing Clients With The Advantages Of Working With a Small Business While Leveraging The Resources And Expertise Of a Larger, Established Company. Our Work Is Guided By Our Core NATIVE Values
* Native American Owned \&amp; Proud – Serving the Winnebago Tribe of Nebraska.
* Accountable – To always do what’s right.
* Team\-Focused – For inclusive progress.
* Innovative – In creating solutions.
* Visionary – In our purpose and direction.
* Excellence – Through learning and performance.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90">
      <c r="A90" t="inlineStr">
        <is>
          <t>li-4366932123</t>
        </is>
      </c>
      <c r="B90" t="inlineStr">
        <is>
          <t>Federal Construction Program Manager</t>
        </is>
      </c>
      <c r="C90" t="inlineStr">
        <is>
          <t>All Native Group, The Federal Services Division of Ho-Chunk Inc.</t>
        </is>
      </c>
      <c r="D90" t="inlineStr">
        <is>
          <t>linkedin</t>
        </is>
      </c>
      <c r="E90">
        <f>HYPERLINK("https://www.linkedin.com/jobs/view/4366932123", "https://www.linkedin.com/jobs/view/4366932123")</f>
        <v/>
      </c>
      <c r="F90" t="inlineStr"/>
      <c r="G90" t="inlineStr">
        <is>
          <t>Jacksonville, FL</t>
        </is>
      </c>
      <c r="H90" t="inlineStr"/>
      <c r="I90" t="inlineStr">
        <is>
          <t>**Summary**
 All Native Group is seeking a Construction Program Manager to deliver complex construction projects for the U.S. Army Corps of Engineers and Naval Facilities Engineering Systems Command. This position can be located in Long Island, NY Orlando, FL or Jacksonville, FL or can potentially be remote with a great deal of travel to these areas.
 The Construction Program Manager is responsible for the overall management, execution, and financial performance of USACE and NAVFAC projects. This role leads project teams from award through closeout, ensuring compliance with contract requirements, schedule milestones, quality standards, and safety regulations.
**Essential Functions**
* Manage all phases of federal construction projects from preconstruction through closeout
* Serve as the primary point of contact with Government Contracting Officers, CORs, and QA personnel
* Ensure compliance with USACE and NAVFAC contract documents, specifications, and quality requirements
* Direct and coordinate Superintendents, Quality Control Managers, SSHOs, and subcontractors
* Oversee project schedules, budgets, cost controls, and change management
* Review and approve submittals, RFIs, and change orders
* Ensure Quality Control Plans and Safety Plans are implemented and enforced
* Monitor subcontractor performance, productivity, and compliance
* Maintain accurate project documentation, reporting, and communication with stakeholders
* Support project turnover, commissioning, and closeout processes
**Supervisory Responsibility**
 Will supervise Superintendents, Quality Control Managers, SSHOs, and subcontractors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 Must be able to remain in a stationary position 75% of the time.
* Occasionally moves about inside the office to access file cabinets, office machinery, etc.
* Constantly operates a computer and other office productivity machinery, such as a calculator, copy machine, and computer printer.
* Expresses or exchanges ideas by means of the spoken word. Those activities in which they must convey detailed or important spoken instructions to other workers accurately, loudly or quickly.
* Frequently moves standard office equipment up to 25 pounds.
* Must be able to work indoor conditions 90% of the time.
 While performing the duties of this job, the employee is regularly required to talk or hear. The employee frequently is required to stand; walk; use hands to finger, handle or feel; and reach with hands and arms.
**Education**
* Degree in Construction Management, Engineering, or related field
**Additional Eligibility Qualifications**
* Experience with design build federal projects
* Background in vertical construction, healthcare, military, or secure facilities
* Experience managing multiple concurrent federal projects
* Additional certifications such as PMP or CCM a plus
**Security Clearance**
 None required for this position
**Travel**
 Travel is primarily local during the business day, although some out of the area travel and overnight may be expected.
**Drug Free Workplace** 
 All Native Group is a Drug Free Workplace. It is our policy that all new hires must successfully complete a pre\-employment drug screen as a condition of employment. In addition, all employees are subject to random drug screens throughout the term of their employment with All Native Group.
**AAP/EEO Statement**
 All Native Group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
**About Ho\-Chunk, Inc. \&amp; All Native Group**
**Ho\-Chunk, Inc.** 
 is an award\-winning economic development corporation of the Winnebago Tribe of Nebraska. Our mission is to provide long\-term economic development for the Winnebago Tribe and job opportunities for Tribal members.
 All Native Group Is a Network Of Small Businesses That Support The Critical Missions Of Various U.S. Government Customers. Our Capabilities Include Telecommunications, Health, Logistics, Specialized Training, Professional Services, And IT Solutions. Since Earning Our First Federal Contract In 2004, We Have Continued To Grow And Diversify Our Services While Maintaining a Strong Commitment To Excellence. As a Tribally Owned Organization, All Native Group Operates Multiple Subsidiary Businesses, Providing Clients With The Advantages Of Working With a Small Business While Leveraging The Resources And Expertise Of a Larger, Established Company. Our Work Is Guided By Our Core NATIVE Values
* Native American Owned \&amp; Proud – Serving the Winnebago Tribe of Nebraska.
* Accountable – To always do what’s right.
* Team\-Focused – For inclusive progress.
* Innovative – In creating solutions.
* Visionary – In our purpose and direction.
* Excellence – Through learning and performance.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91">
      <c r="A91" t="inlineStr">
        <is>
          <t>li-4366509651</t>
        </is>
      </c>
      <c r="B91" t="inlineStr">
        <is>
          <t>Technical Program Manager with Zscaler</t>
        </is>
      </c>
      <c r="C91" t="inlineStr">
        <is>
          <t>Jobs via Dice</t>
        </is>
      </c>
      <c r="D91" t="inlineStr">
        <is>
          <t>linkedin</t>
        </is>
      </c>
      <c r="E91">
        <f>HYPERLINK("https://www.linkedin.com/jobs/view/4366509651", "https://www.linkedin.com/jobs/view/4366509651")</f>
        <v/>
      </c>
      <c r="F91" t="inlineStr"/>
      <c r="G91" t="inlineStr">
        <is>
          <t>Pawtucket, RI</t>
        </is>
      </c>
      <c r="H91" t="inlineStr"/>
      <c r="I91" t="inlineStr">
        <is>
          <t>Dice is the leading career destination for tech experts at every stage of their careers. Our client, Vidorra Consulting Group, is seeking the following. Apply via Dice today!
 We are seeking a highly skilled Technical Program Manager (TPM) with strong expertise in Zscaler technologies.
 The TPM will lead cross\-functional programs focused on securing enterprise environments, driving IAM initiatives, and implementing Zscaler solutions to enhance network security and zero\-trust architecture.
 Key Responsibilities
 Program Management
* Drive end\-to\-end delivery Zscaler\-related programs, ensuring alignment with business objectives.
* Develop and maintain program roadmaps, timelines, and resource plans.
* Manage stakeholder communication, status reporting, and risk mitigation.
 Technical Leadership
* Oversee Zscaler deployment and integration with enterprise systems.
* Ensure compliance with security standards and regulatory requirements.
 Process Governance
* Define and enforce governance frameworks for lifecycle management.
* Establish KPIs and metrics to measure program success and security posture.
 Cross\-Functional Collaboration
* Partner with IT, Security, and Business units to align technical solutions with organizational goals.
* Facilitate workshops and training sessions for stakeholders.
**Required Skills Qualifications**
 Education Bachelors degree in Computer Science, Information Security, or related field.
**Experience**
* 7 years in technical program management or cybersecurity leadership roles.
* Proven expertise in Zscaler Internet Access (ZIA) and Zscaler Private Access (ZPA).
 Technical Knowledge
* Strong understanding of Zero Trust principles, identity federation, and cloud security.
* Familiarity with networking concepts (VPN, proxy, firewalls).
 Soft Skills
* Excellent communication, stakeholder management, and problem\-solving skills.
* Ability to manage multiple priorities in a fast\-paced environment.
**Preferred Qualifications**
 Certifications CISM, CISSP, PMP, Zscaler Certified Professional, or equivalent.
 Experience with cloud platforms (AWS, Azure, Google Cloud Platform) and DevSecOps practices.</t>
        </is>
      </c>
    </row>
    <row r="92">
      <c r="A92" t="inlineStr">
        <is>
          <t>li-4366518800</t>
        </is>
      </c>
      <c r="B92" t="inlineStr">
        <is>
          <t>Program Manager- Microsoft Dynamics365  CRM</t>
        </is>
      </c>
      <c r="C92" t="inlineStr">
        <is>
          <t>Cognizant</t>
        </is>
      </c>
      <c r="D92" t="inlineStr">
        <is>
          <t>linkedin</t>
        </is>
      </c>
      <c r="E92">
        <f>HYPERLINK("https://www.linkedin.com/jobs/view/4366518800", "https://www.linkedin.com/jobs/view/4366518800")</f>
        <v/>
      </c>
      <c r="F92" t="inlineStr"/>
      <c r="G92" t="inlineStr">
        <is>
          <t>Bridgewater, NJ</t>
        </is>
      </c>
      <c r="H92" t="inlineStr"/>
      <c r="I92" t="inlineStr">
        <is>
          <t>**Role: Program Manager**
**Location: Bridgewater, NewJersey**
 20\+ years of industry experience as a Program manager with experience in Microsoft Dynamics CRM.
 An equivalent combination of education, certification, and relevant experience may be considered.
**Responsibilities**
* Manage complex development projects on\-time, on\-budget and within client specifications.
* Lead and collaborate with team solution and technical architects to identify and recommend CRM based solutions, integration points and related implementation architecture for business usage improvements, scalability, and performance.
* Oversee architects and developers make sure requirements are being met.
* Identify detailed business requirements to support CRM implementation within the scope of prioritized enhancements and projects.
* Lead and collaborate with team members to develop comprehensive training materials and other change management collateral as appropriate for each initiative, deliver training to super users and end\-users as appropriate.
* Work with technical experts to support and ensure that the technical design aligns with overall business needs.
* Evaluate possible application performance bottlenecks at the early stages of the implementation \&amp; recommend remedial measures.
* Help build reusable assets for use in future projects.
**Desired Skills And Experience**
* Overall 20\+ years of CRM experience and minimum 10\+ years of project management experience with packaged software.
* Ability to take complex client and vendor concepts and articulate them to audiences of varying perception levels.
* Ability to lead enterprise engagements, facilitate meetings, and lead customer support projects.
* Ability to collaborate with clients and lead project teams in creating solutions that supports the business requirements and business processes.
* Excellent written, verbal presentation and organizational skills, ability to interface with all levels and business units.
* Must work independently in complex fast paced environment to ensure quality and timeliness of system information.
* Nice to have experience with delivery of CRM serving as Program manager.
* Experience in professional services/consulting organization.
* Experience in enterprise rollouts.
* Experience working with enterprise development teams.
**Preferred Skills**
* Life Science Domain (Preferably Indirect Sales Channel or Partner Sales Channel).
* Safe Agile and PMP certification.
* Hands\-on experience with agile / scrum methodology.
* Experience with collaborating with developers, clients, other business analysts, Solution Architects, Release Manager
**Salary And Other Compensation**
**The annual salary for this position is between $165,000 to $185,000**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 Please note, this role is not able to offer visa transfer or sponsorship now or in the future\*</t>
        </is>
      </c>
    </row>
    <row r="93">
      <c r="A93" t="inlineStr">
        <is>
          <t>li-4366507757</t>
        </is>
      </c>
      <c r="B93" t="inlineStr">
        <is>
          <t>Community Program Manager</t>
        </is>
      </c>
      <c r="C93" t="inlineStr">
        <is>
          <t>Mosaic North America</t>
        </is>
      </c>
      <c r="D93" t="inlineStr">
        <is>
          <t>linkedin</t>
        </is>
      </c>
      <c r="E93">
        <f>HYPERLINK("https://www.linkedin.com/jobs/view/4366507757", "https://www.linkedin.com/jobs/view/4366507757")</f>
        <v/>
      </c>
      <c r="F93" t="inlineStr"/>
      <c r="G93" t="inlineStr">
        <is>
          <t>Dallas, TX</t>
        </is>
      </c>
      <c r="H93" t="inlineStr"/>
      <c r="I93" t="inlineStr">
        <is>
          <t>**Job Summary** 
 Reporting to the Global Advocacy Manager, the Program Manager is the operational force for the Google Champions program across the United States. This role is responsible for the flawless execution of the program's strategy, managing day\-to\-day operations, and coordinating its expansion across diverse US markets. Crucially, the Program Manager will act as the primary voice and representative for the US region to our global counterparts, ensuring that regional insights, challenges, and successes are effectively communicated and considered at a global level. This position requires exceptional stakeholder management to build strong relationships with country\-level sales, marketing, and operations teams, ensuring the Google Champions program aligns with broader US training and enablement objectives.
**Primary Responsibilities** 
* **Collaborate on Global Program Strategy** 
 : Partner with stakeholders to define and execute the annual strategic roadmap for the Google Champions Social Community, ensuring alignment with global Pixel and Retail Marketing objectives.
* **Coordinate Cross\-Functional GTM** 
 : Coordinate the community's Go\-To\-Market (GTM) strategy for new Pixel launches, integrating and gaining consensus from Retail Marketing, Training, Platform, and Sales teams.
* **Partner with Global Community Team** 
 : Collaborate with an indirect team of 10\+ Community Managers worldwide to establish governance and performance standards, ensuring consistent brand voice and quality.
* **Manage Social Calendar \&amp; Content** 
 : Own and drive the global Social Calendar, overseeing Video Production and content strategy to reinforce the Pixel brand passion.
* **Support In\-Field Strategy Development** 
 : Design and implement the global In\-Field Strategy in partnership with regional teams to leverage the community for retail support and seller engagement.
* **Coordinate Pixel Seeding Program** 
 : Coordinate the distribution and performance tracking of seeded Google Pixel devices to sellers in the Field for maximum ROI, working closely with relevant teams.
* **Develop Joint Campaigns** 
 : Partner with Retail Marketing to create and execute large\-scale social campaigns to drive Pixel awareness and sales.
* **Share Performance Insights:** 
 Collaborate to define KPIs and provide regular, comprehensive reports using analytics to measure community impact on engagement, sentiment, and business goals, sharing insights across teams.
* **Collaborate on Program Optimization:** 
 Partner with cross\-functional teams (e.g., Sales) to use data and feedback to continuously optimize the program's content, strategy, and in\-field approach.
**Minimum Qualifications \- Education and Experience** 
* **Education:** 
 Bachelor’s Degree required.
**Experience:** 
* 4\+ years of experience in program management, project management, or a related role.
* Proven experience working in a regional capacity, preferably within the United States, coordinating programs across multiple countries.
* Demonstrated experience managing day\-to\-day relationships with external agencies or vendors.
* A strong background in retail, training, community management, ambassador program management or technology sectors is highly preferred.
**Minimum Qualifications \- Knowledge, Skills, and Abilities** 
* Exceptional project management skills, with a proven ability to manage complex projects with diverse stakeholders and firm deadlines.
* Outstanding stakeholder management and interpersonal skills, with the ability to represent a region and build strong collaborative relationships.
* Excellent cross\-cultural communication skills, both written and verbal.
* Strong organizational and time\-management abilities, with a keen eye for detail.
* Proficiency in social media platforms and community management tools.
* Strong analytical skills with experience in compiling and interpreting data to generate reports and insights.
* Expertise in Google Suite (Docs, Sheets, Slides) for reporting and collaboration.
* A passion for technology and the Google brand.
**Work Environment and Physical Requirements** 
 The work environment characteristics described are representative of those an employee may encounter while performing the essential functions of this job. Job may require moderate physical effort including lifting materials and equipment weighing less than 15 pounds. This position involves viewing a computer monitor for more than 30% of the time. Personal protective equipment may need to be worn. Reasonable accommodations may be made to enable individuals with disabilities to perform the essential functions.</t>
        </is>
      </c>
    </row>
    <row r="94">
      <c r="A94" t="inlineStr">
        <is>
          <t>li-4366520703</t>
        </is>
      </c>
      <c r="B94" t="inlineStr">
        <is>
          <t>Journeyman Program Manager</t>
        </is>
      </c>
      <c r="C94" t="inlineStr">
        <is>
          <t>Odyssey Systems</t>
        </is>
      </c>
      <c r="D94" t="inlineStr">
        <is>
          <t>linkedin</t>
        </is>
      </c>
      <c r="E94">
        <f>HYPERLINK("https://www.linkedin.com/jobs/view/4366520703", "https://www.linkedin.com/jobs/view/4366520703")</f>
        <v/>
      </c>
      <c r="F94" t="inlineStr"/>
      <c r="G94" t="inlineStr"/>
      <c r="H94" t="inlineStr"/>
      <c r="I94" t="inlineStr">
        <is>
          <t>**Position Summary**
 Odyssey Systems has an exciting opportunity for a
 **Journeyman** 
 Program Manager providing support to the Air Force Life Cycle Management Center/PEO Digital Directorate (AFLCMC/HB). The Air Force Program Execution Office for PEO Digital (AFPEO/HB) has the collective Air Force Materiel Command (AFMC) mission responsibility to manage and execute the modernization, development, testing, production, fielding, and sustainment of the PEO Digital portfolio, which includes over 130 programs for the United States Air Force (USAF) and foreign allies. AFLCMC/PEO Digital Directorate is headquartered at Hanscom Air Force Base, MA with geographically separated operating units CONUS and OCONUS.
 This is a full time position located at Tinker AFB, OK.
* This position is contingent upon contract award\*\*\*
**Responsibilities**
**Duties includ e, but not limited to:**
 Program \&amp; Acquisition Management
* Provide program\-level acquisition support to the Program Manager (PM) and Integrated Product Team (IPT) Leads to ensure disciplined execution, acquisition battle rhythm, and delivery of warfighter capability
* Advise program leadership on overall program health and options to maintain cost, schedule, and performance objectives
* Interpret, coordinate, and execute acquisition project assignments; identify and resolve issues with significant impact to acquisition and sustainment efforts
* Compare program direction and plans for alignment and consistency across stakeholders
* Monitor and assess program integration plans and interface control between systems
 Acquisition Strategy \&amp; Policy Compliance
* Assist with planning, evaluating, and implementing acquisition strategies, including traditional, Middle Tier of Acquisition (MTA), and Urgent Capability pathways
* Provide non\-technical acquisition expertise and guidance in accordance with DoD and Air Force acquisition policies, directives, and instructions
* Identify and resolve policy disconnects; provide policy interpretation and recommendations to program leadership
* Track acquisition reform initiatives and recommend updates to programs impacted by policy changes
 Contracting, RFP \&amp; Source Selection Support
* Provide program management inputs to RFPs, including system requirements, SOWs, SRDs, CDRLs, and evaluation criteria
* Assist with development of source selection strategies and provide administrative and evaluation support
* Review and track prime contractor deliverables, schedules, and contractual performance
* Assist with drafting contractual correspondence related to program management issues
 Program Reporting \&amp; Senior Leadership Briefings
* Develop, prepare, and review acquisition reports and statutory documentation in support of milestone decisions and program oversight
* Support preparation of senior\-level briefings, graphics, schedules, and program status updates
* Maintain recurring program documentation such as MARs, APBs, DAES inputs, SARs, and supplemental acquisition reports
* Utilize DoD\-mandated and specialized systems to support reporting, documentation, and execution
 Risk, Schedule \&amp; Performance Management
* Develop, maintain, and execute program risk management plans; facilitate risk identification, analysis, handling, and monitoring
* Support risk management boards and working groups; document outcomes and action items
* Analyze contractor and subcontractor risk management processes
* Coordinate with program scheduling personnel and correlate EVM cost performance data with Integrated Master Schedule (IMS) CDRLs
 Financial \&amp; Funding Support
* Provide direct support for preparation and submission of funding documents, including purchase requests, MIPRs, and obligation/spend plans
* Support cost and schedule reduction initiatives across acquisition and development efforts
* Evaluate funding realism and cost impacts in support of acquisition strategies and execution decisions
 Advisory \&amp; Leadership Support
* Provide expert acquisition and program management guidance to division chiefs and program/project managers
* Advise PMs on best\-practice program management principles to improve processes, increase efficiency, and achieve cost avoidance
* Support life\-cycle logistics considerations and operational supportability planning
**Qualifications**
**Citizenship: Must be a US citizen**
**Clearance** 
**: Must have an Active Secret Clearance**
**Minimum Required Qualifications**
**Education:** 
 Bachelor's degree from an accredited educational program and at least 7 years of experience in the respective professional discipline being performed, 5 of which must be in the DoD
*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**Education**
**Preferred Qualifications:**
* Master's degree in a professional engineering discipline from an ABET\-accredited educational program along with at least 5 years of experience in the respective technical/professional discipline being performed, 3 of which must be in the DoD
**Additional Information**
**Location:** 
 Tinker AFB, OK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**Please note** 
 : Final compensation for this position will be determined by various factors such as the Federal Government contract labor categories and contract wage rates, relevant work experience, specific skills and competencies, geographic location, education, and certifications.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2026-01-28T21:09:52Z</dcterms:created>
  <dcterms:modified xsi:type="dcterms:W3CDTF">2026-01-28T21:09:52Z</dcterms:modified>
</cp:coreProperties>
</file>