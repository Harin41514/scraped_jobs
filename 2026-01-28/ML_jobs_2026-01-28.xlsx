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in-394a6892406d393e</t>
        </is>
      </c>
      <c r="B2" t="inlineStr">
        <is>
          <t>AI Engineer</t>
        </is>
      </c>
      <c r="C2" t="inlineStr">
        <is>
          <t>OneMagnify</t>
        </is>
      </c>
      <c r="D2" t="inlineStr">
        <is>
          <t>indeed</t>
        </is>
      </c>
      <c r="E2">
        <f>HYPERLINK("https://www.indeed.com/viewjob?jk=394a6892406d393e", "https://www.indeed.com/viewjob?jk=394a6892406d393e")</f>
        <v/>
      </c>
      <c r="F2">
        <f>HYPERLINK("https://onemagnify.wd5.myworkdayjobs.com/en-US/OneMagnify_Careers/job/Remote/AI-Engineer_R1995", "https://onemagnify.wd5.myworkdayjobs.com/en-US/OneMagnify_Careers/job/Remote/AI-Engineer_R1995")</f>
        <v/>
      </c>
      <c r="G2" t="inlineStr">
        <is>
          <t>Remote, US</t>
        </is>
      </c>
      <c r="H2" s="2" t="n">
        <v>46049</v>
      </c>
      <c r="I2" t="inlineStr">
        <is>
          <t>OneMagnify is a global performance marketing organization working at the intersection of brand marketing, technology, and analytics. The Company’s core offerings accelerate business, amplify real\-time results, and help set their clients apart from their competitors. OneMagnify partners with clients to design, implement and manage marketing and brand strategies using analytical and predictive data models that provide valuable customer insights to drive higher levels of sales conversion.
OneMagnify’s commitment to employee growth and development extends far beyond typical approaches. We take great pride in fostering an environment where each of our 700\+ colleagues can thrive and achieve their personal best. OneMagnify has been recognized as a Top Workplace, Best Workplace and Cool Workplace in the United States for 10 consecutive years and recently was recognized as a Top Workplace in India.
Our AI team is seeking a client\-facing Technical AI Engineer who is passionate about building strong client partnerships and delivering exceptional outcomes. This role is ideal for a highly organized professional who thrives in collaborative environments and is motivated by outstanding client delivery.
The AI Engineer will support the development and deployment of AI initiatives while ensuring high\-quality execution, timely delivery, and a consistently high level of service for our clients.
About You:* A skilled multi\-tasker who can prioritize and consistently balance multiple tasks with a highly developed sense of accountability and effortless ability to make significant contributions to initiatives
* A go\-getter with unrivaled proactivity paired with a positive, can\-do attitude who thrives in a fast\-paced environment
* A natural\-born communicator, connecting the dots when others cannot and simplifying sophisticated issues
* A genuine people\-person who lives for building relationships and excels in collaboration mode
* An experienced consultant with extraordinary communication, interpersonal, organizational, and project/time management skills
* What you’ll do:
* As a technical developer our AI team, work with strategic clients to help them utilize their data to take action
* Stay up\-to\-date on the latest AI tools and features
* Provide Technical solutioning for our generative AI projects
* Participate in code reviews and solutioning sessions with our data scientists, ai engineers, software engineers, and other technical resources
* Lead cross\-functional projects and enable collaboration across artificial intelligence and OneMagnify
What you’ll need:* Bachelor’s degree from a four\-year college or university. Master's degree preferred.
* Experience with Data Science, Artificial Intelligence, and Large Language Models
* Object\-oriented programming experience
* Working knowledge of DataBricks
* 2\+ years in a technical role with experience leading projects. 2\+ years if educational level is masters.
* Solid understanding of data analytics and business intelligence tools such as Python, R, SQL, Domo, Tableau, and PowerBI
* Expert presentation skills
Benefits
We offer a comprehensive benefits package including medical, dental, 401(k), paid holidays, vacations, and more.
About us
Whether it’s awareness, advocacy, engagement, or efficacy, we move brands forward with work that connects with audiences and delivers results. Through meaningful analytics, engaging communications and innovative technology solutions, we help clients tackle their most ambitious projects and overcome their biggest challenges.
We are an equal opportunity employer
We believe that Innovative ideas and solutions start with unique perspectives. That’s why we’re committed to providing every employee a workplace that’s free of discrimination and intolerance. We’re proud to be an equal opportunity employer and actively search for like\-minded people to join our team.
We will ensure that individuals with disabilities are provided reasonable accommodation to participate in the job application or interview process, to perform job functions, and to receive benefits and privileges of employment. Please contact us to request accommodation.</t>
        </is>
      </c>
    </row>
    <row r="3">
      <c r="A3" t="inlineStr">
        <is>
          <t>in-df931ca06fb5950f</t>
        </is>
      </c>
      <c r="B3" t="inlineStr">
        <is>
          <t>Applied Scientist, Amazon Special Projects</t>
        </is>
      </c>
      <c r="C3" t="inlineStr">
        <is>
          <t>Amazon.com</t>
        </is>
      </c>
      <c r="D3" t="inlineStr">
        <is>
          <t>indeed</t>
        </is>
      </c>
      <c r="E3">
        <f>HYPERLINK("https://www.indeed.com/viewjob?jk=df931ca06fb5950f", "https://www.indeed.com/viewjob?jk=df931ca06fb5950f")</f>
        <v/>
      </c>
      <c r="F3">
        <f>HYPERLINK("https://www.amazon.jobs/jobs/3152795/applied-scientist-amazon-special-projects?cmpid=DA_INAD200785B", "https://www.amazon.jobs/jobs/3152795/applied-scientist-amazon-special-projects?cmpid=DA_INAD200785B")</f>
        <v/>
      </c>
      <c r="G3" t="inlineStr">
        <is>
          <t>Seattle, WA, US</t>
        </is>
      </c>
      <c r="H3" s="2" t="n">
        <v>46026</v>
      </c>
      <c r="I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in-fae2d97423278118</t>
        </is>
      </c>
      <c r="B4" t="inlineStr">
        <is>
          <t>Sr. Applied Scientist, Amazon Ads</t>
        </is>
      </c>
      <c r="C4" t="inlineStr">
        <is>
          <t>Amazon.com</t>
        </is>
      </c>
      <c r="D4" t="inlineStr">
        <is>
          <t>indeed</t>
        </is>
      </c>
      <c r="E4">
        <f>HYPERLINK("https://www.indeed.com/viewjob?jk=fae2d97423278118", "https://www.indeed.com/viewjob?jk=fae2d97423278118")</f>
        <v/>
      </c>
      <c r="F4">
        <f>HYPERLINK("https://www.amazon.jobs/jobs/3139328/sr-applied-scientist-amazon-ads?cmpid=DA_INAD200785B", "https://www.amazon.jobs/jobs/3139328/sr-applied-scientist-amazon-ads?cmpid=DA_INAD200785B")</f>
        <v/>
      </c>
      <c r="G4" t="inlineStr">
        <is>
          <t>New York, NY,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in-f9bfbcf5e1ad98a3</t>
        </is>
      </c>
      <c r="B5" t="inlineStr">
        <is>
          <t>Sr. Applied Scientist, Amazon Ads</t>
        </is>
      </c>
      <c r="C5" t="inlineStr">
        <is>
          <t>Amazon.com</t>
        </is>
      </c>
      <c r="D5" t="inlineStr">
        <is>
          <t>indeed</t>
        </is>
      </c>
      <c r="E5">
        <f>HYPERLINK("https://www.indeed.com/viewjob?jk=f9bfbcf5e1ad98a3", "https://www.indeed.com/viewjob?jk=f9bfbcf5e1ad98a3")</f>
        <v/>
      </c>
      <c r="F5">
        <f>HYPERLINK("https://www.amazon.jobs/jobs/3139328/sr-applied-scientist-amazon-ads?cmpid=DA_INAD200785B", "https://www.amazon.jobs/jobs/3139328/sr-applied-scientist-amazon-ads?cmpid=DA_INAD200785B")</f>
        <v/>
      </c>
      <c r="G5" t="inlineStr">
        <is>
          <t>Corvallis, OR,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in-3151c026da1696e1</t>
        </is>
      </c>
      <c r="B6" t="inlineStr">
        <is>
          <t>Sr. Applied Scientist, Amazon Ads</t>
        </is>
      </c>
      <c r="C6" t="inlineStr">
        <is>
          <t>Amazon.com</t>
        </is>
      </c>
      <c r="D6" t="inlineStr">
        <is>
          <t>indeed</t>
        </is>
      </c>
      <c r="E6">
        <f>HYPERLINK("https://www.indeed.com/viewjob?jk=3151c026da1696e1", "https://www.indeed.com/viewjob?jk=3151c026da1696e1")</f>
        <v/>
      </c>
      <c r="F6">
        <f>HYPERLINK("https://www.amazon.jobs/jobs/3139328/sr-applied-scientist-amazon-ads?cmpid=DA_INAD200785B", "https://www.amazon.jobs/jobs/3139328/sr-applied-scientist-amazon-ads?cmpid=DA_INAD200785B")</f>
        <v/>
      </c>
      <c r="G6" t="inlineStr">
        <is>
          <t>Boulder, CO,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in-dec2e0d31b520bd7</t>
        </is>
      </c>
      <c r="B7" t="inlineStr">
        <is>
          <t>Sr. Applied Scientist, Amazon Ads</t>
        </is>
      </c>
      <c r="C7" t="inlineStr">
        <is>
          <t>Amazon.com</t>
        </is>
      </c>
      <c r="D7" t="inlineStr">
        <is>
          <t>indeed</t>
        </is>
      </c>
      <c r="E7">
        <f>HYPERLINK("https://www.indeed.com/viewjob?jk=dec2e0d31b520bd7", "https://www.indeed.com/viewjob?jk=dec2e0d31b520bd7")</f>
        <v/>
      </c>
      <c r="F7">
        <f>HYPERLINK("https://www.amazon.jobs/jobs/3139328/sr-applied-scientist-amazon-ads?cmpid=DA_INAD200785B", "https://www.amazon.jobs/jobs/3139328/sr-applied-scientist-amazon-ads?cmpid=DA_INAD200785B")</f>
        <v/>
      </c>
      <c r="G7" t="inlineStr">
        <is>
          <t>Palo Alto, CA,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in-6c318a1f49e80700</t>
        </is>
      </c>
      <c r="B8" t="inlineStr">
        <is>
          <t>Sr. Applied Scientist, Amazon Ads</t>
        </is>
      </c>
      <c r="C8" t="inlineStr">
        <is>
          <t>Amazon.com</t>
        </is>
      </c>
      <c r="D8" t="inlineStr">
        <is>
          <t>indeed</t>
        </is>
      </c>
      <c r="E8">
        <f>HYPERLINK("https://www.indeed.com/viewjob?jk=6c318a1f49e80700", "https://www.indeed.com/viewjob?jk=6c318a1f49e80700")</f>
        <v/>
      </c>
      <c r="F8">
        <f>HYPERLINK("https://www.amazon.jobs/jobs/3139328/sr-applied-scientist-amazon-ads?cmpid=DA_INAD200785B", "https://www.amazon.jobs/jobs/3139328/sr-applied-scientist-amazon-ads?cmpid=DA_INAD200785B")</f>
        <v/>
      </c>
      <c r="G8" t="inlineStr">
        <is>
          <t>Brooklyn, NY,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in-c03db82fccc6ec55</t>
        </is>
      </c>
      <c r="B9" t="inlineStr">
        <is>
          <t>Sr. Applied Scientist, Amazon Ads</t>
        </is>
      </c>
      <c r="C9" t="inlineStr">
        <is>
          <t>Amazon.com</t>
        </is>
      </c>
      <c r="D9" t="inlineStr">
        <is>
          <t>indeed</t>
        </is>
      </c>
      <c r="E9">
        <f>HYPERLINK("https://www.indeed.com/viewjob?jk=c03db82fccc6ec55", "https://www.indeed.com/viewjob?jk=c03db82fccc6ec55")</f>
        <v/>
      </c>
      <c r="F9">
        <f>HYPERLINK("https://www.amazon.jobs/jobs/3139328/sr-applied-scientist-amazon-ads?cmpid=DA_INAD200785B", "https://www.amazon.jobs/jobs/3139328/sr-applied-scientist-amazon-ads?cmpid=DA_INAD200785B")</f>
        <v/>
      </c>
      <c r="G9" t="inlineStr">
        <is>
          <t>Sunnyvale, CA,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in-66f0a106f31ff648</t>
        </is>
      </c>
      <c r="B10" t="inlineStr">
        <is>
          <t>Sr. Applied Scientist, Amazon Ads</t>
        </is>
      </c>
      <c r="C10" t="inlineStr">
        <is>
          <t>Amazon.com</t>
        </is>
      </c>
      <c r="D10" t="inlineStr">
        <is>
          <t>indeed</t>
        </is>
      </c>
      <c r="E10">
        <f>HYPERLINK("https://www.indeed.com/viewjob?jk=66f0a106f31ff648", "https://www.indeed.com/viewjob?jk=66f0a106f31ff648")</f>
        <v/>
      </c>
      <c r="F10">
        <f>HYPERLINK("https://www.amazon.jobs/jobs/3139328/sr-applied-scientist-amazon-ads?cmpid=DA_INAD200785B", "https://www.amazon.jobs/jobs/3139328/sr-applied-scientist-amazon-ads?cmpid=DA_INAD200785B")</f>
        <v/>
      </c>
      <c r="G10" t="inlineStr">
        <is>
          <t>Boston, MA,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in-ba6b605b387d4956</t>
        </is>
      </c>
      <c r="B11" t="inlineStr">
        <is>
          <t>Sr. Applied Scientist, Amazon Ads</t>
        </is>
      </c>
      <c r="C11" t="inlineStr">
        <is>
          <t>Amazon.com</t>
        </is>
      </c>
      <c r="D11" t="inlineStr">
        <is>
          <t>indeed</t>
        </is>
      </c>
      <c r="E11">
        <f>HYPERLINK("https://www.indeed.com/viewjob?jk=ba6b605b387d4956", "https://www.indeed.com/viewjob?jk=ba6b605b387d4956")</f>
        <v/>
      </c>
      <c r="F11">
        <f>HYPERLINK("https://www.amazon.jobs/jobs/3139328/sr-applied-scientist-amazon-ads?cmpid=DA_INAD200785B", "https://www.amazon.jobs/jobs/3139328/sr-applied-scientist-amazon-ads?cmpid=DA_INAD200785B")</f>
        <v/>
      </c>
      <c r="G11" t="inlineStr">
        <is>
          <t>Santa Monica,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in-4a02e15b0e607048</t>
        </is>
      </c>
      <c r="B12" t="inlineStr">
        <is>
          <t>Sr. Applied Scientist, Amazon Ads</t>
        </is>
      </c>
      <c r="C12" t="inlineStr">
        <is>
          <t>Amazon.com</t>
        </is>
      </c>
      <c r="D12" t="inlineStr">
        <is>
          <t>indeed</t>
        </is>
      </c>
      <c r="E12">
        <f>HYPERLINK("https://www.indeed.com/viewjob?jk=4a02e15b0e607048", "https://www.indeed.com/viewjob?jk=4a02e15b0e607048")</f>
        <v/>
      </c>
      <c r="F12">
        <f>HYPERLINK("https://www.amazon.jobs/jobs/3139328/sr-applied-scientist-amazon-ads?cmpid=DA_INAD200785B", "https://www.amazon.jobs/jobs/3139328/sr-applied-scientist-amazon-ads?cmpid=DA_INAD200785B")</f>
        <v/>
      </c>
      <c r="G12" t="inlineStr">
        <is>
          <t>Seattle, WA,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in-90353ed567b8e1e9</t>
        </is>
      </c>
      <c r="B13" t="inlineStr">
        <is>
          <t>Sr. Applied Scientist, Amazon Ads</t>
        </is>
      </c>
      <c r="C13" t="inlineStr">
        <is>
          <t>Amazon.com</t>
        </is>
      </c>
      <c r="D13" t="inlineStr">
        <is>
          <t>indeed</t>
        </is>
      </c>
      <c r="E13">
        <f>HYPERLINK("https://www.indeed.com/viewjob?jk=90353ed567b8e1e9", "https://www.indeed.com/viewjob?jk=90353ed567b8e1e9")</f>
        <v/>
      </c>
      <c r="F13">
        <f>HYPERLINK("https://www.amazon.jobs/jobs/3139328/sr-applied-scientist-amazon-ads?cmpid=DA_INAD200785B", "https://www.amazon.jobs/jobs/3139328/sr-applied-scientist-amazon-ads?cmpid=DA_INAD200785B")</f>
        <v/>
      </c>
      <c r="G13" t="inlineStr">
        <is>
          <t>Tukwila, WA,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in-2b97b0fc57bb3fa8</t>
        </is>
      </c>
      <c r="B14" t="inlineStr">
        <is>
          <t>Applied Scientist, ML Compiler</t>
        </is>
      </c>
      <c r="C14" t="inlineStr">
        <is>
          <t>Amazon Web Services</t>
        </is>
      </c>
      <c r="D14" t="inlineStr">
        <is>
          <t>indeed</t>
        </is>
      </c>
      <c r="E14">
        <f>HYPERLINK("https://www.indeed.com/viewjob?jk=2b97b0fc57bb3fa8", "https://www.indeed.com/viewjob?jk=2b97b0fc57bb3fa8")</f>
        <v/>
      </c>
      <c r="F14">
        <f>HYPERLINK("https://www.amazon.jobs/jobs/3136884/applied-scientist-ml-compiler?cmpid=DA_INAD200785B", "https://www.amazon.jobs/jobs/3136884/applied-scientist-ml-compiler?cmpid=DA_INAD200785B")</f>
        <v/>
      </c>
      <c r="G14" t="inlineStr">
        <is>
          <t>Cupertino, CA, US</t>
        </is>
      </c>
      <c r="H14" s="2" t="n">
        <v>45993</v>
      </c>
      <c r="I14"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in-a868abab8f29bc16</t>
        </is>
      </c>
      <c r="B15" t="inlineStr">
        <is>
          <t>Applied Scientist, ML Compiler</t>
        </is>
      </c>
      <c r="C15" t="inlineStr">
        <is>
          <t>Amazon Web Services</t>
        </is>
      </c>
      <c r="D15" t="inlineStr">
        <is>
          <t>indeed</t>
        </is>
      </c>
      <c r="E15">
        <f>HYPERLINK("https://www.indeed.com/viewjob?jk=a868abab8f29bc16", "https://www.indeed.com/viewjob?jk=a868abab8f29bc16")</f>
        <v/>
      </c>
      <c r="F15">
        <f>HYPERLINK("https://www.amazon.jobs/jobs/3136884/applied-scientist-ml-compiler?cmpid=DA_INAD200785B", "https://www.amazon.jobs/jobs/3136884/applied-scientist-ml-compiler?cmpid=DA_INAD200785B")</f>
        <v/>
      </c>
      <c r="G15" t="inlineStr">
        <is>
          <t>Seattle, WA, US</t>
        </is>
      </c>
      <c r="H15" s="2" t="n">
        <v>45993</v>
      </c>
      <c r="I15"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in-279e6fb1f38f3402</t>
        </is>
      </c>
      <c r="B16" t="inlineStr">
        <is>
          <t>Senior Applied Scientist, Locomotion, Amazon Industrial Robotics</t>
        </is>
      </c>
      <c r="C16" t="inlineStr">
        <is>
          <t>Amazon.com</t>
        </is>
      </c>
      <c r="D16" t="inlineStr">
        <is>
          <t>indeed</t>
        </is>
      </c>
      <c r="E16">
        <f>HYPERLINK("https://www.indeed.com/viewjob?jk=279e6fb1f38f3402", "https://www.indeed.com/viewjob?jk=279e6fb1f38f3402")</f>
        <v/>
      </c>
      <c r="F16">
        <f>HYPERLINK("https://www.amazon.jobs/jobs/3134751/senior-applied-scientist-locomotion-amazon-industrial-robotics?cmpid=DA_INAD200785B", "https://www.amazon.jobs/jobs/3134751/senior-applied-scientist-locomotion-amazon-industrial-robotics?cmpid=DA_INAD200785B")</f>
        <v/>
      </c>
      <c r="G16" t="inlineStr">
        <is>
          <t>Reading, MA, US</t>
        </is>
      </c>
      <c r="H16" s="2" t="n">
        <v>45992</v>
      </c>
      <c r="I1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in-10814d5e486f4a86</t>
        </is>
      </c>
      <c r="B17" t="inlineStr">
        <is>
          <t>Sr. Machine Learning Engineer, AGIF | Finetuning</t>
        </is>
      </c>
      <c r="C17" t="inlineStr">
        <is>
          <t>Amazon.com</t>
        </is>
      </c>
      <c r="D17" t="inlineStr">
        <is>
          <t>indeed</t>
        </is>
      </c>
      <c r="E17">
        <f>HYPERLINK("https://www.indeed.com/viewjob?jk=10814d5e486f4a86", "https://www.indeed.com/viewjob?jk=10814d5e486f4a86")</f>
        <v/>
      </c>
      <c r="F17">
        <f>HYPERLINK("https://www.amazon.jobs/jobs/3145989/sr-machine-learning-engineer-agif--finetuning?cmpid=DA_INAD200785B", "https://www.amazon.jobs/jobs/3145989/sr-machine-learning-engineer-agif--finetuning?cmpid=DA_INAD200785B")</f>
        <v/>
      </c>
      <c r="G17" t="inlineStr">
        <is>
          <t>New York, NY, US</t>
        </is>
      </c>
      <c r="H17" s="2" t="n">
        <v>45984</v>
      </c>
      <c r="I1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in-f97beb311babec4e</t>
        </is>
      </c>
      <c r="B18" t="inlineStr">
        <is>
          <t>Sr. Machine Learning Engineer, AGIF | Finetuning</t>
        </is>
      </c>
      <c r="C18" t="inlineStr">
        <is>
          <t>Amazon.com</t>
        </is>
      </c>
      <c r="D18" t="inlineStr">
        <is>
          <t>indeed</t>
        </is>
      </c>
      <c r="E18">
        <f>HYPERLINK("https://www.indeed.com/viewjob?jk=f97beb311babec4e", "https://www.indeed.com/viewjob?jk=f97beb311babec4e")</f>
        <v/>
      </c>
      <c r="F18">
        <f>HYPERLINK("https://www.amazon.jobs/jobs/3145989/sr-machine-learning-engineer-agif--finetuning?cmpid=DA_INAD200785B", "https://www.amazon.jobs/jobs/3145989/sr-machine-learning-engineer-agif--finetuning?cmpid=DA_INAD200785B")</f>
        <v/>
      </c>
      <c r="G18" t="inlineStr">
        <is>
          <t>Sunnyvale, CA, US</t>
        </is>
      </c>
      <c r="H18" s="2" t="n">
        <v>45984</v>
      </c>
      <c r="I1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in-cd9b215b42cefeb0</t>
        </is>
      </c>
      <c r="B19" t="inlineStr">
        <is>
          <t>Sr. Machine Learning Engineer, AGIF | Finetuning</t>
        </is>
      </c>
      <c r="C19" t="inlineStr">
        <is>
          <t>Amazon.com</t>
        </is>
      </c>
      <c r="D19" t="inlineStr">
        <is>
          <t>indeed</t>
        </is>
      </c>
      <c r="E19">
        <f>HYPERLINK("https://www.indeed.com/viewjob?jk=cd9b215b42cefeb0", "https://www.indeed.com/viewjob?jk=cd9b215b42cefeb0")</f>
        <v/>
      </c>
      <c r="F19">
        <f>HYPERLINK("https://www.amazon.jobs/jobs/3145989/sr-machine-learning-engineer-agif--finetuning?cmpid=DA_INAD200785B", "https://www.amazon.jobs/jobs/3145989/sr-machine-learning-engineer-agif--finetuning?cmpid=DA_INAD200785B")</f>
        <v/>
      </c>
      <c r="G19" t="inlineStr">
        <is>
          <t>Bellevue, WA, US</t>
        </is>
      </c>
      <c r="H19" s="2" t="n">
        <v>45984</v>
      </c>
      <c r="I1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in-f332d84733d7be1d</t>
        </is>
      </c>
      <c r="B20" t="inlineStr">
        <is>
          <t>Principal Applied Scientist, Amazon Special Projects</t>
        </is>
      </c>
      <c r="C20" t="inlineStr">
        <is>
          <t>Amazon.com</t>
        </is>
      </c>
      <c r="D20" t="inlineStr">
        <is>
          <t>indeed</t>
        </is>
      </c>
      <c r="E20">
        <f>HYPERLINK("https://www.indeed.com/viewjob?jk=f332d84733d7be1d", "https://www.indeed.com/viewjob?jk=f332d84733d7be1d")</f>
        <v/>
      </c>
      <c r="F20">
        <f>HYPERLINK("https://www.amazon.jobs/jobs/3132566/principal-applied-scientist-amazon-special-projects?cmpid=DA_INAD200785B", "https://www.amazon.jobs/jobs/3132566/principal-applied-scientist-amazon-special-projects?cmpid=DA_INAD200785B")</f>
        <v/>
      </c>
      <c r="G20" t="inlineStr">
        <is>
          <t>Boston, MA, US</t>
        </is>
      </c>
      <c r="H20" s="2" t="n">
        <v>45982</v>
      </c>
      <c r="I20"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in-8791dc3cfc7a7c52</t>
        </is>
      </c>
      <c r="B21" t="inlineStr">
        <is>
          <t>Principal Applied Scientist, Amazon Special Projects</t>
        </is>
      </c>
      <c r="C21" t="inlineStr">
        <is>
          <t>Amazon.com</t>
        </is>
      </c>
      <c r="D21" t="inlineStr">
        <is>
          <t>indeed</t>
        </is>
      </c>
      <c r="E21">
        <f>HYPERLINK("https://www.indeed.com/viewjob?jk=8791dc3cfc7a7c52", "https://www.indeed.com/viewjob?jk=8791dc3cfc7a7c52")</f>
        <v/>
      </c>
      <c r="F21">
        <f>HYPERLINK("https://www.amazon.jobs/jobs/3132566/principal-applied-scientist-amazon-special-projects?cmpid=DA_INAD200785B", "https://www.amazon.jobs/jobs/3132566/principal-applied-scientist-amazon-special-projects?cmpid=DA_INAD200785B")</f>
        <v/>
      </c>
      <c r="G21" t="inlineStr">
        <is>
          <t>Seattle, WA, US</t>
        </is>
      </c>
      <c r="H21" s="2" t="n">
        <v>45982</v>
      </c>
      <c r="I2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in-7b482e1cff2e2530</t>
        </is>
      </c>
      <c r="B22" t="inlineStr">
        <is>
          <t>Sr. Applied Scientist, SPB Advertiser Guidance</t>
        </is>
      </c>
      <c r="C22" t="inlineStr">
        <is>
          <t>Amazon.com</t>
        </is>
      </c>
      <c r="D22" t="inlineStr">
        <is>
          <t>indeed</t>
        </is>
      </c>
      <c r="E22">
        <f>HYPERLINK("https://www.indeed.com/viewjob?jk=7b482e1cff2e2530", "https://www.indeed.com/viewjob?jk=7b482e1cff2e2530")</f>
        <v/>
      </c>
      <c r="F22">
        <f>HYPERLINK("https://www.amazon.jobs/jobs/3132336/sr-applied-scientist-spb-advertiser-guidance?cmpid=DA_INAD200785B", "https://www.amazon.jobs/jobs/3132336/sr-applied-scientist-spb-advertiser-guidance?cmpid=DA_INAD200785B")</f>
        <v/>
      </c>
      <c r="G22" t="inlineStr">
        <is>
          <t>Palo Alto, CA, US</t>
        </is>
      </c>
      <c r="H22" s="2" t="n">
        <v>45981</v>
      </c>
      <c r="I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in-9f566bf90c9a25bb</t>
        </is>
      </c>
      <c r="B23" t="inlineStr">
        <is>
          <t>Sr. Applied Scientist, SPB Advertiser Guidance</t>
        </is>
      </c>
      <c r="C23" t="inlineStr">
        <is>
          <t>Amazon.com</t>
        </is>
      </c>
      <c r="D23" t="inlineStr">
        <is>
          <t>indeed</t>
        </is>
      </c>
      <c r="E23">
        <f>HYPERLINK("https://www.indeed.com/viewjob?jk=9f566bf90c9a25bb", "https://www.indeed.com/viewjob?jk=9f566bf90c9a25bb")</f>
        <v/>
      </c>
      <c r="F23">
        <f>HYPERLINK("https://www.amazon.jobs/jobs/3132336/sr-applied-scientist-spb-advertiser-guidance?cmpid=DA_INAD200785B", "https://www.amazon.jobs/jobs/3132336/sr-applied-scientist-spb-advertiser-guidance?cmpid=DA_INAD200785B")</f>
        <v/>
      </c>
      <c r="G23" t="inlineStr">
        <is>
          <t>New York, NY, US</t>
        </is>
      </c>
      <c r="H23" s="2" t="n">
        <v>45981</v>
      </c>
      <c r="I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in-7a43f077d5dba901</t>
        </is>
      </c>
      <c r="B24" t="inlineStr">
        <is>
          <t>Sr. Applied Scientist, SPB Advertiser Guidance</t>
        </is>
      </c>
      <c r="C24" t="inlineStr">
        <is>
          <t>Amazon.com</t>
        </is>
      </c>
      <c r="D24" t="inlineStr">
        <is>
          <t>indeed</t>
        </is>
      </c>
      <c r="E24">
        <f>HYPERLINK("https://www.indeed.com/viewjob?jk=7a43f077d5dba901", "https://www.indeed.com/viewjob?jk=7a43f077d5dba901")</f>
        <v/>
      </c>
      <c r="F24">
        <f>HYPERLINK("https://www.amazon.jobs/jobs/3132336/sr-applied-scientist-spb-advertiser-guidance?cmpid=DA_INAD200785B", "https://www.amazon.jobs/jobs/3132336/sr-applied-scientist-spb-advertiser-guidance?cmpid=DA_INAD200785B")</f>
        <v/>
      </c>
      <c r="G24" t="inlineStr">
        <is>
          <t>Seattle, WA, US</t>
        </is>
      </c>
      <c r="H24" s="2" t="n">
        <v>45981</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in-fae900e702197477</t>
        </is>
      </c>
      <c r="B25" t="inlineStr">
        <is>
          <t>Senior Applied Scientist, Artificial General Intelligence</t>
        </is>
      </c>
      <c r="C25" t="inlineStr">
        <is>
          <t>Amazon.com</t>
        </is>
      </c>
      <c r="D25" t="inlineStr">
        <is>
          <t>indeed</t>
        </is>
      </c>
      <c r="E25">
        <f>HYPERLINK("https://www.indeed.com/viewjob?jk=fae900e702197477", "https://www.indeed.com/viewjob?jk=fae900e702197477")</f>
        <v/>
      </c>
      <c r="F25">
        <f>HYPERLINK("https://www.amazon.jobs/jobs/3131971/senior-applied-scientist-artificial-general-intelligence?cmpid=DA_INAD200785B", "https://www.amazon.jobs/jobs/3131971/senior-applied-scientist-artificial-general-intelligence?cmpid=DA_INAD200785B")</f>
        <v/>
      </c>
      <c r="G25" t="inlineStr">
        <is>
          <t>Sunnyvale, CA, US</t>
        </is>
      </c>
      <c r="H25" s="2" t="n">
        <v>45980</v>
      </c>
      <c r="I2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in-9204e163239d7383</t>
        </is>
      </c>
      <c r="B26" t="inlineStr">
        <is>
          <t>Senior Applied Scientist, Artificial General Intelligence</t>
        </is>
      </c>
      <c r="C26" t="inlineStr">
        <is>
          <t>Amazon.com</t>
        </is>
      </c>
      <c r="D26" t="inlineStr">
        <is>
          <t>indeed</t>
        </is>
      </c>
      <c r="E26">
        <f>HYPERLINK("https://www.indeed.com/viewjob?jk=9204e163239d7383", "https://www.indeed.com/viewjob?jk=9204e163239d7383")</f>
        <v/>
      </c>
      <c r="F26">
        <f>HYPERLINK("https://www.amazon.jobs/jobs/3131971/senior-applied-scientist-artificial-general-intelligence?cmpid=DA_INAD200785B", "https://www.amazon.jobs/jobs/3131971/senior-applied-scientist-artificial-general-intelligence?cmpid=DA_INAD200785B")</f>
        <v/>
      </c>
      <c r="G26" t="inlineStr">
        <is>
          <t>Boston, MA, US</t>
        </is>
      </c>
      <c r="H26" s="2" t="n">
        <v>45980</v>
      </c>
      <c r="I2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in-3946bbedb7077931</t>
        </is>
      </c>
      <c r="B27" t="inlineStr">
        <is>
          <t>Senior Applied Scientist, Artificial General Intelligence</t>
        </is>
      </c>
      <c r="C27" t="inlineStr">
        <is>
          <t>Amazon.com</t>
        </is>
      </c>
      <c r="D27" t="inlineStr">
        <is>
          <t>indeed</t>
        </is>
      </c>
      <c r="E27">
        <f>HYPERLINK("https://www.indeed.com/viewjob?jk=3946bbedb7077931", "https://www.indeed.com/viewjob?jk=3946bbedb7077931")</f>
        <v/>
      </c>
      <c r="F27">
        <f>HYPERLINK("https://www.amazon.jobs/jobs/3131971/senior-applied-scientist-artificial-general-intelligence?cmpid=DA_INAD200785B", "https://www.amazon.jobs/jobs/3131971/senior-applied-scientist-artificial-general-intelligence?cmpid=DA_INAD200785B")</f>
        <v/>
      </c>
      <c r="G27" t="inlineStr">
        <is>
          <t>New York, NY, US</t>
        </is>
      </c>
      <c r="H27" s="2" t="n">
        <v>45980</v>
      </c>
      <c r="I2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in-96457d7706addd4b</t>
        </is>
      </c>
      <c r="B28" t="inlineStr">
        <is>
          <t>Senior Applied Scientist, Artificial General Intelligence</t>
        </is>
      </c>
      <c r="C28" t="inlineStr">
        <is>
          <t>Amazon.com</t>
        </is>
      </c>
      <c r="D28" t="inlineStr">
        <is>
          <t>indeed</t>
        </is>
      </c>
      <c r="E28">
        <f>HYPERLINK("https://www.indeed.com/viewjob?jk=96457d7706addd4b", "https://www.indeed.com/viewjob?jk=96457d7706addd4b")</f>
        <v/>
      </c>
      <c r="F28">
        <f>HYPERLINK("https://www.amazon.jobs/jobs/3131971/senior-applied-scientist-artificial-general-intelligence?cmpid=DA_INAD200785B", "https://www.amazon.jobs/jobs/3131971/senior-applied-scientist-artificial-general-intelligence?cmpid=DA_INAD200785B")</f>
        <v/>
      </c>
      <c r="G28" t="inlineStr">
        <is>
          <t>Seattle, WA, US</t>
        </is>
      </c>
      <c r="H28" s="2" t="n">
        <v>45980</v>
      </c>
      <c r="I2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in-6c31fd725eb6b96f</t>
        </is>
      </c>
      <c r="B29" t="inlineStr">
        <is>
          <t>Applied Scientist II, SPB Advertiser Guidance</t>
        </is>
      </c>
      <c r="C29" t="inlineStr">
        <is>
          <t>Amazon.com</t>
        </is>
      </c>
      <c r="D29" t="inlineStr">
        <is>
          <t>indeed</t>
        </is>
      </c>
      <c r="E29">
        <f>HYPERLINK("https://www.indeed.com/viewjob?jk=6c31fd725eb6b96f", "https://www.indeed.com/viewjob?jk=6c31fd725eb6b96f")</f>
        <v/>
      </c>
      <c r="F29">
        <f>HYPERLINK("https://www.amazon.jobs/jobs/3131876/applied-scientist-ii-spb-advertiser-guidance?cmpid=DA_INAD200785B", "https://www.amazon.jobs/jobs/3131876/applied-scientist-ii-spb-advertiser-guidance?cmpid=DA_INAD200785B")</f>
        <v/>
      </c>
      <c r="G29" t="inlineStr">
        <is>
          <t>New York, NY, US</t>
        </is>
      </c>
      <c r="H29" s="2" t="n">
        <v>45980</v>
      </c>
      <c r="I2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in-b6929400dc41b347</t>
        </is>
      </c>
      <c r="B30" t="inlineStr">
        <is>
          <t>Applied Scientist II, SPB Advertiser Guidance</t>
        </is>
      </c>
      <c r="C30" t="inlineStr">
        <is>
          <t>Amazon.com</t>
        </is>
      </c>
      <c r="D30" t="inlineStr">
        <is>
          <t>indeed</t>
        </is>
      </c>
      <c r="E30">
        <f>HYPERLINK("https://www.indeed.com/viewjob?jk=b6929400dc41b347", "https://www.indeed.com/viewjob?jk=b6929400dc41b347")</f>
        <v/>
      </c>
      <c r="F30">
        <f>HYPERLINK("https://www.amazon.jobs/jobs/3131876/applied-scientist-ii-spb-advertiser-guidance?cmpid=DA_INAD200785B", "https://www.amazon.jobs/jobs/3131876/applied-scientist-ii-spb-advertiser-guidance?cmpid=DA_INAD200785B")</f>
        <v/>
      </c>
      <c r="G30" t="inlineStr">
        <is>
          <t>Seattle, WA, US</t>
        </is>
      </c>
      <c r="H30" s="2" t="n">
        <v>45980</v>
      </c>
      <c r="I3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in-58cb0d54a102c8e0</t>
        </is>
      </c>
      <c r="B31" t="inlineStr">
        <is>
          <t>Applied Scientist II, SPB Advertiser Guidance</t>
        </is>
      </c>
      <c r="C31" t="inlineStr">
        <is>
          <t>Amazon.com</t>
        </is>
      </c>
      <c r="D31" t="inlineStr">
        <is>
          <t>indeed</t>
        </is>
      </c>
      <c r="E31">
        <f>HYPERLINK("https://www.indeed.com/viewjob?jk=58cb0d54a102c8e0", "https://www.indeed.com/viewjob?jk=58cb0d54a102c8e0")</f>
        <v/>
      </c>
      <c r="F31">
        <f>HYPERLINK("https://www.amazon.jobs/jobs/3131876/applied-scientist-ii-spb-advertiser-guidance?cmpid=DA_INAD200785B", "https://www.amazon.jobs/jobs/3131876/applied-scientist-ii-spb-advertiser-guidance?cmpid=DA_INAD200785B")</f>
        <v/>
      </c>
      <c r="G31" t="inlineStr">
        <is>
          <t>Palo Alto, CA, US</t>
        </is>
      </c>
      <c r="H31" s="2" t="n">
        <v>45980</v>
      </c>
      <c r="I3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in-7a675890edd82b68</t>
        </is>
      </c>
      <c r="B32" t="inlineStr">
        <is>
          <t>Principal Applied Scientist, Sponsored Products and Brands</t>
        </is>
      </c>
      <c r="C32" t="inlineStr">
        <is>
          <t>Amazon.com</t>
        </is>
      </c>
      <c r="D32" t="inlineStr">
        <is>
          <t>indeed</t>
        </is>
      </c>
      <c r="E32">
        <f>HYPERLINK("https://www.indeed.com/viewjob?jk=7a675890edd82b68", "https://www.indeed.com/viewjob?jk=7a675890edd82b68")</f>
        <v/>
      </c>
      <c r="F32">
        <f>HYPERLINK("https://www.amazon.jobs/jobs/3130855/principal-applied-scientist-sponsored-products-and-brands?cmpid=DA_INAD200785B", "https://www.amazon.jobs/jobs/3130855/principal-applied-scientist-sponsored-products-and-brands?cmpid=DA_INAD200785B")</f>
        <v/>
      </c>
      <c r="G32" t="inlineStr">
        <is>
          <t>Seattle, WA, US</t>
        </is>
      </c>
      <c r="H32" s="2" t="n">
        <v>45979</v>
      </c>
      <c r="I3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in-222f74fa3337ee3a</t>
        </is>
      </c>
      <c r="B33" t="inlineStr">
        <is>
          <t>Principal Applied Scientist, Sponsored Products and Brands</t>
        </is>
      </c>
      <c r="C33" t="inlineStr">
        <is>
          <t>Amazon.com</t>
        </is>
      </c>
      <c r="D33" t="inlineStr">
        <is>
          <t>indeed</t>
        </is>
      </c>
      <c r="E33">
        <f>HYPERLINK("https://www.indeed.com/viewjob?jk=222f74fa3337ee3a", "https://www.indeed.com/viewjob?jk=222f74fa3337ee3a")</f>
        <v/>
      </c>
      <c r="F33">
        <f>HYPERLINK("https://www.amazon.jobs/jobs/3130855/principal-applied-scientist-sponsored-products-and-brands?cmpid=DA_INAD200785B", "https://www.amazon.jobs/jobs/3130855/principal-applied-scientist-sponsored-products-and-brands?cmpid=DA_INAD200785B")</f>
        <v/>
      </c>
      <c r="G33" t="inlineStr">
        <is>
          <t>New York, NY, US</t>
        </is>
      </c>
      <c r="H33" s="2" t="n">
        <v>45979</v>
      </c>
      <c r="I3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in-9152426924b69abb</t>
        </is>
      </c>
      <c r="B34" t="inlineStr">
        <is>
          <t>Sr. Applied Scientist, AGI Foundations</t>
        </is>
      </c>
      <c r="C34" t="inlineStr">
        <is>
          <t>Amazon.com</t>
        </is>
      </c>
      <c r="D34" t="inlineStr">
        <is>
          <t>indeed</t>
        </is>
      </c>
      <c r="E34">
        <f>HYPERLINK("https://www.indeed.com/viewjob?jk=9152426924b69abb", "https://www.indeed.com/viewjob?jk=9152426924b69abb")</f>
        <v/>
      </c>
      <c r="F34">
        <f>HYPERLINK("https://www.amazon.jobs/jobs/3128807/sr-applied-scientist-agi-foundations?cmpid=DA_INAD200785B", "https://www.amazon.jobs/jobs/3128807/sr-applied-scientist-agi-foundations?cmpid=DA_INAD200785B")</f>
        <v/>
      </c>
      <c r="G34" t="inlineStr">
        <is>
          <t>Sunnyvale, CA, US</t>
        </is>
      </c>
      <c r="H34" s="2" t="n">
        <v>45978</v>
      </c>
      <c r="I3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in-1d7407e01345879f</t>
        </is>
      </c>
      <c r="B35" t="inlineStr">
        <is>
          <t>Sr. Applied Scientist, AGI Foundations</t>
        </is>
      </c>
      <c r="C35" t="inlineStr">
        <is>
          <t>Amazon.com</t>
        </is>
      </c>
      <c r="D35" t="inlineStr">
        <is>
          <t>indeed</t>
        </is>
      </c>
      <c r="E35">
        <f>HYPERLINK("https://www.indeed.com/viewjob?jk=1d7407e01345879f", "https://www.indeed.com/viewjob?jk=1d7407e01345879f")</f>
        <v/>
      </c>
      <c r="F35">
        <f>HYPERLINK("https://www.amazon.jobs/jobs/3128807/sr-applied-scientist-agi-foundations?cmpid=DA_INAD200785B", "https://www.amazon.jobs/jobs/3128807/sr-applied-scientist-agi-foundations?cmpid=DA_INAD200785B")</f>
        <v/>
      </c>
      <c r="G35" t="inlineStr">
        <is>
          <t>Bellevue, WA, US</t>
        </is>
      </c>
      <c r="H35" s="2" t="n">
        <v>45978</v>
      </c>
      <c r="I3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in-c4643c358259e6a2</t>
        </is>
      </c>
      <c r="B36" t="inlineStr">
        <is>
          <t>Sr. Applied Scientist, AGI Foundations</t>
        </is>
      </c>
      <c r="C36" t="inlineStr">
        <is>
          <t>Amazon.com</t>
        </is>
      </c>
      <c r="D36" t="inlineStr">
        <is>
          <t>indeed</t>
        </is>
      </c>
      <c r="E36">
        <f>HYPERLINK("https://www.indeed.com/viewjob?jk=c4643c358259e6a2", "https://www.indeed.com/viewjob?jk=c4643c358259e6a2")</f>
        <v/>
      </c>
      <c r="F36">
        <f>HYPERLINK("https://www.amazon.jobs/jobs/3128807/sr-applied-scientist-agi-foundations?cmpid=DA_INAD200785B", "https://www.amazon.jobs/jobs/3128807/sr-applied-scientist-agi-foundations?cmpid=DA_INAD200785B")</f>
        <v/>
      </c>
      <c r="G36" t="inlineStr">
        <is>
          <t>Boston, MA, US</t>
        </is>
      </c>
      <c r="H36" s="2" t="n">
        <v>45978</v>
      </c>
      <c r="I3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in-a4dd751632e0be88</t>
        </is>
      </c>
      <c r="B37" t="inlineStr">
        <is>
          <t>Sr. Applied Scientist, AGI Foundations</t>
        </is>
      </c>
      <c r="C37" t="inlineStr">
        <is>
          <t>Amazon.com</t>
        </is>
      </c>
      <c r="D37" t="inlineStr">
        <is>
          <t>indeed</t>
        </is>
      </c>
      <c r="E37">
        <f>HYPERLINK("https://www.indeed.com/viewjob?jk=a4dd751632e0be88", "https://www.indeed.com/viewjob?jk=a4dd751632e0be88")</f>
        <v/>
      </c>
      <c r="F37">
        <f>HYPERLINK("https://www.amazon.jobs/jobs/3128807/sr-applied-scientist-agi-foundations?cmpid=DA_INAD200785B", "https://www.amazon.jobs/jobs/3128807/sr-applied-scientist-agi-foundations?cmpid=DA_INAD200785B")</f>
        <v/>
      </c>
      <c r="G37" t="inlineStr">
        <is>
          <t>New York, NY, US</t>
        </is>
      </c>
      <c r="H37" s="2" t="n">
        <v>45978</v>
      </c>
      <c r="I3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in-221c6e5712991ba7</t>
        </is>
      </c>
      <c r="B38" t="inlineStr">
        <is>
          <t>Applied Scientist II, Robotics and ML, Amazon Industrial Robotics</t>
        </is>
      </c>
      <c r="C38" t="inlineStr">
        <is>
          <t>Amazon.com</t>
        </is>
      </c>
      <c r="D38" t="inlineStr">
        <is>
          <t>indeed</t>
        </is>
      </c>
      <c r="E38">
        <f>HYPERLINK("https://www.indeed.com/viewjob?jk=221c6e5712991ba7", "https://www.indeed.com/viewjob?jk=221c6e5712991ba7")</f>
        <v/>
      </c>
      <c r="F38">
        <f>HYPERLINK("https://www.amazon.jobs/jobs/3128219/applied-scientist-ii-robotics-and-ml-amazon-industrial-robotics?cmpid=DA_INAD200785B", "https://www.amazon.jobs/jobs/3128219/applied-scientist-ii-robotics-and-ml-amazon-industrial-robotics?cmpid=DA_INAD200785B")</f>
        <v/>
      </c>
      <c r="G38" t="inlineStr">
        <is>
          <t>Reading, MA, US</t>
        </is>
      </c>
      <c r="H38" s="2" t="n">
        <v>45975</v>
      </c>
      <c r="I38"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in-23a4db1b279a0203</t>
        </is>
      </c>
      <c r="B39" t="inlineStr">
        <is>
          <t>Sr. Applied Scientist, Amazon Industrial Robotics</t>
        </is>
      </c>
      <c r="C39" t="inlineStr">
        <is>
          <t>Amazon.com</t>
        </is>
      </c>
      <c r="D39" t="inlineStr">
        <is>
          <t>indeed</t>
        </is>
      </c>
      <c r="E39">
        <f>HYPERLINK("https://www.indeed.com/viewjob?jk=23a4db1b279a0203", "https://www.indeed.com/viewjob?jk=23a4db1b279a0203")</f>
        <v/>
      </c>
      <c r="F39">
        <f>HYPERLINK("https://www.amazon.jobs/jobs/3128751/sr-applied-scientist-amazon-industrial-robotics?cmpid=DA_INAD200785B", "https://www.amazon.jobs/jobs/3128751/sr-applied-scientist-amazon-industrial-robotics?cmpid=DA_INAD200785B")</f>
        <v/>
      </c>
      <c r="G39" t="inlineStr">
        <is>
          <t>Reading, MA, US</t>
        </is>
      </c>
      <c r="H39" s="2" t="n">
        <v>45973</v>
      </c>
      <c r="I39"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robotics dexterous hands that:
* Enable unprecedented generalization across diverse tasks
* Are compliant but at the same time impact resistant
* Can enable power grasps with the same reliability as fine dexterity and nonprehensile manipulation
* Can naturally cope with the uncertainty of the environment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As a Sr. Applied Scientist you will:
* Combine mechanical principles and control with learn capacity during the robotic hand design process.
* Lead to the identification of underlying dexterity patterns to develop control strategies for X\-fingered robotic hands
* You will reason about the envisioned hand morphology by asking engineering questions and looking for answers in biology.
* You will test and implement MPC and RL based policies, but will also explore further learning capacities to increase versatility and reliability
* You will be the architect of a high\-quality robotic hand team, leading technical choices around HW, SW and control.
* Define counter\-metrics and dashboards to support continuous integration and TDD.
* Push parallel paths for technologies and morphologies to boost development.
* Define testing manifolds and methodologies on both, digital and physical twins, to validate performance across multiple morphologies and benchmarks.
* Research: Stay current with latest developments in dexterous hands and manipulation, assist in literature reviews and research documentation, prepare technical reports and presentations, and contribute to research discussions and brainstorming sessions.
* Collaboration: Work closely with senior scientists, engineers, and leaders across multiple teams, participate in knowledge sharing, support integration efforts with robotics hardware teams, and help document best practices and methodologies.
**BASIC QUALIFICATIONS**
------------------------
* PhD, or Master's degree and 6\+ years of applied research experience
* Experience in applied research
* Experience working effectively across cross\-functional teams and partnering well with people at all levels within an organization
* Experience in control, learning, mechanics, software and hardware
* 6\+ years of experience in robotic hand development and dexterous manipulation
* Experience in finger actuation, under\-actuation, active and passive compliance
* Experience in tactile sensing
* Background in real\-time control, torque and impedance control, and contact\-rich manipulation
* Background in grasp planning
\- Experience in physics engines \- Mujoco, Drake, Isaac Sim or similar  
* Experience in ROS/ROS2
**PREFERRED QUALIFICATIONS**
----------------------------
* Experience programming in Java, C\+\+, Python or related language
* Experience with at least one of the following: Matlab, R, Python, Stata
* Experience in MPC, RL and genetic algorithms
* Experience in tendon\-driven, electrical and series elastic actuators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in-f77583c48f3f61ec</t>
        </is>
      </c>
      <c r="B40" t="inlineStr">
        <is>
          <t>Principal Applied Scientist, Amazon AGI</t>
        </is>
      </c>
      <c r="C40" t="inlineStr">
        <is>
          <t>Amazon.com</t>
        </is>
      </c>
      <c r="D40" t="inlineStr">
        <is>
          <t>indeed</t>
        </is>
      </c>
      <c r="E40">
        <f>HYPERLINK("https://www.indeed.com/viewjob?jk=f77583c48f3f61ec", "https://www.indeed.com/viewjob?jk=f77583c48f3f61ec")</f>
        <v/>
      </c>
      <c r="F40">
        <f>HYPERLINK("https://www.amazon.jobs/jobs/3128808/principal-applied-scientist-amazon-agi?cmpid=DA_INAD200785B", "https://www.amazon.jobs/jobs/3128808/principal-applied-scientist-amazon-agi?cmpid=DA_INAD200785B")</f>
        <v/>
      </c>
      <c r="G40" t="inlineStr">
        <is>
          <t>Boston, MA, US</t>
        </is>
      </c>
      <c r="H40" s="2" t="n">
        <v>45964</v>
      </c>
      <c r="I4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in-6cb40be2ad746a78</t>
        </is>
      </c>
      <c r="B41" t="inlineStr">
        <is>
          <t>Principal Applied Scientist, Amazon AGI</t>
        </is>
      </c>
      <c r="C41" t="inlineStr">
        <is>
          <t>Amazon.com</t>
        </is>
      </c>
      <c r="D41" t="inlineStr">
        <is>
          <t>indeed</t>
        </is>
      </c>
      <c r="E41">
        <f>HYPERLINK("https://www.indeed.com/viewjob?jk=6cb40be2ad746a78", "https://www.indeed.com/viewjob?jk=6cb40be2ad746a78")</f>
        <v/>
      </c>
      <c r="F41">
        <f>HYPERLINK("https://www.amazon.jobs/jobs/3128808/principal-applied-scientist-amazon-agi?cmpid=DA_INAD200785B", "https://www.amazon.jobs/jobs/3128808/principal-applied-scientist-amazon-agi?cmpid=DA_INAD200785B")</f>
        <v/>
      </c>
      <c r="G41" t="inlineStr">
        <is>
          <t>San Francisco, CA, US</t>
        </is>
      </c>
      <c r="H41" s="2" t="n">
        <v>45964</v>
      </c>
      <c r="I41"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in-2d1c1e86fbcfea21</t>
        </is>
      </c>
      <c r="B42" t="inlineStr">
        <is>
          <t>Sr. Applied Scientist, AGI Foundations</t>
        </is>
      </c>
      <c r="C42" t="inlineStr">
        <is>
          <t>Amazon.com</t>
        </is>
      </c>
      <c r="D42" t="inlineStr">
        <is>
          <t>indeed</t>
        </is>
      </c>
      <c r="E42">
        <f>HYPERLINK("https://www.indeed.com/viewjob?jk=2d1c1e86fbcfea21", "https://www.indeed.com/viewjob?jk=2d1c1e86fbcfea21")</f>
        <v/>
      </c>
      <c r="F42">
        <f>HYPERLINK("https://www.amazon.jobs/jobs/3123268/sr-applied-scientist-agi-foundations?cmpid=DA_INAD200785B", "https://www.amazon.jobs/jobs/3123268/sr-applied-scientist-agi-foundations?cmpid=DA_INAD200785B")</f>
        <v/>
      </c>
      <c r="G42" t="inlineStr">
        <is>
          <t>New York, NY, US</t>
        </is>
      </c>
      <c r="H42" s="2" t="n">
        <v>45963</v>
      </c>
      <c r="I4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in-970ddaaa8c384897</t>
        </is>
      </c>
      <c r="B43" t="inlineStr">
        <is>
          <t>Sr. Applied Scientist, AGI Foundations</t>
        </is>
      </c>
      <c r="C43" t="inlineStr">
        <is>
          <t>Amazon.com</t>
        </is>
      </c>
      <c r="D43" t="inlineStr">
        <is>
          <t>indeed</t>
        </is>
      </c>
      <c r="E43">
        <f>HYPERLINK("https://www.indeed.com/viewjob?jk=970ddaaa8c384897", "https://www.indeed.com/viewjob?jk=970ddaaa8c384897")</f>
        <v/>
      </c>
      <c r="F43">
        <f>HYPERLINK("https://www.amazon.jobs/jobs/3123268/sr-applied-scientist-agi-foundations?cmpid=DA_INAD200785B", "https://www.amazon.jobs/jobs/3123268/sr-applied-scientist-agi-foundations?cmpid=DA_INAD200785B")</f>
        <v/>
      </c>
      <c r="G43" t="inlineStr">
        <is>
          <t>Boston, MA, US</t>
        </is>
      </c>
      <c r="H43" s="2" t="n">
        <v>45963</v>
      </c>
      <c r="I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in-eb369981ceebe4be</t>
        </is>
      </c>
      <c r="B44" t="inlineStr">
        <is>
          <t>Sr. Applied Scientist, AGI Foundations</t>
        </is>
      </c>
      <c r="C44" t="inlineStr">
        <is>
          <t>Amazon.com</t>
        </is>
      </c>
      <c r="D44" t="inlineStr">
        <is>
          <t>indeed</t>
        </is>
      </c>
      <c r="E44">
        <f>HYPERLINK("https://www.indeed.com/viewjob?jk=eb369981ceebe4be", "https://www.indeed.com/viewjob?jk=eb369981ceebe4be")</f>
        <v/>
      </c>
      <c r="F44">
        <f>HYPERLINK("https://www.amazon.jobs/jobs/3123268/sr-applied-scientist-agi-foundations?cmpid=DA_INAD200785B", "https://www.amazon.jobs/jobs/3123268/sr-applied-scientist-agi-foundations?cmpid=DA_INAD200785B")</f>
        <v/>
      </c>
      <c r="G44" t="inlineStr">
        <is>
          <t>Bellevue, WA, US</t>
        </is>
      </c>
      <c r="H44" s="2" t="n">
        <v>45963</v>
      </c>
      <c r="I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in-95202d98a051e882</t>
        </is>
      </c>
      <c r="B45" t="inlineStr">
        <is>
          <t>Principal Applied Scientist, AWS Agentic AI Science</t>
        </is>
      </c>
      <c r="C45" t="inlineStr">
        <is>
          <t>Amazon Web Services</t>
        </is>
      </c>
      <c r="D45" t="inlineStr">
        <is>
          <t>indeed</t>
        </is>
      </c>
      <c r="E45">
        <f>HYPERLINK("https://www.indeed.com/viewjob?jk=95202d98a051e882", "https://www.indeed.com/viewjob?jk=95202d98a051e882")</f>
        <v/>
      </c>
      <c r="F45">
        <f>HYPERLINK("https://www.amazon.jobs/jobs/3132887/principal-applied-scientist-aws-agentic-ai-science?cmpid=DA_INAD200785B", "https://www.amazon.jobs/jobs/3132887/principal-applied-scientist-aws-agentic-ai-science?cmpid=DA_INAD200785B")</f>
        <v/>
      </c>
      <c r="G45" t="inlineStr">
        <is>
          <t>New York, NY, US</t>
        </is>
      </c>
      <c r="H45" s="2" t="n">
        <v>45963</v>
      </c>
      <c r="I45"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in-1efea87195858a51</t>
        </is>
      </c>
      <c r="B46" t="inlineStr">
        <is>
          <t>Principal Applied Scientist, AWS Agentic AI Science</t>
        </is>
      </c>
      <c r="C46" t="inlineStr">
        <is>
          <t>Amazon Web Services</t>
        </is>
      </c>
      <c r="D46" t="inlineStr">
        <is>
          <t>indeed</t>
        </is>
      </c>
      <c r="E46">
        <f>HYPERLINK("https://www.indeed.com/viewjob?jk=1efea87195858a51", "https://www.indeed.com/viewjob?jk=1efea87195858a51")</f>
        <v/>
      </c>
      <c r="F46">
        <f>HYPERLINK("https://www.amazon.jobs/jobs/3132887/principal-applied-scientist-aws-agentic-ai-science?cmpid=DA_INAD200785B", "https://www.amazon.jobs/jobs/3132887/principal-applied-scientist-aws-agentic-ai-science?cmpid=DA_INAD200785B")</f>
        <v/>
      </c>
      <c r="G46" t="inlineStr">
        <is>
          <t>Santa Clara, CA, US</t>
        </is>
      </c>
      <c r="H46" s="2" t="n">
        <v>45963</v>
      </c>
      <c r="I46"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in-987c33dd9b0d0f64</t>
        </is>
      </c>
      <c r="B47" t="inlineStr">
        <is>
          <t>Sr. Applied Scientist, Sponsored Product Off-Search</t>
        </is>
      </c>
      <c r="C47" t="inlineStr">
        <is>
          <t>Amazon.com</t>
        </is>
      </c>
      <c r="D47" t="inlineStr">
        <is>
          <t>indeed</t>
        </is>
      </c>
      <c r="E47">
        <f>HYPERLINK("https://www.indeed.com/viewjob?jk=987c33dd9b0d0f64", "https://www.indeed.com/viewjob?jk=987c33dd9b0d0f64")</f>
        <v/>
      </c>
      <c r="F47">
        <f>HYPERLINK("https://www.amazon.jobs/jobs/3120815/sr-applied-scientist-sponsored-product-offsearch-?cmpid=DA_INAD200785B", "https://www.amazon.jobs/jobs/3120815/sr-applied-scientist-sponsored-product-offsearch-?cmpid=DA_INAD200785B")</f>
        <v/>
      </c>
      <c r="G47" t="inlineStr">
        <is>
          <t>New York, NY, US</t>
        </is>
      </c>
      <c r="H47" s="2" t="n">
        <v>45963</v>
      </c>
      <c r="I47"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in-43bc2c2708cbba47</t>
        </is>
      </c>
      <c r="B48" t="inlineStr">
        <is>
          <t>Sr. Applied Scientist, Sponsored Product Off-Search</t>
        </is>
      </c>
      <c r="C48" t="inlineStr">
        <is>
          <t>Amazon.com</t>
        </is>
      </c>
      <c r="D48" t="inlineStr">
        <is>
          <t>indeed</t>
        </is>
      </c>
      <c r="E48">
        <f>HYPERLINK("https://www.indeed.com/viewjob?jk=43bc2c2708cbba47", "https://www.indeed.com/viewjob?jk=43bc2c2708cbba47")</f>
        <v/>
      </c>
      <c r="F48">
        <f>HYPERLINK("https://www.amazon.jobs/jobs/3120815/sr-applied-scientist-sponsored-product-offsearch-?cmpid=DA_INAD200785B", "https://www.amazon.jobs/jobs/3120815/sr-applied-scientist-sponsored-product-offsearch-?cmpid=DA_INAD200785B")</f>
        <v/>
      </c>
      <c r="G48" t="inlineStr">
        <is>
          <t>Seattle, WA, US</t>
        </is>
      </c>
      <c r="H48" s="2" t="n">
        <v>45963</v>
      </c>
      <c r="I48"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in-9e418456ebeaedf8</t>
        </is>
      </c>
      <c r="B49" t="inlineStr">
        <is>
          <t>Applied Scientist, AWS Agentic AI</t>
        </is>
      </c>
      <c r="C49" t="inlineStr">
        <is>
          <t>Amazon Web Services</t>
        </is>
      </c>
      <c r="D49" t="inlineStr">
        <is>
          <t>indeed</t>
        </is>
      </c>
      <c r="E49">
        <f>HYPERLINK("https://www.indeed.com/viewjob?jk=9e418456ebeaedf8", "https://www.indeed.com/viewjob?jk=9e418456ebeaedf8")</f>
        <v/>
      </c>
      <c r="F49">
        <f>HYPERLINK("https://www.amazon.jobs/jobs/3141517/applied-scientist-aws-agentic-ai-?cmpid=DA_INAD200785B", "https://www.amazon.jobs/jobs/3141517/applied-scientist-aws-agentic-ai-?cmpid=DA_INAD200785B")</f>
        <v/>
      </c>
      <c r="G49" t="inlineStr">
        <is>
          <t>New York, NY, US</t>
        </is>
      </c>
      <c r="H49" s="2" t="n">
        <v>45962</v>
      </c>
      <c r="I4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in-fa6792ba45566643</t>
        </is>
      </c>
      <c r="B50" t="inlineStr">
        <is>
          <t>Applied Scientist, AWS Agentic AI</t>
        </is>
      </c>
      <c r="C50" t="inlineStr">
        <is>
          <t>Amazon Web Services</t>
        </is>
      </c>
      <c r="D50" t="inlineStr">
        <is>
          <t>indeed</t>
        </is>
      </c>
      <c r="E50">
        <f>HYPERLINK("https://www.indeed.com/viewjob?jk=fa6792ba45566643", "https://www.indeed.com/viewjob?jk=fa6792ba45566643")</f>
        <v/>
      </c>
      <c r="F50">
        <f>HYPERLINK("https://www.amazon.jobs/jobs/3141517/applied-scientist-aws-agentic-ai-?cmpid=DA_INAD200785B", "https://www.amazon.jobs/jobs/3141517/applied-scientist-aws-agentic-ai-?cmpid=DA_INAD200785B")</f>
        <v/>
      </c>
      <c r="G50" t="inlineStr">
        <is>
          <t>Seattle, WA, US</t>
        </is>
      </c>
      <c r="H50" s="2" t="n">
        <v>45962</v>
      </c>
      <c r="I5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in-d43f5c65bb1c2481</t>
        </is>
      </c>
      <c r="B51" t="inlineStr">
        <is>
          <t>Applied Scientist, AWS Agentic AI</t>
        </is>
      </c>
      <c r="C51" t="inlineStr">
        <is>
          <t>Amazon Web Services</t>
        </is>
      </c>
      <c r="D51" t="inlineStr">
        <is>
          <t>indeed</t>
        </is>
      </c>
      <c r="E51">
        <f>HYPERLINK("https://www.indeed.com/viewjob?jk=d43f5c65bb1c2481", "https://www.indeed.com/viewjob?jk=d43f5c65bb1c2481")</f>
        <v/>
      </c>
      <c r="F51">
        <f>HYPERLINK("https://www.amazon.jobs/jobs/3141517/applied-scientist-aws-agentic-ai-?cmpid=DA_INAD200785B", "https://www.amazon.jobs/jobs/3141517/applied-scientist-aws-agentic-ai-?cmpid=DA_INAD200785B")</f>
        <v/>
      </c>
      <c r="G51" t="inlineStr">
        <is>
          <t>Santa Clara, CA, US</t>
        </is>
      </c>
      <c r="H51" s="2" t="n">
        <v>45962</v>
      </c>
      <c r="I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in-4432100522b79618</t>
        </is>
      </c>
      <c r="B52" t="inlineStr">
        <is>
          <t>Principal Applied Scientist, Advertiser Growth, Amazon Sponsored Products &amp; Brands</t>
        </is>
      </c>
      <c r="C52" t="inlineStr">
        <is>
          <t>Amazon.com</t>
        </is>
      </c>
      <c r="D52" t="inlineStr">
        <is>
          <t>indeed</t>
        </is>
      </c>
      <c r="E52">
        <f>HYPERLINK("https://www.indeed.com/viewjob?jk=4432100522b79618", "https://www.indeed.com/viewjob?jk=4432100522b79618")</f>
        <v/>
      </c>
      <c r="F52">
        <f>HYPERLINK("https://www.amazon.jobs/jobs/3115279/principal-applied-scientist-advertiser-growth-amazon-sponsored-products--brands?cmpid=DA_INAD200785B", "https://www.amazon.jobs/jobs/3115279/principal-applied-scientist-advertiser-growth-amazon-sponsored-products--brands?cmpid=DA_INAD200785B")</f>
        <v/>
      </c>
      <c r="G52" t="inlineStr">
        <is>
          <t>Seattle, WA, US</t>
        </is>
      </c>
      <c r="H52" s="2" t="n">
        <v>45942</v>
      </c>
      <c r="I52"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in-8ea7338c9737384c</t>
        </is>
      </c>
      <c r="B53" t="inlineStr">
        <is>
          <t>Principal Applied Scientist, Advertiser Growth, Amazon Sponsored Products &amp; Brands</t>
        </is>
      </c>
      <c r="C53" t="inlineStr">
        <is>
          <t>Amazon.com</t>
        </is>
      </c>
      <c r="D53" t="inlineStr">
        <is>
          <t>indeed</t>
        </is>
      </c>
      <c r="E53">
        <f>HYPERLINK("https://www.indeed.com/viewjob?jk=8ea7338c9737384c", "https://www.indeed.com/viewjob?jk=8ea7338c9737384c")</f>
        <v/>
      </c>
      <c r="F53">
        <f>HYPERLINK("https://www.amazon.jobs/jobs/3115279/principal-applied-scientist-advertiser-growth-amazon-sponsored-products--brands?cmpid=DA_INAD200785B", "https://www.amazon.jobs/jobs/3115279/principal-applied-scientist-advertiser-growth-amazon-sponsored-products--brands?cmpid=DA_INAD200785B")</f>
        <v/>
      </c>
      <c r="G53" t="inlineStr">
        <is>
          <t>New York, NY, US</t>
        </is>
      </c>
      <c r="H53" s="2" t="n">
        <v>45942</v>
      </c>
      <c r="I5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in-99e89271674a8f35</t>
        </is>
      </c>
      <c r="B54" t="inlineStr">
        <is>
          <t>Principal Applied Scientist, Advertiser Growth, Amazon Sponsored Products &amp; Brands</t>
        </is>
      </c>
      <c r="C54" t="inlineStr">
        <is>
          <t>Amazon.com</t>
        </is>
      </c>
      <c r="D54" t="inlineStr">
        <is>
          <t>indeed</t>
        </is>
      </c>
      <c r="E54">
        <f>HYPERLINK("https://www.indeed.com/viewjob?jk=99e89271674a8f35", "https://www.indeed.com/viewjob?jk=99e89271674a8f35")</f>
        <v/>
      </c>
      <c r="F54">
        <f>HYPERLINK("https://www.amazon.jobs/jobs/3115279/principal-applied-scientist-advertiser-growth-amazon-sponsored-products--brands?cmpid=DA_INAD200785B", "https://www.amazon.jobs/jobs/3115279/principal-applied-scientist-advertiser-growth-amazon-sponsored-products--brands?cmpid=DA_INAD200785B")</f>
        <v/>
      </c>
      <c r="G54" t="inlineStr">
        <is>
          <t>Palo Alto, CA, US</t>
        </is>
      </c>
      <c r="H54" s="2" t="n">
        <v>45942</v>
      </c>
      <c r="I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in-2a37f4be306ecb89</t>
        </is>
      </c>
      <c r="B55" t="inlineStr">
        <is>
          <t>Applied Scientist</t>
        </is>
      </c>
      <c r="C55" t="inlineStr">
        <is>
          <t>Amazon.com</t>
        </is>
      </c>
      <c r="D55" t="inlineStr">
        <is>
          <t>indeed</t>
        </is>
      </c>
      <c r="E55">
        <f>HYPERLINK("https://www.indeed.com/viewjob?jk=2a37f4be306ecb89", "https://www.indeed.com/viewjob?jk=2a37f4be306ecb89")</f>
        <v/>
      </c>
      <c r="F55">
        <f>HYPERLINK("https://www.amazon.jobs/jobs/3106501/applied-scientist?cmpid=DA_INAD200785B", "https://www.amazon.jobs/jobs/3106501/applied-scientist?cmpid=DA_INAD200785B")</f>
        <v/>
      </c>
      <c r="G55" t="inlineStr">
        <is>
          <t>Seattle, WA, US</t>
        </is>
      </c>
      <c r="H55" s="2" t="n">
        <v>45939</v>
      </c>
      <c r="I5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in-82ef03362ee59af9</t>
        </is>
      </c>
      <c r="B56" t="inlineStr">
        <is>
          <t>Applied Scientist</t>
        </is>
      </c>
      <c r="C56" t="inlineStr">
        <is>
          <t>Amazon.com</t>
        </is>
      </c>
      <c r="D56" t="inlineStr">
        <is>
          <t>indeed</t>
        </is>
      </c>
      <c r="E56">
        <f>HYPERLINK("https://www.indeed.com/viewjob?jk=82ef03362ee59af9", "https://www.indeed.com/viewjob?jk=82ef03362ee59af9")</f>
        <v/>
      </c>
      <c r="F56">
        <f>HYPERLINK("https://www.amazon.jobs/jobs/3106501/applied-scientist?cmpid=DA_INAD200785B", "https://www.amazon.jobs/jobs/3106501/applied-scientist?cmpid=DA_INAD200785B")</f>
        <v/>
      </c>
      <c r="G56" t="inlineStr">
        <is>
          <t>New York, NY, US</t>
        </is>
      </c>
      <c r="H56" s="2" t="n">
        <v>45939</v>
      </c>
      <c r="I5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in-825bbb5b75ecfc64</t>
        </is>
      </c>
      <c r="B57" t="inlineStr">
        <is>
          <t>Applied Scientist</t>
        </is>
      </c>
      <c r="C57" t="inlineStr">
        <is>
          <t>Amazon.com</t>
        </is>
      </c>
      <c r="D57" t="inlineStr">
        <is>
          <t>indeed</t>
        </is>
      </c>
      <c r="E57">
        <f>HYPERLINK("https://www.indeed.com/viewjob?jk=825bbb5b75ecfc64", "https://www.indeed.com/viewjob?jk=825bbb5b75ecfc64")</f>
        <v/>
      </c>
      <c r="F57">
        <f>HYPERLINK("https://www.amazon.jobs/jobs/3106501/applied-scientist?cmpid=DA_INAD200785B", "https://www.amazon.jobs/jobs/3106501/applied-scientist?cmpid=DA_INAD200785B")</f>
        <v/>
      </c>
      <c r="G57" t="inlineStr">
        <is>
          <t>Palo Alto, CA, US</t>
        </is>
      </c>
      <c r="H57" s="2" t="n">
        <v>45939</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in-dabcadabfca36033</t>
        </is>
      </c>
      <c r="B58" t="inlineStr">
        <is>
          <t>Sr. Applied Scientist, SPB Advertiser Guidance</t>
        </is>
      </c>
      <c r="C58" t="inlineStr">
        <is>
          <t>Amazon.com</t>
        </is>
      </c>
      <c r="D58" t="inlineStr">
        <is>
          <t>indeed</t>
        </is>
      </c>
      <c r="E58">
        <f>HYPERLINK("https://www.indeed.com/viewjob?jk=dabcadabfca36033", "https://www.indeed.com/viewjob?jk=dabcadabfca36033")</f>
        <v/>
      </c>
      <c r="F58">
        <f>HYPERLINK("https://www.amazon.jobs/jobs/3106497/sr-applied-scientist-spb-advertiser-guidance?cmpid=DA_INAD200785B", "https://www.amazon.jobs/jobs/3106497/sr-applied-scientist-spb-advertiser-guidance?cmpid=DA_INAD200785B")</f>
        <v/>
      </c>
      <c r="G58" t="inlineStr">
        <is>
          <t>Palo Alto, CA, US</t>
        </is>
      </c>
      <c r="H58" s="2" t="n">
        <v>45939</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in-16b605fe5d688d86</t>
        </is>
      </c>
      <c r="B59" t="inlineStr">
        <is>
          <t>Sr. Applied Scientist, SPB Advertiser Guidance</t>
        </is>
      </c>
      <c r="C59" t="inlineStr">
        <is>
          <t>Amazon.com</t>
        </is>
      </c>
      <c r="D59" t="inlineStr">
        <is>
          <t>indeed</t>
        </is>
      </c>
      <c r="E59">
        <f>HYPERLINK("https://www.indeed.com/viewjob?jk=16b605fe5d688d86", "https://www.indeed.com/viewjob?jk=16b605fe5d688d86")</f>
        <v/>
      </c>
      <c r="F59">
        <f>HYPERLINK("https://www.amazon.jobs/jobs/3106497/sr-applied-scientist-spb-advertiser-guidance?cmpid=DA_INAD200785B", "https://www.amazon.jobs/jobs/3106497/sr-applied-scientist-spb-advertiser-guidance?cmpid=DA_INAD200785B")</f>
        <v/>
      </c>
      <c r="G59" t="inlineStr">
        <is>
          <t>Seattle, WA,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in-ea7451127fc20d08</t>
        </is>
      </c>
      <c r="B60" t="inlineStr">
        <is>
          <t>Sr. Applied Scientist, SPB Advertiser Guidance</t>
        </is>
      </c>
      <c r="C60" t="inlineStr">
        <is>
          <t>Amazon.com</t>
        </is>
      </c>
      <c r="D60" t="inlineStr">
        <is>
          <t>indeed</t>
        </is>
      </c>
      <c r="E60">
        <f>HYPERLINK("https://www.indeed.com/viewjob?jk=ea7451127fc20d08", "https://www.indeed.com/viewjob?jk=ea7451127fc20d08")</f>
        <v/>
      </c>
      <c r="F60">
        <f>HYPERLINK("https://www.amazon.jobs/jobs/3106497/sr-applied-scientist-spb-advertiser-guidance?cmpid=DA_INAD200785B", "https://www.amazon.jobs/jobs/3106497/sr-applied-scientist-spb-advertiser-guidance?cmpid=DA_INAD200785B")</f>
        <v/>
      </c>
      <c r="G60" t="inlineStr">
        <is>
          <t>New York, NY,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in-a0e94b13352a2ae1</t>
        </is>
      </c>
      <c r="B61" t="inlineStr">
        <is>
          <t>Applied Scientist II, Prime Video - Personalization and Discovery Science, Personalization and Discovery Science</t>
        </is>
      </c>
      <c r="C61" t="inlineStr">
        <is>
          <t>Amazon.com</t>
        </is>
      </c>
      <c r="D61" t="inlineStr">
        <is>
          <t>indeed</t>
        </is>
      </c>
      <c r="E61">
        <f>HYPERLINK("https://www.indeed.com/viewjob?jk=a0e94b13352a2ae1", "https://www.indeed.com/viewjob?jk=a0e94b13352a2ae1")</f>
        <v/>
      </c>
      <c r="F6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1" t="inlineStr">
        <is>
          <t>Sunnyvale, CA, US</t>
        </is>
      </c>
      <c r="H61" s="2" t="n">
        <v>45930</v>
      </c>
      <c r="I6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in-259a6dace9291613</t>
        </is>
      </c>
      <c r="B62" t="inlineStr">
        <is>
          <t>Applied Scientist II, Prime Video - Personalization and Discovery Science, Personalization and Discovery Science</t>
        </is>
      </c>
      <c r="C62" t="inlineStr">
        <is>
          <t>Amazon.com</t>
        </is>
      </c>
      <c r="D62" t="inlineStr">
        <is>
          <t>indeed</t>
        </is>
      </c>
      <c r="E62">
        <f>HYPERLINK("https://www.indeed.com/viewjob?jk=259a6dace9291613", "https://www.indeed.com/viewjob?jk=259a6dace9291613")</f>
        <v/>
      </c>
      <c r="F6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2" t="inlineStr">
        <is>
          <t>Seattle, WA, US</t>
        </is>
      </c>
      <c r="H62" s="2" t="n">
        <v>45930</v>
      </c>
      <c r="I6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in-bd1370bbac226c74</t>
        </is>
      </c>
      <c r="B63" t="inlineStr">
        <is>
          <t>Applied Scientist II, Prime Video - Personalization and Discovery Science, Personalization and Discovery Science</t>
        </is>
      </c>
      <c r="C63" t="inlineStr">
        <is>
          <t>Amazon.com</t>
        </is>
      </c>
      <c r="D63" t="inlineStr">
        <is>
          <t>indeed</t>
        </is>
      </c>
      <c r="E63">
        <f>HYPERLINK("https://www.indeed.com/viewjob?jk=bd1370bbac226c74", "https://www.indeed.com/viewjob?jk=bd1370bbac226c74")</f>
        <v/>
      </c>
      <c r="F6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3" t="inlineStr">
        <is>
          <t>New York, NY, US</t>
        </is>
      </c>
      <c r="H63" s="2"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in-71b5127a5c948fb3</t>
        </is>
      </c>
      <c r="B64" t="inlineStr">
        <is>
          <t>Senior Applied Scientist, Sponsored Products and Brands</t>
        </is>
      </c>
      <c r="C64" t="inlineStr">
        <is>
          <t>Amazon.com</t>
        </is>
      </c>
      <c r="D64" t="inlineStr">
        <is>
          <t>indeed</t>
        </is>
      </c>
      <c r="E64">
        <f>HYPERLINK("https://www.indeed.com/viewjob?jk=71b5127a5c948fb3", "https://www.indeed.com/viewjob?jk=71b5127a5c948fb3")</f>
        <v/>
      </c>
      <c r="F64">
        <f>HYPERLINK("https://www.amazon.jobs/jobs/3094886/senior-applied-scientist-sponsored-products-and-brands?cmpid=DA_INAD200785B", "https://www.amazon.jobs/jobs/3094886/senior-applied-scientist-sponsored-products-and-brands?cmpid=DA_INAD200785B")</f>
        <v/>
      </c>
      <c r="G64" t="inlineStr">
        <is>
          <t>New York, NY, US</t>
        </is>
      </c>
      <c r="H64" s="2" t="n">
        <v>45922</v>
      </c>
      <c r="I6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in-d943c538a0e36262</t>
        </is>
      </c>
      <c r="B65" t="inlineStr">
        <is>
          <t>Senior Applied Scientist, Sponsored Products and Brands</t>
        </is>
      </c>
      <c r="C65" t="inlineStr">
        <is>
          <t>Amazon.com</t>
        </is>
      </c>
      <c r="D65" t="inlineStr">
        <is>
          <t>indeed</t>
        </is>
      </c>
      <c r="E65">
        <f>HYPERLINK("https://www.indeed.com/viewjob?jk=d943c538a0e36262", "https://www.indeed.com/viewjob?jk=d943c538a0e36262")</f>
        <v/>
      </c>
      <c r="F65">
        <f>HYPERLINK("https://www.amazon.jobs/jobs/3094886/senior-applied-scientist-sponsored-products-and-brands?cmpid=DA_INAD200785B", "https://www.amazon.jobs/jobs/3094886/senior-applied-scientist-sponsored-products-and-brands?cmpid=DA_INAD200785B")</f>
        <v/>
      </c>
      <c r="G65" t="inlineStr">
        <is>
          <t>Seattle, WA, US</t>
        </is>
      </c>
      <c r="H65" s="2" t="n">
        <v>45922</v>
      </c>
      <c r="I6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in-a39575f579874fe7</t>
        </is>
      </c>
      <c r="B66" t="inlineStr">
        <is>
          <t>Applied Scientist, Workplace Health &amp; Safety</t>
        </is>
      </c>
      <c r="C66" t="inlineStr">
        <is>
          <t>Amazon.com</t>
        </is>
      </c>
      <c r="D66" t="inlineStr">
        <is>
          <t>indeed</t>
        </is>
      </c>
      <c r="E66">
        <f>HYPERLINK("https://www.indeed.com/viewjob?jk=a39575f579874fe7", "https://www.indeed.com/viewjob?jk=a39575f579874fe7")</f>
        <v/>
      </c>
      <c r="F66">
        <f>HYPERLINK("https://www.amazon.jobs/jobs/3144886/applied-scientist-workplace-health--safety-?cmpid=DA_INAD200785B", "https://www.amazon.jobs/jobs/3144886/applied-scientist-workplace-health--safety-?cmpid=DA_INAD200785B")</f>
        <v/>
      </c>
      <c r="G66" t="inlineStr">
        <is>
          <t>Bellevue, WA, US</t>
        </is>
      </c>
      <c r="H66" s="2" t="n">
        <v>45917</v>
      </c>
      <c r="I6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in-cd58c6eecf4a6daa</t>
        </is>
      </c>
      <c r="B67" t="inlineStr">
        <is>
          <t>Applied Scientist, Workplace Health &amp; Safety</t>
        </is>
      </c>
      <c r="C67" t="inlineStr">
        <is>
          <t>Amazon.com</t>
        </is>
      </c>
      <c r="D67" t="inlineStr">
        <is>
          <t>indeed</t>
        </is>
      </c>
      <c r="E67">
        <f>HYPERLINK("https://www.indeed.com/viewjob?jk=cd58c6eecf4a6daa", "https://www.indeed.com/viewjob?jk=cd58c6eecf4a6daa")</f>
        <v/>
      </c>
      <c r="F67">
        <f>HYPERLINK("https://www.amazon.jobs/jobs/3144886/applied-scientist-workplace-health--safety-?cmpid=DA_INAD200785B", "https://www.amazon.jobs/jobs/3144886/applied-scientist-workplace-health--safety-?cmpid=DA_INAD200785B")</f>
        <v/>
      </c>
      <c r="G67" t="inlineStr">
        <is>
          <t>Nashville, TN, US</t>
        </is>
      </c>
      <c r="H67" s="2" t="n">
        <v>45917</v>
      </c>
      <c r="I6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in-28174d88279499fe</t>
        </is>
      </c>
      <c r="B68" t="inlineStr">
        <is>
          <t>Applied Scientist II, Prime Video - Personalization and Discovery Science</t>
        </is>
      </c>
      <c r="C68" t="inlineStr">
        <is>
          <t>Amazon.com</t>
        </is>
      </c>
      <c r="D68" t="inlineStr">
        <is>
          <t>indeed</t>
        </is>
      </c>
      <c r="E68">
        <f>HYPERLINK("https://www.indeed.com/viewjob?jk=28174d88279499fe", "https://www.indeed.com/viewjob?jk=28174d88279499fe")</f>
        <v/>
      </c>
      <c r="F68">
        <f>HYPERLINK("https://www.amazon.jobs/jobs/3086060/applied-scientist-ii-prime-video--personalization-and-discovery-science?cmpid=DA_INAD200785B", "https://www.amazon.jobs/jobs/3086060/applied-scientist-ii-prime-video--personalization-and-discovery-science?cmpid=DA_INAD200785B")</f>
        <v/>
      </c>
      <c r="G68" t="inlineStr">
        <is>
          <t>Seattle, WA, US</t>
        </is>
      </c>
      <c r="H68" s="2" t="n">
        <v>45915</v>
      </c>
      <c r="I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in-8803881772618469</t>
        </is>
      </c>
      <c r="B69" t="inlineStr">
        <is>
          <t>Applied Scientist II, Prime Video - Personalization and Discovery Science</t>
        </is>
      </c>
      <c r="C69" t="inlineStr">
        <is>
          <t>Amazon.com</t>
        </is>
      </c>
      <c r="D69" t="inlineStr">
        <is>
          <t>indeed</t>
        </is>
      </c>
      <c r="E69">
        <f>HYPERLINK("https://www.indeed.com/viewjob?jk=8803881772618469", "https://www.indeed.com/viewjob?jk=8803881772618469")</f>
        <v/>
      </c>
      <c r="F69">
        <f>HYPERLINK("https://www.amazon.jobs/jobs/3086060/applied-scientist-ii-prime-video--personalization-and-discovery-science?cmpid=DA_INAD200785B", "https://www.amazon.jobs/jobs/3086060/applied-scientist-ii-prime-video--personalization-and-discovery-science?cmpid=DA_INAD200785B")</f>
        <v/>
      </c>
      <c r="G69" t="inlineStr">
        <is>
          <t>New York, NY, US</t>
        </is>
      </c>
      <c r="H69" s="2" t="n">
        <v>45915</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in-52d8d6813a5e5542</t>
        </is>
      </c>
      <c r="B70" t="inlineStr">
        <is>
          <t>Applied Scientist II, Prime Video - Personalization and Discovery Science</t>
        </is>
      </c>
      <c r="C70" t="inlineStr">
        <is>
          <t>Amazon.com</t>
        </is>
      </c>
      <c r="D70" t="inlineStr">
        <is>
          <t>indeed</t>
        </is>
      </c>
      <c r="E70">
        <f>HYPERLINK("https://www.indeed.com/viewjob?jk=52d8d6813a5e5542", "https://www.indeed.com/viewjob?jk=52d8d6813a5e5542")</f>
        <v/>
      </c>
      <c r="F70">
        <f>HYPERLINK("https://www.amazon.jobs/jobs/3086060/applied-scientist-ii-prime-video--personalization-and-discovery-science?cmpid=DA_INAD200785B", "https://www.amazon.jobs/jobs/3086060/applied-scientist-ii-prime-video--personalization-and-discovery-science?cmpid=DA_INAD200785B")</f>
        <v/>
      </c>
      <c r="G70" t="inlineStr">
        <is>
          <t>Sunnyvale, CA, US</t>
        </is>
      </c>
      <c r="H70" s="2" t="n">
        <v>45915</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in-f8cecdbc36065878</t>
        </is>
      </c>
      <c r="B71" t="inlineStr">
        <is>
          <t>Applied Scientist II, Prime Video - Personalization and Discovery Science</t>
        </is>
      </c>
      <c r="C71" t="inlineStr">
        <is>
          <t>Amazon.com</t>
        </is>
      </c>
      <c r="D71" t="inlineStr">
        <is>
          <t>indeed</t>
        </is>
      </c>
      <c r="E71">
        <f>HYPERLINK("https://www.indeed.com/viewjob?jk=f8cecdbc36065878", "https://www.indeed.com/viewjob?jk=f8cecdbc36065878")</f>
        <v/>
      </c>
      <c r="F71">
        <f>HYPERLINK("https://www.amazon.jobs/jobs/3059253/applied-scientist-ii-prime-video--personalization-and-discovery-science?cmpid=DA_INAD200785B", "https://www.amazon.jobs/jobs/3059253/applied-scientist-ii-prime-video--personalization-and-discovery-science?cmpid=DA_INAD200785B")</f>
        <v/>
      </c>
      <c r="G71" t="inlineStr">
        <is>
          <t>New York, NY, US</t>
        </is>
      </c>
      <c r="H71" s="2" t="n">
        <v>45881</v>
      </c>
      <c r="I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in-a470880ce6271a7d</t>
        </is>
      </c>
      <c r="B72" t="inlineStr">
        <is>
          <t>Sr. Applied Scientist, Prime Video - Personalization and Discovery Science</t>
        </is>
      </c>
      <c r="C72" t="inlineStr">
        <is>
          <t>Amazon.com</t>
        </is>
      </c>
      <c r="D72" t="inlineStr">
        <is>
          <t>indeed</t>
        </is>
      </c>
      <c r="E72">
        <f>HYPERLINK("https://www.indeed.com/viewjob?jk=a470880ce6271a7d", "https://www.indeed.com/viewjob?jk=a470880ce6271a7d")</f>
        <v/>
      </c>
      <c r="F72">
        <f>HYPERLINK("https://www.amazon.jobs/jobs/3059256/sr-applied-scientist-prime-video--personalization-and-discovery-science?cmpid=DA_INAD200785B", "https://www.amazon.jobs/jobs/3059256/sr-applied-scientist-prime-video--personalization-and-discovery-science?cmpid=DA_INAD200785B")</f>
        <v/>
      </c>
      <c r="G72" t="inlineStr">
        <is>
          <t>New York, NY, US</t>
        </is>
      </c>
      <c r="H72" s="2" t="n">
        <v>45881</v>
      </c>
      <c r="I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in-9521c77fb5b2da0c</t>
        </is>
      </c>
      <c r="B73" t="inlineStr">
        <is>
          <t>Sr. Applied Scientist, Prime Video - Personalization and Discovery Science</t>
        </is>
      </c>
      <c r="C73" t="inlineStr">
        <is>
          <t>Amazon.com</t>
        </is>
      </c>
      <c r="D73" t="inlineStr">
        <is>
          <t>indeed</t>
        </is>
      </c>
      <c r="E73">
        <f>HYPERLINK("https://www.indeed.com/viewjob?jk=9521c77fb5b2da0c", "https://www.indeed.com/viewjob?jk=9521c77fb5b2da0c")</f>
        <v/>
      </c>
      <c r="F73">
        <f>HYPERLINK("https://www.amazon.jobs/jobs/3059256/sr-applied-scientist-prime-video--personalization-and-discovery-science?cmpid=DA_INAD200785B", "https://www.amazon.jobs/jobs/3059256/sr-applied-scientist-prime-video--personalization-and-discovery-science?cmpid=DA_INAD200785B")</f>
        <v/>
      </c>
      <c r="G73" t="inlineStr">
        <is>
          <t>Sunnyvale, CA, US</t>
        </is>
      </c>
      <c r="H73" s="2" t="n">
        <v>45881</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in-8252c67fafb40c41</t>
        </is>
      </c>
      <c r="B74" t="inlineStr">
        <is>
          <t>Applied Scientist II, Prime Video - Personalization and Discovery Science</t>
        </is>
      </c>
      <c r="C74" t="inlineStr">
        <is>
          <t>Amazon.com</t>
        </is>
      </c>
      <c r="D74" t="inlineStr">
        <is>
          <t>indeed</t>
        </is>
      </c>
      <c r="E74">
        <f>HYPERLINK("https://www.indeed.com/viewjob?jk=8252c67fafb40c41", "https://www.indeed.com/viewjob?jk=8252c67fafb40c41")</f>
        <v/>
      </c>
      <c r="F74">
        <f>HYPERLINK("https://www.amazon.jobs/jobs/3059253/applied-scientist-ii-prime-video--personalization-and-discovery-science?cmpid=DA_INAD200785B", "https://www.amazon.jobs/jobs/3059253/applied-scientist-ii-prime-video--personalization-and-discovery-science?cmpid=DA_INAD200785B")</f>
        <v/>
      </c>
      <c r="G74" t="inlineStr">
        <is>
          <t>Seattle, WA, US</t>
        </is>
      </c>
      <c r="H74" s="2" t="n">
        <v>45881</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in-6566ac0e8c9dacab</t>
        </is>
      </c>
      <c r="B75" t="inlineStr">
        <is>
          <t>Sr. Applied Scientist, Prime Video - Personalization and Discovery Science</t>
        </is>
      </c>
      <c r="C75" t="inlineStr">
        <is>
          <t>Amazon.com</t>
        </is>
      </c>
      <c r="D75" t="inlineStr">
        <is>
          <t>indeed</t>
        </is>
      </c>
      <c r="E75">
        <f>HYPERLINK("https://www.indeed.com/viewjob?jk=6566ac0e8c9dacab", "https://www.indeed.com/viewjob?jk=6566ac0e8c9dacab")</f>
        <v/>
      </c>
      <c r="F75">
        <f>HYPERLINK("https://www.amazon.jobs/jobs/3059256/sr-applied-scientist-prime-video--personalization-and-discovery-science?cmpid=DA_INAD200785B", "https://www.amazon.jobs/jobs/3059256/sr-applied-scientist-prime-video--personalization-and-discovery-science?cmpid=DA_INAD200785B")</f>
        <v/>
      </c>
      <c r="G75" t="inlineStr">
        <is>
          <t>Seattle, WA, US</t>
        </is>
      </c>
      <c r="H75" s="2" t="n">
        <v>45881</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in-6406ef997a161584</t>
        </is>
      </c>
      <c r="B76" t="inlineStr">
        <is>
          <t>Applied Scientist II, Prime Video - Personalization and Discovery Science</t>
        </is>
      </c>
      <c r="C76" t="inlineStr">
        <is>
          <t>Amazon.com</t>
        </is>
      </c>
      <c r="D76" t="inlineStr">
        <is>
          <t>indeed</t>
        </is>
      </c>
      <c r="E76">
        <f>HYPERLINK("https://www.indeed.com/viewjob?jk=6406ef997a161584", "https://www.indeed.com/viewjob?jk=6406ef997a161584")</f>
        <v/>
      </c>
      <c r="F76">
        <f>HYPERLINK("https://www.amazon.jobs/jobs/3059253/applied-scientist-ii-prime-video--personalization-and-discovery-science?cmpid=DA_INAD200785B", "https://www.amazon.jobs/jobs/3059253/applied-scientist-ii-prime-video--personalization-and-discovery-science?cmpid=DA_INAD200785B")</f>
        <v/>
      </c>
      <c r="G76" t="inlineStr">
        <is>
          <t>Sunnyvale, CA, US</t>
        </is>
      </c>
      <c r="H76" s="2" t="n">
        <v>45881</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in-5721d05bc10c9e66</t>
        </is>
      </c>
      <c r="B77" t="inlineStr">
        <is>
          <t>Sr. Applied Scientist, Amazon Advertising</t>
        </is>
      </c>
      <c r="C77" t="inlineStr">
        <is>
          <t>Amazon.com</t>
        </is>
      </c>
      <c r="D77" t="inlineStr">
        <is>
          <t>indeed</t>
        </is>
      </c>
      <c r="E77">
        <f>HYPERLINK("https://www.indeed.com/viewjob?jk=5721d05bc10c9e66", "https://www.indeed.com/viewjob?jk=5721d05bc10c9e66")</f>
        <v/>
      </c>
      <c r="F77">
        <f>HYPERLINK("https://www.amazon.jobs/jobs/3035686/sr-applied-scientist-amazon-advertising?cmpid=DA_INAD200785B", "https://www.amazon.jobs/jobs/3035686/sr-applied-scientist-amazon-advertising?cmpid=DA_INAD200785B")</f>
        <v/>
      </c>
      <c r="G77" t="inlineStr">
        <is>
          <t>Palo Alto, CA, US</t>
        </is>
      </c>
      <c r="H77" s="2" t="n">
        <v>45851</v>
      </c>
      <c r="I7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in-858039148c4d554a</t>
        </is>
      </c>
      <c r="B78" t="inlineStr">
        <is>
          <t>Sr. Applied Scientist, Amazon Advertising</t>
        </is>
      </c>
      <c r="C78" t="inlineStr">
        <is>
          <t>Amazon.com</t>
        </is>
      </c>
      <c r="D78" t="inlineStr">
        <is>
          <t>indeed</t>
        </is>
      </c>
      <c r="E78">
        <f>HYPERLINK("https://www.indeed.com/viewjob?jk=858039148c4d554a", "https://www.indeed.com/viewjob?jk=858039148c4d554a")</f>
        <v/>
      </c>
      <c r="F78">
        <f>HYPERLINK("https://www.amazon.jobs/jobs/3035686/sr-applied-scientist-amazon-advertising?cmpid=DA_INAD200785B", "https://www.amazon.jobs/jobs/3035686/sr-applied-scientist-amazon-advertising?cmpid=DA_INAD200785B")</f>
        <v/>
      </c>
      <c r="G78" t="inlineStr">
        <is>
          <t>West Hollywood, CA, US</t>
        </is>
      </c>
      <c r="H78" s="2" t="n">
        <v>45851</v>
      </c>
      <c r="I7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in-1c9f8b829a657a35</t>
        </is>
      </c>
      <c r="B79" t="inlineStr">
        <is>
          <t>Sr. Applied Scientist, Amazon Advertising</t>
        </is>
      </c>
      <c r="C79" t="inlineStr">
        <is>
          <t>Amazon.com</t>
        </is>
      </c>
      <c r="D79" t="inlineStr">
        <is>
          <t>indeed</t>
        </is>
      </c>
      <c r="E79">
        <f>HYPERLINK("https://www.indeed.com/viewjob?jk=1c9f8b829a657a35", "https://www.indeed.com/viewjob?jk=1c9f8b829a657a35")</f>
        <v/>
      </c>
      <c r="F79">
        <f>HYPERLINK("https://www.amazon.jobs/jobs/3035686/sr-applied-scientist-amazon-advertising?cmpid=DA_INAD200785B", "https://www.amazon.jobs/jobs/3035686/sr-applied-scientist-amazon-advertising?cmpid=DA_INAD200785B")</f>
        <v/>
      </c>
      <c r="G79" t="inlineStr">
        <is>
          <t>Arlington, VA, US</t>
        </is>
      </c>
      <c r="H79" s="2" t="n">
        <v>45851</v>
      </c>
      <c r="I7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in-7dddea656555397b</t>
        </is>
      </c>
      <c r="B80" t="inlineStr">
        <is>
          <t>Sr. Applied Scientist, Amazon Advertising</t>
        </is>
      </c>
      <c r="C80" t="inlineStr">
        <is>
          <t>Amazon.com</t>
        </is>
      </c>
      <c r="D80" t="inlineStr">
        <is>
          <t>indeed</t>
        </is>
      </c>
      <c r="E80">
        <f>HYPERLINK("https://www.indeed.com/viewjob?jk=7dddea656555397b", "https://www.indeed.com/viewjob?jk=7dddea656555397b")</f>
        <v/>
      </c>
      <c r="F80">
        <f>HYPERLINK("https://www.amazon.jobs/jobs/3035686/sr-applied-scientist-amazon-advertising?cmpid=DA_INAD200785B", "https://www.amazon.jobs/jobs/3035686/sr-applied-scientist-amazon-advertising?cmpid=DA_INAD200785B")</f>
        <v/>
      </c>
      <c r="G80" t="inlineStr">
        <is>
          <t>New York, NY, US</t>
        </is>
      </c>
      <c r="H80" s="2" t="n">
        <v>45851</v>
      </c>
      <c r="I8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in-69d625123e320777</t>
        </is>
      </c>
      <c r="B81" t="inlineStr">
        <is>
          <t>Sr. Applied Scientist, Amazon Advertising</t>
        </is>
      </c>
      <c r="C81" t="inlineStr">
        <is>
          <t>Amazon.com</t>
        </is>
      </c>
      <c r="D81" t="inlineStr">
        <is>
          <t>indeed</t>
        </is>
      </c>
      <c r="E81">
        <f>HYPERLINK("https://www.indeed.com/viewjob?jk=69d625123e320777", "https://www.indeed.com/viewjob?jk=69d625123e320777")</f>
        <v/>
      </c>
      <c r="F81">
        <f>HYPERLINK("https://www.amazon.jobs/jobs/3035686/sr-applied-scientist-amazon-advertising?cmpid=DA_INAD200785B", "https://www.amazon.jobs/jobs/3035686/sr-applied-scientist-amazon-advertising?cmpid=DA_INAD200785B")</f>
        <v/>
      </c>
      <c r="G81" t="inlineStr">
        <is>
          <t>Simi Valley, CA, US</t>
        </is>
      </c>
      <c r="H81" s="2" t="n">
        <v>45851</v>
      </c>
      <c r="I8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in-6ef9510e895c3eef</t>
        </is>
      </c>
      <c r="B82" t="inlineStr">
        <is>
          <t>Sr. Applied Scientist, Amazon Advertising</t>
        </is>
      </c>
      <c r="C82" t="inlineStr">
        <is>
          <t>Amazon.com</t>
        </is>
      </c>
      <c r="D82" t="inlineStr">
        <is>
          <t>indeed</t>
        </is>
      </c>
      <c r="E82">
        <f>HYPERLINK("https://www.indeed.com/viewjob?jk=6ef9510e895c3eef", "https://www.indeed.com/viewjob?jk=6ef9510e895c3eef")</f>
        <v/>
      </c>
      <c r="F82">
        <f>HYPERLINK("https://www.amazon.jobs/jobs/3035686/sr-applied-scientist-amazon-advertising?cmpid=DA_INAD200785B", "https://www.amazon.jobs/jobs/3035686/sr-applied-scientist-amazon-advertising?cmpid=DA_INAD200785B")</f>
        <v/>
      </c>
      <c r="G82" t="inlineStr">
        <is>
          <t>Austin, TX, US</t>
        </is>
      </c>
      <c r="H82" s="2" t="n">
        <v>45851</v>
      </c>
      <c r="I8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in-d216a073a28d75b4</t>
        </is>
      </c>
      <c r="B83" t="inlineStr">
        <is>
          <t>Sr. Applied Scientist, Amazon Advertising</t>
        </is>
      </c>
      <c r="C83" t="inlineStr">
        <is>
          <t>Amazon.com</t>
        </is>
      </c>
      <c r="D83" t="inlineStr">
        <is>
          <t>indeed</t>
        </is>
      </c>
      <c r="E83">
        <f>HYPERLINK("https://www.indeed.com/viewjob?jk=d216a073a28d75b4", "https://www.indeed.com/viewjob?jk=d216a073a28d75b4")</f>
        <v/>
      </c>
      <c r="F83">
        <f>HYPERLINK("https://www.amazon.jobs/jobs/3035686/sr-applied-scientist-amazon-advertising?cmpid=DA_INAD200785B", "https://www.amazon.jobs/jobs/3035686/sr-applied-scientist-amazon-advertising?cmpid=DA_INAD200785B")</f>
        <v/>
      </c>
      <c r="G83" t="inlineStr">
        <is>
          <t>Los Angeles, CA, US</t>
        </is>
      </c>
      <c r="H83" s="2" t="n">
        <v>45851</v>
      </c>
      <c r="I8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in-904c0371ba1fb361</t>
        </is>
      </c>
      <c r="B84" t="inlineStr">
        <is>
          <t>Sr. Applied Scientist, Amazon Advertising</t>
        </is>
      </c>
      <c r="C84" t="inlineStr">
        <is>
          <t>Amazon.com</t>
        </is>
      </c>
      <c r="D84" t="inlineStr">
        <is>
          <t>indeed</t>
        </is>
      </c>
      <c r="E84">
        <f>HYPERLINK("https://www.indeed.com/viewjob?jk=904c0371ba1fb361", "https://www.indeed.com/viewjob?jk=904c0371ba1fb361")</f>
        <v/>
      </c>
      <c r="F84">
        <f>HYPERLINK("https://www.amazon.jobs/jobs/3035686/sr-applied-scientist-amazon-advertising?cmpid=DA_INAD200785B", "https://www.amazon.jobs/jobs/3035686/sr-applied-scientist-amazon-advertising?cmpid=DA_INAD200785B")</f>
        <v/>
      </c>
      <c r="G84" t="inlineStr">
        <is>
          <t>Seattle, WA, US</t>
        </is>
      </c>
      <c r="H84" s="2" t="n">
        <v>45851</v>
      </c>
      <c r="I8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in-1dbc35925acb82ae</t>
        </is>
      </c>
      <c r="B85" t="inlineStr">
        <is>
          <t>Applied Scientist, Prime Video - Personalization and Discovery Science</t>
        </is>
      </c>
      <c r="C85" t="inlineStr">
        <is>
          <t>Amazon.com</t>
        </is>
      </c>
      <c r="D85" t="inlineStr">
        <is>
          <t>indeed</t>
        </is>
      </c>
      <c r="E85">
        <f>HYPERLINK("https://www.indeed.com/viewjob?jk=1dbc35925acb82ae", "https://www.indeed.com/viewjob?jk=1dbc35925acb82ae")</f>
        <v/>
      </c>
      <c r="F85">
        <f>HYPERLINK("https://www.amazon.jobs/jobs/3033050/applied-scientist-prime-video--personalization-and-discovery-science?cmpid=DA_INAD200785B", "https://www.amazon.jobs/jobs/3033050/applied-scientist-prime-video--personalization-and-discovery-science?cmpid=DA_INAD200785B")</f>
        <v/>
      </c>
      <c r="G85" t="inlineStr">
        <is>
          <t>Sunnyvale, CA, US</t>
        </is>
      </c>
      <c r="H85" s="2" t="n">
        <v>45845</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in-3a64546574b55788</t>
        </is>
      </c>
      <c r="B86" t="inlineStr">
        <is>
          <t>Applied Scientist, Prime Video - Personalization and Discovery Science</t>
        </is>
      </c>
      <c r="C86" t="inlineStr">
        <is>
          <t>Amazon.com</t>
        </is>
      </c>
      <c r="D86" t="inlineStr">
        <is>
          <t>indeed</t>
        </is>
      </c>
      <c r="E86">
        <f>HYPERLINK("https://www.indeed.com/viewjob?jk=3a64546574b55788", "https://www.indeed.com/viewjob?jk=3a64546574b55788")</f>
        <v/>
      </c>
      <c r="F86">
        <f>HYPERLINK("https://www.amazon.jobs/jobs/3033050/applied-scientist-prime-video--personalization-and-discovery-science?cmpid=DA_INAD200785B", "https://www.amazon.jobs/jobs/3033050/applied-scientist-prime-video--personalization-and-discovery-science?cmpid=DA_INAD200785B")</f>
        <v/>
      </c>
      <c r="G86" t="inlineStr">
        <is>
          <t>New York, NY, US</t>
        </is>
      </c>
      <c r="H86" s="2" t="n">
        <v>45845</v>
      </c>
      <c r="I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in-35664286419795ae</t>
        </is>
      </c>
      <c r="B87" t="inlineStr">
        <is>
          <t>Applied Scientist, Prime Video - Personalization and Discovery Science</t>
        </is>
      </c>
      <c r="C87" t="inlineStr">
        <is>
          <t>Amazon.com</t>
        </is>
      </c>
      <c r="D87" t="inlineStr">
        <is>
          <t>indeed</t>
        </is>
      </c>
      <c r="E87">
        <f>HYPERLINK("https://www.indeed.com/viewjob?jk=35664286419795ae", "https://www.indeed.com/viewjob?jk=35664286419795ae")</f>
        <v/>
      </c>
      <c r="F87">
        <f>HYPERLINK("https://www.amazon.jobs/jobs/3033050/applied-scientist-prime-video--personalization-and-discovery-science?cmpid=DA_INAD200785B", "https://www.amazon.jobs/jobs/3033050/applied-scientist-prime-video--personalization-and-discovery-science?cmpid=DA_INAD200785B")</f>
        <v/>
      </c>
      <c r="G87" t="inlineStr">
        <is>
          <t>Seattle, WA, US</t>
        </is>
      </c>
      <c r="H87" s="2" t="n">
        <v>45845</v>
      </c>
      <c r="I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in-ae918ce5f86d1b6d</t>
        </is>
      </c>
      <c r="B88" t="inlineStr">
        <is>
          <t>Senior Applied Scientist, Artificial General Intelligence</t>
        </is>
      </c>
      <c r="C88" t="inlineStr">
        <is>
          <t>Amazon.com</t>
        </is>
      </c>
      <c r="D88" t="inlineStr">
        <is>
          <t>indeed</t>
        </is>
      </c>
      <c r="E88">
        <f>HYPERLINK("https://www.indeed.com/viewjob?jk=ae918ce5f86d1b6d", "https://www.indeed.com/viewjob?jk=ae918ce5f86d1b6d")</f>
        <v/>
      </c>
      <c r="F88">
        <f>HYPERLINK("https://www.amazon.jobs/jobs/3032183/senior-applied-scientist-artificial-general-intelligence?cmpid=DA_INAD200785B", "https://www.amazon.jobs/jobs/3032183/senior-applied-scientist-artificial-general-intelligence?cmpid=DA_INAD200785B")</f>
        <v/>
      </c>
      <c r="G88" t="inlineStr">
        <is>
          <t>Sunnyvale, CA, US</t>
        </is>
      </c>
      <c r="H88" s="2" t="n">
        <v>45838</v>
      </c>
      <c r="I8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in-6bdca2cf7650622f</t>
        </is>
      </c>
      <c r="B89" t="inlineStr">
        <is>
          <t>Senior Applied Scientist, Artificial General Intelligence</t>
        </is>
      </c>
      <c r="C89" t="inlineStr">
        <is>
          <t>Amazon.com</t>
        </is>
      </c>
      <c r="D89" t="inlineStr">
        <is>
          <t>indeed</t>
        </is>
      </c>
      <c r="E89">
        <f>HYPERLINK("https://www.indeed.com/viewjob?jk=6bdca2cf7650622f", "https://www.indeed.com/viewjob?jk=6bdca2cf7650622f")</f>
        <v/>
      </c>
      <c r="F89">
        <f>HYPERLINK("https://www.amazon.jobs/jobs/3032183/senior-applied-scientist-artificial-general-intelligence?cmpid=DA_INAD200785B", "https://www.amazon.jobs/jobs/3032183/senior-applied-scientist-artificial-general-intelligence?cmpid=DA_INAD200785B")</f>
        <v/>
      </c>
      <c r="G89" t="inlineStr">
        <is>
          <t>New York, NY, US</t>
        </is>
      </c>
      <c r="H89" s="2" t="n">
        <v>45838</v>
      </c>
      <c r="I8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in-4cf444c369925a4a</t>
        </is>
      </c>
      <c r="B90" t="inlineStr">
        <is>
          <t>Senior Applied Scientist, Artificial General Intelligence</t>
        </is>
      </c>
      <c r="C90" t="inlineStr">
        <is>
          <t>Amazon.com</t>
        </is>
      </c>
      <c r="D90" t="inlineStr">
        <is>
          <t>indeed</t>
        </is>
      </c>
      <c r="E90">
        <f>HYPERLINK("https://www.indeed.com/viewjob?jk=4cf444c369925a4a", "https://www.indeed.com/viewjob?jk=4cf444c369925a4a")</f>
        <v/>
      </c>
      <c r="F90">
        <f>HYPERLINK("https://www.amazon.jobs/jobs/3032183/senior-applied-scientist-artificial-general-intelligence?cmpid=DA_INAD200785B", "https://www.amazon.jobs/jobs/3032183/senior-applied-scientist-artificial-general-intelligence?cmpid=DA_INAD200785B")</f>
        <v/>
      </c>
      <c r="G90" t="inlineStr">
        <is>
          <t>Boston, MA, US</t>
        </is>
      </c>
      <c r="H90" s="2" t="n">
        <v>45838</v>
      </c>
      <c r="I9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in-f4b1e5b2c3bf3ac3</t>
        </is>
      </c>
      <c r="B91" t="inlineStr">
        <is>
          <t>Sr. Applied Scientist, Sales AI</t>
        </is>
      </c>
      <c r="C91" t="inlineStr">
        <is>
          <t>Amazon.com</t>
        </is>
      </c>
      <c r="D91" t="inlineStr">
        <is>
          <t>indeed</t>
        </is>
      </c>
      <c r="E91">
        <f>HYPERLINK("https://www.indeed.com/viewjob?jk=f4b1e5b2c3bf3ac3", "https://www.indeed.com/viewjob?jk=f4b1e5b2c3bf3ac3")</f>
        <v/>
      </c>
      <c r="F91">
        <f>HYPERLINK("https://www.amazon.jobs/jobs/3020528/sr-applied-scientist-sales-ai?cmpid=DA_INAD200785B", "https://www.amazon.jobs/jobs/3020528/sr-applied-scientist-sales-ai?cmpid=DA_INAD200785B")</f>
        <v/>
      </c>
      <c r="G91" t="inlineStr">
        <is>
          <t>New York, NY, US</t>
        </is>
      </c>
      <c r="H91" s="2" t="n">
        <v>45830</v>
      </c>
      <c r="I9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in-2c5cd91a8d2b3eba</t>
        </is>
      </c>
      <c r="B92" t="inlineStr">
        <is>
          <t>Sr. Applied Scientist, Sales AI</t>
        </is>
      </c>
      <c r="C92" t="inlineStr">
        <is>
          <t>Amazon.com</t>
        </is>
      </c>
      <c r="D92" t="inlineStr">
        <is>
          <t>indeed</t>
        </is>
      </c>
      <c r="E92">
        <f>HYPERLINK("https://www.indeed.com/viewjob?jk=2c5cd91a8d2b3eba", "https://www.indeed.com/viewjob?jk=2c5cd91a8d2b3eba")</f>
        <v/>
      </c>
      <c r="F92">
        <f>HYPERLINK("https://www.amazon.jobs/jobs/3020528/sr-applied-scientist-sales-ai?cmpid=DA_INAD200785B", "https://www.amazon.jobs/jobs/3020528/sr-applied-scientist-sales-ai?cmpid=DA_INAD200785B")</f>
        <v/>
      </c>
      <c r="G92" t="inlineStr">
        <is>
          <t>Sunnyvale, CA, US</t>
        </is>
      </c>
      <c r="H92" s="2" t="n">
        <v>45830</v>
      </c>
      <c r="I9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in-215cc6067cca628c</t>
        </is>
      </c>
      <c r="B93" t="inlineStr">
        <is>
          <t>Sr. Applied Scientist, Sales AI</t>
        </is>
      </c>
      <c r="C93" t="inlineStr">
        <is>
          <t>Amazon.com</t>
        </is>
      </c>
      <c r="D93" t="inlineStr">
        <is>
          <t>indeed</t>
        </is>
      </c>
      <c r="E93">
        <f>HYPERLINK("https://www.indeed.com/viewjob?jk=215cc6067cca628c", "https://www.indeed.com/viewjob?jk=215cc6067cca628c")</f>
        <v/>
      </c>
      <c r="F93">
        <f>HYPERLINK("https://www.amazon.jobs/jobs/3020528/sr-applied-scientist-sales-ai?cmpid=DA_INAD200785B", "https://www.amazon.jobs/jobs/3020528/sr-applied-scientist-sales-ai?cmpid=DA_INAD200785B")</f>
        <v/>
      </c>
      <c r="G93" t="inlineStr">
        <is>
          <t>Seattle, WA, US</t>
        </is>
      </c>
      <c r="H93" s="2" t="n">
        <v>45830</v>
      </c>
      <c r="I9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in-6fc4dc13cabd0ed3</t>
        </is>
      </c>
      <c r="B94" t="inlineStr">
        <is>
          <t>Sr. Applied Scientist, AGI Info</t>
        </is>
      </c>
      <c r="C94" t="inlineStr">
        <is>
          <t>Amazon.com</t>
        </is>
      </c>
      <c r="D94" t="inlineStr">
        <is>
          <t>indeed</t>
        </is>
      </c>
      <c r="E94">
        <f>HYPERLINK("https://www.indeed.com/viewjob?jk=6fc4dc13cabd0ed3", "https://www.indeed.com/viewjob?jk=6fc4dc13cabd0ed3")</f>
        <v/>
      </c>
      <c r="F94">
        <f>HYPERLINK("https://www.amazon.jobs/jobs/2999351/sr-applied-scientist-agi-info?cmpid=DA_INAD200785B", "https://www.amazon.jobs/jobs/2999351/sr-applied-scientist-agi-info?cmpid=DA_INAD200785B")</f>
        <v/>
      </c>
      <c r="G94" t="inlineStr">
        <is>
          <t>Bellevue, WA, US</t>
        </is>
      </c>
      <c r="H94" s="2" t="n">
        <v>45811</v>
      </c>
      <c r="I9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in-a50709e23a21a866</t>
        </is>
      </c>
      <c r="B95" t="inlineStr">
        <is>
          <t>Sr. Applied Scientist, AGI Info</t>
        </is>
      </c>
      <c r="C95" t="inlineStr">
        <is>
          <t>Amazon.com</t>
        </is>
      </c>
      <c r="D95" t="inlineStr">
        <is>
          <t>indeed</t>
        </is>
      </c>
      <c r="E95">
        <f>HYPERLINK("https://www.indeed.com/viewjob?jk=a50709e23a21a866", "https://www.indeed.com/viewjob?jk=a50709e23a21a866")</f>
        <v/>
      </c>
      <c r="F95">
        <f>HYPERLINK("https://www.amazon.jobs/jobs/2999351/sr-applied-scientist-agi-info?cmpid=DA_INAD200785B", "https://www.amazon.jobs/jobs/2999351/sr-applied-scientist-agi-info?cmpid=DA_INAD200785B")</f>
        <v/>
      </c>
      <c r="G95" t="inlineStr">
        <is>
          <t>Sunnyvale, CA, US</t>
        </is>
      </c>
      <c r="H95" s="2" t="n">
        <v>45811</v>
      </c>
      <c r="I9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in-ff2bf86197b65c2e</t>
        </is>
      </c>
      <c r="B96" t="inlineStr">
        <is>
          <t>Principal Applied Scientist, Delivery Foundation Model</t>
        </is>
      </c>
      <c r="C96" t="inlineStr">
        <is>
          <t>Amazon.com</t>
        </is>
      </c>
      <c r="D96" t="inlineStr">
        <is>
          <t>indeed</t>
        </is>
      </c>
      <c r="E96">
        <f>HYPERLINK("https://www.indeed.com/viewjob?jk=ff2bf86197b65c2e", "https://www.indeed.com/viewjob?jk=ff2bf86197b65c2e")</f>
        <v/>
      </c>
      <c r="F96">
        <f>HYPERLINK("https://www.amazon.jobs/jobs/3006938/principal-applied-scientist-delivery-foundation-model-?cmpid=DA_INAD200785B", "https://www.amazon.jobs/jobs/3006938/principal-applied-scientist-delivery-foundation-model-?cmpid=DA_INAD200785B")</f>
        <v/>
      </c>
      <c r="G96" t="inlineStr">
        <is>
          <t>Santa Clara, CA, US</t>
        </is>
      </c>
      <c r="H96" s="2" t="n">
        <v>45810</v>
      </c>
      <c r="I9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in-225f61931d75d318</t>
        </is>
      </c>
      <c r="B97" t="inlineStr">
        <is>
          <t>Principal Applied Scientist, Delivery Foundation Model</t>
        </is>
      </c>
      <c r="C97" t="inlineStr">
        <is>
          <t>Amazon.com</t>
        </is>
      </c>
      <c r="D97" t="inlineStr">
        <is>
          <t>indeed</t>
        </is>
      </c>
      <c r="E97">
        <f>HYPERLINK("https://www.indeed.com/viewjob?jk=225f61931d75d318", "https://www.indeed.com/viewjob?jk=225f61931d75d318")</f>
        <v/>
      </c>
      <c r="F97">
        <f>HYPERLINK("https://www.amazon.jobs/jobs/3006938/principal-applied-scientist-delivery-foundation-model-?cmpid=DA_INAD200785B", "https://www.amazon.jobs/jobs/3006938/principal-applied-scientist-delivery-foundation-model-?cmpid=DA_INAD200785B")</f>
        <v/>
      </c>
      <c r="G97" t="inlineStr">
        <is>
          <t>New York, NY, US</t>
        </is>
      </c>
      <c r="H97" s="2" t="n">
        <v>45810</v>
      </c>
      <c r="I9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in-6cef35b2239023c2</t>
        </is>
      </c>
      <c r="B98" t="inlineStr">
        <is>
          <t>Principal Applied Scientist, Delivery Foundation Model</t>
        </is>
      </c>
      <c r="C98" t="inlineStr">
        <is>
          <t>Amazon.com</t>
        </is>
      </c>
      <c r="D98" t="inlineStr">
        <is>
          <t>indeed</t>
        </is>
      </c>
      <c r="E98">
        <f>HYPERLINK("https://www.indeed.com/viewjob?jk=6cef35b2239023c2", "https://www.indeed.com/viewjob?jk=6cef35b2239023c2")</f>
        <v/>
      </c>
      <c r="F98">
        <f>HYPERLINK("https://www.amazon.jobs/jobs/3006938/principal-applied-scientist-delivery-foundation-model-?cmpid=DA_INAD200785B", "https://www.amazon.jobs/jobs/3006938/principal-applied-scientist-delivery-foundation-model-?cmpid=DA_INAD200785B")</f>
        <v/>
      </c>
      <c r="G98" t="inlineStr">
        <is>
          <t>Austin, TX, US</t>
        </is>
      </c>
      <c r="H98" s="2" t="n">
        <v>45810</v>
      </c>
      <c r="I9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in-0f595f7ab4407061</t>
        </is>
      </c>
      <c r="B99" t="inlineStr">
        <is>
          <t>Principal Applied Scientist, Delivery Foundation Model</t>
        </is>
      </c>
      <c r="C99" t="inlineStr">
        <is>
          <t>Amazon.com</t>
        </is>
      </c>
      <c r="D99" t="inlineStr">
        <is>
          <t>indeed</t>
        </is>
      </c>
      <c r="E99">
        <f>HYPERLINK("https://www.indeed.com/viewjob?jk=0f595f7ab4407061", "https://www.indeed.com/viewjob?jk=0f595f7ab4407061")</f>
        <v/>
      </c>
      <c r="F99">
        <f>HYPERLINK("https://www.amazon.jobs/jobs/3006938/principal-applied-scientist-delivery-foundation-model-?cmpid=DA_INAD200785B", "https://www.amazon.jobs/jobs/3006938/principal-applied-scientist-delivery-foundation-model-?cmpid=DA_INAD200785B")</f>
        <v/>
      </c>
      <c r="G99" t="inlineStr">
        <is>
          <t>Bellevue, WA, US</t>
        </is>
      </c>
      <c r="H99" s="2" t="n">
        <v>45810</v>
      </c>
      <c r="I9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in-8c45faa2a901d27b</t>
        </is>
      </c>
      <c r="B100" t="inlineStr">
        <is>
          <t>Senior Applied Scientist, Delivery Foundation Model</t>
        </is>
      </c>
      <c r="C100" t="inlineStr">
        <is>
          <t>Amazon.com</t>
        </is>
      </c>
      <c r="D100" t="inlineStr">
        <is>
          <t>indeed</t>
        </is>
      </c>
      <c r="E100">
        <f>HYPERLINK("https://www.indeed.com/viewjob?jk=8c45faa2a901d27b", "https://www.indeed.com/viewjob?jk=8c45faa2a901d27b")</f>
        <v/>
      </c>
      <c r="F100">
        <f>HYPERLINK("https://www.amazon.jobs/jobs/2998435/senior-applied-scientist-delivery-foundation-model-?cmpid=DA_INAD200785B", "https://www.amazon.jobs/jobs/2998435/senior-applied-scientist-delivery-foundation-model-?cmpid=DA_INAD200785B")</f>
        <v/>
      </c>
      <c r="G100" t="inlineStr">
        <is>
          <t>New York, NY, US</t>
        </is>
      </c>
      <c r="H100" s="2" t="n">
        <v>45806</v>
      </c>
      <c r="I10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in-f6cdc020b8d41035</t>
        </is>
      </c>
      <c r="B101" t="inlineStr">
        <is>
          <t>Senior Applied Scientist, Delivery Foundation Model</t>
        </is>
      </c>
      <c r="C101" t="inlineStr">
        <is>
          <t>Amazon.com</t>
        </is>
      </c>
      <c r="D101" t="inlineStr">
        <is>
          <t>indeed</t>
        </is>
      </c>
      <c r="E101">
        <f>HYPERLINK("https://www.indeed.com/viewjob?jk=f6cdc020b8d41035", "https://www.indeed.com/viewjob?jk=f6cdc020b8d41035")</f>
        <v/>
      </c>
      <c r="F101">
        <f>HYPERLINK("https://www.amazon.jobs/jobs/2998435/senior-applied-scientist-delivery-foundation-model-?cmpid=DA_INAD200785B", "https://www.amazon.jobs/jobs/2998435/senior-applied-scientist-delivery-foundation-model-?cmpid=DA_INAD200785B")</f>
        <v/>
      </c>
      <c r="G101" t="inlineStr">
        <is>
          <t>Santa Clara, CA, US</t>
        </is>
      </c>
      <c r="H101" s="2" t="n">
        <v>45806</v>
      </c>
      <c r="I10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in-8eeed4832cdc7f27</t>
        </is>
      </c>
      <c r="B102" t="inlineStr">
        <is>
          <t>Senior Applied Scientist, Delivery Foundation Model</t>
        </is>
      </c>
      <c r="C102" t="inlineStr">
        <is>
          <t>Amazon.com</t>
        </is>
      </c>
      <c r="D102" t="inlineStr">
        <is>
          <t>indeed</t>
        </is>
      </c>
      <c r="E102">
        <f>HYPERLINK("https://www.indeed.com/viewjob?jk=8eeed4832cdc7f27", "https://www.indeed.com/viewjob?jk=8eeed4832cdc7f27")</f>
        <v/>
      </c>
      <c r="F102">
        <f>HYPERLINK("https://www.amazon.jobs/jobs/2998435/senior-applied-scientist-delivery-foundation-model-?cmpid=DA_INAD200785B", "https://www.amazon.jobs/jobs/2998435/senior-applied-scientist-delivery-foundation-model-?cmpid=DA_INAD200785B")</f>
        <v/>
      </c>
      <c r="G102" t="inlineStr">
        <is>
          <t>Bellevue, WA, US</t>
        </is>
      </c>
      <c r="H102" s="2" t="n">
        <v>45806</v>
      </c>
      <c r="I10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in-e64d39673ef9ce45</t>
        </is>
      </c>
      <c r="B103" t="inlineStr">
        <is>
          <t>Principal Applied Scientist, Delivery Foundation Model</t>
        </is>
      </c>
      <c r="C103" t="inlineStr">
        <is>
          <t>Amazon.com</t>
        </is>
      </c>
      <c r="D103" t="inlineStr">
        <is>
          <t>indeed</t>
        </is>
      </c>
      <c r="E103">
        <f>HYPERLINK("https://www.indeed.com/viewjob?jk=e64d39673ef9ce45", "https://www.indeed.com/viewjob?jk=e64d39673ef9ce45")</f>
        <v/>
      </c>
      <c r="F103">
        <f>HYPERLINK("https://www.amazon.jobs/jobs/2998635/principal-applied-scientist-delivery-foundation-model-?cmpid=DA_INAD200785B", "https://www.amazon.jobs/jobs/2998635/principal-applied-scientist-delivery-foundation-model-?cmpid=DA_INAD200785B")</f>
        <v/>
      </c>
      <c r="G103" t="inlineStr">
        <is>
          <t>New York, NY, US</t>
        </is>
      </c>
      <c r="H103" s="2" t="n">
        <v>45757</v>
      </c>
      <c r="I10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in-782be32154452966</t>
        </is>
      </c>
      <c r="B104" t="inlineStr">
        <is>
          <t>Principal Applied Scientist, Delivery Foundation Model</t>
        </is>
      </c>
      <c r="C104" t="inlineStr">
        <is>
          <t>Amazon.com</t>
        </is>
      </c>
      <c r="D104" t="inlineStr">
        <is>
          <t>indeed</t>
        </is>
      </c>
      <c r="E104">
        <f>HYPERLINK("https://www.indeed.com/viewjob?jk=782be32154452966", "https://www.indeed.com/viewjob?jk=782be32154452966")</f>
        <v/>
      </c>
      <c r="F104">
        <f>HYPERLINK("https://www.amazon.jobs/jobs/2998635/principal-applied-scientist-delivery-foundation-model-?cmpid=DA_INAD200785B", "https://www.amazon.jobs/jobs/2998635/principal-applied-scientist-delivery-foundation-model-?cmpid=DA_INAD200785B")</f>
        <v/>
      </c>
      <c r="G104" t="inlineStr">
        <is>
          <t>Bellevue, WA, US</t>
        </is>
      </c>
      <c r="H104" s="2" t="n">
        <v>45757</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in-c087e12ff357d90c</t>
        </is>
      </c>
      <c r="B105" t="inlineStr">
        <is>
          <t>Principal Applied Scientist, Delivery Foundation Model</t>
        </is>
      </c>
      <c r="C105" t="inlineStr">
        <is>
          <t>Amazon.com</t>
        </is>
      </c>
      <c r="D105" t="inlineStr">
        <is>
          <t>indeed</t>
        </is>
      </c>
      <c r="E105">
        <f>HYPERLINK("https://www.indeed.com/viewjob?jk=c087e12ff357d90c", "https://www.indeed.com/viewjob?jk=c087e12ff357d90c")</f>
        <v/>
      </c>
      <c r="F105">
        <f>HYPERLINK("https://www.amazon.jobs/jobs/2998635/principal-applied-scientist-delivery-foundation-model-?cmpid=DA_INAD200785B", "https://www.amazon.jobs/jobs/2998635/principal-applied-scientist-delivery-foundation-model-?cmpid=DA_INAD200785B")</f>
        <v/>
      </c>
      <c r="G105" t="inlineStr">
        <is>
          <t>Santa Clara, CA, US</t>
        </is>
      </c>
      <c r="H105" s="2" t="n">
        <v>45757</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in-24884305770d932d</t>
        </is>
      </c>
      <c r="B106" t="inlineStr">
        <is>
          <t>Principal Applied Scientist, FAR (Frontier AI &amp; Robotics)</t>
        </is>
      </c>
      <c r="C106" t="inlineStr">
        <is>
          <t>Amazon.com</t>
        </is>
      </c>
      <c r="D106" t="inlineStr">
        <is>
          <t>indeed</t>
        </is>
      </c>
      <c r="E106">
        <f>HYPERLINK("https://www.indeed.com/viewjob?jk=24884305770d932d", "https://www.indeed.com/viewjob?jk=24884305770d932d")</f>
        <v/>
      </c>
      <c r="F106">
        <f>HYPERLINK("https://www.amazon.jobs/jobs/2938625/principal-applied-scientist-far-frontier-ai--robotics?cmpid=DA_INAD200785B", "https://www.amazon.jobs/jobs/2938625/principal-applied-scientist-far-frontier-ai--robotics?cmpid=DA_INAD200785B")</f>
        <v/>
      </c>
      <c r="G106" t="inlineStr">
        <is>
          <t>Seattle, WA, US</t>
        </is>
      </c>
      <c r="H106" s="2" t="n">
        <v>45740</v>
      </c>
      <c r="I10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in-a183496f16780867</t>
        </is>
      </c>
      <c r="B107" t="inlineStr">
        <is>
          <t>Principal Applied Scientist, FAR (Frontier AI &amp; Robotics)</t>
        </is>
      </c>
      <c r="C107" t="inlineStr">
        <is>
          <t>Amazon.com</t>
        </is>
      </c>
      <c r="D107" t="inlineStr">
        <is>
          <t>indeed</t>
        </is>
      </c>
      <c r="E107">
        <f>HYPERLINK("https://www.indeed.com/viewjob?jk=a183496f16780867", "https://www.indeed.com/viewjob?jk=a183496f16780867")</f>
        <v/>
      </c>
      <c r="F107">
        <f>HYPERLINK("https://www.amazon.jobs/jobs/2938625/principal-applied-scientist-far-frontier-ai--robotics?cmpid=DA_INAD200785B", "https://www.amazon.jobs/jobs/2938625/principal-applied-scientist-far-frontier-ai--robotics?cmpid=DA_INAD200785B")</f>
        <v/>
      </c>
      <c r="G107" t="inlineStr">
        <is>
          <t>San Francisco, CA, US</t>
        </is>
      </c>
      <c r="H107" s="2" t="n">
        <v>45740</v>
      </c>
      <c r="I10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in-449cfbf915e00797</t>
        </is>
      </c>
      <c r="B108" t="inlineStr">
        <is>
          <t>Technical AI / ML Engineer</t>
        </is>
      </c>
      <c r="C108" t="inlineStr">
        <is>
          <t>Aleknagik Technology</t>
        </is>
      </c>
      <c r="D108" t="inlineStr">
        <is>
          <t>indeed</t>
        </is>
      </c>
      <c r="E108">
        <f>HYPERLINK("https://www.indeed.com/viewjob?jk=449cfbf915e00797", "https://www.indeed.com/viewjob?jk=449cfbf915e00797")</f>
        <v/>
      </c>
      <c r="F108">
        <f>HYPERLINK("https://aleknagiktechnology.isolvedhire.com/jobs/1693926-355284.html", "https://aleknagiktechnology.isolvedhire.com/jobs/1693926-355284.html")</f>
        <v/>
      </c>
      <c r="G108" t="inlineStr">
        <is>
          <t>Falls Church, VA, US</t>
        </is>
      </c>
      <c r="H108" s="2" t="n">
        <v>46050</v>
      </c>
      <c r="I108" t="inlineStr">
        <is>
          <t>Aleknagik Technology, LLC is searching for a qualified candidate to fill the role of **Technical AI / ML Engineer**. This position supports enterprise\-level data governance initiatives for a federal health organization by designing and operationalizing responsible AI and machine learning capabilities that enhance metadata management, data quality, lineage, classification, and decision support.
The selected candidate must be **within commuting distance of Falls Church, VA**, as this role requires on\-site and hybrid support in alignment with customer requirements.
 **Duties**
The Technical AI / ML Engineer is responsible for designing, implementing, validating, and operationalizing AI/ML solutions that support data governance objectives while ensuring compliance with DoD, DHA, HIPAA, FISMA, RMF, and Zero Trust requirements. Duties include, but are not limited to:
* Design and deploy ML\-assisted techniques to infer business meaning from technical metadata, including schema analysis and pattern recognition.
* Implement natural language processing (NLP) models to generate draft data dictionary entries, business glossary terms, and contextual metadata descriptions.
* Integrate AI\-generated outputs into governed, human\-in\-the\-loop workflows for data steward review and approval.
* Ensure AI\-generated metadata is explainable, auditable, version\-controlled, and traceable.
* Develop machine learning models to detect data quality issues such as anomalies, completeness gaps, schema drift, and degradation.
* Generate and integrate data quality indicators and trust scores aligned with VAULTIS "Trusted" principles.
* Support automated classification and compliance tagging for PII, PHI, CUI, and other sensitive data indicators.
* Align classification outputs with policy enforcement, access control, and audit mechanisms.
* Apply ML techniques to infer data lineage and semantic relationships where native lineage is incomplete.
* Validate inferred lineage and relationships through governance workflows prior to enterprise exposure.
* Design AI/ML workflows that operate in situ within DHA\-approved environments, minimizing unauthorized data movement.
* Integrate AI services into enterprise catalogs, repositories, and federated platforms using APIs and modular architectures.
* Implement Responsible AI practices including transparency, explainability, bias monitoring, and human oversight.
* Document model purpose, training context, limitations, and validation results in accordance with DoD AI guidance.
* Support AI\-enhanced self\-service discovery capabilities such as semantic search and relevance ranking.
* Participate in user acceptance testing (UAT), usability evaluations, and adoption assessments.
* Analyze user feedback, telemetry, and performance metrics to refine models and improve effectiveness.
* Develop technical documentation, operational playbooks, and sustainment guidance.
* Support optional federated governance and AI\-enabled data product lifecycle initiatives when exercised.
**Qualifications**
**Required Experience**
* **47 years of experience** in:
	+ Applied machine learning and natural language processing (NLP)
	+ Data quality assessment, anomaly detection, and trust scoring techniques
	+ Metadata management and enterprise data catalog platforms
	+ Python, SQL, and modern ML frameworks
	+ Responsible AI, model governance, and explainability practices
	+ API integration and scalable deployment patterns
	+ DoD, DHA, or federal security and compliance environments
**Required Education**
* **Bachelor's degree** in a related field, such as:
	+ Engineering
	+ Information Technology
	+ Data Science or Analytics
	+ Mathematics
	+ Physical or Life Sciences</t>
        </is>
      </c>
    </row>
    <row r="109">
      <c r="A109" t="inlineStr">
        <is>
          <t>in-5eb5e08e495e38f6</t>
        </is>
      </c>
      <c r="B109" t="inlineStr">
        <is>
          <t>AI/ML Engineer</t>
        </is>
      </c>
      <c r="C109" t="inlineStr"/>
      <c r="D109" t="inlineStr">
        <is>
          <t>indeed</t>
        </is>
      </c>
      <c r="E109">
        <f>HYPERLINK("https://www.indeed.com/viewjob?jk=5eb5e08e495e38f6", "https://www.indeed.com/viewjob?jk=5eb5e08e495e38f6")</f>
        <v/>
      </c>
      <c r="F109">
        <f>HYPERLINK("https://jobs.ashbyhq.com/farsight/f77bc593-3f51-4df0-af04-aea723c4dab0?utm_source=J3YqPDpWBb", "https://jobs.ashbyhq.com/farsight/f77bc593-3f51-4df0-af04-aea723c4dab0?utm_source=J3YqPDpWBb")</f>
        <v/>
      </c>
      <c r="G109" t="inlineStr">
        <is>
          <t>New York, NY, US</t>
        </is>
      </c>
      <c r="H109" s="2" t="n">
        <v>46049</v>
      </c>
      <c r="I109"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**Our Team**
Our team has had a wide range of experience that uniquely equips us to capture this massive opportunity. Our team comes from leading financial institutions like Evercore, General Atlantic and Menlo Ventures, supercharged by scalable engineering and AI skills from companies including Amazon, Hugging Face and the MIT Media Lab. We've learned the ins and outs of building successful startups from previous work as founders and founding engineers. We focus on hiring the best so that we can become the best, so we hope you apply!
We are entirely based in Manhattan, New York City, and are in\-person 4 days a week (except Fridays, which are remote).
**Job Description**
As a AI / ML Engineer at Farsight AI, you'll play a critical role in advancing our state\-of\-the\-art AI platform. You will:
* Lead projects focused on integrating and optimizing large language models (LLMs), embedding models, and semantic retrieval systems within our products.
* Design, build, and deploy sophisticated multimodal retrieval and agentic systems that deliver powerful insights from unstructured and structured financial data sources.
* Drive the next generation of agentic capabilities within the Farsight platform, with an emphasis on composability, advanced function calling, and modular AI orchestration techniques.
* Continuously refine our retrieval methodologies and AI outputs by actively leveraging customer feedback, ensuring high accuracy and relevance.
* Explore innovative approaches and rapidly prototype new AI\-driven features, directly impacting major financial firms’ workflows.
**Desired Qualifications**
* 2\+ years of experience deploying machine learning models in production.
* Demonstrated experience integrating closed\-source LLM APIs and fine\-tuning open\-source models
* Proven expertise with embedding models and semantic retrieval systems such as Pinecone, Weaviate, FAISS, Chroma, PGVector, etc.
* Experience developing multimodal retrieval solutions that integrate diverse data types, including textual, numerical, and structured data.
* Strong Python proficiency, including practical knowledge of frameworks like Hugging Face, PyTorch, TensorFlow, or LangChain.
* Passion for staying current with cutting\-edge AI research, tools, and industry trends.
* Ability to thrive in ambiguous environments, independently scoping and executing projects end\-to\-end.
* Excellent communication skills, fostering effective collaboration across technical and business teams.
**Above and Beyond Qualifications**
* Prior experience building or optimizing AI agentic systems leveraging function\-calling, orchestration frameworks, and modular architectures.
* Deep familiarity with financial data retrieval challenges and techniques
* Demonstrated experience in performance tuning, scalability improvements, and reliability engineering for AI\-driven retrieval systems.
* Entrepreneurial mindset or previous experience working in a high\-growth startup environment.
* Knowledge of or interest in free\-form generative AI capabilities and their application within complex business scenarios.
**Compensation \&amp; Benefits**
* Salary range: $200,000 to $300,000 annually, commensurate with experience.
* Comprehensive medical, dental and vision insurance
* Unlimited PTO
Note: You'll need valid U.S. work authorization to join us.
*Please note that a background check and employment verification may be required for this position. We may obtain one or more background screening reports about you, solely for employment purposes.*
**Equal Opportunity**
Farsight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Compensation Range: $200K \- $300K</t>
        </is>
      </c>
    </row>
    <row r="110">
      <c r="A110" t="inlineStr">
        <is>
          <t>in-6bdee081e91c8f45</t>
        </is>
      </c>
      <c r="B110" t="inlineStr">
        <is>
          <t>Senior Applied AI Engineer</t>
        </is>
      </c>
      <c r="C110" t="inlineStr">
        <is>
          <t>GrayMatter Robotics</t>
        </is>
      </c>
      <c r="D110" t="inlineStr">
        <is>
          <t>indeed</t>
        </is>
      </c>
      <c r="E110">
        <f>HYPERLINK("https://www.indeed.com/viewjob?jk=6bdee081e91c8f45", "https://www.indeed.com/viewjob?jk=6bdee081e91c8f45")</f>
        <v/>
      </c>
      <c r="F110">
        <f>HYPERLINK("https://jobs.ashbyhq.com/graymatter-robotics/1f7af785-e590-4548-a162-f869aa711f47?utm_source=po7A1M5bzv", "https://jobs.ashbyhq.com/graymatter-robotics/1f7af785-e590-4548-a162-f869aa711f47?utm_source=po7A1M5bzv")</f>
        <v/>
      </c>
      <c r="G110" t="inlineStr">
        <is>
          <t>Carson, CA, US</t>
        </is>
      </c>
      <c r="H110" s="2" t="n">
        <v>46049</v>
      </c>
      <c r="I110" t="inlineStr">
        <is>
          <t>**Summary**
Headquartered in sunny Los Angeles, GrayMatter Robotics is a well\-capitalized AI robotics startup serving the manufacturing industry. We empower shop floor workers with our smart robots that assist with tedious and ergonomically challenging tasks, specifically in automated surface finishing. Our proprietary GMR\-AI software is integrated with state\-of\-the\-art industrial robots, sensors, and tools to create application\-specific turnkey solutions for customers through a Robot\-as\-a\-Service (RaaS) model.
You will join the Special Projects: AI team at GrayMatter Robotics, a cross\-functional group responsible for designing, building, and operationalizing AI capabilities across GMR’s products and customer deployments. The team serves as a horizontal AI function, working across simulation, data, perception, inspection, learning\-based control, process optimization, and system validation to enable robust autonomy for GMR’s robots and factories in high\-mix manufacturing environments. The team operates end\-to\-end from problem formulation and data strategy to model development, simulation, deployment, and long\-term performance monitoring collaborating closely with robotics software, solutions engineering, applications, process engineering, hardware, and deployment teams. The team’s mandate is to ensure that AI systems scale across processes, customers, and sites, and perform reliably on real robots in real factories, today, not just in controlled demonstrations.
This role values strong technical depth and sound research judgment, but places a clear priority on system ownership, execution, and measurable business impact. Publishing and external technical contributions are encouraged when they naturally emerge from deployed systems while meaningfully advancing both GMR’s products and the broader robotics community; however, successful delivery, robustness, and customer\-visible outcomes are the primary measures of success.
### **Key Responsibilities**
* Design, implement, and train state\-of\-the\-art AI models for perception, inspection, decision\-making, and control in real\-world robotic manufacturing systems.
* Lead the development of simulation\-based tooling used across a broad range of AI use cases at GMR, including reinforcement learning for recipe learning, scalable synthetic data generation, and autonomous robotic cell setup.
* Own and advance synthetic data generation pipelines, leveraging generative AI techniques for complex 3D geometry and environment, physics\-based simulation, and image data, and scaling them across diverse processes and applications.
* Develop and deploy multi\-modal inspection and health monitoring systems, integrating vision, 3D sensing, force/torque, and other sensor modalities.
* Bridge the gap between simulation and reality, ensuring models trained in simulation transfer robustly to physical robotic cells.
* Optimize, deploy, and maintain ML models on production robotic systems, considering latency, reliability, and hardware constraints.
* Troubleshoot complex, cross\-disciplinary issues spanning ML models, simulation environments, robotics software, sensors, and hardware.
### **Minimum Qualifications**
* Master’s Degree or PhD in Computer Science, Robotics, Mechanical Engineering or a closely related field plus 5\-8 years of experience.
* Strong proficiency in Python is required; candidates with strong working knowledge of both Python and C\+\+ in robotics systems will be preferred.
* Deep expertise in machine learning and deep learning, with hands\-on experience using frameworks such as PyTorch.
* Demonstrated experience working with real robotic manipulators, including deploying and testing machine learning models on physical robots operating in real\-world environments.
* Demonstrated experience working with simulation environments and/or physics\-based modeling for robotics (e.g., Isaac Lab or MuJoCo).
* Strong software engineering discipline, including writing clean, maintainable, well\-tested, and performance\-optimized code.
* Proven ability to diagnose and solve ambiguous, system\-level problems and iterate quickly under real\-world constraints.
### **Preferred Qualifications**
* Experience with synthetic data generation and simulation\-driven dataset creation for perception and inspection tasks, including the use of generative models such as Gaussian Splatting, diffusion models, or flow matching\-based approaches.
* Deep understanding and hands\-on experience using physics engines and robotics simulation platforms (e.g., Isaac Lab, MuJoCo) to solve complex real\-world robotics problems.
* Experience with reinforcement learning, imitation learning, or policy optimization for robotic manipulation or process control.
* Hands\-on experience with 3D data (point clouds, meshes, SDFs, CAD\-derived geometry) and related tooling.
* Exposure to robotics inspection or quality assurance problems involving multimodal sensing (e.g., vision \+ force, vision \+ acoustics, vision \+ tactile, etc.).
* Experience with robotics middleware and tooling (e.g., ROS/ROS 2\) and deployment on real robotic hardware.
* Prior experience working in industrial, manufacturing, or high\-mix automation environments.
* A publication track record, or demonstrated interest in publishing applied research in venues such as ICRA, CoRL, RSS, IROS, RA\-L, or T\-RO, balanced with a strong bias toward real\-world production impact.
 *GrayMatter Robotics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We celebrate diversity and are committed to creating an inclusive environment for all employees. We encourage and embrace applicants of all backgrounds to apply!*
*GrayMatter Robotics is committed to providing reasonable accommodations for candidates with disabilities. If you believe you require accommodations during the recruiting process, please contact accommodations@graymatter\-robotics.com to submit your request.*
*Please note this job description is not designed to cover or contain a comprehensive listing of activities, duties or responsibilities that are required of the employee for this job. Duties, responsibilities and activities may change at any time with or without notice.*
 *Compensation for this position includes the base salary range of $150,000 \- $170,000 USD plus bonus and equity. We also provide comprehensive benefits and perks which include but are not limited to medical, dental, vision, unlimited PTO, 401(k) plan \+ employer match, regular offsite events, a discretionary fund for enhancing productivity and so much more! The range listed on job postings reflect the minimum and maximum new hire salary across levels in Los Angeles, CA.*
Compensation Range: $150K \- $170K</t>
        </is>
      </c>
    </row>
    <row r="111">
      <c r="A111" t="inlineStr">
        <is>
          <t>in-98e06a391a731f5f</t>
        </is>
      </c>
      <c r="B111" t="inlineStr">
        <is>
          <t>Senior Machine Learning Engineer/Architect</t>
        </is>
      </c>
      <c r="C111" t="inlineStr">
        <is>
          <t>TekSynap</t>
        </is>
      </c>
      <c r="D111" t="inlineStr">
        <is>
          <t>indeed</t>
        </is>
      </c>
      <c r="E111">
        <f>HYPERLINK("https://www.indeed.com/viewjob?jk=98e06a391a731f5f", "https://www.indeed.com/viewjob?jk=98e06a391a731f5f")</f>
        <v/>
      </c>
      <c r="F111">
        <f>HYPERLINK("https://careers-teksynap.icims.com/jobs/8869/job", "https://careers-teksynap.icims.com/jobs/8869/job")</f>
        <v/>
      </c>
      <c r="G111" t="inlineStr">
        <is>
          <t>National, WV, US</t>
        </is>
      </c>
      <c r="H111" s="2" t="n">
        <v>46049</v>
      </c>
      <c r="I111" t="inlineStr">
        <is>
          <t>We are seeking a **Senior Machine Learning Engineer/Architect** to join our TekSynap team, supporting the Defense Intelligence Agency (DIA) and the Intelligence Community. The **Senior Machine Learning Engineer/Architect** develops, researches and applies analytic models, including machine learning and deep learning, to datasets in a variety of domains, including computer vision, natural language processing, or time series analysis.  
TekSynap is a fast\-growing high\-tech company that understands both the pace of technology today and the need to have a comprehensive well planned information management environment. “Technology moving at the speed of thought” embodies these principles – the need to nimbly utilize the best that information technology offers to meet the business needs of our Federal Government customers.  
We offer our full\-time employees a competitive benefits package to include health, dental, vision, 401K, life insurance, short\-term and long\-term disability plans, vacation time and holidays.
Visit us at www.TekSynap.com.
Apply now to explore jobs with us!
The safety and health of our employees is of the utmost importance. Employees are required to comply with any vaccination requirements mandated by contract, applicable law or regulation.  
By applying to a role at TekSynap you are providing consent to receive text messages regarding your interview and employment status. If at any time you would like to opt out of text messaging, respond "STOP." As part of the application process, you agree that TekSynap Corporation may retain and use your name, e\-mail, and contact information for purposes related to employment consideration.  
**RESPONSIBILITIES**
The **Senior Machine Learning Engineer/Architect** is expected to be able to:
* Work with GPU compute with leading libraries such as TensorFlow, Keras, and PyTorch.
* Posess a working knowledge of data engineering concepts.
* Work in cross\-functional teams with data at all stages of the analysis lifecycle to derive actionable insight.
* Translate mission needs into an end\-to\-end analytical approach to achieve results.
* May perform the pre\-analytics areas of data collection and understanding, data cleansing and integration, and data storage and retrieval.
* Determine the appropriate analytics based on the data and the desired outcomes.
* Interpret the validity of results and communicate the meaning of those results.
* Follow a scientific approach to generate value from data, verifying results at each step.
 **REQUIRED QUALIFICATIONS**
* Active Top Secret clearance with a CI Poly.
* 9\-13 years of relevant experience.
 **DESIRED QUALIFICATIONS*** One or more of the following certifications:
* + AWS Certified Machine Learning Engineer \- Associate
	+ Google Cloud Professional
	+ Machine Learning Engineer
	+ Microsoft Azure AI Engineer \- Associate
 **WORK ENVIRONMENT AND PHYSICAL DEMANDS**
The work environment characteristics described here are representative of those an employee encounters while performing the essential functions of the job. Reasonable accommodation may be made to enable individuals with disabilities to perform the essential functions.
* Location: District of Columbia (DC), National Capital Region (NCR)
* Type of environment: Varies
* Noise level: Low
* Work schedule: “Normal work hours” constitute on average 8 hours a day, 40 hours per week (excluding breaks and meal periods) within standard operational hours occurring 0600\-1800, Monday\-Friday, excluding Federal holidays. May be requested to work evenings and weekends to meet program and contract needs.
* Amount of Travel: 20%
 **PHYSICAL DEMANDS**
The physical demands described here are representative of those that must be met by an employee to successfully perform the essential functions of this job. Reasonable accommodations may be made to enable individuals with disabilities to perform the essential functions.
While performing the duties of this job, the employee is regularly required to use hands to handle, feel, touch; reach with hands and arms; talk and hear. The employee is regularly required to stand; walk; sit; climb or balance; and stoop, kneel, crouch, or crawl. The employee is regularly required to lift up to 10 pounds. The employee is frequently required to lift up to 25 pounds; and up to 50 pounds. The vision requirements include close vision, distance vision, peripheral vision, depth perception, and ability to adjust focus.
**WORK AUTHORIZATION/SECURITY CLEARANCE**
US Citizenship
Active Top Secret clearance with a CI Poly **OTHER INFORMATION**
Please note this job description is not designed to cover or contain a comprehensive listing of activities, duties or responsibilities that are required of the employee for this job. Duties, responsibilities and activities may change at any time with or without notice.  
TekSynap is a drug\-free workplace. We reserve the right to conduct drug testing in accordance with federal, state, and local laws. All employees and candidates may be subject to drug screening if deemed necessary to ensure a safe and compliant working environment. **EQUAL EMPLOYMENT OPPORTUNITY**
In order to provide equal employment and advancement opportunities to all individuals, employment decisions will be based on merit, qualifications, and abilities. TekSynap does not discriminate against any person because of race, color, creed, religion, sex, national origin, disability, age, genetic information or any other characteristic protected by law (referred to as “protected status”). This nondiscrimination policy extends to all terms, conditions, and privileges of employment as well as the use of all company facilities, participation in all company\-sponsored activities, and all employment actions such as promotions, compensation, benefits, and termination of employment.
TekSynap is committed to ensuring that our online application process provides an equal employment opportunity to all job seekers, including individuals with disabilities. If you believe you need a reasonable accommodation in order to search for a job opening or to submit an application, please contact hr@teksynap.com for assistance.</t>
        </is>
      </c>
    </row>
    <row r="112">
      <c r="A112" t="inlineStr">
        <is>
          <t>in-730cb408dd0778cb</t>
        </is>
      </c>
      <c r="B112" t="inlineStr">
        <is>
          <t>AI Engineer</t>
        </is>
      </c>
      <c r="C112" t="inlineStr">
        <is>
          <t>NuAxis Innovations</t>
        </is>
      </c>
      <c r="D112" t="inlineStr">
        <is>
          <t>indeed</t>
        </is>
      </c>
      <c r="E112">
        <f>HYPERLINK("https://www.indeed.com/viewjob?jk=730cb408dd0778cb", "https://www.indeed.com/viewjob?jk=730cb408dd0778cb")</f>
        <v/>
      </c>
      <c r="F112">
        <f>HYPERLINK("https://phg.tbe.taleo.net/phg02/ats/careers/v2/viewRequisition?org=NUAXINNO&amp;cws=39&amp;rid=3897", "https://phg.tbe.taleo.net/phg02/ats/careers/v2/viewRequisition?org=NUAXINNO&amp;cws=39&amp;rid=3897")</f>
        <v/>
      </c>
      <c r="G112" t="inlineStr">
        <is>
          <t>Remote, US</t>
        </is>
      </c>
      <c r="H112" s="2" t="n">
        <v>46049</v>
      </c>
      <c r="I112" t="inlineStr">
        <is>
          <t>**We are a federal IT company on a mission to make customer experience (CX) the center of every government solution.**
**Technology is our Passion. People are our Purpose.**
We know tech, but we love people. NuAxis is home to thinkers and feelers, engineers and artists. We work hard and support each other along the way. Teamwork is more than just a buzzword for us; it’s a state of mind.
We believe happy employees do amazing work, so join our team NOW! We are currently seeking a talented and motivated **AI Engineer** for a Full\-Time position.
### **Job Overview:**
The CIO Human Resources Tech Services (HRTS) team is focused on leveraging technology to optimize HR business functions, including recruitment, employee engagement, performance management, and data analytics. The integration of AI technologies is essential to streamline these processes and provide data\-driven insights.
### **Key Responsibilities**
* Conduct a thorough assessment of the current HRTS applications landscape and document existing gaps and opportunities for AI and automation
* Propose solutions and recommendations for system enhancements, including software updates, integrations, and process improvements
* Generate AI models and algorithms for HR\-related use cases
* Develop project documentation, including project plans, timelines, and progress reports
* Communicate effectively with team members, stakeholders, and business partners
### **Required Experience and Skills**
* Four (4\) years of proven work experience as an AI Engineer or in a similar role
* Minimum of 3–5 years of experience in software development leveraging AI, analytics support, and leadership responsibilities
* Hands\-on knowledge of the following technologies:
	+ Oracle Forms/Reports
	+ SAP ERP
	+ WebSphere
	+ Apache Tomcat
	+ Java
	+ Python
	+ GitHub
### **Educational Requirements**
* A four\-year degree from an accredited college or university in a relevant field is preferred
* If the resource does not have a relevant college degree, an additional four (4\) years of relevant work experience is required
 **Does this opportunity sound like a fit for you? If so, join our talent community and click to apply now!!**
**Our Profile:**
We are an IT company with a unique mission—to make people the center of every federal IT solution. Our technologists have always gone the extra mile to help our federal clients succeed. And over the years, we saw a growing disconnect in how federal IT initiatives were built and managed. Time after time, programs failed because the focus was on the tools and products and not the people using them. **Learn More**
NuAxis is an Equal Opportunity Employer. Employment is contingent upon successful completion of a background investigation. **Learn More** about our Benefits and Culture!
\#NAI \#DICE</t>
        </is>
      </c>
    </row>
    <row r="113">
      <c r="A113" t="inlineStr">
        <is>
          <t>in-c996331aa07a1a2d</t>
        </is>
      </c>
      <c r="B113" t="inlineStr">
        <is>
          <t>Data &amp; AI Engineer (Remote)</t>
        </is>
      </c>
      <c r="C113" t="inlineStr">
        <is>
          <t>FortifyIQ</t>
        </is>
      </c>
      <c r="D113" t="inlineStr">
        <is>
          <t>indeed</t>
        </is>
      </c>
      <c r="E113">
        <f>HYPERLINK("https://www.indeed.com/viewjob?jk=c996331aa07a1a2d", "https://www.indeed.com/viewjob?jk=c996331aa07a1a2d")</f>
        <v/>
      </c>
      <c r="F113">
        <f>HYPERLINK("https://grnh.se/6o2p49sp5us", "https://grnh.se/6o2p49sp5us")</f>
        <v/>
      </c>
      <c r="G113" t="inlineStr">
        <is>
          <t>Remote, US</t>
        </is>
      </c>
      <c r="H113" s="2" t="n">
        <v>46049</v>
      </c>
      <c r="I113" t="inlineStr">
        <is>
          <t>We're seeking a Data \&amp; AI Engineer to develop intelligent data pipelines and analytics solutions that power smarter decisions across silicon design, verification, and manufacturing. You'll transform engineering data into actionable insights through automation, modeling, and visualization.
**Responsibilities**
* Build and maintain data pipelines to support machine learning and analytics workflows.
* Collect, clean, and transform large, complex datasets from engineering environments.
* Develop and train predictive models for yield, performance, and anomaly detection.
* Automate recurring data analysis tasks and integrate models into engineering processes.
* Collaborate with design and software teams to embed AI\-driven insights into products.
* Create dashboards and visualization tools for reporting and decision\-making.
* Document code, models, and processes for transparency and reproducibility.
**Qualifications**
* Proficiency in Python and ML frameworks (TensorFlow, PyTorch, Scikit\-learn).
* Strong skills in data manipulation (Pandas, NumPy, SQL).
* Experience with workflow orchestration (Airflow, Spark, or similar).
* 3–5 years of experience in data engineering or applied AI.
* Bachelor's degree in Electrical Engineering, Computer Science, or related field.
**Preferred / Plus**
* Familiarity with semiconductor design, verification, or manufacturing datasets.
* Understanding of statistical modeling and predictive maintenance.
* Experience with cloud environments (AWS, Azure, GCP) and version control (Git).
* Knowledge of MLOps principles (deployment, monitoring, CI/CD).</t>
        </is>
      </c>
    </row>
    <row r="114">
      <c r="A114" t="inlineStr">
        <is>
          <t>in-dcfc9d5137e7d2ab</t>
        </is>
      </c>
      <c r="B114" t="inlineStr">
        <is>
          <t>Sr Cloud Machine Learning Engineer</t>
        </is>
      </c>
      <c r="C114" t="inlineStr">
        <is>
          <t>Healthfirst (New York)</t>
        </is>
      </c>
      <c r="D114" t="inlineStr">
        <is>
          <t>indeed</t>
        </is>
      </c>
      <c r="E114">
        <f>HYPERLINK("https://www.indeed.com/viewjob?jk=dcfc9d5137e7d2ab", "https://www.indeed.com/viewjob?jk=dcfc9d5137e7d2ab")</f>
        <v/>
      </c>
      <c r="F114">
        <f>HYPERLINK("https://careers.healthfirst.org/careersmarketplace/ApplicationMethods?pipelineId=15811", "https://careers.healthfirst.org/careersmarketplace/ApplicationMethods?pipelineId=15811")</f>
        <v/>
      </c>
      <c r="G114" t="inlineStr">
        <is>
          <t>Remote, US</t>
        </is>
      </c>
      <c r="H114" s="2" t="n">
        <v>46049</v>
      </c>
      <c r="I114" t="inlineStr">
        <is>
          <t>The Machine Learning Engineer – Enterprise Analytics, brings the technical rigor of a cloud engineer to the ad hoc analysis of a data scientist. Specifically, they will build out data infrastructure best\-practices to support the integration of advanced analytical insights into all aspects of Healthfirst as a business. The ML engineer will get the right information for the right people, and improve the quality of the healthcare experience for 1\.4 million New Yorkers.**Duties \&amp; Responsibilities**:
* You will work with the data science team to develop and deploy and monitor big data scale insights.
* We will work with the cloud team create, monitor and improve best\-practice data architecture design
* You will work cross\-functionally with our cloud development team and product design team.
* You will shape the direction of advanced analytics at Healthfirst.
* You’ll build out data pipeline solutions for a wide range of structured and unstructured data, with an emphasis on prototyping and refinement.
**Minimum Qualifications:**
* Bachelor’s Degree from an accredited institution in Computer Science or other quantitative discipline.
* 1\-2 years scripting experience in Python.
* Can deploy programming solutions via API’s for ease of application integration.
* Experience moving the Jupyter Notebook style prototype into large\-scale production.
* Words like Java, Scala, Python, Spark, PyTorch, Hive mean something important to you.
* Experience presenting to cross functional groups within an organization.
* Had some experience working in a cloud platform.
* Familiarity with the statistician’s toolset: Regression, hypothesis testing, bootstrapping and machine learning methods.
* Adherence to coding reliability/versioning standards.
* A concern for reliability and disciplined experimentation with the promotion of new projects.
* Excellent teamwork skills
* Can apply QA criteria rigorously
**Preferred Qualifications:**
* You have deployed a large\-scale software product in a production environment.
* Excellent data manipulation skills – Pandas, dplyr, SQL.
* Ability to work with large data sets – you can quickly create a data model and summarize information.
* Good at picking up new tools to solve new problems.
* Can work with traditional databases, NLP methods, audio\-signal processing, and NoSQL type databasing.
* Worked with pyTorch, TensorFlow, H20
* Created statistical analyses/ models / anomaly detection
* Knowledge of Medicare and Medicaid regulations as they pertain to managed care organizations.
* Knowledge of the healthcare policy landscape.
* Experience with Tableau/ Excel
* Experience with Agile
* Experience with AWS or another cloud computing environment
* Master's Degree from an accredited institution.
Hiring Range\*:
* Greater New York City Area (NY, NJ, CT residents): $134,600 \- $194,480
* All Other Locations (within approved locations): $119,600 \- $177,905
As a candidate for this position, your salary and related elements of compensation will be contingent upon your work experience, education, licenses and certifications, and any other factors Healthfirst deems pertinent to the hiring decision.
In addition to your salary, Healthfirst offers employees a full range of benefits such as, medical, dental and vision coverage, incentive and recognition programs, life insurance, and 401k contributions (all benefits are subject to eligibility requirements). Healthfirst believes in providing a competitive compensation and benefits package wherever its employees work and live.
* *The hiring range is defined as the lowest and highest salaries that Healthfirst in “good faith” would pay to a new hire, or for a job promotion, or transfer into this role.*
119600\-177905</t>
        </is>
      </c>
    </row>
    <row r="115">
      <c r="A115" t="inlineStr">
        <is>
          <t>in-31b38cb913515086</t>
        </is>
      </c>
      <c r="B115" t="inlineStr">
        <is>
          <t>Senior Machine Learning Engineer</t>
        </is>
      </c>
      <c r="C115" t="inlineStr">
        <is>
          <t>Etegent Technologies, LTD</t>
        </is>
      </c>
      <c r="D115" t="inlineStr">
        <is>
          <t>indeed</t>
        </is>
      </c>
      <c r="E115">
        <f>HYPERLINK("https://www.indeed.com/viewjob?jk=31b38cb913515086", "https://www.indeed.com/viewjob?jk=31b38cb913515086")</f>
        <v/>
      </c>
      <c r="F115">
        <f>HYPERLINK("https://recruiting.paylocity.com/recruiting/jobs/Details/3873756/Etegent-Technologies-LTD/Senior-Machine-Learning-Engineer?source=Indeed_Feed", "https://recruiting.paylocity.com/recruiting/jobs/Details/3873756/Etegent-Technologies-LTD/Senior-Machine-Learning-Engineer?source=Indeed_Feed")</f>
        <v/>
      </c>
      <c r="G115" t="inlineStr">
        <is>
          <t>Beavercreek, OH, US</t>
        </is>
      </c>
      <c r="H115" s="2" t="n">
        <v>46049</v>
      </c>
      <c r="I115" t="inlineStr">
        <is>
          <t>Description:
**Senior Machine Learning Engineer**
**About the Company:**
Etegent Technologies is a defense\-focused technology company with offices in Beavercreek and Blue Ash, OH. We are a multi\-disciplinary team of engineers, scientists, and management professionals dedicated to developing and commercializing AI/ML/Software solutions that address our customers’ most significant challenges and opportunities.
Most important to us are our culture and values. Etegent’s culture embodies respect, authenticity, collaboration, flexibility, curiosity, and fun.
**The Position:**
Etegent is seeking Machine Learning Engineers (MLEs) to work with our Intelligence, Surveillance, and Reconnaissance (ISR) group based in the Beavercreek office. MLEs will work in a team environment with Etegent teammates, customers, and other researchers from leading academic institutions, government organizations and commercial entities.
We deliver solutions in the domains of AI/ML, data science, software, and visualization to address geospatial intelligence (GEOINT) challenges for Department of Defense and Intelligence Community (DoD/IC) customers. We develop data science tools to analyze large, diverse datasets from a variety of sensor types (SAR, ISAR, GMTI, HIS, EO, IR). We design and implement algorithms to perform pattern recognition, such as statistical and deep learning techniques, to identify meaningful trends and patterns. We wrap these algorithms in accessible, scalable software to be deployed on customer systems, often requiring containerized software and custom user interfaces for visualization.
This position is based in Beavercreek, OH with the expectation of being in Etegent’s office or at a customer facility 5 days a week.
**The Candidate:**
More so than seeking a candidate with specific niche training, Etegent is seeking a technical leader defined by innate curiosity and a "product\-first" mindset. They understand that the best model is the one that solves the customer's problem within pragmatic constraints. We need a Senior MLE who is not just technically sharp, but also an effective mentor and a savvy communicator. We are seeking someone who can navigate the ambiguity of client requirements and translate them into actionable research paths for the team.
**Job Responsibilities:**
* Lead project teams through the full R\&amp;D lifecycle. You will be responsible for aligning technical execution with schedules, budgets, and client expectations.
* Maintain a 50/50 balance between leadership and technical execution. We need a leader who can both be "in the trenches" designing algorithms and can handle project oversight and mentorship.
* Serve as a primary technical interface for our customers. This involves translating complex algorithmic concepts into clear, value\-driven updates and navigating stakeholder feedback with transparency.
* Architect and oversee the implementation of signature exploitation algorithms. You’ll determine the best path towards addressing the customer need – whether by traditional feature extraction or modern deep learning approaches.
* Support business development and growth. This includes partnering with leadership on the bidding process, drafting white papers, and presenting technical solutions to prospective clients.
* Elevate the team through active mentorship. You will provide high\-level project oversight and lead constructive research reviews to improve the group's collective output.
* Own the documentation and reporting process. You’ll ensure that project updates, proposals, and final reports present a cohesive, professional narrative.
* Build for scale. You’ll drive the development of data science tools to handle the ingestion and analysis of diverse, large\-scale datasets.
* Standardize quality and rigor. You will reinforce best practices for data analytics and performance evaluation to ensure our results are repeatable across different applications.
* Promote a culture of humility. Encourage an "ego\-less" engineering environment where diverse perspectives are valued and feedback is focused on the best technical outcome.
Requirements:
**Required Qualifications:**
* Bachelor's Degree in the fields of Computer Science, Engineering, Physics, Applied Math, or Statistics.
* 4\-5 years of previous signal processing, computer vision, and/or machine learning experience.
* Previous experience leading project teams for government contracts.
* Experience maintaining successful relationships and developing business with R\&amp;D customers.
* Experience developing software tools capable of deriving value from large, diverse datasets.
* Background in data science, statistics, and/or computer vision.
* Experience with Python, GIT, and Linux.
* Ability to acquire and maintain up to a TS security clearance
**Preferred Qualifications:**
* Active TS security clearance
* Experience with remote sensing data products such as SAR, ISAR, EO, GMTI, HSI, and OPIR.
* Experience creating python\-based user interfaces for data visualization.
* Familiarity with DoD/IC customers.
* History of technical presentations and publications in relevant fields.
**Attributes:**
* Pragmatic decision\-maker who understands when to push the envelope with new research and when to prioritize a stable, proven solution to meet a deadline.
* Invested mentor who takes pride in the professional growth of junior staff and fosters a collaborative, ego\-less environment through active listening and constructive feedback.
* Independent and innovative thinker with an ability to work in an autonomous environment.
* Demonstrates curiosity with a focus on innovating solutions for tasks.
* Effective communicator who can collaborate with teammates and customers to solve problems.
* Able to take personal ownership and responsibility over their work.
**Working at Etegent:**
At Etegent, you'll be a part of a fast\-growing organization that combines a small\-company feel with big\-company resources and opportunities. We know that work\-life balance is incredibly important, which is why in addition to your competitive salary, medical/dental/vision plan, and a generous annual company 401(k) contribution, you'll enjoy the following:
Flexibility: Not a morning person? No problem. We only ask that you begin your day by 10:00am. Also, you will enjoy a flexible schedule and some ability to telecommute.
Casual Dress: We know that incredible things can be achieved by people in casual clothing. We allow employees to dress in the way that is the most comfortable to them.
Professional Development: Continuous learning on us. Reimbursement provided for up to 100% of qualifying education expenses.
Food: Keep your energy levels up with our well\-supplied snack and beverage kitchen and enjoy a weekly lunch with your talented colleagues on Free Lunch Thursdays.
Fun employee events: Enjoy frequent employee get\-togethers outside of work!
Competitive compensation based on qualifications and experience of candidate.
Etegent Technologies is an Equal Opportunity Employer. All qualified applicants will receive consideration for employment without regard to race, color, religion, sexual orientation, gender identity, national origin, protected veteran status or disability.</t>
        </is>
      </c>
    </row>
    <row r="116">
      <c r="A116" t="inlineStr">
        <is>
          <t>in-dcf5e41e429d23d0</t>
        </is>
      </c>
      <c r="B116" t="inlineStr">
        <is>
          <t>Machine Learning Engineer</t>
        </is>
      </c>
      <c r="C116" t="inlineStr">
        <is>
          <t>Etegent Technologies, LTD</t>
        </is>
      </c>
      <c r="D116" t="inlineStr">
        <is>
          <t>indeed</t>
        </is>
      </c>
      <c r="E116">
        <f>HYPERLINK("https://www.indeed.com/viewjob?jk=dcf5e41e429d23d0", "https://www.indeed.com/viewjob?jk=dcf5e41e429d23d0")</f>
        <v/>
      </c>
      <c r="F116">
        <f>HYPERLINK("https://recruiting.paylocity.com/recruiting/jobs/Details/3873760/Etegent-Technologies-LTD/Machine-Learning-Engineer?source=Indeed_Feed", "https://recruiting.paylocity.com/recruiting/jobs/Details/3873760/Etegent-Technologies-LTD/Machine-Learning-Engineer?source=Indeed_Feed")</f>
        <v/>
      </c>
      <c r="G116" t="inlineStr">
        <is>
          <t>Beavercreek, OH, US</t>
        </is>
      </c>
      <c r="H116" s="2" t="n">
        <v>46049</v>
      </c>
      <c r="I116" t="inlineStr">
        <is>
          <t>Description:
**Machine Learning Engineer**
**About the Company:**
Etegent Technologies is a defense\-focused technology company with offices in Beavercreek and Blue Ash, OH. We are a multi\-disciplinary team of engineers, scientists, and management professionals dedicated to developing and commercializing AI/ML/Software solutions that address our customers’ most significant challenges and opportunities.
Most important to us are our culture and values. Etegent’s culture embodies respect, authenticity, collaboration, flexibility, curiosity, and fun.
**The Position:**
Etegent is seeking Machine Learning Engineers (MLEs) to work with our Intelligence, Surveillance, and Reconnaissance (ISR) group based in the Beavercreek office. MLEs will work in a team environment with Etegent teammates, customers, and other researchers from leading academic institutions, government organizations and commercial entities.
We deliver solutions in the domains of AI/ML, data science, software, and visualization to address geospatial intelligence (GEOINT) challenges for Department of Defense and Intelligence Community (DoD/IC) customers. We develop data science tools to analyze large, diverse datasets from a variety of sensor types (SAR, ISAR, GMTI, HIS, EO, IR). We design and implement algorithms to perform pattern recognition, such as statistical and deep learning techniques, to identify meaningful trends and patterns. We wrap these algorithms in accessible, scalable software to be deployed on customer systems, often requiring containerized software and custom user interfaces for visualization.
This position is based in Beavercreek, OH with the expectation of being in Etegent’s office or at a customer facility 5 days a week.
**The Candidate:**
More so than seeking a candidate with specific training and experience, Etegent is seeking a candidate with an innate curiosity and passion for learning and understanding, tempered by a recognition of the pragmatic constraints inherent in developing real solutions to real problems. Etegent needs an MLE who is flexible and adaptable, having the desire and ability to learn new skills and develop new capabilities to take on challenges outside their current realm of experience. We are seeking very sharp, curious, well\-rounded, adaptable people who can learn and grow as required to confront the challenges at hand.
**Job Responsibilities:**
* Effectively communicate status updates, and other important information, with the team and group leader.
* Execute research\-and\-development tasks in close collaboration with the team and group leader according to a set project schedule.
* Gives effective feedback to others; contributes to the writing of project updates and final reports.
* Understand, design, and implement algorithms for signature exploitation. This includes traditional feature extraction and state\-of\-the\-art deep learning approaches.
* Implement efficient signal/image processing techniques including radar signal processing, electro\-optical and infrared image processing.
* Develop and deploy data science tools for ingestion, visualization, and analysis of large, diverse data sources.
* Implement machine learning, data mining and statistical algorithms for pattern recognition and anomaly detection.
* Provide expertise in data analytics and algorithm development for diverse data sources and applications.
* Apply statistical techniques to evaluate algorithm performance.
* Coordinate with teammates and users to instantiate research concepts in efficient, modular, and well\-documented software.
Requirements:
**Required Qualifications:**
* Bachelor’s Degree in the fields of Computer Science, Engineering, Physics, Applied Math, or Statistics.
* 2\-3 years of previous signal processing, computer vision, or machine learning experience.
* Experience developing ML models using standard ML frameworks (PyTorch, Tensorflow, or similar).
* Experience developing software tools capable of deriving value from large, diverse datasets.
* Background in data science, statistics, and/or computer vision.
* Experience creating python\-based user interfaces for data visualization.
* Experience with Python, GIT, and Linux.
* Ability to acquire and maintain up to a TS security clearance
**Preferred Qualifications:**
* Active TS security clearance
* Experience with remote sensing data products such as SAR, ISAR, EO, GMTI, HSI, and OPIR.
* Experience creating user interfaces with Dash, Streamlit, or other similar frameworks.
* Familiarity with DoD/IC customers.
* Experience maintaining successful relationships and developing business with R\&amp;D customers.
* History of technical presentations and publications in relevant fields.
**Attributes:**
* Independent and innovative thinker with an ability to work in an autonomous environment.
* Demonstrates curiosity with a focus on innovating solutions for tasks.
* Effective communicator who can collaborate with teammates and customers to solve problems.
* Able to take personal ownership and responsibility over their work.
**Working at Etegent:**
At Etegent, you'll be a part of a fast\-growing organization that combines a small\-company feel with big\-company resources and opportunities. We know that work\-life balance is incredibly important, which is why in addition to your competitive salary, medical/dental/vision plan, and a generous annual company 401(k) contribution, you'll enjoy the following:
Flexibility: Not a morning person? No problem. We only ask that you begin your day by 10:00am. Also, you will enjoy a flexible schedule and some ability to telecommute.
Casual Dress: We know that incredible things can be achieved by people in casual clothing. We allow employees to dress in the way that is the most comfortable to them.
Professional Development: Continuous learning on us. Reimbursement provided for up to 100% of qualifying education expenses.
Food: Keep your energy levels up with our well\-supplied snack and beverage kitchen and enjoy a weekly lunch with your talented colleagues on Free Lunch Thursdays.
Fun employee events: Enjoy frequent employee get\-togethers outside of work!
Competitive compensation based on qualifications and experience of candidate.
Etegent Technologies is an Equal Opportunity Employer. All qualified applicants will receive consideration for employment without regard to race, color, religion, sexual orientation, gender identity, national origin, protected veteran status or disability.</t>
        </is>
      </c>
    </row>
    <row r="117">
      <c r="A117" t="inlineStr">
        <is>
          <t>in-a2f3d819cd355971</t>
        </is>
      </c>
      <c r="B117" t="inlineStr">
        <is>
          <t>Machine Learning Engineer, WWPS ProServe Data and Machine Learning</t>
        </is>
      </c>
      <c r="C117" t="inlineStr">
        <is>
          <t>Amazon Web Services</t>
        </is>
      </c>
      <c r="D117" t="inlineStr">
        <is>
          <t>indeed</t>
        </is>
      </c>
      <c r="E117">
        <f>HYPERLINK("https://www.indeed.com/viewjob?jk=a2f3d819cd355971", "https://www.indeed.com/viewjob?jk=a2f3d819cd355971")</f>
        <v/>
      </c>
      <c r="F117">
        <f>HYPERLINK("https://www.amazon.jobs/jobs/3168182/machine-learning-engineer-wwps-proserve-data-and-machine-learning?cmpid=DA_INAD200785B", "https://www.amazon.jobs/jobs/3168182/machine-learning-engineer-wwps-proserve-data-and-machine-learning?cmpid=DA_INAD200785B")</f>
        <v/>
      </c>
      <c r="G117" t="inlineStr">
        <is>
          <t>Arlington, VA, US</t>
        </is>
      </c>
      <c r="H117" s="2" t="n">
        <v>46044</v>
      </c>
      <c r="I11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in-ea1558d630f45c00</t>
        </is>
      </c>
      <c r="B118" t="inlineStr">
        <is>
          <t>Machine Learning Engineer, WWPS ProServe Data and Machine Learning</t>
        </is>
      </c>
      <c r="C118" t="inlineStr">
        <is>
          <t>Amazon Web Services</t>
        </is>
      </c>
      <c r="D118" t="inlineStr">
        <is>
          <t>indeed</t>
        </is>
      </c>
      <c r="E118">
        <f>HYPERLINK("https://www.indeed.com/viewjob?jk=ea1558d630f45c00", "https://www.indeed.com/viewjob?jk=ea1558d630f45c00")</f>
        <v/>
      </c>
      <c r="F118">
        <f>HYPERLINK("https://www.amazon.jobs/jobs/3168182/machine-learning-engineer-wwps-proserve-data-and-machine-learning?cmpid=DA_INAD200785B", "https://www.amazon.jobs/jobs/3168182/machine-learning-engineer-wwps-proserve-data-and-machine-learning?cmpid=DA_INAD200785B")</f>
        <v/>
      </c>
      <c r="G118" t="inlineStr">
        <is>
          <t>Herndon, VA, US</t>
        </is>
      </c>
      <c r="H118" s="2" t="n">
        <v>46044</v>
      </c>
      <c r="I118"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9">
      <c r="A119" t="inlineStr">
        <is>
          <t>in-6c1b2c1956f1b811</t>
        </is>
      </c>
      <c r="B119" t="inlineStr">
        <is>
          <t>Machine Learning Engineer, WWPS ProServe Data and Machine Learning</t>
        </is>
      </c>
      <c r="C119" t="inlineStr">
        <is>
          <t>Amazon Web Services</t>
        </is>
      </c>
      <c r="D119" t="inlineStr">
        <is>
          <t>indeed</t>
        </is>
      </c>
      <c r="E119">
        <f>HYPERLINK("https://www.indeed.com/viewjob?jk=6c1b2c1956f1b811", "https://www.indeed.com/viewjob?jk=6c1b2c1956f1b811")</f>
        <v/>
      </c>
      <c r="F119">
        <f>HYPERLINK("https://www.amazon.jobs/jobs/3168180/machine-learning-engineer-wwps-proserve-data-and-machine-learning?cmpid=DA_INAD200785B", "https://www.amazon.jobs/jobs/3168180/machine-learning-engineer-wwps-proserve-data-and-machine-learning?cmpid=DA_INAD200785B")</f>
        <v/>
      </c>
      <c r="G119" t="inlineStr">
        <is>
          <t>Herndon, VA, US</t>
        </is>
      </c>
      <c r="H119" s="2" t="n">
        <v>46043</v>
      </c>
      <c r="I119"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20">
      <c r="A120" t="inlineStr">
        <is>
          <t>in-58d1045611eb5465</t>
        </is>
      </c>
      <c r="B120" t="inlineStr">
        <is>
          <t>Machine Learning Engineer, WWPS ProServe Data and Machine Learning</t>
        </is>
      </c>
      <c r="C120" t="inlineStr">
        <is>
          <t>Amazon Web Services</t>
        </is>
      </c>
      <c r="D120" t="inlineStr">
        <is>
          <t>indeed</t>
        </is>
      </c>
      <c r="E120">
        <f>HYPERLINK("https://www.indeed.com/viewjob?jk=58d1045611eb5465", "https://www.indeed.com/viewjob?jk=58d1045611eb5465")</f>
        <v/>
      </c>
      <c r="F120">
        <f>HYPERLINK("https://www.amazon.jobs/jobs/3168180/machine-learning-engineer-wwps-proserve-data-and-machine-learning?cmpid=DA_INAD200785B", "https://www.amazon.jobs/jobs/3168180/machine-learning-engineer-wwps-proserve-data-and-machine-learning?cmpid=DA_INAD200785B")</f>
        <v/>
      </c>
      <c r="G120" t="inlineStr">
        <is>
          <t>Arlington, VA, US</t>
        </is>
      </c>
      <c r="H120" s="2" t="n">
        <v>46043</v>
      </c>
      <c r="I120"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li-4356450785</t>
        </is>
      </c>
      <c r="B2" t="inlineStr">
        <is>
          <t>Staff / Senior Applied Scientist — Operations Research</t>
        </is>
      </c>
      <c r="C2" t="inlineStr">
        <is>
          <t>TraceLink</t>
        </is>
      </c>
      <c r="D2" t="inlineStr">
        <is>
          <t>linkedin</t>
        </is>
      </c>
      <c r="E2">
        <f>HYPERLINK("https://www.linkedin.com/jobs/view/4356450785", "https://www.linkedin.com/jobs/view/4356450785")</f>
        <v/>
      </c>
      <c r="F2">
        <f>HYPERLINK("https://www.tracelink.com/about/culture-and-careers/jobs?gh_jid=5034388007&amp;urlHash=TZFc", "https://www.tracelink.com/about/culture-and-careers/jobs?gh_jid=5034388007&amp;urlHash=TZFc")</f>
        <v/>
      </c>
      <c r="G2" t="inlineStr">
        <is>
          <t>Wilmington, MA</t>
        </is>
      </c>
      <c r="H2" t="inlineStr"/>
      <c r="I2" t="inlineStr">
        <is>
          <t>**Company overview:**
 TraceLink’s software solutions and Opus Platform help the pharmaceutical industry digitize their supply chain and enable greater compliance, visibility, and decision making. It reduces disruption to the supply of medicines to patients who need them, anywhere in the world.
 Founded in 2009 with the simple mission of protecting patients, today Tracelink has 8 offices, over 800 employees and more than 1300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**Staff / Senior Applied Scientist — AI/GenAI \&amp; ML Systems (Operations Research)**
**Overview**
 We are hiring a
 **Staff or Senior Applied Scientist** 
 to build and deploy advanced
 **AI/GenAI and ML systems** 
 grounded in
 **applied mathematics and Operations Research (OR)** 
 . This role is ideal for someone who can take ambiguous, high\-impact operational problems, turn them into clear mathematical/algorithmic formulations, and lead implementation end\-to\-end—
 **including writing production\-quality code** 
 .
 You’ll work at the intersection of
 **optimization, inference science, NLP, and reinforcement learning** 
 , with a strong emphasis on practical delivery and measurable business outcomes.
 **Supply chain optimization experience is a plus.**
**Key Responsibilities**
* Problem formulation: Translate business challenges into mathematical and computational models.
* Applied research: Evaluate and adapt existing approaches (OR models, AI/ML, GenAI/LLM methods).
* Algorithm development: Design and implement new algorithms when existing solutions fall short.
* Hands\-on execution: Build prototypes, run experiments, and lead production implementation (you code).
* Technical leadership: Drive solution architecture, performance evaluation, and operational readiness.
* Collaboration: Partner with product, engineering, and domain teams to deliver scalable solutions.
**Required Expertise**
* Strong applied mathematics background with depth in Operational Research, including one or more of:
+ Linear / Mixed\-Integer Optimization (LP/MIP)
+ Constraint Programming
+ Network / Graph Optimization
+ Stochastic / Robust Optimization
+ Simulation, heuristics, or metaheuristics
* Research or applied experience in at least one of:
+ Inference science (e.g., causal inference, Bayesian methods, uncertainty modeling)
+ NLP (e.g., retrieval, embeddings, information extraction, LLM systems)
+ Reinforcement Learning (e.g., bandits, sequential decision\-making, offline RL)
* Proven ability to implement algorithms and deliver real systems end\-to\-end.
* Strong coding skills in Python and familiarity with relevant scientific/ML tooling.
**Preferred Qualifications**
* Experience in supply chain optimization (planning, inventory, logistics, fulfillment, scheduling).
* Experience building GenAI/LLM\-enabled decision systems (e.g., RAG, tool\-augmented agents, evaluation frameworks).
* Background shipping applied science solutions into production environments.
**Typical Profile**
* PhD (preferred) or MS in Applied Math, Operations Research, Industrial Engineering, Computer Science, Statistics, or equivalent industry experience.
* Demonstrated ability to combine scientific rigor with practical execution and delivery.
**What Makes This Role Unique**
* High\-impact, real\-world optimization and decision problems.
* Freedom to apply the best approach: OR, ML, RL, GenAI, or hybrid methods.
* Senior technical ownership with a strong hands\-on build\-and\-ship expectation.
 TraceLink is committed to providing competitive compensation and benefits to all employees. This is the estimated base salary range for this role and should serve only as a guide. Final compensation offered may vary based on a variety of factors including but not limited to experience level, fit for the role, skills, domain knowledge, internal equity, budget, and location.
 US Pay Range
 $175,289\.18—$215,588\.58 USD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t>
        </is>
      </c>
    </row>
    <row r="3">
      <c r="A3" t="inlineStr">
        <is>
          <t>li-4356610782</t>
        </is>
      </c>
      <c r="B3" t="inlineStr">
        <is>
          <t>Staff/Senior Applied Scientist, AI/GenAI &amp; ML Systems</t>
        </is>
      </c>
      <c r="C3" t="inlineStr">
        <is>
          <t>TraceLink</t>
        </is>
      </c>
      <c r="D3" t="inlineStr">
        <is>
          <t>linkedin</t>
        </is>
      </c>
      <c r="E3">
        <f>HYPERLINK("https://www.linkedin.com/jobs/view/4356610782", "https://www.linkedin.com/jobs/view/4356610782")</f>
        <v/>
      </c>
      <c r="F3">
        <f>HYPERLINK("https://www.tracelink.com/about/culture-and-careers/jobs?gh_jid=5034390007&amp;urlHash=-AcJ", "https://www.tracelink.com/about/culture-and-careers/jobs?gh_jid=5034390007&amp;urlHash=-AcJ")</f>
        <v/>
      </c>
      <c r="G3" t="inlineStr">
        <is>
          <t>Wilmington, MA</t>
        </is>
      </c>
      <c r="H3" t="inlineStr"/>
      <c r="I3" t="inlineStr">
        <is>
          <t>**Company overview:**
 TraceLink’s software solutions and Opus Platform help the pharmaceutical industry digitize their supply chain and enable greater compliance, visibility, and decision making. It reduces disruption to the supply of medicines to patients who need them, anywhere in the world.
 Founded in 2009 with the simple mission of protecting patients, today Tracelink has 8 offices, over 800 employees and more than 1300 customers in over 60 countries around the world. Our expanding product suite continues to protect patients and now also enhances multi\-enterprise collaboration through innovative new applications such as MINT.
 Tracelink is recognized as an industry leader by Gartner and IDC, and for having a great company culture by Comparably.
 Staff / Senior Applied Scientist, GenAI \&amp; ML Systems
**Location:** 
 Boston, MA (US)
**About The Role**
 We are hiring a
 **Staff / Senior Applied Scientist** 
 to lead the design and deployment of
 **production\-grade GenAI and ML systems** 
 with a strong emphasis on being
 **hands\-on** 
 . You will personally build, iterate, and ship systems focused on
 **LLM/SLM optimization for agentic, multi\-agent architectures** 
 in cloud environments.
 This role is ideal for someone with deep expertise in one or more areas of LLM/SLM optimization for agent\-based systems, and hands\-on experience in designing, implementing, and operating
 **large\-scale multi\-agent systems in the cloud** 
 .
**Key Responsibilities**
* Hands\-on ownership of building and shipping multi\-agent systems (planner/executor, tool\-using agents, supervisor patterns, routing, role\-based agents) from prototype to production.
* Write production\-quality code for agent orchestration, tool integration, memory/state design, and context management.
* Lead context engineering strategies for multi\-agent coordination: prompt design, state persistence, agent handoffs, grounding, constraints, and safety controls.
* Hands\-on fine\-tune and deploy SLM models for production usage: dataset creation, training workflows, evaluation, and inference serving.
* Build Advanced RAG pipelines end\-to\-end, including semantic search, embeddings, hybrid retrieval, and cross\-encoder reranking.
* Implement evaluation frameworks for multi\-agent systems covering quality, latency, cost, robustness, and failure mode detection.
* Collaborate with platform and product engineering to ensure solutions are cloud\-native, secure, observable, and scalable (monitoring, logging, CI/CD).
* Optimize for cost and latency via model routing, caching, compression strategies, and inference efficiency improvements.
* Mentor peers through code reviews, architecture sessions, and hands\-on technical leadership.
**Required Knowledge \&amp; Experience**
* Context engineering for complex multi\-agent systems (prompt orchestration, tool calling, memory/state design, routing, constraint handling)
* Fine\-tuning of SLMs and delivering them to production (training strategies, validation, deployment, monitoring, rollback readiness)
* Experience with Advanced RAG, semantic search, embeddings, and cross\-encoders (retrieval tuning, chunking strategies, query rewriting/planning, reranking)
* Ability to translate ambiguous requirements into concrete architectures, metrics, and deliverables
* Hands\-on inference optimization experience: quantization, distillation, batching, caching, model routing, speculative decoding
* Experience building retrieval systems at scale using vector DBs and search stacks
* Comfort working across the full lifecycle: research → prototype → A/B test → production hardening
**Preferred Qualifications**
* Familiarity with enterprise constraints: privacy, security, data governance, permissions, auditability
* Experience designing and running GenAI observability: traces, prompt/versioning, tool call logging, feedback loops
* Strong ability to implement production\-quality systems in Python (and/or adjacent backend languages)
* Proven experience deploying GenAI/ML systems in cloud environments (AWS/Azure/GCP)
* Experience with scalable inference and service operations: containers, APIs, observability, reliability practices
* MS/PhD in CS/ML/NLP/Stats (or equivalent applied experience building production systems)
 TraceLink is committed to providing competitive compensation and benefits to all employees. This is the estimated base salary range for this role and should serve only as a guide. Final compensation offered may vary based on a variety of factors including but not limited to experience level, fit for the role, skills, domain knowledge, internal equity, budget, and location.
 US Pay Range
 $151,999\.74—$189,263\.73 USD
*Please see the Tracelink Privacy Policy for more information on how Tracelink processes your personal information during the recruitment process and, if applicable based on your location, how you can exercise your privacy rights. If you have questions about this privacy notice or need to contact us in connection with your personal data, including any requests to exercise your legal rights referred to at the end of this notice, please contact Candidate\-Privacy@tracelink.com.*</t>
        </is>
      </c>
    </row>
    <row r="4">
      <c r="A4" t="inlineStr">
        <is>
          <t>li-4366916517</t>
        </is>
      </c>
      <c r="B4" t="inlineStr">
        <is>
          <t>Machine Learning Engineer (New Grad)</t>
        </is>
      </c>
      <c r="C4" t="inlineStr">
        <is>
          <t>MAI Agents</t>
        </is>
      </c>
      <c r="D4" t="inlineStr">
        <is>
          <t>linkedin</t>
        </is>
      </c>
      <c r="E4">
        <f>HYPERLINK("https://www.linkedin.com/jobs/view/4366916517", "https://www.linkedin.com/jobs/view/4366916517")</f>
        <v/>
      </c>
      <c r="F4">
        <f>HYPERLINK("https://jobs.ashbyhq.com/mai/ce652487-8c1e-4cb1-a616-693334798623/application?utm_source=namYR4jpGa&amp;urlHash=9X9A", "https://jobs.ashbyhq.com/mai/ce652487-8c1e-4cb1-a616-693334798623/application?utm_source=namYR4jpGa&amp;urlHash=9X9A")</f>
        <v/>
      </c>
      <c r="G4" t="inlineStr">
        <is>
          <t>Mountain View, CA</t>
        </is>
      </c>
      <c r="H4" t="inlineStr"/>
      <c r="I4" t="inlineStr">
        <is>
          <t>**About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and we couldn’t be more excited about building the future of growth marketing.
****Why Join Now****
 While traditional software has a clear playbook, building the infrastructure for autonomous, intelligent agents is a new frontier—and we're writing the manual.
 As a New Grad Machine Learning Engineer at MAI, you won't just be writing code; you'll contribute to helping architect the entire ecosystem where our AI agents live, learn, and operate. You will have a unique opportunity to apply your
 **deep research expertise** 
 to real\-world, high\-impact problems.
 This is a rare opportunity to build a truly AI\-native product from the ground up and solve problems at the forefront of the industry.
 You won't just be a cog in a large machine.
 **You'll learn how to be an athlete** 
 on a small, focused team of fewer than ten engineers, with immense impact and the ability to shape the future of our company. We're in the early days of forming three core teams:
* Product Engineering \&amp; Infrastructure
* AI Platform \&amp; Foundation
* Agent Application \&amp; Quality
 You'll have the unique chance to learn and grow your skillset. We encourage you to lean on your specializations while taking on new projects you've never done before,
 **learning from your peers** 
 and becoming a more well\-rounded engineer.
****What You’ll Do****
* Architect and Prototype Novel Solutions: You will apply your advanced research skills to design and prototype new features for our core agentic platform, exploring cutting\-edge algorithms and architectures to improve our autonomous agents' capabilities. This isn't just about building, it's about inventing.
* Contribute to a Robust Platform: Design, build, and maintain the critical infrastructure that supports our autonomous agents, focusing on scalability, reliability, and performance.
* Tackle Complex Challenges: Solve novel, ambiguous problems at the intersection of AI, large\-scale systems, and high\-stakes performance marketing.
* Collaborate and Grow: Work closely with a world\-class team of engineers and researchers, engaging in design discussions, code reviews, and knowledge sharing to advance our collective understanding of agentic systems.
****What You'll Bring****
* A Master’s or PhD’s degree in Computer Science or a related quantitative field, OR a Bachelor's degree with strong internship, project\-related software engineering experience.
* A strong theoretical foundation and a proven ability to conduct and apply original research.
* Proficiency in a modern programming language (e.g., Python).
* Passion for turning groundbreaking research into robust, scalable production systems.
* Machine Learning/AI: Experience implementing or fine\-tuning models from research papers, or a strong publication record in top\-tier conferences.
* Large Language Models (LLMs): Hands\-on experience with LLM\-based systems, including a deep understanding of their underlying architectures and challenges like hallucination or prompt engineering.
*Bonus points for experience in any of the following:*
* Complex Systems: Experience designing and debugging large\-scale distributed systems or data pipelines.
****Why You’ll Love Working at MAI****
* Unparalleled Learning: You'll be at the forefront of AI engineering, solving novel challenges in building scalable, reliable systems for autonomous agents and LLMs.
* High Impact: As an early member of a lean and powerful team, your work will directly shape our core platform, our culture, and the success of our customers.
* A Culture of Curiosity: We're a tight\-knit team of passionate builders who value transparency, first\-principles thinking, and a relentless drive to solve hard problems together.
* Ownership: We believe in empowering our team. You'll have autonomy over your work with mentorship support from an assigned team member.
****Compensation and Benefits:****
 We're offering a stake in our success and a commitment to your well\-being. Our total compensation package is designed to support you, both professionally and personally:
* Salary: A base salary range of $90,000 to $140,000\.
* Equity: We want you to feel invested in our mission, which is why we offer meaningful equity.
* Health and Wellness: Our medical, dental and vision coverage is designed to take care of you and your family.
* 401(k): We'll help you build for your future with a competitive 401(k) program.
 Are you ready to build the future with us? We believe in a holistic approach to hiring. If you're passionate about our mission and have a drive to learn and grow, we encourage you to apply even if you don't meet every single requirement. We value potential, curiosity, and hunger. We can't wait to hear from you.
 Compensation Range: $90K \- $140K</t>
        </is>
      </c>
    </row>
    <row r="5">
      <c r="A5" t="inlineStr">
        <is>
          <t>li-4366918307</t>
        </is>
      </c>
      <c r="B5" t="inlineStr">
        <is>
          <t>AI/ML Engineer (Entry Position)</t>
        </is>
      </c>
      <c r="C5" t="inlineStr">
        <is>
          <t>Pragmatike</t>
        </is>
      </c>
      <c r="D5" t="inlineStr">
        <is>
          <t>linkedin</t>
        </is>
      </c>
      <c r="E5">
        <f>HYPERLINK("https://www.linkedin.com/jobs/view/4366918307", "https://www.linkedin.com/jobs/view/4366918307")</f>
        <v/>
      </c>
      <c r="F5">
        <f>HYPERLINK("https://jobs.ashbyhq.com/pragmatike/03d005bc-309d-4b95-a82a-dc131c0efc88/application?utm_source=pKPejxJ0kE&amp;urlHash=dNmJ", "https://jobs.ashbyhq.com/pragmatike/03d005bc-309d-4b95-a82a-dc131c0efc88/application?utm_source=pKPejxJ0kE&amp;urlHash=dNmJ")</f>
        <v/>
      </c>
      <c r="G5" t="inlineStr">
        <is>
          <t>Boston, MA</t>
        </is>
      </c>
      <c r="H5" t="inlineStr"/>
      <c r="I5"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6">
      <c r="A6" t="inlineStr">
        <is>
          <t>li-4366922038</t>
        </is>
      </c>
      <c r="B6" t="inlineStr">
        <is>
          <t>AI/ML Engineer (Entry Position)</t>
        </is>
      </c>
      <c r="C6" t="inlineStr">
        <is>
          <t>Pragmatike</t>
        </is>
      </c>
      <c r="D6" t="inlineStr">
        <is>
          <t>linkedin</t>
        </is>
      </c>
      <c r="E6">
        <f>HYPERLINK("https://www.linkedin.com/jobs/view/4366922038", "https://www.linkedin.com/jobs/view/4366922038")</f>
        <v/>
      </c>
      <c r="F6">
        <f>HYPERLINK("https://jobs.ashbyhq.com/pragmatike/03d005bc-309d-4b95-a82a-dc131c0efc88/application?utm_source=pKPejxJ0kE&amp;urlHash=dNmJ", "https://jobs.ashbyhq.com/pragmatike/03d005bc-309d-4b95-a82a-dc131c0efc88/application?utm_source=pKPejxJ0kE&amp;urlHash=dNmJ")</f>
        <v/>
      </c>
      <c r="G6" t="inlineStr">
        <is>
          <t>Cambridge, MA</t>
        </is>
      </c>
      <c r="H6" t="inlineStr"/>
      <c r="I6" t="inlineStr">
        <is>
          <t>**Location:** 
 Cambridge, MA (Eastern Time / UTC \-4\) ﻿
 **Relocation package available**
**Relocation package:** 
 Available
**Start date:** 
 ASAP
**Languages:** 
 English (required)
**About The Role**
 Pragmatike is hiring on behalf of a fast\-growing AI startup recognized as a
 **Top 10 GenAI company by GTM Capital** 
 , founded by
 **MIT CSAIL researchers** 
 .
 We are looking for an
 **AI/ML Engineer (Entry Position)** 
 to join a growing AI engineering team building and deploying real\-world AI systems used by
 **Fortune 500 customers** 
 . You will work closely with senior AI, ML, and platform engineers on the development, optimization, and deployment of machine learning models in production environments.
 This role is intended for engineers with
 **early professional experience** 
 who already have hands\-on exposure to applied machine learning and want to grow quickly by working on real, production\-scale AI systems.
**What Youll Do**
* Build, train, and evaluate machine learning models in collaboration with senior engineers
* Contribute to deploying ML models into production systems
* Work with structured and unstructured datasets to support training and inference pipelines
* Improve model performance, reliability, and scalability through experimentation
* Implement and maintain ML code primarily in Python
* Monitor model behavior and assist in debugging production issues
* Participate in model iteration, validation, and performance analysis
* Collaborate with backend and platform teams to integrate AI components into products
**What Were Looking For**
* Bachelors or Masters degree in Computer Science, Engineering, Mathematics, or a related field
* 2\+ years of professional experience working on AI, ML, or data\-driven systems (industry, research, or applied internships)
* Excellent academic background, including strong grades and demonstrated university\-level achievements
* Evidence of academic or professional excellence, such as scholarships, honors, awards, competitive programs, or impactful projects
* Solid understanding of machine learning fundamentals (supervised/unsupervised learning, evaluation metrics)
* Hands\-on experience with ML libraries such as PyTorch, TensorFlow, or scikit\-learn (required)
* Strong proficiency in Python
* Strong problem\-solving skills and the ability to work independently
**Bonus Points**
* Experience with deep learning, LLMs, or modern AI architectures
* Experience working with real\-world, noisy datasets in production
* Familiarity with cloud platforms (AWS, GCP, or Azure)
* Exposure to MLOps tools, model deployment, or monitoring
* Publications, research experience, or participation in AI/ML competitions
**Why This Role Will Pivot Your Career**
* Learn from MIT CSAIL–founded leadership and experienced AI engineers
* Work on AI systems deployed to Fortune 500 customers
* Apply strong academic and early professional experience to high\-impact AI problems
* Clear growth path toward mid\-level and senior AI engineering roles
* Join a well\-funded, fast\-growing AI startup with strong technical ambition
**Benefits**
* Competitive salary \&amp; equity options
* Sign\-on bonus
* Health, Dental, and Vision
* 401(k)
 ﻿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7">
      <c r="A7" t="inlineStr">
        <is>
          <t>li-4241285593</t>
        </is>
      </c>
      <c r="B7" t="inlineStr">
        <is>
          <t>Machine Learning Engineer (L5) - Content Understanding</t>
        </is>
      </c>
      <c r="C7" t="inlineStr">
        <is>
          <t>Netflix</t>
        </is>
      </c>
      <c r="D7" t="inlineStr">
        <is>
          <t>linkedin</t>
        </is>
      </c>
      <c r="E7">
        <f>HYPERLINK("https://www.linkedin.com/jobs/view/4241285593", "https://www.linkedin.com/jobs/view/4241285593")</f>
        <v/>
      </c>
      <c r="F7">
        <f>HYPERLINK("https://explore.jobs.netflix.net/careers/job/790303496227?utm_source=LinkedIn&amp;domain=netflix.com&amp;urlHash=CeMw", "https://explore.jobs.netflix.net/careers/job/790303496227?utm_source=LinkedIn&amp;domain=netflix.com&amp;urlHash=CeMw")</f>
        <v/>
      </c>
      <c r="G7" t="inlineStr"/>
      <c r="H7" t="inlineStr"/>
      <c r="I7"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The goal of our Content Understanding team is to enable operational and creative excellence in the distribution and promotion of our content on our service. We collaborate closely with our partners in the Product Discovery \&amp; Promotion organization, and our work directly contributes to launching high\-quality content on our service and helps our members discover content they will love. We conduct analyses, build analytical tools, and develop models to help our partners execute on these primary objectives.
 We are looking for a talented machine learning engineer to join our Merchandising \&amp; Content Understanding pod, which focuses on deepening our content metadata across all formats and improving the discovery experience on our service. You will design and develop models and infrastructure for algorithms that will power the next generation of capabilities for our business. You will partner with our world\-class team of creative production practitioners and various cross\-functional teams to shape strategy and deliver impact via machine learning and artificial intelligence solutions. Interested? Read more about the job description and qualifications below!
**What You Will Do**
* Collaborate closely with stakeholders in Product Discovery \&amp; Promotion to learn deeply about content metadata and merchandising and identify potentially impactful problems to solve via scalable machine learning and artificial intelligence solutions
* Develop innovative systems and models that empower decision\-making for stakeholders and product features that can deliver member joy by leveraging a wide variety of metadata and production media generated by and collected from our productions throughout their end\-to\-end lifecycle
* Collaborate with team members and cross\-functional partners to operationalize your models so that they can be integrated seamlessly into operational workflows
* Serve as a key thought partner for stakeholders, cross\-functional partners, and our diverse set of team members regarding machine learning algorithms and system architectures
**Your Background And Characteristics**
* Ph.D. or MS degree in a quantitative or computational field
* 4\+ years of full\-time work experience in one or more relevant machine\-learning roles
* Practical experience in supervised, unsupervised, and deep machine learning methods
* Practical experience applying machine learning and Gen AI solutions to video, audio, and/or textual data sources
* Practical experience operationalizing or productionizing machine learning and/or artificial intelligence solutions
* Comfortable and effective in ambiguous problem spaces; ability to own and drive projects with minimal oversight and process
* Exceptional written and oral communication with technical and non\-technical audiences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$419,400\.00 \- $675,000\.00\. This compensation range will vary based on location.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8">
      <c r="A8" t="inlineStr">
        <is>
          <t>li-4212079983</t>
        </is>
      </c>
      <c r="B8" t="inlineStr">
        <is>
          <t>Machine Learning Engineer 5 - Ads Platform Engineering</t>
        </is>
      </c>
      <c r="C8" t="inlineStr">
        <is>
          <t>Netflix</t>
        </is>
      </c>
      <c r="D8" t="inlineStr">
        <is>
          <t>linkedin</t>
        </is>
      </c>
      <c r="E8">
        <f>HYPERLINK("https://www.linkedin.com/jobs/view/4212079983", "https://www.linkedin.com/jobs/view/4212079983")</f>
        <v/>
      </c>
      <c r="F8">
        <f>HYPERLINK("https://explore.jobs.netflix.net/careers/job/790302428788?utm_source=LinkedIn&amp;domain=netflix.com&amp;urlHash=c0mA", "https://explore.jobs.netflix.net/careers/job/790302428788?utm_source=LinkedIn&amp;domain=netflix.com&amp;urlHash=c0mA")</f>
        <v/>
      </c>
      <c r="G8" t="inlineStr">
        <is>
          <t>Los Gatos, CA</t>
        </is>
      </c>
      <c r="H8" t="inlineStr"/>
      <c r="I8"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We launched a new ad\-supported tier in November 2022 to offer our members more choice in how they consume their content. Our new tier allows us to attract new members at a lower price point, while also creating a compelling path for advertisers to reach audiences that are deeply engaged.
**Our Team**
 The Ads Platform Engineering teams build advertising systems and integrations that powers the delivery of ads using our world class content delivery ecosystem. We use a number of Netflix investments and innovations to power our ads \- unique mix of client and server side ad insertions, state of the art content delivery system, ad encoding recipes, content understanding and metadata etc. We deliver ads in a manner that’s thoughtful of our member’s viewing experience and drive great outcomes for advertisers. We also ensure that advertiser brand safety is ensured during serving, members only see the most appropriate ads for them.
 Our team is new and yet faced with the enormous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help us differentiate from the competition and become a market leader in record time.
 We are looking for highly motivated engineers working in the advertising space who are excited to join us on this journey.
**Open Roles**
**Role**
 We are hiring for multiple roles across our Ads Platform teams. As you progress through the interview process, you will be assessed for the following roles:
* The Ads Inventory Management \&amp; Forecasting team builds state\-of\-art realtime inventory forecasting solution leveraging ML models and high performance ad server simulations. The team also builds systems that enable publisher inventory management solutions, which supports various monetization strategies such as dynamic pricing, rate card management, product packaging, inventory split and yield optimization.
* The Core Ads Serving team powers real\-time ad decisioning, delivering relevant, high\-quality ads while balancing revenue goals and advertiser outcomes. They build complex ML models for low\-latency environments and manage core systems that enhance campaign performance through budgeting, pacing algorithms, and dynamic allocation across direct and programmatic. Additionally, the team develops models for goal\-based delivery optimization, such as CPC, CPV, and CPCV.
* The Ads Programmatic team builds interfaces with selected SSPs and DSPs to integrate with Advertisers' primary buying mechanisms to unlock spend.
* The Ads Member Experience team is responsible for building and serving the different ad formats available on the platform. The team owns the integration between the different Netflix clients (TV, mobile app, web) and the ads serving infrastructure. One of its primary goals is to optimize how different ad formats are integrated with the Netflix member experience.
* The Ads Identity \&amp; Audiences team is revolutionizing ad experiences by utilizing advanced machine learning models for identity resolution and precise behavioral and contextual audience targeting. We create foundational systems that deliver relevant and engaging ads to Netflix members, all while upholding their privacy. Our continuous refinement of models generates a flywheel effect, enhancing member experiences and driving optimal advertiser outcomes at scale.
**Skills \&amp; Experience We’re Seeking**
* Proficiency in Java, C\+\+, Python, or Scala with a solid understanding of multi\-threading and memory management
* Experience in building end\-to\-end ML model deployment and inference infra for low\-latency real\-time ad systems.
* Experience in handling data at extremely large volumes with big data tools like Spark.
* Yield Optimization, scoring, and bid ranking models, and Dynamic Allocation of direct/programmatic guaranteed and non\-guaranteed inventory
* Modeling and Building Cost Per Click, Cost Per View, and Cost Per Video Complete modeling and optimization
* Productionized predictive models to forecast the effectiveness of advertising campaigns, including metrics like impressions, reach, clicks, conversions, and ROI.
* Building Scalable Simulation solution to model different inventory scenarios, including demand fluctuations, pricing strategies, and inventory allocation.
* General understanding of the advertising marketplace and landscape, with a focus on publisher side challenges like optimizing fill rates and maximizing revenue in the context of inventory management.
* Collaborate with cross\-functional stakeholders from science team, product, engineering, operations, design, consumer research, etc., to productionize and deploy models at scale
**Nice To Haves**
* Experience in productionizing ML models and deploying models at scale.
* Contributed to an ads industry technology standard (e.g VAST, OpenRTB) or worked on an industry consortium effort, working group etc.
* Familiar with publisher\-side ad tech systems including ad servers, bidders, yield optimizers, and their demand\-side counterparts (SSPs/DSPs)
* Good understanding of Lucene index and had experience building Lucene index with large volume of data.
* Familiarity with legal compliance and changing landscape of ads regulations around the world.
* Experience working in the CTV space and knowledge of its unique constraints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$419,400\.00 \- $675,000\.00\.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9">
      <c r="A9" t="inlineStr">
        <is>
          <t>li-4366914410</t>
        </is>
      </c>
      <c r="B9" t="inlineStr">
        <is>
          <t>Machine Learning Engineer</t>
        </is>
      </c>
      <c r="C9" t="inlineStr">
        <is>
          <t>MAI Agents</t>
        </is>
      </c>
      <c r="D9" t="inlineStr">
        <is>
          <t>linkedin</t>
        </is>
      </c>
      <c r="E9">
        <f>HYPERLINK("https://www.linkedin.com/jobs/view/4366914410", "https://www.linkedin.com/jobs/view/4366914410")</f>
        <v/>
      </c>
      <c r="F9" t="inlineStr"/>
      <c r="G9" t="inlineStr">
        <is>
          <t>Mountain View, CA</t>
        </is>
      </c>
      <c r="H9" t="inlineStr"/>
      <c r="I9" t="inlineStr">
        <is>
          <t>**About Us**
 At MAI (pronounced “my”), we're on a mission to democratize advanced advertising technology. We believe that cutting\-edge marketing tools, once exclusive to large enterprises with massive budgets, should be accessible to everyone. Our platform uses AI agents to automate and optimize performance marketing, empowering small and mid\-sized businesses to scale their ad spend profitably without the need for an agency or endless hours of manual campaign management.
 Founded by ad platform veterans from Google and Instacart, we've successfully raised a
 **$25 million** 
***Seed***
**funding round led by Kleiner Perkins** 
 to accelerate our growth. This capital will be used to expand our product and engineering teams, bringing our vision of intelligent, autonomous marketing to life. Our AI agents have already proven their value, helping clients drive
 **40% more** 
 sales and managing millions in monthly Google Ads spend. Our
 **client waitlist is growing by the day** 
 .
****Why Join Now****
 While traditional software has a clear playbook, building the infrastructure for autonomous, intelligent agents is a new frontier—and we're writing the manual.
 As an early Machine Learning Engineer at MAI, you won't just be writing code; you'll be the architect of the entire ecosystem where our AI agents live, learn, and operate. You will have a
 **profound impact across our entire stack** 
 , from the foundational data platforms that feed our agents, to the core agentic frameworks that allow them to reason, to the scalable serving systems that deliver their intelligence to our customers. This is a rare opportunity to build a truly AI\-native product from the ground up and solve problems at the forefront of the industry.
 You won't just be a cog in a large machine.
 **You'll be an athlete** 
 on a small, focused team of fewer than ten engineers, with immense impact and the ability to shape the future of our company. We're in the early days of forming three core teams:
* Product Engineering \&amp; Infrastructure
* AI Platform \&amp; Foundation
* Agent Application \&amp; Quality
 You'll have the unique chance to learn and grow your skillset as these teams evolve. We encourage you to lean on your specializations while taking on new projects you've never done before,
 **learning from your peers** 
 and becoming a more well\-rounded engineer.
****What You’ll Do****
* Build the Agent's Operating System: You will design and build our core agentic platform. This is the engine that allows us to craft, manage, and continuously improve our autonomous agents by orchestrating complex workflows, enabling long\-term memory, and integrating human feedback loops.
* Engineer the Data Engine: You will architect our foundational data and signal platform using a modern lake house architecture. You'll build the robust pipelines and ML serving systems that fuel our agents with the critical, real\-time signals they need to make intelligent, high\-stakes decisions.
* Create World\-Class Tools for AI: An agent is only as good as its tools. You will build a suite of powerful, reliable, and safe "tool machines" that allow our agents to interact with the world—executing code in a secure python sandbox, manipulating data, and calling third\-party APIs accurately.
* Ship an Exceptional Product Experience: You will build our customer\-facing applications, including a seamless chat UI where users collaborate with their AI partners. You'll also own the reliable and scalable serving infrastructure required to deliver a world\-class, 24/7 experience.
* Bring Models to Life: You will collaborate closely with data scientists to build the MLOps infrastructure for training, fine\-tuning, and deploying state\-of\-the\-art reasoning models that form the core of our agents’ intelligence.
****What You'll Bring****
* A Master’s or PhD’s degree in Computer Science or a related quantitative field, OR a Bachelor's degree with 2\+ years of professional software engineering experience.
* Strong proficiency in Python and a passion for writing clean, scalable, and maintainable code.
* You are a product\-minded engineer who cares deeply about the end\-user and is excited to bridge the gap between complex backend systems and a delightful user experience.
* You are a systems\-level thinker, capable of navigating ambiguity and designing for scalability, reliability, and extensibility.
* Experience with ML frameworks (e.g., PyTorch, TensorFlow) or MLOps infrastructure (e.g., MLflow, Kubernetes, serving systems).
* Hands\-on experience developing with Large Language Models, agentic frameworks (like LangGraph), or building RAG systems.
*Bonus points for experience in any of the following:*
* Data Engineering: Building ETL / streaming pipelines, working with technologies like Spark, Airflow, dbt, or building on a lakehouse architecture.
****Why You’ll Love Working at MAI****
* Unparalleled Learning: You'll be at the forefront of AI engineering, solving novel challenges in building scalable, reliable systems for autonomous agents and LLMs.
* High Impact: As an early member of a lean and powerful team, your work will directly shape our core platform, our culture, and the success of our customers.
* A Culture of Curiosity: We're a tight\-knit team of passionate builders who value transparency, first\-principles thinking, and a relentless drive to solve hard problems together.
* True Ownership: We believe in empowering our team. You'll have significant autonomy over your work and a clear path for growth as the company scales.
**Compensation And Benefits**
 We're offering a stake in our success and a commitment to your well\-being. Our total compensation package is designed to support you, both professionally and personally:
* Salary: Depending on your years of experience, a base salary range of $160,000 to $225,000\.
* Equity: We want you to feel invested in our mission, which is why we offer meaningful equity.
* Health and Wellness: Our medical, dental and vision coverage is designed to take care of you and your family.
* 401(k): We'll help you build for your future with a competitive 401(k) program.
 Are you ready to build the future with us? We believe in a holistic approach to hiring. If you're passionate about our mission and have a drive to learn and grow, we encourage you to apply even if you don't meet every single requirement. We value potential, curiosity, and hunger. We can't wait to hear from you.
 Compensation Range: $160K \- $225K</t>
        </is>
      </c>
    </row>
    <row r="10">
      <c r="A10" t="inlineStr">
        <is>
          <t>li-4366903166</t>
        </is>
      </c>
      <c r="B10" t="inlineStr">
        <is>
          <t>Machine Learning Engineer</t>
        </is>
      </c>
      <c r="C10" t="inlineStr">
        <is>
          <t>Goliath Partners</t>
        </is>
      </c>
      <c r="D10" t="inlineStr">
        <is>
          <t>linkedin</t>
        </is>
      </c>
      <c r="E10">
        <f>HYPERLINK("https://www.linkedin.com/jobs/view/4366903166", "https://www.linkedin.com/jobs/view/4366903166")</f>
        <v/>
      </c>
      <c r="F10" t="inlineStr"/>
      <c r="G10" t="inlineStr"/>
      <c r="H10" t="inlineStr"/>
      <c r="I10" t="inlineStr">
        <is>
          <t>This is a rare opportunity to sit at the intersection of research, high\-performance computing, and large\-scale ML infrastructure, pushing the boundaries of ML applied to financial markets.
 You wouldn’t be building models for one team, you’d be building the core deep learning library and infrastructure that powers the entire research engine of the firm.
 What you’ll do
* Design, build, and evolve an internal deep learning library used firm\-wide
* Partner directly with quantitative researchers to translate research needs into reusable ML tooling
* Work alongside HPC and systems experts to optimize large training workflows for speed and cost efficiency
* Integrate the best of open\-source ML tooling with sophisticated in\-house infrastructure
* Stay on top of cutting\-edge advances in PyTorch, distributed training, CUDA optimization, and bring them into production internally
 What makes this different
* Your work directly accelerates dozens of research teams rather than a single product
* Real scale: large models, serious compute, and complex distributed workloads
* A highly technical environment where ML engineering is treated as a first\-class research enabler
* Direct exposure to some of the best quantitative researchers and systems engineers in the industry
 Background they’re looking for
* 2\+ years of ML engineering / research engineering experience
* Strong Python plus CUDA and/or C\+\+
* Experience scaling distributed deep learning workflows (PyTorch or similar)
* Experience building ML tooling, libraries, or infrastructure rather than just training models
* Interest in high\-performance systems and large\-scale compute environments
 Base: 250,000\-350,000, total comp into the 7 figures</t>
        </is>
      </c>
    </row>
    <row r="11">
      <c r="A11" t="inlineStr">
        <is>
          <t>li-4366788588</t>
        </is>
      </c>
      <c r="B11" t="inlineStr">
        <is>
          <t>Machine Learning Engineer</t>
        </is>
      </c>
      <c r="C11" t="inlineStr">
        <is>
          <t>Goliath Partners</t>
        </is>
      </c>
      <c r="D11" t="inlineStr">
        <is>
          <t>linkedin</t>
        </is>
      </c>
      <c r="E11">
        <f>HYPERLINK("https://www.linkedin.com/jobs/view/4366788588", "https://www.linkedin.com/jobs/view/4366788588")</f>
        <v/>
      </c>
      <c r="F11" t="inlineStr"/>
      <c r="G11" t="inlineStr"/>
      <c r="H11" t="inlineStr"/>
      <c r="I11" t="inlineStr">
        <is>
          <t>A well\-funded AI startup (Series A, backed by top\-tier investors and led by ex\-DeepMind / Anthropic / OpenAI engineers) is building next\-generation agentic systems — intelligent, autonomous software agents that can reason, plan, and act across browsers, operating systems, and enterprise environments.
 They’re hiring a Machine Learning Engineer to help shape and scale this frontier technology, blending LLMs, multimodal models, and secure runtime environments into real, production\-grade systems.
 The Role
 You’ll be a core contributor, designing and implementing the foundation for a next\-generation desktop and browser\-based agent capable of:
* Autonomously navigating web environments, local filesystems, and complex user workflows
* Integrating vision and language models for multimodal reasoning
* Operating safely within secure, virtualized runtimes
 You’ll work across:
* Agentic architecture: systems that interact with browsers, OS APIs, and enterprise data
* Search and retrieval: pipelines spanning large\-scale structured \&amp; unstructured data
* Model integration: combining LLMs, vision models, and reinforcement learning for multi\-step reasoning
* Backend infrastructure: secure containerized execution and scalable serving frameworks
 What They’re Looking For
* Strong Python skills and comfort building/debugging complex ML applications
* Experience with desktop OS APIs (Windows/macOS) for screen reading, file access, and accessibility frameworks
* Background in browser automation or extensions (Playwright, Puppeteer, DOM manipulation)
* Understanding of LLM prompting, orchestration, and reasoning frameworks
* Experience building secure, sandboxed, or containerized runtimes
* Ability to work across research and production teams in a fast\-moving, ambiguous environment
 Bonus Points For
* Retrieval\-augmented generation (RAG) systems
* Vector databases and large\-scale indexing
* Enterprise security/compliance familiarity (SOC 2, etc.)
* OCR, UI understanding, or screen\-reading models
* Human\-Computer Interaction (HCI) or agentic workflow design
 Total comp: 500,000\-1,000,000 (200\-300k base \+ equity)
 Why It’s Exciting
 This is an opportunity to help define the next era of intelligent software — where agents reason, learn, and execute complex goals autonomously. You’ll join a small, elite team operating at the intersection of ML research, systems engineering, and human\-AI collaboration, with meaningful ownership and rapid iteration.</t>
        </is>
      </c>
    </row>
    <row r="12">
      <c r="A12" t="inlineStr">
        <is>
          <t>li-4366772225</t>
        </is>
      </c>
      <c r="B12" t="inlineStr">
        <is>
          <t>Machine Learning Engineer</t>
        </is>
      </c>
      <c r="C12" t="inlineStr">
        <is>
          <t>James Search Group</t>
        </is>
      </c>
      <c r="D12" t="inlineStr">
        <is>
          <t>linkedin</t>
        </is>
      </c>
      <c r="E12">
        <f>HYPERLINK("https://www.linkedin.com/jobs/view/4366772225", "https://www.linkedin.com/jobs/view/4366772225")</f>
        <v/>
      </c>
      <c r="F12" t="inlineStr"/>
      <c r="G12" t="inlineStr">
        <is>
          <t>New York, NY</t>
        </is>
      </c>
      <c r="H12" t="inlineStr"/>
      <c r="I12" t="inlineStr">
        <is>
          <t>**AI/ML Engineer** 
**Location:** 
 New York, NY
**Compensation:** 
 $135,000 – $175,000 base \+ bonus \+ full benefits, (401(k), and more)
**Industry:** 
 Global P\&amp;C Insurance
**About the role and the company.** 
 James Search Group is working closely with a top\-tier global property \&amp; casualty insurance carrier to identify an
 **AI/ML Engineer** 
 to join their enterprise Data and Artificial Intelligence division. This team is driving innovation across the business by developing and scaling AI capabilities that unlock new value and improve decision\-making across underwriting, claims, and customer engagement.
 As an AI/ML Engineer, you'll collaborate with senior team members to build, refine, and deploy predictive models and intelligent systems. The ideal candidate is skilled in analytics, curious by nature, and passionate about transforming complex data into practical solutions that deliver measurable business impact.
**Key Responsibilities:** 
* Support the development and deployment of AI/ML models—including classification, forecasting, uplift and propensity modeling, and foundational model tuning.
* Collaborate with cross\-functional teams to identify use cases where data science can enhance operational efficiency and business performance.
* Partner with business, IT, and strategy teams to ensure AI models are scalable, impactful, and aligned with organizational goals.
* Communicate analytical findings clearly to stakeholders with varying levels of technical knowledge.
**Required Qualifications:** 
* Master’s degree in Data Science, Statistics, Mathematics, Computer Science, or a related quantitative discipline; Ph.D. a plus.
* Minimum of 2 years’ experience applying advanced analytics methods (e.g., decision trees, logistic regression, neural networks, random forests).
* Proficiency in R or Python for analytics and model development, including work with both structured and unstructured data.
* Proven ability to manage and integrate large, complex datasets and an understanding of end\-to\-end data modeling processes.
* Strong written and verbal communication skills with the ability to connect technical outputs to business strategy.
**Preferred Qualifications:** 
* Internship or project experience in machine learning, AI engineering, or related roles—especially in insurance or financial services.
* Familiarity with actuarial concepts or insurance\-specific data models.
* Enthusiastic about continued learning in AI/ML and staying current with new tools and methodologies.
* Comfortable in a collaborative, fast\-paced, and agile working environment.
 This is a unique opportunity to grow your career with a highly respected organization investing in next\-generation analytics.
**Apply today** 
 to help reshape the future of insurance through data and AI innovation.</t>
        </is>
      </c>
    </row>
    <row r="13">
      <c r="A13" t="inlineStr">
        <is>
          <t>li-4366902237</t>
        </is>
      </c>
      <c r="B13" t="inlineStr">
        <is>
          <t>Machine Learning Engineer</t>
        </is>
      </c>
      <c r="C13" t="inlineStr">
        <is>
          <t>Goliath Partners</t>
        </is>
      </c>
      <c r="D13" t="inlineStr">
        <is>
          <t>linkedin</t>
        </is>
      </c>
      <c r="E13">
        <f>HYPERLINK("https://www.linkedin.com/jobs/view/4366902237", "https://www.linkedin.com/jobs/view/4366902237")</f>
        <v/>
      </c>
      <c r="F13" t="inlineStr"/>
      <c r="G13" t="inlineStr"/>
      <c r="H13" t="inlineStr"/>
      <c r="I13" t="inlineStr">
        <is>
          <t>We're working with a 300\-person firm that's very well known for its efforts in Imaging Generation. With offices in Seattle, New York, Austin, London and Hong Kong \- they are looking at expanding by bringing in an entirely remote ML Infra Engineer to build out inference modeling infrastructure.
 100% WFH, no travel expected.
 Essential skills:
 BS in Computer Science, Math, Stat, Physics or similarly related field.
 Deep familiarity in designing \&amp; implementing ML infrastructure.
 Extensive experience in building inference frameworks \&amp; models.
 Beneficial skills:
 MS/PhD in STEM related course.
 Expertise in Imaging (Text/Speech/Audio etc)
 Pre\-training expertise.
 Technical leadership prior experience.
 Base salary: $280,000\-410,000 \&amp; equity to bring this to $1\-1,5M.
 If that looks of interest, apply \&amp; Goliath will be in touch!</t>
        </is>
      </c>
    </row>
    <row r="14">
      <c r="A14" t="inlineStr">
        <is>
          <t>li-4366771346</t>
        </is>
      </c>
      <c r="B14" t="inlineStr">
        <is>
          <t>AI Engineer</t>
        </is>
      </c>
      <c r="C14" t="inlineStr">
        <is>
          <t>Berkley Hunt</t>
        </is>
      </c>
      <c r="D14" t="inlineStr">
        <is>
          <t>linkedin</t>
        </is>
      </c>
      <c r="E14">
        <f>HYPERLINK("https://www.linkedin.com/jobs/view/4366771346", "https://www.linkedin.com/jobs/view/4366771346")</f>
        <v/>
      </c>
      <c r="F14" t="inlineStr"/>
      <c r="G14" t="inlineStr">
        <is>
          <t>San Francisco, CA</t>
        </is>
      </c>
      <c r="H14" t="inlineStr"/>
      <c r="I14" t="inlineStr">
        <is>
          <t>ML Engineer \| Hybrid – San Francisco, CA
**\*\*DUE TO FEDERAL REGULATIONS, CANDIDATES MUST BE US CITIZENS\*\*** 
 Berkley Hunt has partnered with a fast\-growing, Series B technology company that is redefining manufacturing engineering through cutting\-edge AI solutions. As the demand for intelligent automation in manufacturing accelerates, they are tackling the complex challenges of deploying AI in real\-world industrial systems \- ranging from large language models for classification to optimizing cloud infrastructure for production\-scale deployment. To drive this mission forward, they are seeking a product\-focused AI Engineer to design, build, and deploy high\-impact AI features that fundamentally transform the way engineers work.
**About the Role:** 
* As an AI Engineer, you will work closely with cross\-functional teams to shape the AI features that power the platform.
* You will have ownership over developing and deploying large language models (LLMs), collaborating with engineers to integrate AI capabilities into the platform’s infrastructure, and optimizing performance at scale.
* This role requires a combination of strong expertise in NLP, MLOps, and a solid understanding of building scalable, production\-ready machine learning systems in a cloud environment.
**Responsibilities:** 
* Develop and fine\-tune large language models (LLMs) for classifying aerospace engineering text, categorizing, and linking requirements across the platform
* Implement end\-to\-end ML features from product requirements to production deployment, including backend infrastructure
* Collaborate cross\-functionally with app engineers, infrastructure, and security engineers to integrate AI capabilities seamlessly into our platform
* Design and maintain reproducible training pipelines ensuring model consistency across different environments
* Optimize model training processes, inference performance, and associated cloud infrastructure costs
* Establish MLOps best practices for versioning, monitoring, and maintaining AI systems in production
* Mentor team members on AI concepts and best practices to build organizational knowledge
**Expectations:** 
* 5\+ years of professional experience developing AI/ML solutions in production environments
* Strong expertise in NLP, particularly with transformer\-based models (BERT, GPT, etc.)
* Experience taking ML features from concept to production without extensive specialist support
* Full\-stack development capabilities to build complete AI features
* Cross\-functional collaboration skills and the ability to communicate complex AI concepts to non\-specialists
* Independent problem\-solving abilities and resourcefulness when tackling novel AI challenges
* Product thinking – ability to translate business requirements into pragmatic AI solutions</t>
        </is>
      </c>
    </row>
    <row r="15">
      <c r="A15" t="inlineStr">
        <is>
          <t>li-4366488812</t>
        </is>
      </c>
      <c r="B15" t="inlineStr">
        <is>
          <t>Senior Machine Learning Engineer</t>
        </is>
      </c>
      <c r="C15" t="inlineStr">
        <is>
          <t>Projectz AI</t>
        </is>
      </c>
      <c r="D15" t="inlineStr">
        <is>
          <t>linkedin</t>
        </is>
      </c>
      <c r="E15">
        <f>HYPERLINK("https://www.linkedin.com/jobs/view/4366488812", "https://www.linkedin.com/jobs/view/4366488812")</f>
        <v/>
      </c>
      <c r="F15" t="inlineStr"/>
      <c r="G15" t="inlineStr">
        <is>
          <t>Austin, TX</t>
        </is>
      </c>
      <c r="H15" t="inlineStr"/>
      <c r="I15" t="inlineStr">
        <is>
          <t>Senior Machine Learning Engineer
**Location:** 
 Austin, TX or Remote (U.S. only)
**Type:** 
 Full\-time
**Stage:** 
 Early\-stage startup \| High ownership \| Fast execution
**Compensation:** 
 Competitive salary \+ meaningful equity
 About Projectz AI
 Projectz AI is an AI\-native home design and project management platform. We help homeowners design spaces in seconds, organize every project detail, get instant pricing, and connect with trusted contractors—all in one place.
 The U.S. home renovation market exceeds
 **$500B annually** 
 , yet the experience remains fragmented and inefficient. We’re building the unified, intelligent platform homeowners wish existed.
 The Role
 We’re looking for a
 **Senior Machine Learning Engineer** 
 to lead the development of core ML systems powering our product. This is a high\-impact role where you’ll design, build, and deploy models that directly affect user experience, pricing accuracy, recommendations, and automation across the platform.
 You’ll work closely with the founder, product, and engineering teams to take ML features from concept to production and scale them as the platform grows.
**You will assess current machine learning capabilities and define the next ML\-driven features needed to unlock roadmap milestones toward 100K users.** 
 What You’ll Own
 * Design, build, and deploy machine learning models in production
* Own ML systems end\-to\-end: data pipelines, training, evaluation, deployment, and monitoring
* Partner with product and engineering to translate business problems into ML solutions
* Improve model performance, reliability, and scalability over time
* Build experimentation frameworks and define success metrics
* Contribute to technical direction and ML architecture decisions
 What We’re Looking For
 * 0\-7 years of experience building and deploying machine learning systems
* Strong foundations in machine learning, statistics, and data modeling
* Experience with Python and common ML frameworks (e.g., PyTorch, TensorFlow, scikit\-learn)
* Experience deploying models into production environments
* Strong understanding of data pipelines, feature engineering, and model evaluation
* Ability to work in fast\-moving, ambiguous startup environments
* Product\-minded engineer who focuses on impact, not just models
* Someone who believes they can capture
 **0\.05% of the $500B\+ home renovation market** 
 .
 Nice to Have
 * Experience with recommendation systems, pricing models, or optimization problems
* Experience working with computer vision, NLP, or generative AI
* Familiarity with cloud platforms (GCP, AWS, or Azure)
* Experience building ML systems from zero to one
* Startup or early\-stage company experience
 Why Projectz AI
 * Real ownership over ML systems and technical direction
* Direct impact on a real, scaled consumer product
* Founder\-led team with fast decision\-making
* Large and growing market opportunity
* Meaningful equity and long\-term growth potential
* Minimal bureaucracy—focus on building and shipping
 Compensation
 * Competitive salary based on experience and stage
* Meaningful equity
 How to Apply
 Apply directly through
 **LinkedIn** 
 .
 🌐 https://projectzai.com/</t>
        </is>
      </c>
    </row>
    <row r="16">
      <c r="A16" t="inlineStr">
        <is>
          <t>li-4366788911</t>
        </is>
      </c>
      <c r="B16" t="inlineStr">
        <is>
          <t>Machine Learning Engineer</t>
        </is>
      </c>
      <c r="C16" t="inlineStr">
        <is>
          <t>Protech Talent</t>
        </is>
      </c>
      <c r="D16" t="inlineStr">
        <is>
          <t>linkedin</t>
        </is>
      </c>
      <c r="E16">
        <f>HYPERLINK("https://www.linkedin.com/jobs/view/4366788911", "https://www.linkedin.com/jobs/view/4366788911")</f>
        <v/>
      </c>
      <c r="F16" t="inlineStr"/>
      <c r="G16" t="inlineStr"/>
      <c r="H16" t="inlineStr"/>
      <c r="I16" t="inlineStr">
        <is>
          <t>**💼 Applied AI Engineer** 
**Full\-time \| Hybrid \| New York City** 
**Compensation: $150K – $350K \+ Competitive Equity** 
**🚀 About the Role:** 
 We’re looking for an
 **Applied AI Engineer** 
 to help turn cutting\-edge machine\-learning research into production\-grade, revenue\-driving products.
 You’ll own projects end\-to\-end — from model selection and data pipelines to deployment, monitoring, and iteration in live environments. Expect full autonomy, high accountability, and constant cross\-functional collaboration with product and operations teams.
**💼 About the Company:** 
 This company is a fast\-growing AI\-driven healthcare startup on a mission to make life\-changing therapies accessible faster and more affordably. They’re combining first\-party healthcare data with cutting\-edge AI to streamline one of the most complex and outdated systems in the world — from insurance to drug access to patient support.
 Backed by top\-tier investors (including funds behind companies like Stripe, OpenAI, and Airbnb), they’re scaling rapidly and have already achieved strong product\-market fit. The team is composed of exceptional engineers, operators, and scientists from top startups and research labs.
 The culture is
 **intense, collaborative, and ownership\-driven** 
 — ideal for builders who thrive in zero\-to\-one environments and want to see their work make a measurable impact on real lives.
**What you’ll do:** 
* Build and productionize ML and LLM\-based systems that power automation, prediction, and intelligent search.
* Combine techniques like data extraction, document classification, workflow orchestration, and multimodal modeling.
* Lead zero\-to\-one experiments and deliver models that ship to real customers.
* Collaborate directly with business and engineering stakeholders to scope, design, and deploy AI\-driven features.
* Evaluate new methods, fine\-tune models, and continuously improve reliability, latency, and accuracy.
* Build internal tools and pipelines that accelerate future AI development.
 This is a Hybrid
 **, high\-ownership** 
 position for builders who thrive in fast\-moving, product\-driven environments.
**🧠 What We’re Looking For:** 
**Experience** 
* 1\+ years as an AI / ML Engineer, Applied Scientist, or ML Research Engineer
* Hands\-on experience building and deploying ML systems in production (not research\-only)
* Background at a
 **top\-tier tech or early\-stage startup** 
 that has shipped AI\-powered products
* End\-to\-end project ownership — data, training, infra, deployment, iteration
**Technical Skills** 
* Proficiency with modern ML frameworks (PyTorch, TensorFlow, Transformers, LLM APIs)
* Experience fine\-tuning, prompting, or orchestrating large\-language\-model systems
* Strong foundation in full\-stack development (Python \+ React / TypeScript / PostgreSQL / Kubernetes)
* Comfortable designing scalable data and inference pipelines on cloud (AWS preferred)
**Soft Skills** 
* Low\-ego, high\-ownership mindset
* Strong written \+ verbal communication and cross\-team collaboration
* Bias toward speed, clarity, and tangible results
**Nice to Have** 
* Founder or early\-startup experience
* Pear Fellow / Neo Scholar background
* Degree in CS or related field from a top program (or equivalent practical excellence)
**💡 Why Join:** 
* **Product\-market fit \+ hypergrowth:** 
 the platform already serves thousands of users and is scaling fast.
* **AI\-first mission:** 
 core business outcomes are directly driven by applied ML and generative AI.
* **Top\-tier funding \+ team:** 
 backed by leading investors; small, elite engineering org where impact compounds quickly.
* **High autonomy \+ ownership:** 
 you’ll shape not just the product but the AI infrastructure
**🧩 Interview Process:** 
* **Initial Screen (30 min):** 
 Background, motivation, and alignment with company mission.
* **Technical Interview (45 min):** 
 Coding\-focused (Python), similar to a Leetcode\-style exercise.
* **Project Walkthrough (45 min):** 
 Deep dive into a previous ML or AI system you’ve built.
* **Systems Design (45 min):** 
 Evaluate how you approach scaling, deployment, and architecture.
* **Onsite / Final Round (Half Day):** 
 Collaborative project with the team to assess real\-world problem solving and communication.</t>
        </is>
      </c>
    </row>
    <row r="17">
      <c r="A17" t="inlineStr">
        <is>
          <t>li-4366904765</t>
        </is>
      </c>
      <c r="B17" t="inlineStr">
        <is>
          <t>AI Engineer</t>
        </is>
      </c>
      <c r="C17" t="inlineStr">
        <is>
          <t>Cerberus Capital Management</t>
        </is>
      </c>
      <c r="D17" t="inlineStr">
        <is>
          <t>linkedin</t>
        </is>
      </c>
      <c r="E17">
        <f>HYPERLINK("https://www.linkedin.com/jobs/view/4366904765", "https://www.linkedin.com/jobs/view/4366904765")</f>
        <v/>
      </c>
      <c r="F17" t="inlineStr"/>
      <c r="G17" t="inlineStr"/>
      <c r="H17" t="inlineStr"/>
      <c r="I17" t="inlineStr">
        <is>
          <t>**AI Engineer \[Analyst/Associate]** 
***About the job***
 As an AI engineer on the AI team at Cerberus, you’ll work on high\-impact projects that combine the pace of a startup with the reach of a global investment platform. Our team partners directly with internal investment desks as well as portfolio companies across industries to build and deploy machine learning systems that accelerate decision\-making and unlock business value.
 You’ll design, implement and deploy production\-grade AI and ML systems, ranging from NLP pipelines that extract insights from complex documents to integrating models with third\-party services to streamline workflows.
 We’re looking for AI engineers who care about impact: people who want to see their models not just trained, but deployed, adopted, and driving measurable results.
***What You’ll Do***
* Design and deliver AI systems: Build and deploy machine learning models and data\-driven products that directly impact investment decisions and portfolio company performance.
* Drive measurable impact: Partner with internal desks and portfolio teams to integrate ML products into their existing workflows to drive high adoption and value.
* Move fast and iterate: Work in an agile environment where experimentation, pragmatic engineering, and rapid iteration are key to creating business value.
* Leverage modern tools and methods: Use contemporary ML frameworks, cloud platforms, and MLOps best practices to build scalable, reusable solutions.
* Communicate insights clearly: Distill complex technical findings into concise, actionable narratives for technical and business audiences alike.
* Keep learning and pushing boundaries: Expand your engineering toolkit across the full ML development lifecycle—from prototyping to deployment—and explore new architectures, tools, and approaches to solving complex, real\-world problems.
***Sample Projects You’ll Work On***
* Generative AI for due diligence: Lead the rollout of our in\-house GenAI platform across investment desks to automate and accelerate due diligence. You’ll configure and extend the system for desk\-specific processes, run proof\-of\-value pilots, measure business impact, and collaborate closely with users to drive adoption and effectiveness.
* Automated Deal Sourcing Workflows: Prototype experimental systems to automate early\-stage deal sourcing. You’ll build integrations to extract signals from public and proprietary data sources, integrate with third\-party APIs to enrich lead information, and integrate with in\-house GenAI platform to create a structured data asset. This includes designing modular components for adaptability across investment strategies, running pilot deployments, and collaborating with users to refine workflows and measure sourcing efficiency.
***Your Experience***
 We’re a small, high\-impact team with a broad remit and diverse technical backgrounds. We don’t expect any single candidate to check every box below \- if your experience overlaps strongly with what we do and you’re excited to apply your skills in a fast\-moving, real\-world environment, we’d love to hear from you.
* **Strong technical foundation:** 
 Degree in a STEM field (or equivalent experience) with hands\-on expertise in applied statistics, machine learning, forecasting, NLP, computer vision, or optimization.
* **Python expertise:** 
 Skilled in writing production\-grade code in Python (e.g., using type hints and understanding the limitations of the language) and in building data pipelines and ML models using modern libraries across multiple domains:
* *Data science stack:* 
 NumPy, pandas / polars, scikit\-learn, XGBoost, LightGBM
* *Deep learning:* 
 PyTorch, JAX
* *Statistical programming:* 
 NumPyro, PyMC
* **Data skills:** 
 Proficient in SQL, with the ability to write efficient, maintainable queries and manage data pipelines for analytics and modeling workflows.
* **ML Ops \&amp; deployment:** 
 Familiarity with deploying models into production using APIs or microservices, and applying ML Ops practices such as experiment tracking (e.g., MLflow, Weights \&amp; Biases), model versioning, and performance monitoring. Experience collaborating with engineering teams to ensure scalable and maintainable deployment.
* **Backend \&amp; service development:** 
 Experience building production\-grade Python webservices (e.g., FastAPI, Flask), developing APIs, and integrating ML components into broader systems.
* **Software engineering practices:** 
 Comfortable with testing, code reviews, CI/CD pipelines, and version control (Git, Azure DevOps) beyond the very basics, ensuring reliable and maintainable codebases.
* **Infrastructure \&amp; cloud** 
 : Familiarity with cloud platforms (Azure preferred; AWS or GCP also valuable), containerization (Docker, Kubernetes), and infrastructure\-as\-code tools like Terraform.
* **Applied AI development:** 
 Experience working with LLM APIs (e.g., OpenAI) and building lightweight AI agents. Familiarity with orchestration tools like Temporal is a plus.
* **Collaboration and impact:** 
 Strong problem\-solving ability, intellectual curiosity, and a pragmatic approach to delivering solutions that create measurable business value, while remaining statistically robust.
**About Us** 
 We are a new, but growing team of AI specialists \- data scientists, software engineers, and technology strategists \- working to transform how an alternative investment firm with $65B in assets under management leverages technology and data. Our remit is broad, spanning investment operations, portfolio companies, and internal systems, giving the team the opportunity to shape the way the firm approaches analytics, automation, and decision\-making.
 We operate with the creativity and agility of a small team, tackling diverse, high\-impact challenges across the firm. While we are embedded within a global investment platform, we maintain a collaborative, innovative culture where our AI talent can experiment, learn, and have real influence on business outcomes.</t>
        </is>
      </c>
    </row>
    <row r="18">
      <c r="A18" t="inlineStr">
        <is>
          <t>li-4366497317</t>
        </is>
      </c>
      <c r="B18" t="inlineStr">
        <is>
          <t>Machine Learning Engineer</t>
        </is>
      </c>
      <c r="C18" t="inlineStr">
        <is>
          <t>Rain</t>
        </is>
      </c>
      <c r="D18" t="inlineStr">
        <is>
          <t>linkedin</t>
        </is>
      </c>
      <c r="E18">
        <f>HYPERLINK("https://www.linkedin.com/jobs/view/4366497317", "https://www.linkedin.com/jobs/view/4366497317")</f>
        <v/>
      </c>
      <c r="F18" t="inlineStr"/>
      <c r="G18" t="inlineStr"/>
      <c r="H18" t="inlineStr"/>
      <c r="I18" t="inlineStr">
        <is>
          <t>**About The Company**
 Rain makes the next generation of payments possible across the globe. We’re a lean and mighty team of passionate builders and veteran founders. Our infrastructure makes stablecoins usable in the real\-world by powering card transactions, cross\-border payments, B2B purchases, remittances, and more. We partner with fintechs, neobanks, and institutions to help them launch solutions that are global, inclusive, and efficient.
 You will have the opportunity to deliver massive impact at a hypergrowth company that is funded by some of the top investors in fintech, crypto, and SaaS, including Sapphire Ventures, Norwest, Galaxy Ventures, Lightspeed, Khosla, and several more. If you’re curious, bold, and excited to help shape a borderless financial future, we’d love to talk.
 Our Ethos: We believe in an open and flat structure. You will be able to grow into the role that most aligns with your goals. Our team members at all levels have the freedom to explore ideas and impact the roadmap and vision of our company.
**About The Role**
 The fraud risk management team at Rain develops sophisticated, scalable risk mitigation solutions to protect our customers while delivering a seamless, low\-friction experience. The role involves designing and implementing advanced machine learning systems for fraud detection, anomaly detection, and behavioral analysis. You will be responsible for building end\-to\-end ML pipelines, including data ingestion, feature engineering, model training, deployment, and ongoing monitoring. The position requires close collaboration with data scientists, engineers, and compliance teams to develop real\-time decision systems that integrate with transaction and behavioral data streams.
 You will own the ML infrastructure, ensuring models are versioned, retrained automatically, and deployed safely using strategies like shadow deployment and rollback. Monitoring and alerting for model performance, data quality, and drift are crucial components of this role. The ideal candidate will lead experimentation efforts to improve model explainability, adversarial robustness, and drift detection, ultimately enhancing fraud prevention capabilities. Working in a fast\-paced environment, you will solve complex problems at the intersection of ML systems, data, and reliability, contributing to the growth of our innovative product suite.
**Qualifications**
* 5\+ years of experience building ML systems in production environments
* At least 2\+ years of experience in fraud, risk, or anomaly detection domains
* Bachelor’s degree in Computer Science, Engineering, Statistics, Applied Math, or related technical field
* Proven track record designing and maintaining ML models at scale
* Advanced proficiency in Python and ML frameworks such as PyTorch, TensorFlow, scikit\-learn
* Strong understanding of supervised and unsupervised learning, anomaly detection, and statistical modeling
* Experience developing, validating, and deploying real\-time and offline fraud detection models
* Ability to work autonomously, manage ambiguity, and collaborate effectively with cross\-functional teams
* Experience with model governance, bias mitigation, and regulatory compliance is a plus
**Responsibilities**
* Architect and develop scalable machine learning systems for fraud detection, behavioral analysis, and anomaly detection
* Design and maintain comprehensive ML pipelines covering data ingestion, feature engineering, model training, deployment, and monitoring
* Implement low\-latency, real\-time decision systems in collaboration with fraud risk data scientists, integrating with transaction streams
* Manage ML infrastructure including model versioning, automated retraining, and deployment strategies such as shadow or rollback deployments
* Develop monitoring tools and alerts to track model performance, data quality, latency, and drift
* Lead experimentation on model explainability, robustness, and adversarial detection to enhance fraud prevention measures
* Create tooling and processes to accelerate ML development lifecycle and improve efficiency
* Partner with platform teams to ensure system availability, latency, and accuracy meet strict SLAs
* Collaborate closely with engineers, data scientists, and compliance teams to deliver innovative fraud mitigation solutions
* Address complex challenges at the intersection of ML systems, data management, and system reliability
**Benefits**
* Unlimited paid time off, with a minimum of 10 days off required annually
* Flexible working arrangements, including remote work options supported by a home environment stipend
* Comprehensive health, dental, and vision insurance plans for US employees and dependents
* Company\-subsidized life insurance coverage
* Retirement plan with a 401(k) option and 4% company matching
* Equity options to share in the company's success
* Access to Rain Cards for testing and familiarization with core products and services
* Health and wellness spending accounts for gym memberships, massages, acupuncture, and other recharging activities
* Participation in team summits and company off\-sites, both domestically and internationally, to foster team cohesion and shared vision
 Equal Opportunity
 Rain is committed to creating an inclusive environment where all employees are valued and respected. We are an equal opportunity employer and do not discriminate based on race, color, religion, gender, gender identity or expression, sexual orientation, national origin, genetics, disability, age, or veteran status. We believe diversity enhances our innovation and success, and we welcome applications from individuals of all backgrounds and experiences.</t>
        </is>
      </c>
    </row>
    <row r="19">
      <c r="A19" t="inlineStr">
        <is>
          <t>li-4366768922</t>
        </is>
      </c>
      <c r="B19" t="inlineStr">
        <is>
          <t>Data &amp; AI Engineer (Remote)</t>
        </is>
      </c>
      <c r="C19" t="inlineStr">
        <is>
          <t>FortifyIQ</t>
        </is>
      </c>
      <c r="D19" t="inlineStr">
        <is>
          <t>linkedin</t>
        </is>
      </c>
      <c r="E19">
        <f>HYPERLINK("https://www.linkedin.com/jobs/view/4366768922", "https://www.linkedin.com/jobs/view/4366768922")</f>
        <v/>
      </c>
      <c r="F19" t="inlineStr"/>
      <c r="G19" t="inlineStr">
        <is>
          <t>Salem, MA</t>
        </is>
      </c>
      <c r="H19" t="inlineStr"/>
      <c r="I19" t="inlineStr">
        <is>
          <t>We're seeking a Data \&amp; AI Engineer to develop intelligent data pipelines and analytics solutions that power smarter decisions across silicon design, verification, and manufacturing. You'll transform engineering data into actionable insights through automation, modeling, and visualization.
**Responsibilities**
* Build and maintain data pipelines to support machine learning and analytics workflows.
* Collect, clean, and transform large, complex datasets from engineering environments.
* Develop and train predictive models for yield, performance, and anomaly detection.
* Automate recurring data analysis tasks and integrate models into engineering processes.
* Collaborate with design and software teams to embed AI\-driven insights into products.
* Create dashboards and visualization tools for reporting and decision\-making.
* Document code, models, and processes for transparency and reproducibility.
**Qualifications**
* Proficiency in Python and ML frameworks (TensorFlow, PyTorch, Scikit\-learn).
* Strong skills in data manipulation (Pandas, NumPy, SQL).
* Experience with workflow orchestration (Airflow, Spark, or similar).
* 3–5 years of experience in data engineering or applied AI.
* Bachelor's degree in Electrical Engineering, Computer Science, or related field.
**Preferred / Plus**
* Familiarity with semiconductor design, verification, or manufacturing datasets.
* Understanding of statistical modeling and predictive maintenance.
* Experience with cloud environments (AWS, Azure, GCP) and version control (Git).
* Knowledge of MLOps principles (deployment, monitoring, CI/CD).</t>
        </is>
      </c>
    </row>
    <row r="20">
      <c r="A20" t="inlineStr">
        <is>
          <t>li-4356460895</t>
        </is>
      </c>
      <c r="B20" t="inlineStr">
        <is>
          <t>Senior AI/ML Engineer</t>
        </is>
      </c>
      <c r="C20" t="inlineStr">
        <is>
          <t>Recruits Lab</t>
        </is>
      </c>
      <c r="D20" t="inlineStr">
        <is>
          <t>linkedin</t>
        </is>
      </c>
      <c r="E20">
        <f>HYPERLINK("https://www.linkedin.com/jobs/view/4356460895", "https://www.linkedin.com/jobs/view/4356460895")</f>
        <v/>
      </c>
      <c r="F20" t="inlineStr"/>
      <c r="G20" t="inlineStr"/>
      <c r="H20" t="inlineStr"/>
      <c r="I20" t="inlineStr">
        <is>
          <t>🚀 About the Company
 We’re partnering with a well\-funded, early\-stage startup that’s revolutionizing residential real estate with an AI\-powered platform unifying e\-signatures, payments, compliance workflows, and intelligent automation. Backed by
 **$6M in seed funding** 
 and an elite investor network, the team is now building its founding engineering team from scratch.
 🧠 The Opportunity
 We’re seeking 1–3
 **Senior AI/ML Engineers** 
 to work closely with the CTO and CEO to
 **design and build** 
 advanced machine learning systems that power automation across real estate workflows. This is a rare opportunity to
 **architect, design, and implement** 
 NLP, document understanding, and AI\-driven automation from the ground up, with direct ownership over the models and systems that will shape the product and technical trajectory of the company.
 🔧 What You’ll Do
* **Design, develop, and deploy** 
 production\-ready machine learning models for NLP, document parsing, and workflow automation, establishing best practices for model lifecycle management.
* **Lead the technical implementation** 
 of AI\-driven contract creation, e\-signature verification, and payment automation systems.
* **Integrate complex ML solutions** 
 with modern web technologies using React, Next.js, TypeScript, and Node.js.
* **Architect scalable AI services** 
 in a microservices framework, leveraging Supabase, Vercel, and other modern dev tools, while mentoring junior team members.
* **Establish and maintain robust ML pipelines,** 
 model monitoring, and CI/CD for AI systems.
* **Research and implement state\-of\-the\-art algorithms** 
 in NLP, embeddings, LLMs, and structured data to maintain a competitive edge.
* **Drive technical decision\-making** 
 and contribute significantly to the overall product and engineering strategy.
 💡 What We’re Looking For
* **5\+ years** 
 of professional experience in AI/ML or related software engineering roles, with a track record of deploying systems to production.
* **Expert proficiency** 
 in Python, PyTorch/TensorFlow, and core ML frameworks.
* **Deep experience** 
 with NLP, OCR, or document understanding systems, ideally in a regulated or high\-accuracy domain.
* **Proven ability to architect and scale** 
 ML systems in a cloud environment (AWS, GCP, or Azure).
* Experience with React, Next.js, TypeScript, and Node.js preferred for seamless integration with production platforms.
* Comfortable taking
 **high\-level ownership** 
 in zero\-to\-one environments with high ambiguity and significant impact.
* **Bonus:** 
 Experience in proptech, fintech, or compliance automation, and working with production\-level LLMs, embeddings, or generative AI.
* Must be U.S.\-based (remote\-first, with hubs in Miami, NYC, SF, or LA preferred).
 🎁 What You’ll Get
* Competitive salary \+
 **meaningful early equity** 
 reflective of a senior, founding role.
* **Direct technical and architectural ownership** 
 of AI/ML systems that impact real\-world workflows.
* A chance to
 **shape product architecture and engineering culture** 
 from the ground up.
* Remote flexibility with high autonomy and purpose.
* Work on a fast\-moving, mission\-driven team solving complex real\-world problems.
 Ready to build and architect AI systems that redefine real estate workflows? Apply now and join a founding team driving innovation from day one.</t>
        </is>
      </c>
    </row>
    <row r="21">
      <c r="A21" t="inlineStr">
        <is>
          <t>li-4366916264</t>
        </is>
      </c>
      <c r="B21" t="inlineStr">
        <is>
          <t>Machine Learning Engineer, Computer Vision</t>
        </is>
      </c>
      <c r="C21" t="inlineStr">
        <is>
          <t>Metropolis Technologies</t>
        </is>
      </c>
      <c r="D21" t="inlineStr">
        <is>
          <t>linkedin</t>
        </is>
      </c>
      <c r="E21">
        <f>HYPERLINK("https://www.linkedin.com/jobs/view/4366916264", "https://www.linkedin.com/jobs/view/4366916264")</f>
        <v/>
      </c>
      <c r="F21" t="inlineStr"/>
      <c r="G21" t="inlineStr">
        <is>
          <t>Los Angeles, CA</t>
        </is>
      </c>
      <c r="H21" t="inlineStr"/>
      <c r="I21"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As a Machine Learning Engineer at Metropolis, you will accelerate recognition commerce through data innovation. You will be a key leader in Engineering, responsible for designing and building the robust generative data engine and intelligent algorithms that fuel our ML models. Your mission is to bridge data and models through automation, creating the scalable foundation that underpins the predictive, personalized experiences defining the future of the built world.
 What you'll do
 * Work with the machine learning team to perform state\-of\-the\-art research, train, and optimize machine learning algorithms
* Design, implement, and maintain active learning algorithms and generative vision models to ensure cost efficient data sampling and learning
* Maintain and revisit innovative methodologies to curate high quality data and annotations
* Design, implement, and maintain the machine learning data pipelines and infrastructure
* Work with technologies like AWS, SQL/NoSQL databases, Kafka, Airflow, and NVIDIA Triton, ensuring efficient and effective use of these tools
* Collaborate with other Engineering and Product teams to define requirements and facilitate the smooth deployment of software into production
* Play a vital role in the entire development lifecycle, from concept and requirement identification to implementation
* Implement best practices in automation, testing, and deployment to foster rapid feature/model development and release
* Foster a culture that views bugs and production issues as opportunities for improvement
* Contribute to the hiring and cultural development within Metropolis Engineering
* Ensure high availability and scalability of Machine Learning systems
* Collaborate with partners to integrate their products seamlessly into the Metropolis platform
 What we're looking for
 * MS or PhD in Computer Science, Engineering, or a related field, or equivalent work experience
* 3\+ years of experience in machine learning and software engineering, with expertise in computer vision and multi\-modal models
* Proficiency in Python and Machine Learning frameworks (PyTorch/TensorFlow/ONNX/TensorRT)
* Strong experience with cloud services, preferably AWS
* Familiarity with Machine Learning model serving infrastructure and best practices
* Knowledge of transactional and analytical database technologies
* Strong understanding of the agile development process and CI/CD pipelines and tools (e.g., Github Actions, Jenkins)
* Excellent communication skills, capable of presenting complex technical information clearly
 While not required, these are a plus:
 * Experience in high\-growth, innovative environments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USD to $180,000\.00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22">
      <c r="A22" t="inlineStr">
        <is>
          <t>li-4366918217</t>
        </is>
      </c>
      <c r="B22" t="inlineStr">
        <is>
          <t>Machine Learning Engineer, Computer Vision</t>
        </is>
      </c>
      <c r="C22" t="inlineStr">
        <is>
          <t>Metropolis Technologies</t>
        </is>
      </c>
      <c r="D22" t="inlineStr">
        <is>
          <t>linkedin</t>
        </is>
      </c>
      <c r="E22">
        <f>HYPERLINK("https://www.linkedin.com/jobs/view/4366918217", "https://www.linkedin.com/jobs/view/4366918217")</f>
        <v/>
      </c>
      <c r="F22" t="inlineStr"/>
      <c r="G22" t="inlineStr">
        <is>
          <t>Seattle, WA</t>
        </is>
      </c>
      <c r="H22" t="inlineStr"/>
      <c r="I22" t="inlineStr">
        <is>
          <t>Who we are
 Metropolis is an artificial intelligence company that uses computer vision technology to enable frictionless, checkout\-free experiences in the real world. Today, we are reimagining parking to enable millions of consumers to just "drive in and drive out." We envision a future where people transact in the real world with a speed, ease and convenience that is unparalleled, even online. Tomorrow, we will power checkout\-free experiences anywhere you go to make the everyday experiences of living, working and playing remarkable \- giving us back our most valuable asset, time.
 Who you are
 As a Machine Learning Engineer at Metropolis, you will accelerate recognition commerce through data innovation. You will be a key leader in Engineering, responsible for designing and building the robust generative data engine and intelligent algorithms that fuel our ML models. Your mission is to bridge data and models through automation, creating the scalable foundation that underpins the predictive, personalized experiences defining the future of the built world.
 What you'll do
 * Work with the machine learning team to perform state\-of\-the\-art research, train, and optimize machine learning algorithms
* Design, implement, and maintain active learning algorithms and generative vision models to ensure cost efficient data sampling and learning
* Maintain and revisit innovative methodologies to curate high quality data and annotations
* Design, implement, and maintain the machine learning data pipelines and infrastructure
* Work with technologies like AWS, SQL/NoSQL databases, Kafka, Airflow, and NVIDIA Triton, ensuring efficient and effective use of these tools
* Collaborate with other Engineering and Product teams to define requirements and facilitate the smooth deployment of software into production
* Play a vital role in the entire development lifecycle, from concept and requirement identification to implementation
* Implement best practices in automation, testing, and deployment to foster rapid feature/model development and release
* Foster a culture that views bugs and production issues as opportunities for improvement
* Contribute to the hiring and cultural development within Metropolis Engineering
* Ensure high availability and scalability of Machine Learning systems
* Collaborate with partners to integrate their products seamlessly into the Metropolis platform
 What we're looking for
 * MS or PhD in Computer Science, Engineering, or a related field, or equivalent work experience
* 3\+ years of experience in machine learning and software engineering, with expertise in computer vision and multi\-modal models
* Proficiency in Python and Machine Learning frameworks (PyTorch/TensorFlow/ONNX/TensorRT)
* Strong experience with cloud services, preferably AWS
* Familiarity with Machine Learning model serving infrastructure and best practices
* Knowledge of transactional and analytical database technologies
* Strong understanding of the agile development process and CI/CD pipelines and tools (e.g., Github Actions, Jenkins)
* Excellent communication skills, capable of presenting complex technical information clearly
 While not required, these are a plus:
 * Experience in high\-growth, innovative environments
*When you join Metropolis, you’ll join a team of world\-class product leaders and engineers, building an ecosystem of technologies at the intersection of parking, mobility, and real estate. Our goal is to build an inclusive culture where everyone has a voice and the best idea wins. You will play a key role in building and maintaining this culture as our organization grows. The anticipated base salary for this position is $150,000\.00 USD to $180,000\.00 USD annually. The actual base salary offered is determined by a number of variables, including, as appropriate, the applicant's qualifications for the position, years of relevant experience, distinctive skills, level of education attained, certifications or other professional licenses held, and the location of residence and/or place of employment. Base salary is one component of Metropolis’s total compensation package, which may also include access to or eligibility for healthcare benefits, a 401(k) plan, short\-term and long\-term disability coverage, basic life insurance, a lucrative stock option plan, bonus plans and more.* 
*Metropolis values in\-person collaboration to drive innovation, strengthen culture, and enhance the Member experience. Our corporate team members hold to our office\-first model, which requires employees to be on\-site at least four days a week, fostering organic interactions that spark creativity and connection* 
*Metropolis may utilize an automated employment decision tool (AEDT) to assess or evaluate your candidacy for employment or promotion. AEDTs are used to assist in assessing a candidate’s application relative to the required job qualifications and responsibilities listed in the job posting.* 
*As part of this process, Metropolis retains data relevant to your candidacy, including personal information, for a period that is reasonably necessary for the use of the tool. If you are hired for the position, your data may become part of your employee records.* 
*Metropolis Technologies is an equal opportunity employer. We make all hiring decisions based on merit, qualifications, and business needs, without regard to race, color, religion, sex (including gender identity, sexual orientation, or pregnancy), national origin, disability, veteran status, or any other protected characteristic under federal, state, or local law.*</t>
        </is>
      </c>
    </row>
    <row r="23">
      <c r="A23" t="inlineStr">
        <is>
          <t>li-4366778449</t>
        </is>
      </c>
      <c r="B23" t="inlineStr">
        <is>
          <t>AI/ML Engineer 4899</t>
        </is>
      </c>
      <c r="C23" t="inlineStr">
        <is>
          <t>Tier4 Group</t>
        </is>
      </c>
      <c r="D23" t="inlineStr">
        <is>
          <t>linkedin</t>
        </is>
      </c>
      <c r="E23">
        <f>HYPERLINK("https://www.linkedin.com/jobs/view/4366778449", "https://www.linkedin.com/jobs/view/4366778449")</f>
        <v/>
      </c>
      <c r="F23" t="inlineStr"/>
      <c r="G23" t="inlineStr"/>
      <c r="H23" t="inlineStr"/>
      <c r="I23" t="inlineStr">
        <is>
          <t>**AI/ML Engineer – Software Development** 
**Location:** 
 Vinings, Georgia \- Hybrid
**Employment Type:** 
 Full\-Time
**About the Role** 
 We are seeking an
 **AI/ML Engineer** 
 to design, develop, and deploy scalable artificial intelligence and machine learning solutions that enhance customer interactions, automate decision\-making, and improve operational efficiency. In this role, you will build intelligent workflows, predictive models, automation frameworks, and real\-time insights in partnership with engineering, product, and support teams.
**What You’ll Do** 
**AI\-Driven Interactions \&amp; Automation** 
* Design and implement AI\-powered conversational flows and automated decision\-making logic.
* Build secure data integrations that support real\-time processing and intelligent responses.
* Optimize large language model (LLM) workflows for accuracy, performance, and usability.
**Data Analytics \&amp; Predictive Modeling** 
* Apply machine learning techniques to structured and unstructured datasets from multiple systems.
* Develop predictive models to identify trends, detect anomalies, and support proactive decisions.
* Create monitoring and alerting mechanisms to ensure timely detection, diagnosis, and escalation of issues.
**Real\-Time Intelligence for Internal Teams** 
* Integrate AI\-driven insights into internal tools for agents and operations teams.
* Deliver real\-time recommendations, next\-best\-actions, and contextual guidance based on system and interaction data.
* Improve employee productivity with intelligent assistance and dynamic knowledge retrieval.
**Automated Workflows \&amp; Operational Safety** 
* Develop diagnostic and remediation automation with built\-in safety, governance, and audit controls.
* Ensure automated actions adhere to compliance, authorization, and security guidelines.
* Build dashboards and reporting tools for system health, workflow performance, and model metrics.
**Minimum Qualifications** 
* 3\+ years of experience in AI/ML engineering, data science, or intelligent automation.
* 3\+ years working with modern cloud platforms (compute, data, and AI services).
* 3\+ years of hands\-on Python experience, including ML frameworks such as TensorFlow, PyTorch, or scikit\-learn.
* Experience developing real\-time, streaming, or event\-driven data pipelines.
* Proven track record of deploying and maintaining production\-grade ML systems.
* Strong understanding of APIs, microservices, and secure integration best practices.
**Preferred Qualifications** 
* Experience working with IoT ecosystems, device telemetry, or distributed sensor data.
* Background in LLM tuning, retrieval\-augmented generation (RAG), and conversational AI.
* Familiarity with contact center platforms or enterprise workflow automation systems.
* Understanding of authentication, authorization, and access\-control frameworks.</t>
        </is>
      </c>
    </row>
    <row r="24">
      <c r="A24" t="inlineStr">
        <is>
          <t>li-4366518461</t>
        </is>
      </c>
      <c r="B24" t="inlineStr">
        <is>
          <t>Principal AI/ML Engineer</t>
        </is>
      </c>
      <c r="C24" t="inlineStr">
        <is>
          <t>Pragmatike</t>
        </is>
      </c>
      <c r="D24" t="inlineStr">
        <is>
          <t>linkedin</t>
        </is>
      </c>
      <c r="E24">
        <f>HYPERLINK("https://www.linkedin.com/jobs/view/4366518461", "https://www.linkedin.com/jobs/view/4366518461")</f>
        <v/>
      </c>
      <c r="F24">
        <f>HYPERLINK("https://pragmatike.careers-page.com/jobs/00eac8b9-57b1-4d93-af6e-4447cd0145f0?utm_medium=free_job_board&amp;utm_source=linkedin&amp;urlHash=FSBB", "https://pragmatike.careers-page.com/jobs/00eac8b9-57b1-4d93-af6e-4447cd0145f0?utm_medium=free_job_board&amp;utm_source=linkedin&amp;urlHash=FSBB")</f>
        <v/>
      </c>
      <c r="G24" t="inlineStr">
        <is>
          <t>Cambridge, MA</t>
        </is>
      </c>
      <c r="H24" t="inlineStr"/>
      <c r="I24"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5">
      <c r="A25" t="inlineStr">
        <is>
          <t>li-4366528266</t>
        </is>
      </c>
      <c r="B25" t="inlineStr">
        <is>
          <t>Principal AI/ML Engineer</t>
        </is>
      </c>
      <c r="C25" t="inlineStr">
        <is>
          <t>Pragmatike</t>
        </is>
      </c>
      <c r="D25" t="inlineStr">
        <is>
          <t>linkedin</t>
        </is>
      </c>
      <c r="E25">
        <f>HYPERLINK("https://www.linkedin.com/jobs/view/4366528266", "https://www.linkedin.com/jobs/view/4366528266")</f>
        <v/>
      </c>
      <c r="F25" t="inlineStr"/>
      <c r="G25" t="inlineStr">
        <is>
          <t>New Jersey, United States</t>
        </is>
      </c>
      <c r="H25" t="inlineStr"/>
      <c r="I25"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6">
      <c r="A26" t="inlineStr">
        <is>
          <t>li-4362484639</t>
        </is>
      </c>
      <c r="B26" t="inlineStr">
        <is>
          <t>AI Engineer New Grad 2025-2026 - Poe (Remote)</t>
        </is>
      </c>
      <c r="C26" t="inlineStr">
        <is>
          <t>Quora</t>
        </is>
      </c>
      <c r="D26" t="inlineStr">
        <is>
          <t>linkedin</t>
        </is>
      </c>
      <c r="E26">
        <f>HYPERLINK("https://www.linkedin.com/jobs/view/4362484639", "https://www.linkedin.com/jobs/view/4362484639")</f>
        <v/>
      </c>
      <c r="F26" t="inlineStr"/>
      <c r="G26" t="inlineStr"/>
      <c r="H26" t="inlineStr"/>
      <c r="I26" t="inlineStr">
        <is>
          <t>*\[* 
***Quora is a privately held, "remote\-first" company***
***.** 
 This position can be performed remotely from multiple countries around the world. Please visit* 
*careers.quora.com/eligible\-countries* 
*for details regarding employment eligibility by country.]*
**About Quora**
 Quora’s mission is to grow the world's collective intelligence. To do so, we have two platforms:
* Quora: a global knowledge sharing platform with over 300M monthly unique visitors, bringing people together to share insights on various topics and providing a unique platform to learn and connect with others.
* Poe: a platform providing millions of global users with one place to chat, explore and build with a wide variety of AI language models (bots), including GPT\-5, Claude Sonnet 4\.5, Grok 4, Veo 3\.1, Gemini 2\.5 Flash Image (Nano Banana), and more. As AI capabilities rapidly advance, Poe provides a single platform to instantly integrate and utilize these new models.
 Behind these products are passionate, collaborative, and high\-performing global teams. We have a culture rooted in transparency, idea\-sharing, and experimentation that allows us to celebrate success and grow together through meaningful work. Join us on this journey to create a positive impact and make a significant change in the world.
**This role will be working on our Poe product.**
**About The Team And Role**
 Our small engineering team works on challenging problems every day. We have a culture that's rooted in constantly learning and improving, and our engineers are encouraged to think big and experiment with new ideas. Using continuous deployment, we quickly see our changes in the product and make fast iterations. Everyone on the engineering team has a huge impact on our product and our company.
 At Poe, we use AI in various parts of the product \- bot/app routing and recommendation, agent flow, RAG, etc. Our team of AI Engineers has high impact by advancing the current AI systems, building performant and reliable LLM applications, and collaborating with our product team to uncover new opportunities for the Poe product. You will also play a key role in developing tools and abstractions that other developers will build on top of.
**Responsibilities**
* Work with other engineers on a wide variety of AI engineering tasks, including prompt engineering, retrieval\-augmented generation, and agentic workflow optimization, etc to improve our existing applied AI systems
* Identify new opportunities to apply emerging AI capabilities to different parts of the Poe product
* Take end\-to\-end ownership of applied AI systems \- from prototyping, data pipelines, model optimization/evaluation to reliable deployment at scale
**Minimum Requirements**
* Ability to be available for meetings and impromptu communication during Quora's “coordination hours" (Mon\-Fri: 9am\-3pm Pacific Time)
* A 2025 or Summer 2026 graduate with or pursuing a B.S., M.S., or Ph.D. in Computer Science, Engineering or a related technical field
* Strong engineering background (Python or TypeScript)
* Understanding of mathematical foundations of Machine Learning algorithms
* Experience of LLM applications or transformer models
* A passion for learning and always improving yourself and the team around you
**Preferred Requirements**
* Previous software engineering experience via an internship, work experience or coding competition
* Previous hands\-on experience working on LLM and prompt engineering
* Passion for Poe and Quora’s mission and goals
**At Quora, we value diversity and inclusivity and welcome individuals from all backgrounds, including marginalized or underrepresented groups in tech, to apply for our job openings. We encourage all candidates who share a passion for growing the world’s knowledge, even those who may not strictly meet all the preferred requirements, to apply, as we know that a diverse range of perspectives can have a significant impact on our products and our culture.**
**Additional Information**
 We are accepting applications on an ongoing basis. This role is a backfill for an existing vacancy.
 Quora offers a wide range of benefits including medical/dental/vision coverage, equity refreshers, remote work reimbursement, paid time off, employee assistance programs, and more. Benefits are country\-specific and may vary. For more information on benefits, visit this link: https://www.careers.quora.com/benefits
 There are many factors that will determine the starting pay, including but not limited to experience, location, education, and business needs.
* US candidates only: For US based applicants, the salary range is $107,360 \- $152,900 USD \+ equity \+ benefits.
* Canada candidates only: For Toronto and Vancouver based applicants, the salary range is $140,796 \- $160,415 CAD \+ equity \+ benefits. For all other locations in Canada, the salary range is $131,409 \- $149,720 CAD \+ equity \+ benefits.
 We are an equal opportunity employer and value diversity at our company. We do not discriminate on the basis of race, religion, color, national origin, gender, sexual orientation, age, marital status, veteran status, or disability status.
 AI technology may assist in sorting applications and recording interview notes, but all decisions are made by a member of our team.
 Job Applicant Privacy Notice: https://www.careers.quora.com/applicant\-privacy\-notice</t>
        </is>
      </c>
    </row>
    <row r="27">
      <c r="A27" t="inlineStr">
        <is>
          <t>li-4366532001</t>
        </is>
      </c>
      <c r="B27" t="inlineStr">
        <is>
          <t>Principal AI/ML Engineer</t>
        </is>
      </c>
      <c r="C27" t="inlineStr">
        <is>
          <t>Pragmatike</t>
        </is>
      </c>
      <c r="D27" t="inlineStr">
        <is>
          <t>linkedin</t>
        </is>
      </c>
      <c r="E27">
        <f>HYPERLINK("https://www.linkedin.com/jobs/view/4366532001", "https://www.linkedin.com/jobs/view/4366532001")</f>
        <v/>
      </c>
      <c r="F27" t="inlineStr"/>
      <c r="G27" t="inlineStr">
        <is>
          <t>New York, United States</t>
        </is>
      </c>
      <c r="H27" t="inlineStr"/>
      <c r="I27"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28">
      <c r="A28" t="inlineStr">
        <is>
          <t>li-4366514803</t>
        </is>
      </c>
      <c r="B28" t="inlineStr">
        <is>
          <t>machine learning engineer</t>
        </is>
      </c>
      <c r="C28" t="inlineStr">
        <is>
          <t>Signify Technology</t>
        </is>
      </c>
      <c r="D28" t="inlineStr">
        <is>
          <t>linkedin</t>
        </is>
      </c>
      <c r="E28">
        <f>HYPERLINK("https://www.linkedin.com/jobs/view/4366514803", "https://www.linkedin.com/jobs/view/4366514803")</f>
        <v/>
      </c>
      <c r="F28" t="inlineStr"/>
      <c r="G28" t="inlineStr">
        <is>
          <t>San Francisco, CA</t>
        </is>
      </c>
      <c r="H28" t="inlineStr"/>
      <c r="I28" t="inlineStr">
        <is>
          <t>Job title: ML Engineer
 Job type: Perm
 Salary: $180,000\- $225,000
 Role Location: San francisco CA
 The company: Robotics automation
**Role And Responsibilities**
 Job requirements:
**Benefits**
 Accessibility Statement:
 Read and apply for this role in the way that works for you by using our Recite Me assistive technology tool. Click the circle at the bottom right side of the screen and select your preferences.
 We make an active choice to be inclusive towards everyone every day.? Please let us know if you require any accessibility adjustments through the application or interview process.
**Our Commitment To Diversity, Equity, And Inclusion**
 Signify’s mission is to empower every person, regardless of their background or?circumstances, with an equitable chance to achieve the careers?they deserve. Building a diverse future, one placement at a?time. Check out our DE\&amp;I page here</t>
        </is>
      </c>
    </row>
    <row r="29">
      <c r="A29" t="inlineStr">
        <is>
          <t>li-4366917372</t>
        </is>
      </c>
      <c r="B29" t="inlineStr">
        <is>
          <t>Principal AI/ML Engineer</t>
        </is>
      </c>
      <c r="C29" t="inlineStr">
        <is>
          <t>Pragmatike</t>
        </is>
      </c>
      <c r="D29" t="inlineStr">
        <is>
          <t>linkedin</t>
        </is>
      </c>
      <c r="E29">
        <f>HYPERLINK("https://www.linkedin.com/jobs/view/4366917372", "https://www.linkedin.com/jobs/view/4366917372")</f>
        <v/>
      </c>
      <c r="F29">
        <f>HYPERLINK("https://jobs.ashbyhq.com/pragmatike/162c74d1-790a-4d09-9919-6a7bf1671500/application?utm_source=pKPejxJ0kE&amp;urlHash=p7pv", "https://jobs.ashbyhq.com/pragmatike/162c74d1-790a-4d09-9919-6a7bf1671500/application?utm_source=pKPejxJ0kE&amp;urlHash=p7pv")</f>
        <v/>
      </c>
      <c r="G29" t="inlineStr">
        <is>
          <t>California, United States</t>
        </is>
      </c>
      <c r="H29" t="inlineStr"/>
      <c r="I29" t="inlineStr">
        <is>
          <t>**Location:** 
 Cambridge, MA (Eastern Time / UTC \-4\)
 **Relocation package available or Remote option for Out\-Of\-State applicants**
**Start date:** 
 ASAP
**Languages:** 
 English (required)
**About The Role**
 Pragmatike is hiring on behalf of a
 **fast\-growing AI startup recognized as a Top 10 GenAI company by GTM Capital** 
 , founded by MIT CSAIL researchers.
 We are seeking a
 **Principal AI/ML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Are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0">
      <c r="A30" t="inlineStr">
        <is>
          <t>li-4366900840</t>
        </is>
      </c>
      <c r="B30" t="inlineStr">
        <is>
          <t>Principal AI/ML Engineer</t>
        </is>
      </c>
      <c r="C30" t="inlineStr">
        <is>
          <t>Pragmatike</t>
        </is>
      </c>
      <c r="D30" t="inlineStr">
        <is>
          <t>linkedin</t>
        </is>
      </c>
      <c r="E30">
        <f>HYPERLINK("https://www.linkedin.com/jobs/view/4366900840", "https://www.linkedin.com/jobs/view/4366900840")</f>
        <v/>
      </c>
      <c r="F30">
        <f>HYPERLINK("https://jobs.ashbyhq.com/pragmatike/162c74d1-790a-4d09-9919-6a7bf1671500/application?utm_source=pKPejxJ0kE&amp;urlHash=p7pv", "https://jobs.ashbyhq.com/pragmatike/162c74d1-790a-4d09-9919-6a7bf1671500/application?utm_source=pKPejxJ0kE&amp;urlHash=p7pv")</f>
        <v/>
      </c>
      <c r="G30" t="inlineStr">
        <is>
          <t>New York, NY</t>
        </is>
      </c>
      <c r="H30" t="inlineStr"/>
      <c r="I30" t="inlineStr">
        <is>
          <t>**Location:** 
 Cambridge, MA (Eastern Time / UTC \-4\)
 **Relocation package available or Remote option for Out\-Of\-State applicants**
**Start date:** 
 ASAP
**Languages:** 
 English (required)
**About The Role**
 Pragmatike is hiring on behalf of a
 **fast\-growing AI startup recognized as a Top 10 GenAI company by GTM Capital** 
 , founded by MIT CSAIL researchers.
 We are seeking a
 **Principal AI/ML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Are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1">
      <c r="A31" t="inlineStr">
        <is>
          <t>li-4366905592</t>
        </is>
      </c>
      <c r="B31" t="inlineStr">
        <is>
          <t>Principal AI/ML Engineer</t>
        </is>
      </c>
      <c r="C31" t="inlineStr">
        <is>
          <t>Pragmatike</t>
        </is>
      </c>
      <c r="D31" t="inlineStr">
        <is>
          <t>linkedin</t>
        </is>
      </c>
      <c r="E31">
        <f>HYPERLINK("https://www.linkedin.com/jobs/view/4366905592", "https://www.linkedin.com/jobs/view/4366905592")</f>
        <v/>
      </c>
      <c r="F31" t="inlineStr"/>
      <c r="G31" t="inlineStr">
        <is>
          <t>San Francisco, CA</t>
        </is>
      </c>
      <c r="H31" t="inlineStr"/>
      <c r="I31" t="inlineStr">
        <is>
          <t>**Location:** 
 Cambridge, MA (Eastern Time / UTC \-4\)
 **Relocation package available or Remote option for Out\-Of\-State applicants**
**Start date:** 
 ASAP
**Languages:** 
 English (required)
**About The Role**
 Pragmatike is hiring on behalf of a
 **fast\-growing AI startup recognized as a Top 10 GenAI company by GTM Capital** 
 , founded by MIT CSAIL researchers.
 We are seeking a
 **Principal AI/ML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Are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2">
      <c r="A32" t="inlineStr">
        <is>
          <t>li-4366532000</t>
        </is>
      </c>
      <c r="B32" t="inlineStr">
        <is>
          <t>Principal AI/ML Engineer</t>
        </is>
      </c>
      <c r="C32" t="inlineStr">
        <is>
          <t>Pragmatike</t>
        </is>
      </c>
      <c r="D32" t="inlineStr">
        <is>
          <t>linkedin</t>
        </is>
      </c>
      <c r="E32">
        <f>HYPERLINK("https://www.linkedin.com/jobs/view/4366532000", "https://www.linkedin.com/jobs/view/4366532000")</f>
        <v/>
      </c>
      <c r="F32">
        <f>HYPERLINK("https://pragmatike.careers-page.com/jobs/7c9cd27f-0a86-479a-89a3-0ced6abb73ce?utm_medium=free_job_board&amp;utm_source=linkedin&amp;urlHash=QspQ", "https://pragmatike.careers-page.com/jobs/7c9cd27f-0a86-479a-89a3-0ced6abb73ce?utm_medium=free_job_board&amp;utm_source=linkedin&amp;urlHash=QspQ")</f>
        <v/>
      </c>
      <c r="G32" t="inlineStr">
        <is>
          <t>Washington, United States</t>
        </is>
      </c>
      <c r="H32" t="inlineStr"/>
      <c r="I32"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We are seeking a
 **Staff / Principal ML Ops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Were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3">
      <c r="A33" t="inlineStr">
        <is>
          <t>li-4366916369</t>
        </is>
      </c>
      <c r="B33" t="inlineStr">
        <is>
          <t>Principal AI/ML Engineer</t>
        </is>
      </c>
      <c r="C33" t="inlineStr">
        <is>
          <t>Pragmatike</t>
        </is>
      </c>
      <c r="D33" t="inlineStr">
        <is>
          <t>linkedin</t>
        </is>
      </c>
      <c r="E33">
        <f>HYPERLINK("https://www.linkedin.com/jobs/view/4366916369", "https://www.linkedin.com/jobs/view/4366916369")</f>
        <v/>
      </c>
      <c r="F33">
        <f>HYPERLINK("https://jobs.ashbyhq.com/pragmatike/162c74d1-790a-4d09-9919-6a7bf1671500/application?utm_source=pKPejxJ0kE&amp;urlHash=p7pv", "https://jobs.ashbyhq.com/pragmatike/162c74d1-790a-4d09-9919-6a7bf1671500/application?utm_source=pKPejxJ0kE&amp;urlHash=p7pv")</f>
        <v/>
      </c>
      <c r="G33" t="inlineStr">
        <is>
          <t>Rhode Island, United States</t>
        </is>
      </c>
      <c r="H33" t="inlineStr"/>
      <c r="I33" t="inlineStr">
        <is>
          <t>**Location:** 
 Cambridge, MA (Eastern Time / UTC \-4\)
 **Relocation package available or Remote option for Out\-Of\-State applicants**
**Start date:** 
 ASAP
**Languages:** 
 English (required)
**About The Role**
 Pragmatike is hiring on behalf of a
 **fast\-growing AI startup recognized as a Top 10 GenAI company by GTM Capital** 
 , founded by MIT CSAIL researchers.
 We are seeking a
 **Principal AI/ML Engineer** 
 to lead the design, implementation, and scaling of the companys ML infrastructure and production AI systems. This is a high\-impact, architecture\-defining role where youll work across the entire model lifecycletraining, evaluation, deployment, observability, and continuous optimization.
 You will partner closely with AI researchers, GPU systems engineers, backend teams, and product stakeholders to ensure the companys large\-scale AI systems are
 **robust, efficient, automated, and production\-grade** 
 . This role is ideal for someone who has already built and owned ML platforms at scale and can drive strategy as well as hands\-on execution.
**What Youll Do**
* Architect, build, and scale the end\-to\-end ML Ops pipeline, including training, fine\-tuning, evaluation, rollout, and monitoring.
* Design reliable infrastructure for model deployment, versioning, reproducibility, and orchestration across cloud and on\-prem GPU clusters.
* Optimize compute usage across distributed systems (Kubernetes, autoscaling, caching, GPU allocation, checkpointing workflows).
* Lead the implementation of observability for ML systems (monitor drift, performance, throughput, reliability, cost).
* Build automated workflows for dataset curation, labeling, feature pipelines, evaluation, and CI/CD for ML models.
* Collaborate with researchers to productionize models and accelerate training/inference pipelines.
* Establish ML Ops best practices, internal standards, and cross\-team tooling.
* Mentor engineers and influence architectural direction across the entire AI platform.
**What Are Looking For**
* Deep hands\-on experience designing and operating production ML systems at scale (Staff/Principal\-level expected).
* Strong background in ML Ops, distributed systems, and cloud infrastructure (AWS, GCP, or Azure).
* Proficiency with Python and familiarity with TypeScript or Go for platform integration.
* Expertise in ML frameworks: PyTorch, Transformers, vLLM, Llama\-factory, Megatron\-LM, CUDA / GPU acceleration (practical understanding)
* Strong experience with containerization and orchestration (Docker, Kubernetes, Helm, autoscaling).
* Deep understanding of ML lifecycle workflows: training, fine\-tuning, evaluation, inference, model registries.
* Ability to lead technical strategy, collaborate cross\-functionally, and operate in fast\-paced environments
**Bonus Points**
* Experience deploying and operating LLMs and generative models in production at enterprise scale.
* Familiarity with DevOps, CI/CD, automated deployment pipelines, and infrastructure\-as\-code.
* Experience optimizing GPU clusters, scheduling, and distributed training frameworks.
* Prior startup experience or comfort operating with ambiguity and high ownership.
* Experience working with data engineering, feature pipelines, or real\-time ML systems.
**Why This Role Will Pivot Your Career**
* Research pedigree: MIT CSAIL founders recognized for breakthrough AI and systems contributions.
* Customer impact: Deploy AI solutions powering Fortune 500 clients.
* Industry momentum: Lab alumni have led high\-value acquisitions (MosaicML Databricks, Run:AI Nvidia, W\&amp;B CoreWeave).
* Funding \&amp; growth: Oversubscribed seed round, next funding in 2026\.
* Career growth \&amp; influence: Lead AI initiatives, optimize pipelines, and directly impact production AI systems at scale.
* Culture \&amp; autonomy: Own critical systems while collaborating with world\-class engineers.
* Aspirational impact: Solve AI performance challenges few engineers ever face.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34">
      <c r="A34" t="inlineStr">
        <is>
          <t>li-4366531480</t>
        </is>
      </c>
      <c r="B34" t="inlineStr">
        <is>
          <t>AI Engineer</t>
        </is>
      </c>
      <c r="C34" t="inlineStr">
        <is>
          <t>Cognizant</t>
        </is>
      </c>
      <c r="D34" t="inlineStr">
        <is>
          <t>linkedin</t>
        </is>
      </c>
      <c r="E34">
        <f>HYPERLINK("https://www.linkedin.com/jobs/view/4366531480", "https://www.linkedin.com/jobs/view/4366531480")</f>
        <v/>
      </c>
      <c r="F34">
        <f>HYPERLINK("https://careers.cognizant.com/global-en/jobs/000672946215/ai-engineer/?source=JB-11500&amp;urlHash=g1yr", "https://careers.cognizant.com/global-en/jobs/000672946215/ai-engineer/?source=JB-11500&amp;urlHash=g1yr")</f>
        <v/>
      </c>
      <c r="G34" t="inlineStr">
        <is>
          <t>Plano, TX</t>
        </is>
      </c>
      <c r="H34" t="inlineStr"/>
      <c r="I34" t="inlineStr">
        <is>
          <t>**Job Title** 
 :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 Build, train, and deploy machine learning and deep learning models, including Generative AI (e.g., LLMs, diffusion models) and Agentic AI solutions.
* Perform data exploration, feature engineering, and statistical analysis to support model development.
* Ingest, process, and analyze structured (e.g., relational databases), semi\-structured (e.g., JSON, XML), and unstructured data (e.g., text, images, logs) from diverse sources using Python, SQL
* Collaborate with data scientists, engineers, and business stakeholders to understand requirements and deliver impactful AI solutions.
* Develop and maintain technical documentation, data dictionaries, and model cards.
* Monitor, troubleshoot, and optimize AI models and data workflows for performance and scalability.
* Ensure compliance with data governance, security, and privacy policies.
* Stay current with the latest advancements in AI, Generative AI, and Agentic AI technologies.
* Familiarity with MLOps practices
**Required Skills \&amp; Qualifications**
* A bachelor's or master's degree in computer science, data science, artificial intelligence, or a related discipline
* A portfolio of personal projects, academic work, or contributions to open\-source projects that demonstrate your AI skills.
* Exposure in programming skills in Python and SQL
* Good problem\-solving, analytical, and communication skills, with the ability to articulate technical concepts to both technical and non\-technical stakeholders
* Knowledge with cloud AI/ML platforms (e.g., AWS SageMaker, Azure ML, GCP Vertex AI) and Agentic frameworks (Langgraph, Lang chain, Crew.ai etc.)
* Hands\-on experience with at least one AI/ML frameworks (e.g., TensorFlow, PyTorch, Hugging Face)
* Understanding of core machine learning concepts, algorithms, and models (e.g., supervised vs. unsupervised learning, regression, classification, clustering)
* Solid understanding of Generative AI (e.g., LLMs, GANs) and Agentic AI concepts
* Familiarity with essential libraries for data science and machine learning (e.g., Pandas, NumPy, scikit\-learn)
* Knowledge of containerization and CI/CD pipelines (e.g., Docker, Kubernetes)
* Understanding of data security, encryption, and compliance best practices
* Ability to work independently and collaboratively in a fast\-paced environment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**Start Date**
 New hires will start in
 **January or** 
**February 2026** 
 . While we will attempt to honor candidate start date preferences, business need and position availability will determine final start date assignment. Exact start date will be communicated with enough time for you to plan effectively.
**Salary And Other Compensation**
 The annual salary for this position is $65,000 depending on experience and other qualifications of the successful candidate. This position is also eligible for Cognizant’s discretionary annual incentive program, based on performance and subject to the terms of Cognizant’s applicable plans.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t>
        </is>
      </c>
    </row>
    <row r="35">
      <c r="A35" t="inlineStr">
        <is>
          <t>li-4366518802</t>
        </is>
      </c>
      <c r="B35" t="inlineStr">
        <is>
          <t>AI Engineer</t>
        </is>
      </c>
      <c r="C35" t="inlineStr">
        <is>
          <t>Cognizant</t>
        </is>
      </c>
      <c r="D35" t="inlineStr">
        <is>
          <t>linkedin</t>
        </is>
      </c>
      <c r="E35">
        <f>HYPERLINK("https://www.linkedin.com/jobs/view/4366518802", "https://www.linkedin.com/jobs/view/4366518802")</f>
        <v/>
      </c>
      <c r="F35">
        <f>HYPERLINK("https://careers.cognizant.com/global-en/jobs/000672946214/ai-engineer/?source=JB-11500&amp;urlHash=t2vk", "https://careers.cognizant.com/global-en/jobs/000672946214/ai-engineer/?source=JB-11500&amp;urlHash=t2vk")</f>
        <v/>
      </c>
      <c r="G35" t="inlineStr">
        <is>
          <t>Plano, TX</t>
        </is>
      </c>
      <c r="H35" t="inlineStr"/>
      <c r="I35" t="inlineStr">
        <is>
          <t>**Job Title** 
 :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 Build, train, and deploy machine learning and deep learning models, including Generative AI (e.g., LLMs, diffusion models) and Agentic AI solutions.
* Perform data exploration, feature engineering, and statistical analysis to support model development.
* Ingest, process, and analyze structured (e.g., relational databases), semi\-structured (e.g., JSON, XML), and unstructured data (e.g., text, images, logs) from diverse sources using Python, SQL
* Collaborate with data scientists, engineers, and business stakeholders to understand requirements and deliver impactful AI solutions.
* Develop and maintain technical documentation, data dictionaries, and model cards.
* Monitor, troubleshoot, and optimize AI models and data workflows for performance and scalability.
* Ensure compliance with data governance, security, and privacy policies.
* Stay current with the latest advancements in AI, Generative AI, and Agentic AI technologies.
* Familiarity with MLOps practices
**Required Skills \&amp; Qualifications**
* A bachelor's or master's degree in computer science, data science, artificial intelligence, or a related discipline
* A portfolio of personal projects, academic work, or contributions to open\-source projects that demonstrate your AI skills.
* Exposure in programming skills in Python and SQL
* Good problem\-solving, analytical, and communication skills, with the ability to articulate technical concepts to both technical and non\-technical stakeholders
* Knowledge with cloud AI/ML platforms (e.g., AWS SageMaker, Azure ML, GCP Vertex AI) and Agentic frameworks (Langgraph, Lang chain, Crew.ai etc.)
* Hands\-on experience with at least one AI/ML frameworks (e.g., TensorFlow, PyTorch, Hugging Face)
* Understanding of core machine learning concepts, algorithms, and models (e.g., supervised vs. unsupervised learning, regression, classification, clustering)
* Solid understanding of Generative AI (e.g., LLMs, GANs) and Agentic AI concepts
* Familiarity with essential libraries for data science and machine learning (e.g., Pandas, NumPy, scikit\-learn)
* Knowledge of containerization and CI/CD pipelines (e.g., Docker, Kubernetes)
* Understanding of data security, encryption, and compliance best practices
* Ability to work independently and collaboratively in a fast\-paced environment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**Start Date**
 New hires will start in
 **January or** 
**February 2026** 
 . While we will attempt to honor candidate start date preferences, business need and position availability will determine final start date assignment. Exact start date will be communicated with enough time for you to plan effectively.
**Salary And Other Compensation**
 The annual salary for this position is $65,000 depending on experience and other qualifications of the successful candidate. This position is also eligible for Cognizant’s discretionary annual incentive program, based on performance and subject to the terms of Cognizant’s applicable plans.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t>
        </is>
      </c>
    </row>
    <row r="36">
      <c r="A36" t="inlineStr">
        <is>
          <t>li-4366484625</t>
        </is>
      </c>
      <c r="B36" t="inlineStr">
        <is>
          <t>Staff Machine Learning Engineer</t>
        </is>
      </c>
      <c r="C36" t="inlineStr">
        <is>
          <t>Primis</t>
        </is>
      </c>
      <c r="D36" t="inlineStr">
        <is>
          <t>linkedin</t>
        </is>
      </c>
      <c r="E36">
        <f>HYPERLINK("https://www.linkedin.com/jobs/view/4366484625", "https://www.linkedin.com/jobs/view/4366484625")</f>
        <v/>
      </c>
      <c r="F36" t="inlineStr"/>
      <c r="G36" t="inlineStr">
        <is>
          <t>New York, United States</t>
        </is>
      </c>
      <c r="H36" t="inlineStr"/>
      <c r="I36" t="inlineStr">
        <is>
          <t>**Senior / Staff Machine Learning Engineer \| AI Systems at Scale** 
 Primis is partnered with a well\-funded scale\-up, who are building AI\-driven workflows for a space that’s complex, regulated, and overdue for innovation. They're
 tackling a very real problem. It’s not “AI for AI’s sake”, they’re building systems that people use daily, with humans\-in\-the\-loop, compliance requirements, and clear business impact.
**What You’ll Do** 
* Design and build scalable ML systems end\-to\-end
* Partner closely with product, engineering, and domain experts
* Develop ML\-backed workflows that combine automation with human\-in\-the\-loop validation
* Help shape early agentic architectures (no prior agent experience required)
* Mentor senior engineers and raise the technical bar across the team
**What We’re Looking For** 
* 5–10\+ years experience building ML systems in production
* Strong Python and systems design skills
* Experience scaling ML platforms or pipelines
* Comfort working in AWS environments (Terraform a plus)
* Collaborative, low\-ego communicator who enjoys technical debate done respectfully
**Nice to Have** 
* Graph data, vector databases, or RAG pipelines
* Background in industrial, or regulated domains
* Experience in SOC\-compliant or enterprise environments
**Working Model** 
* NYC\-based, hybrid (3\-4 days/week)</t>
        </is>
      </c>
    </row>
    <row r="37">
      <c r="A37" t="inlineStr">
        <is>
          <t>li-4366900278</t>
        </is>
      </c>
      <c r="B37" t="inlineStr">
        <is>
          <t>AI Engineer</t>
        </is>
      </c>
      <c r="C37" t="inlineStr">
        <is>
          <t>Best Job Tool</t>
        </is>
      </c>
      <c r="D37" t="inlineStr">
        <is>
          <t>linkedin</t>
        </is>
      </c>
      <c r="E37">
        <f>HYPERLINK("https://www.linkedin.com/jobs/view/4366900278", "https://www.linkedin.com/jobs/view/4366900278")</f>
        <v/>
      </c>
      <c r="F37" t="inlineStr"/>
      <c r="G37" t="inlineStr"/>
      <c r="H37" t="inlineStr"/>
      <c r="I37" t="inlineStr">
        <is>
          <t>**About The Company**
 Robert Half is a globally recognized professional staffing and consulting firm with a rich history of connecting talented professionals with leading organizations across various industries. Established over 70 years ago, the company specializes in providing specialized staffing solutions in finance, accounting, technology, legal, creative, and administrative fields. Known for its commitment to excellence, integrity, and innovation, Robert Half has built a reputation as a trusted partner for both job seekers and employers. The company's extensive network, industry expertise, and dedication to professional development make it a preferred choice for organizations seeking high\-caliber talent and for professionals aiming to advance their careers.
**About The Role**
 We are seeking a dynamic and detail\-oriented professional to join our team as a Senior Financial Analyst. In this role, you will be responsible for providing insightful financial analysis, supporting strategic decision\-making, and ensuring the accuracy of financial reporting. You will collaborate closely with cross\-functional teams to analyze financial data, develop forecasts, and identify opportunities for cost optimization and revenue growth. The ideal candidate will possess strong analytical skills, a solid understanding of financial principles, and the ability to communicate complex financial information effectively. This position offers a unique opportunity to contribute to the financial health and strategic direction of our organization while working in a collaborative and innovative environment.
**Qualifications**
 The ideal candidate should possess a bachelor’s degree in Finance, Accounting, Economics, or a related field. A professional certification such as CFA, CPA, or CMA is preferred. Candidates should have a minimum of 3\-5 years of experience in financial analysis, planning, or related roles. Strong proficiency in financial modeling, Excel, and financial software such as SAP or Oracle is essential. Excellent analytical, problem\-solving, and organizational skills are required, along with the ability to work independently and as part of a team. Effective communication skills, both written and verbal, are vital for presenting complex financial information clearly to stakeholders at all levels.
**Responsibilities**
 As a Senior Financial Analyst, your primary responsibilities will include conducting detailed financial analysis to support business decisions, preparing and presenting financial reports, and developing financial models to forecast future performance. You will assist in budgeting and forecasting processes, monitor financial performance against targets, and identify variances and their causes. Additionally, you will collaborate with departments to gather financial data, ensure compliance with regulatory standards, and contribute to the development of strategic initiatives. Your role will also involve maintaining accurate financial records, supporting audits, and continuously seeking ways to improve financial processes and reporting accuracy.
**Benefits**
 Robert Half offers a comprehensive benefits package designed to support the well\-being and professional growth of our employees. Benefits include competitive salary packages, health insurance, dental and vision coverage, retirement plans, paid time off, and opportunities for professional development and training. The company fosters a positive work environment that encourages work\-life balance, diversity, and inclusion. Employees also have access to various wellness programs, employee assistance programs, and recognition initiatives that promote a healthy and engaging workplace culture.
 Equal Opportunity
 Robert Half is an equal opportunity employer committed to creating an inclusive environment for all employees and applicants. We celebrate diversity and are dedicated to ensuring fair treatment regardless of race, ethnicity, gender, age, sexual orientation, disability, or any other protected characteristic. We believe that a diverse workforce enhances our ability to serve clients and provides a richer, more innovative work environment. We encourage individuals from all backgrounds to apply and join our team.</t>
        </is>
      </c>
    </row>
    <row r="38">
      <c r="A38" t="inlineStr">
        <is>
          <t>li-4366520764</t>
        </is>
      </c>
      <c r="B38" t="inlineStr">
        <is>
          <t>AI Engineer</t>
        </is>
      </c>
      <c r="C38" t="inlineStr">
        <is>
          <t>Cognizant</t>
        </is>
      </c>
      <c r="D38" t="inlineStr">
        <is>
          <t>linkedin</t>
        </is>
      </c>
      <c r="E38">
        <f>HYPERLINK("https://www.linkedin.com/jobs/view/4366520764", "https://www.linkedin.com/jobs/view/4366520764")</f>
        <v/>
      </c>
      <c r="F38" t="inlineStr"/>
      <c r="G38" t="inlineStr">
        <is>
          <t>Teaneck, NJ</t>
        </is>
      </c>
      <c r="H38" t="inlineStr"/>
      <c r="I38" t="inlineStr">
        <is>
          <t>**Job Title** 
 :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 Build, train, and deploy machine learning and deep learning models, including Generative AI (e.g., LLMs, diffusion models) and Agentic AI solutions.
* Perform data exploration, feature engineering, and statistical analysis to support model development.
* Ingest, process, and analyze structured (e.g., relational databases), semi\-structured (e.g., JSON, XML), and unstructured data (e.g., text, images, logs) from diverse sources using Python, SQL
* Collaborate with data scientists, engineers, and business stakeholders to understand requirements and deliver impactful AI solutions.
* Develop and maintain technical documentation, data dictionaries, and model cards.
* Monitor, troubleshoot, and optimize AI models and data workflows for performance and scalability.
* Ensure compliance with data governance, security, and privacy policies.
* Stay current with the latest advancements in AI, Generative AI, and Agentic AI technologies.
* Familiarity with MLOps practices
**Required Skills \&amp; Qualifications**
* A bachelor's or master's degree in computer science, data science, artificial intelligence, or a related discipline
* A portfolio of personal projects, academic work, or contributions to open\-source projects that demonstrate your AI skills.
* Exposure in programming skills in Python and SQL
* Good problem\-solving, analytical, and communication skills, with the ability to articulate technical concepts to both technical and non\-technical stakeholders
* Knowledge with cloud AI/ML platforms (e.g., AWS SageMaker, Azure ML, GCP Vertex AI) and Agentic frameworks (Langgraph, Lang chain, Crew.ai etc.)
* Hands\-on experience with at least one AI/ML frameworks (e.g., TensorFlow, PyTorch, Hugging Face)
* Understanding of core machine learning concepts, algorithms, and models (e.g., supervised vs. unsupervised learning, regression, classification, clustering)
* Solid understanding of Generative AI (e.g., LLMs, GANs) and Agentic AI concepts
* Familiarity with essential libraries for data science and machine learning (e.g., Pandas, NumPy, scikit\-learn)
* Knowledge of containerization and CI/CD pipelines (e.g., Docker, Kubernetes)
* Understanding of data security, encryption, and compliance best practices
* Ability to work independently and collaboratively in a fast\-paced environment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**Start Date**
 New hires will start in
 **January or** 
**February 2026** 
 . While we will attempt to honor candidate start date preferences, business need and position availability will determine final start date assignment. Exact start date will be communicated with enough time for you to plan effectively.
**Salary And Other Compensation**
 The annual salary for this position is $65,000 depending on experience and other qualifications of the successful candidate. This position is also eligible for Cognizant’s discretionary annual incentive program, based on performance and subject to the terms of Cognizant’s applicable plans.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t>
        </is>
      </c>
    </row>
    <row r="39">
      <c r="A39" t="inlineStr">
        <is>
          <t>li-4328139890</t>
        </is>
      </c>
      <c r="B39" t="inlineStr">
        <is>
          <t>Staff Machine Learning Engineer, Perception, Sensor Pipelines</t>
        </is>
      </c>
      <c r="C39" t="inlineStr">
        <is>
          <t>Waymo</t>
        </is>
      </c>
      <c r="D39" t="inlineStr">
        <is>
          <t>linkedin</t>
        </is>
      </c>
      <c r="E39">
        <f>HYPERLINK("https://www.linkedin.com/jobs/view/4328139890", "https://www.linkedin.com/jobs/view/4328139890")</f>
        <v/>
      </c>
      <c r="F39">
        <f>HYPERLINK("https://careers.withwaymo.com/jobs?gh_jid=7488589&amp;gh_src=e2a2625d1us&amp;urlHash=pZkB", "https://careers.withwaymo.com/jobs?gh_jid=7488589&amp;gh_src=e2a2625d1us&amp;urlHash=pZkB")</f>
        <v/>
      </c>
      <c r="G39" t="inlineStr">
        <is>
          <t>San Francisco, CA</t>
        </is>
      </c>
      <c r="H39" t="inlineStr"/>
      <c r="I39"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Software Engineering builds the brains of Waymo's fully autonomous driving technology. Our software allows the Waymo Driver to perceive the world around it, make the right decision for every situation, and deliver people safely to their destinations. We think deeply and solve complex technical challenges in areas like robotics, perception, decision\-making and deep learning, while collaborating with hardware and systems engineers. If you’re a software engineer or researcher who’s curious and passionate about Level 4 autonomous driving, we'd like to meet you.
 The Sensor Pipelines team applies sensor fusion and ML approaches to address critical challenges in Perception; like detections of Collisions, Antagonistic Behaviors like Vandalism, Sensing Occlusions, etc. Our work involves cutting\-edge research (Gen AI) to solve real\-world problems and requires close collaboration with onboard teams across Alphabet. We have access to millions of miles of driving data from a diverse set of sensors, enabling engineers like you to develop sophisticated models and techniques at scale. For this specific position, we are seeking an experienced MLE to be our data TL, build robust data pipelines and data flywheel for the team, through collaboration cross\-team with Perception, Behavior, ML foundation and Simulation teams.
 This role follows a hybrid work schedule and reports to a Technical Lead Manager.
**You Will**
* TL the team to build data platforms for large\-scale evaluation of the systems. Create data sets, recipes for human and machine labeling, methods and recipes for continuous logging, data intake, selection and incremental updates of models, stream eval data set curation, sampling \&amp; slicing, enable data\-driven decision making, develop methods for logging, data mining and recipes for automated data collection/model update flywheels.
* Define long\-term strategy, develop roadmaps, and guide the team to execute projects from ambiguous requirements to high\-impact deliverables.
* Collaborate with team members in understanding their data needs \&amp; build infra solutions that solve their problems. Collaborate with the eval team to enable smooth, robust and efficient evaluation on top of the data platform.
* Collaborate cross\-team, exercise complete end\-to\-end ownership in delivering a robust and adaptable data platform jointly w/ collaborating teams. This platform will be capable of supporting rapid iteration and meeting the demanding timelines associated with Waymo's city expansions, enabling proactive problem\-solving.
**You Have**
* Bachelor’s in Computer Science or a similar discipline, or an equivalent amount of deep learning experience
* 8\+ years of experience designing and building complex, scalable systems.
* Demonstrated technical leadership in defining long\-term strategy, developing roadmaps, and guiding teams to execute projects from ambiguous requirements to high\-impact deliverables.
* Demonstrated ability to work effectively across diverse teams and communicate technical concepts clearly.
* Deep expertise in the evaluation of Machine Learning systems at scale, encompassing metrics design, rigorous experimentation, large\-scale data analysis, and statistical methods.
* Excellent problem\-solving skills, clear technical communication, and a strong sense of end\-to\-end ownership.
**We Prefer**
* Master’s or PhD in Computer Science or a similar discipline, or an equivalent amount of deep learning experience
* Familiarity with autonomous vehicle systems, particularly Perception, including typical data pipelines and evaluation processes.
* Hands\-on experience with data analysis, visualization, and triage tools \&amp; workflows, with a knack for identifying improvement areas.
* Experience in designing and implementing efficient data processing workflows for large datasets.
* Publications at top\-tier conferences like CVPR, ICCV, ECCV, ICLR, ICML, ICRA, IROS, RSS, NeurIPS, AAAI, IJCV, PAMI.
* Experience with C\+\+.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$238,000—$302,000 USD</t>
        </is>
      </c>
    </row>
    <row r="40">
      <c r="A40" t="inlineStr">
        <is>
          <t>li-4366902700</t>
        </is>
      </c>
      <c r="B40" t="inlineStr">
        <is>
          <t>Gen AI Engineer</t>
        </is>
      </c>
      <c r="C40" t="inlineStr">
        <is>
          <t>Skywaves Rise</t>
        </is>
      </c>
      <c r="D40" t="inlineStr">
        <is>
          <t>linkedin</t>
        </is>
      </c>
      <c r="E40">
        <f>HYPERLINK("https://www.linkedin.com/jobs/view/4366902700", "https://www.linkedin.com/jobs/view/4366902700")</f>
        <v/>
      </c>
      <c r="F40" t="inlineStr"/>
      <c r="G40" t="inlineStr">
        <is>
          <t>New York, NY</t>
        </is>
      </c>
      <c r="H40" t="inlineStr"/>
      <c r="I40" t="inlineStr">
        <is>
          <t>* 8\+ years for Sr GenAI Engineer and 10\+ years for Staff/Principal GenAI Engineer, of professional experience in building Machine Learning models \&amp; systems
* 3\+ years of hands\-on experience in how LLMs work \&amp; Generative AI (LLM) techniques particularly prompt engineering, RAG, and agents.
* Expert proficiency in programming skills in Python, Langchain/Langgraph and SQL is a must.
* Understanding of Cloud services from various cloud services from Azure, GCP, or AWS for building the GenAI applications
* Excellent communication skills to effectively collaborate with business SMEs</t>
        </is>
      </c>
    </row>
    <row r="41">
      <c r="A41" t="inlineStr">
        <is>
          <t>li-4366529632</t>
        </is>
      </c>
      <c r="B41" t="inlineStr">
        <is>
          <t>AI Engineer</t>
        </is>
      </c>
      <c r="C41" t="inlineStr">
        <is>
          <t>Cognizant</t>
        </is>
      </c>
      <c r="D41" t="inlineStr">
        <is>
          <t>linkedin</t>
        </is>
      </c>
      <c r="E41">
        <f>HYPERLINK("https://www.linkedin.com/jobs/view/4366529632", "https://www.linkedin.com/jobs/view/4366529632")</f>
        <v/>
      </c>
      <c r="F41" t="inlineStr"/>
      <c r="G41" t="inlineStr">
        <is>
          <t>Teaneck, NJ</t>
        </is>
      </c>
      <c r="H41" t="inlineStr"/>
      <c r="I41" t="inlineStr">
        <is>
          <t>**Job Title** 
 : AI Engineer
**Team:** 
 AI\&amp;A
**Position Overview**
 Cognizant is seeking a highly skilled and innovative AI Engineer to join our AI \&amp; Data Science team. The ideal candidate will have exposure in Python, and SQL and will be responsible for data exploration and AI development. This role involves designing and developing scalable AI solutions and data pipelines for structured, semi\-structured, and unstructured data, enabling advanced analytics and intelligent automation across the organization.
**Key Responsibilities**
* Build, train, and deploy machine learning and deep learning models, including Generative AI (e.g., LLMs, diffusion models) and Agentic AI solutions.
* Perform data exploration, feature engineering, and statistical analysis to support model development.
* Ingest, process, and analyze structured (e.g., relational databases), semi\-structured (e.g., JSON, XML), and unstructured data (e.g., text, images, logs) from diverse sources using Python, SQL
* Collaborate with data scientists, engineers, and business stakeholders to understand requirements and deliver impactful AI solutions.
* Develop and maintain technical documentation, data dictionaries, and model cards.
* Monitor, troubleshoot, and optimize AI models and data workflows for performance and scalability.
* Ensure compliance with data governance, security, and privacy policies.
* Stay current with the latest advancements in AI, Generative AI, and Agentic AI technologies.
* Familiarity with MLOps practices
**Required Skills \&amp; Qualifications**
* A bachelor's or master's degree in computer science, data science, artificial intelligence, or a related discipline
* A portfolio of personal projects, academic work, or contributions to open\-source projects that demonstrate your AI skills.
* Exposure in programming skills in Python and SQL
* Good problem\-solving, analytical, and communication skills, with the ability to articulate technical concepts to both technical and non\-technical stakeholders
* Knowledge with cloud AI/ML platforms (e.g., AWS SageMaker, Azure ML, GCP Vertex AI) and Agentic frameworks (Langgraph, Lang chain, Crew.ai etc.)
* Hands\-on experience with at least one AI/ML frameworks (e.g., TensorFlow, PyTorch, Hugging Face)
* Understanding of core machine learning concepts, algorithms, and models (e.g., supervised vs. unsupervised learning, regression, classification, clustering)
* Solid understanding of Generative AI (e.g., LLMs, GANs) and Agentic AI concepts
* Familiarity with essential libraries for data science and machine learning (e.g., Pandas, NumPy, scikit\-learn)
* Knowledge of containerization and CI/CD pipelines (e.g., Docker, Kubernetes)
* Understanding of data security, encryption, and compliance best practices
* Ability to work independently and collaboratively in a fast\-paced environment
**Location**
 New hires will be hired at the Cognizant office in
 **Plano, TX or Teaneck, NJ,** 
 where you will work alongside other experienced Cognizant associates delivering technology solutions. Applicants must be willing to relocate to this major geographic area. While we attempt to honor candidate location preferences, business needs and position availability will determine final location assignment.
**Start Date**
 New hires will start in
 **January or** 
**February 2026** 
 . While we will attempt to honor candidate start date preferences, business need and position availability will determine final start date assignment. Exact start date will be communicated with enough time for you to plan effectively.
**Salary And Other Compensation**
 The annual salary for this position is $65,000 depending on experience and other qualifications of the successful candidate. This position is also eligible for Cognizant’s discretionary annual incentive program, based on performance and subject to the terms of Cognizant’s applicable plans.
**Why Choose Us?**
 Cognizant delivers solutions that draw upon the full power and scale of our associates. You will be supported by high\-caliber experts and employ some of the most advanced and patented capabilities. Our associate’s diverse backgrounds offer multifaceted perspectives and fuel new ways of thinking. We encourage lively discussions which inspire better results for our clients.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hourly rate, other compensation, and benefits information is accurate as of the date of this posting. Cognizant reserves the right to modify this information at any time, subject to applicable law.
**Work Authorization**
 Due to the nature of this position, Cognizant cannot provide sponsorship for U.S. work authorization (including participation in a CPT/OPT program) for this role.</t>
        </is>
      </c>
    </row>
    <row r="42">
      <c r="A42" t="inlineStr">
        <is>
          <t>li-4366514271</t>
        </is>
      </c>
      <c r="B42" t="inlineStr">
        <is>
          <t>AI Engineer</t>
        </is>
      </c>
      <c r="C42" t="inlineStr">
        <is>
          <t>Tata Consultancy Services</t>
        </is>
      </c>
      <c r="D42" t="inlineStr">
        <is>
          <t>linkedin</t>
        </is>
      </c>
      <c r="E42">
        <f>HYPERLINK("https://www.linkedin.com/jobs/view/4366514271", "https://www.linkedin.com/jobs/view/4366514271")</f>
        <v/>
      </c>
      <c r="F42" t="inlineStr"/>
      <c r="G42" t="inlineStr"/>
      <c r="H42" t="inlineStr"/>
      <c r="I42" t="inlineStr">
        <is>
          <t>Job Description
**Key Responsibilities** 
**Backend Development:** 
* Design, develop, and maintain scalable backend services and APIs primarily using Node.js with TypeScript and Python.
* Integrate AI/ML models and workflows into backend systems to enable intelligent application features.
* Ensure robust application architecture, security, and performance optimization.
**Frontend Development:** 
* Build responsive, user\-friendly interfaces using React and TypeScript following best practices and design principles.
* Collaborate with UX/UI designers and product teams to deliver seamless user experiences.
* Implement state management, routing, and component libraries to support complex application workflows.
**AI/ML Integration:** 
* Develop and deploy machine learning models using Scikit\-learn and TensorFlow, with cloud\-based orchestration through Azure ML.
* Integrate AI functionalities using frameworks like Lang chain and JavaScript\-based libraries into web applications.
* Collaborate with data scientists and ML engineers to operationalize AI solutions in production\-grade applications.
**Collaboration \&amp; Best Practices** 
* Work closely with product managers, designers, and other engineers in an Agile environment.
* Write clean, maintainable, and well\-documented code with unit and integration tests.
* Participate in code reviews, design discussions, and continuous improvement initiatives
**TCS Employee Benefits Summary:**
* Discretionary Annual Incentive.
* Comprehensive Medical Coverage: Medical \&amp; Health, Dental \&amp; Vision, Disability Planning \&amp; Insurance, Pet Insurance Plans.
* Family Support: Ma ternal \&amp; Parental Leaves.
* Insurance Options: Auto \&amp; Home Insurance, Identity Theft Protection.
* Convenience \&amp; Professional Growth: Commute r Benefits \&amp; Certification \&amp; Training Reimbursement.
* Time Off: Vacation, Time Off, Sick Leave \&amp; Holidays.
* Legal \&amp; Financial Assistance: Legal Assistance, 401K Plan, Performance Bonus, College Fund, Student Loan Refinancing.</t>
        </is>
      </c>
    </row>
    <row r="43">
      <c r="A43" t="inlineStr">
        <is>
          <t>li-4366770547</t>
        </is>
      </c>
      <c r="B43" t="inlineStr">
        <is>
          <t>Senior Machine Learning Engineer</t>
        </is>
      </c>
      <c r="C43" t="inlineStr">
        <is>
          <t>Storm2</t>
        </is>
      </c>
      <c r="D43" t="inlineStr">
        <is>
          <t>linkedin</t>
        </is>
      </c>
      <c r="E43">
        <f>HYPERLINK("https://www.linkedin.com/jobs/view/4366770547", "https://www.linkedin.com/jobs/view/4366770547")</f>
        <v/>
      </c>
      <c r="F43" t="inlineStr"/>
      <c r="G43" t="inlineStr"/>
      <c r="H43" t="inlineStr"/>
      <c r="I43" t="inlineStr">
        <is>
          <t>**Tech Unicorn** 
**Staff Machine Learning Engineer, Personalization \&amp; Recommendations** 
**Base Salary \- 250,000\-330,000** 
**Hybrid \- San Francisco** 
 Our client is a global, AI\-driven platform used by tens of millions of users each month. Their product supports billions of learning interactions and combines cognitive science with modern machine learning to deliver highly personalized educational experiences at scale.
 They are building the next generation of adaptive learning tools and are investing heavily in personalization, recommendations, and AI infrastructure.
**The Team** 
 The Personalization \&amp; Recommendations ML team owns the systems that determine how learners discover content, activities, and study experiences across the platform. Their work spans search, home feed, and adaptive learning flows, with a focus on delivering individualized, outcome\-driven experiences.
 The team partners closely with Product, Data Science, and Platform Engineering to ship scalable, high\-impact ML systems.
**The Role** 
 Our client is hiring a
 **Staff Machine Learning Engineer** 
 to lead the design and development of large\-scale recommendation and ranking systems. This role will have direct ownership over retrieval, ranking, and personalization models that shape learner engagement across core product surfaces.
 You’ll work at the intersection of machine learning, product strategy, and distributed systems, helping evolve the company’s personalization stack while ensuring performance, fairness, and privacy.
 This is a hybrid role based in
 **San Francisco** 
 , with an in\-office expectation of three days per week.
**What You’ll Do** 
* Design and deploy personalization models across retrieval, ranking, and post\-ranking layers
* Build real\-time recommendation systems using embedding\-based retrieval and deep ranking models
* Own model pipelines from training through production and monitoring
* Partner with Product and Data Science to align learner goals with modeling and experimentation strategies
* Define evaluation frameworks using offline metrics and online A/B testing
* Optimize training efficiency, inference latency, and serving costs at scale
* Contribute to long\-term personalization and AI strategy
* Mentor engineers and promote strong ML best practices
**What Our Client Is Looking For** 
* 8\+ years of experience in applied ML or ML\-heavy engineering roles
* Proven experience building recommender, ranking, or search systems in production
* Strong Python and PyTorch skills with experience in large\-scale training and inference
* Deep knowledge of retrieval and ranking architectures and vector search systems
* Experience connecting offline metrics to online business and product outcomes
* Strong communication skills and a collaborative mindset
* Commitment to responsible, inclusive personalization
**Compensation \&amp; Benefits** 
* Comprehensive health, dental, and vision coverage
* 401(k) with employer match
* 20 days of PTO plus paid volunteer time
* Learning and development resources
* Hybrid work environment with strong team collaboration</t>
        </is>
      </c>
    </row>
    <row r="44">
      <c r="A44" t="inlineStr">
        <is>
          <t>li-4366514573</t>
        </is>
      </c>
      <c r="B44" t="inlineStr">
        <is>
          <t>Python AI/ML Engineer</t>
        </is>
      </c>
      <c r="C44" t="inlineStr">
        <is>
          <t>Jobs via Dice</t>
        </is>
      </c>
      <c r="D44" t="inlineStr">
        <is>
          <t>linkedin</t>
        </is>
      </c>
      <c r="E44">
        <f>HYPERLINK("https://www.linkedin.com/jobs/view/4366514573", "https://www.linkedin.com/jobs/view/4366514573")</f>
        <v/>
      </c>
      <c r="F44" t="inlineStr"/>
      <c r="G44" t="inlineStr">
        <is>
          <t>Columbus, OH</t>
        </is>
      </c>
      <c r="H44" t="inlineStr"/>
      <c r="I44" t="inlineStr">
        <is>
          <t>Dice is the leading career destination for tech experts at every stage of their careers. Our client, Marici Solutions, is seeking the following. Apply via Dice today!
**Python AI/ML Engineer**
**Columbus OH (30 roles** 
**)\- Relocation is open with prior history/ reason**
**Wilmington DE (10 roles)** 
**\- Look nearby but relocation is also open**
**Must: Python , Spark/Pyspark, AWS**
**Plus: Data Bricks, Terraform**
**AI/ML good to have**
**Required Qualifications, Capabilities, And Skills**
 Formal training or certification on Software Engineering concepts and 5\+ years applied experience
 Hands\-on with building AI agents and Machine learning
 Hands\-on practical experience delivering system design, application development, testing, and operational stability
 Strong hands\-on coding capabilities in languages / platforms such as PySpark / Python / Databricks
 Proficiency in automation and continuous delivery methods
 Proficient in all aspects of the Software Development Life Cycle
 Advanced understanding of agile methodologies such as CI/CD, Application Resiliency, and Security
 Demonstrated proficiency in software applications and technical processes within a technical discipline (e.g., cloud, artificial intelligence, machine learning, mobile, etc.)
 In\-depth knowledge of the financial services industry and their IT systems</t>
        </is>
      </c>
    </row>
    <row r="45">
      <c r="A45" t="inlineStr">
        <is>
          <t>li-4366786392</t>
        </is>
      </c>
      <c r="B45" t="inlineStr">
        <is>
          <t>Senior Machine Learning Engineer</t>
        </is>
      </c>
      <c r="C45" t="inlineStr">
        <is>
          <t>Capital One</t>
        </is>
      </c>
      <c r="D45" t="inlineStr">
        <is>
          <t>linkedin</t>
        </is>
      </c>
      <c r="E45">
        <f>HYPERLINK("https://www.linkedin.com/jobs/view/4366786392", "https://www.linkedin.com/jobs/view/4366786392")</f>
        <v/>
      </c>
      <c r="F45">
        <f>HYPERLINK("https://dsp.prng.co/VG2T3vb&amp;urlHash=D2hb", "https://dsp.prng.co/VG2T3vb&amp;urlHash=D2hb")</f>
        <v/>
      </c>
      <c r="G45" t="inlineStr">
        <is>
          <t>San Francisco, CA</t>
        </is>
      </c>
      <c r="H45" t="inlineStr"/>
      <c r="I45"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4 years of experience programming with Python, Scala, or Java (Internship experience does not apply)
* At least 3 years of experience designing and building data\-intensive solutions using distributed computing
* At least 2 years of on\-the\-job experience with an industry recognized ML frameworks (scikit\-learn, PyTorch, Dask, Spark, or TensorFlow)
* At least 1 year of experience productionizing, monitoring, and maintaining models
 Preferred Qualifications:
* 1\+ years of experience building, scaling, and optimizing ML systems
* 1\+ years of experience with data gathering and preparation for ML models
* 2\+ years of experience developing performant, resilient, and maintainable code
* Experience developing and deploying ML solutions in a public cloud such as AWS, Azure, or Google Cloud Platform
* Master's or doctoral degree in computer science, electrical engineering, mathematics, or a similar field
* 3\+ years of experience with distributed file systems or multi\-node database paradigms
* Contributed to open source ML software
* Authored/co\-authored a paper on a ML technique, model, or proof of concept
* 3\+ years of experience building production\-ready data pipelines that feed ML models
* Experience designing, implementing, and scaling complex data pipelines for ML models and evaluating their performance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 $176,500 \- $201,400 for Senior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6">
      <c r="A46" t="inlineStr">
        <is>
          <t>li-4366521470</t>
        </is>
      </c>
      <c r="B46" t="inlineStr">
        <is>
          <t>Cloud AI/ML Engineer - REMOTE Position</t>
        </is>
      </c>
      <c r="C46" t="inlineStr">
        <is>
          <t>Jobs via Dice</t>
        </is>
      </c>
      <c r="D46" t="inlineStr">
        <is>
          <t>linkedin</t>
        </is>
      </c>
      <c r="E46">
        <f>HYPERLINK("https://www.linkedin.com/jobs/view/4366521470", "https://www.linkedin.com/jobs/view/4366521470")</f>
        <v/>
      </c>
      <c r="F46" t="inlineStr"/>
      <c r="G46" t="inlineStr"/>
      <c r="H46" t="inlineStr"/>
      <c r="I46" t="inlineStr">
        <is>
          <t>Dice is the leading career destination for tech experts at every stage of their careers. Our client, Amtex Enterprises, is seeking the following. Apply via Dice today!
**Cloud AI/ML Engineer** 
**Duration: 6\+ Months** 
**Rate: $45\-47/hr on W2** 
**Location: REMOTE from US**
**Our Minimum Requirements Include:**
* Bachelor’s or Master’s degree in Computer Science, Data Science, or related technical field, or equivalent experience.
* Proven ability building and deploying ML models, with at least 2 years focused on cloud operations.
* Solid knowledge of cloud technologies (AWS, Google Cloud Platform, Azure, OCI).
* Experience with Python, PySpark, and ML libraries such as PyTorch, TensorFlow, or scikit\-learn.
* Comfortable working with streaming data, APIs, and telemetry systems.
* Experience with AWS Glue ETL, AWS Athena, Snowflake, and Apache Airflow DAGs.
* Strong communication and multi\-functional collaboration skills.
* Experience with Agile and DevOps operating models, including project tracking tools (e.g., Jira), Git (any Version Control systems), and CI/CD systems (e.g., GitLab, GitHub Actions, Jenkins).
* Proficient in general\-purpose programming languages (Python, Golang, Bash) and development platforms and technologies.</t>
        </is>
      </c>
    </row>
    <row r="47">
      <c r="A47" t="inlineStr">
        <is>
          <t>li-4366511583</t>
        </is>
      </c>
      <c r="B47" t="inlineStr">
        <is>
          <t>AI Engineer</t>
        </is>
      </c>
      <c r="C47" t="inlineStr">
        <is>
          <t>Jobs via Dice</t>
        </is>
      </c>
      <c r="D47" t="inlineStr">
        <is>
          <t>linkedin</t>
        </is>
      </c>
      <c r="E47">
        <f>HYPERLINK("https://www.linkedin.com/jobs/view/4366511583", "https://www.linkedin.com/jobs/view/4366511583")</f>
        <v/>
      </c>
      <c r="F47" t="inlineStr"/>
      <c r="G47" t="inlineStr"/>
      <c r="H47" t="inlineStr"/>
      <c r="I47" t="inlineStr">
        <is>
          <t>Dice is the leading career destination for tech experts at every stage of their careers. Our client, AIT Global, Inc., is seeking the following. Apply via Dice today!
**Job Title: AI Engineer
 Location: Remote**
**Job Description:**
 We are seeking a skilled AI Engineer to support a state government client. This role is primarily remote (East Coast hours) with occasional visits to the client office as required. The ideal candidate has hands\-on experience building and deploying AI/ML solutions, strong communication skills, and the ability to work with large, complex datasets in a regulated environment.
**Key Responsibilities:**
* Design, develop, and deploy AI/ML models for state government and enterprise use cases
* Work with structured and unstructured data to build scalable AI solutions
* Perform data preprocessing, feature engineering, model training, validation, and tuning
* Collaborate with cross\-functional teams including data engineers, product managers, and client stakeholders
* Translate business and program requirements into AI\-driven solutions
* Monitor, maintain, and improve model performance in production
* Ensure compliance with data privacy, security, and regulatory standards
* Participate in meetings during East Coast business hours and attend onsite sessions when required
**Required Qualifications:**
* 4 5 years of experience as an AI Engineer / Machine Learning Engineer
* Strong proficiency in Python and ML frameworks (TensorFlow, PyTorch, Scikit\-learn)
* Solid understanding of machine learning algorithms, model evaluation, and deployment practices
* Experience integrating ML models into production systems
* Strong analytical, problem\-solving, and communication skills
* Ability to work effectively in a remote environment with government or enterprise clients</t>
        </is>
      </c>
    </row>
    <row r="48">
      <c r="A48" t="inlineStr">
        <is>
          <t>li-4366512588</t>
        </is>
      </c>
      <c r="B48" t="inlineStr">
        <is>
          <t>Machine Learning Engineer</t>
        </is>
      </c>
      <c r="C48" t="inlineStr">
        <is>
          <t>Jobs via Dice</t>
        </is>
      </c>
      <c r="D48" t="inlineStr">
        <is>
          <t>linkedin</t>
        </is>
      </c>
      <c r="E48">
        <f>HYPERLINK("https://www.linkedin.com/jobs/view/4366512588", "https://www.linkedin.com/jobs/view/4366512588")</f>
        <v/>
      </c>
      <c r="F48">
        <f>HYPERLINK("https://click.appcast.io/t/g5ohbYXXPQZctq2QvQwHLHtj7mO6yeUj7Fv5XaHW8O0=&amp;urlHash=-rNE", "https://click.appcast.io/t/g5ohbYXXPQZctq2QvQwHLHtj7mO6yeUj7Fv5XaHW8O0=&amp;urlHash=-rNE")</f>
        <v/>
      </c>
      <c r="G48" t="inlineStr">
        <is>
          <t>Atlanta, GA</t>
        </is>
      </c>
      <c r="H48" t="inlineStr"/>
      <c r="I48" t="inlineStr">
        <is>
          <t>Dice is the leading career destination for tech experts at every stage of their careers. Our client, HUMAC INC., is seeking the following. Apply via Dice today!
**Role: Lead ML Engineer**
**Location: Atlanta, GA, USA**
**Job Description**
 We are seeking a highly skilled and communicative Machine Learning Engineer (8\+ years of experience) to join our AI team.
 In this role, you will bridge the gap between cutting\-edge AI research and practical, user\-facing applications.
 You will be responsible for designing, building, and deploying Generative AI models (LLMs, Diffusion Models) to solve complex business problems, while effectively communicating technical advancements to non\-technical stakeholders.
 The ideal candidate is both a hands\-on coder passionate about ML, Gen AI and a proactive collaborator who excels at explaining complex AI concepts to diverse teams.
**Roles \&amp; Responsibilities**
**Key Responsibilities**
**GenAI Development:** 
 Architect, fine\-tune, and deploy Large Language Models (LLMs) and Generative AI techniques (e.g., RAG, PEFT/SFT) to improve business applications.
**Production Deployment:** 
 Build and maintain high\-performance, scalable ML pipelines and GPU\-based inference systems in cloud environments (AWS/Google Cloud Platform/Azure).
**Collaboration \&amp; Communication** 
 : Work closely with product managers, data scientists, and engineers to translate business requirements into technical specifications.
**Stakeholder Engagement:** 
 Clearly present AI methodologies, performance results, and technical trade\-offs to non\-technical stakeholders and leadership.
**Model Optimization:** 
 Implement prompt engineering, adversarial testing, and model optimization strategies to ensure high\-quality, efficient, and safe outputs.
 Stay Updated: Actively keep up with the latest advancements in GenAI research and incorporate them into our production systems.
**Team and project Coordination:** 
 Define project scope, timelines, deliverables, success metrics, co\-ordinate with and guide offshore technical team on project deliverables.
**Required Skills \&amp; Qualifications**
**Experience:** 
 10\+ years of experience as an ML Engineer, with at least 1\-2 years dedicated to Generative AI or NLP projects, and good experience on AWS cloud platform.
**Technical Expertise:** 
 Strong proficiency in Python, and IDEs such as Cursor/AWS Kiro, deep learning frameworks (PyTorch or TensorFlow or), utilizing GitHub co\-pilot etc.
**GenAI Proficiency:** 
 Hands\-on experience with LLMs (e.g., GPT\-4, Llama), RAG architectures, LangChain, Vector Databases, Knowledge graphs, and Agentic AI
**MLOps and LLM Ops:** 
 Familiarity with Docker, Kubernetes, and CI/CD tools for ML.
**AWS Skills:** 
 S3, Lambda, Glue, AWS Sage maker, and AWS Bedrock platform
**Communication Skills:** 
 Excellent verbal and written communication skills; ability to articulate complex technical concepts simply.
**Stakeholder Management:** 
 Able to collaborate with key business/client stakeholders and manage their expectations
**Problem\-Solving:** 
 Proven ability to work independently in a fast\-paced environment and troubleshoot issues.
**Preferred Qualifications**
 Engineering degree in computer science or equivalent, and relevant certification in Machine learning
 Experience in banking or financial services domain Payments industry.</t>
        </is>
      </c>
    </row>
    <row r="49">
      <c r="A49" t="inlineStr">
        <is>
          <t>li-4344163919</t>
        </is>
      </c>
      <c r="B49" t="inlineStr">
        <is>
          <t>Principal AI Engineer</t>
        </is>
      </c>
      <c r="C49" t="inlineStr">
        <is>
          <t>Vixxo Facility Solutions</t>
        </is>
      </c>
      <c r="D49" t="inlineStr">
        <is>
          <t>linkedin</t>
        </is>
      </c>
      <c r="E49">
        <f>HYPERLINK("https://www.linkedin.com/jobs/view/4344163919", "https://www.linkedin.com/jobs/view/4344163919")</f>
        <v/>
      </c>
      <c r="F49" t="inlineStr"/>
      <c r="G49" t="inlineStr">
        <is>
          <t>Scottsdale, AZ</t>
        </is>
      </c>
      <c r="H49" t="inlineStr"/>
      <c r="I49" t="inlineStr">
        <is>
          <t>**Vixxo** 
 is seeking a full\-time Principal AI Engineer to work out of our Scottsdale office \- (In office Monday through Thursday \- Work remotely on Fridays)
**Position Summary**
 The Principal AI Engineer is a senior technical role responsible for driving the organization’s bold shift toward an AI\-first development culture. This position serves as a hands\-on expert in modern AI\-driven engineering practices, helping accelerate the delivery of new AI\-enabled products and transforming how teams build, automate, and innovate. The Principal AI Engineer partners closely with engineering teams, business stakeholders, and IT leadership to design advanced AI solutions, modernize legacy systems, and coach teams in adopting AI\-first principles, development patterns, and best practices. This role plays a critical part in establishing a shift from traditional software development approaches to AI\-first, agentic, and automation\-driven engineering.
**Essential Duties And Responsibilities**
* AI\-First Engineering \&amp; Solution Development: Design, develop, and deploy AI\-first features, automations, and system components using agentic, AI\-assisted development workflows that dramatically accelerate delivery, experimentation, and modernization across the enterprise.
* Coaching, Mentorship \&amp; Knowledge Transfer: Coach and mentor engineers on AI\-first development practices, LLM integration, agentic system patterns, prompt engineering, and automation strategies. Advocate for and model best\-in\-class engineering practices to elevate team capability.
* Business Engagement \&amp; AI Requirements: Work in tight, real\-time partnership with business teams to rapidly identify, prototype, and deploy AI\-driven automations and improvements, shortening feedback loops and enabling the business to directly evolve and extend solutions through AI\-powered tools.
* Cultural Leadership \&amp; AI Transformation: Champion an AI\-first mindset across the organization by promoting innovation, driving urgency, and supporting a culture of curiosity and continuous learning. Develop internal AI tools, frameworks, libraries, and reusable assets that enable teams to work faster and smarter.
**Supervision**
* Does this position supervise employees?
* Yes (future potential; no current direct reports)
* Does this position have any of the following responsibilities?
* Assign and/or check the work of others, but without other supervisory authority.
**Qualifications And Experience**
* Hands\-on experience using Agentic and AI\-native coding tools such as Cursor, Claude Code, Codex, or similar, treating LLMs as active collaborators in design, coding, refactoring, and system evolution
* Significant experience as a Principal Engineer or equivalent senior technical role.
* Demonstrated success in building AI\-first applications, including greenfield systems and modernization using AI.
* Comfort working in complex enterprise environments that include major commercial platforms alongside modern, custom\-built applications (including .NET and Angular), using AI\-first and agentic development practices to integrate with and modernize around them. Deep legacy expertise is not required; judgment, adaptability, and leverage through AI are. The team increasingly favors batteries\-included frameworks such as Django (Python) to accelerate delivery and reduce cognitive load.
* Experience with LLM integrations, agentic workflows, RAG patterns, and AI orchestration frameworks.
* Strong prompt engineering capability.
* Familiarity with AWS and Azure cloud environments and CI/CD pipelines.
* Experience in legacy modernization using AI\-accelerated methodologies.
* Consulting or advisory background preferred.
* Strong communication and teaching skills.
**Other Skills And Abilities**
* Strong customer orientation and ability to work cross\-functionally.
* Experience documenting and communicating complex AI\-driven solutions.
* Broad awareness of security, governance, and MLOps considerations.
* Comfortable operating across mixed cloud environments (Oracle Cloud, Azure, and AWS), using AI\-assisted workflows to ramp into new platforms quickly. Depth in one cloud is sufficient; adaptability matters most.
**Education, Certificates, Licenses, Registrations**
* Bachelor’s degree preferred but not required. Equivalent experience accepted.
* AI or cloud certifications are a plus.
**Physical Demands**
* Standard physical requirements for office work; occasional lifting up to 15 lbs.
**Travel**
* Up to 5% on overnight travel.
**Work Environment**
* Primarily office\-based with hybrid flexibility; typical office noise and conditions.</t>
        </is>
      </c>
    </row>
    <row r="50">
      <c r="A50" t="inlineStr">
        <is>
          <t>li-4366511579</t>
        </is>
      </c>
      <c r="B50" t="inlineStr">
        <is>
          <t>Machine Learning Engineer</t>
        </is>
      </c>
      <c r="C50" t="inlineStr">
        <is>
          <t>Jobs via Dice</t>
        </is>
      </c>
      <c r="D50" t="inlineStr">
        <is>
          <t>linkedin</t>
        </is>
      </c>
      <c r="E50">
        <f>HYPERLINK("https://www.linkedin.com/jobs/view/4366511579", "https://www.linkedin.com/jobs/view/4366511579")</f>
        <v/>
      </c>
      <c r="F50" t="inlineStr"/>
      <c r="G50" t="inlineStr">
        <is>
          <t>Florham Park, NJ</t>
        </is>
      </c>
      <c r="H50" t="inlineStr"/>
      <c r="I50" t="inlineStr">
        <is>
          <t>Dice is the leading career destination for tech experts at every stage of their careers. Our client, Baanyan Software Services, Inc., is seeking the following. Apply via Dice today!
 Job Title: Machine Learning Engineer (Backend\-Focused)
**Location:** 
 Florham Park, NJ (Local candidates only)
**Job Type:** 
 Contract W2( NO C2C)
**Job Description**
 We are seeking a highly skilled
 **Machine Learning Engineer** 
 with a strong backend engineering focus to design, build, and deploy scalable machine learning solutions. This role is strictly for
 **ML Engineers** 
 —
 **not Data Scientists** 
 —and requires hands\-on experience in production\-grade systems, APIs, and cloud infrastructure.
 Candidates
 **must be local to Florham Park, NJ** 
 and available for on\-site or hybrid work as required.
 Key Responsibilities
* Design, develop, and deploy backend machine learning services and pipelines
* Build and maintain scalable APIs using FastAPI
* Develop robust ML solutions using Python for real\-world production use cases
* Integrate ML models into backend systems and microservices
* Implement Infrastructure as Code (IaC) using Terraform
* Collaborate with backend engineers, DevOps, and product teams
* Optimize model performance, reliability, and scalability in production environments
* Ensure best practices for code quality, testing, security, and deployment
**Required Skills \&amp; Qualifications**
* Strong proficiency in Python
* Hands\-on experience with FastAPI and API development
* Solid background in Backend Machine Learning Engineering
* Experience with Infrastructure as Code (IaC), specifically Terraform
* Strong understanding of deploying and maintaining ML models in production
* Experience with cloud platforms (AWS, Azure, or Google Cloud Platform preferred)
* Knowledge of CI/CD pipelines and DevOps best practices
* Excellent problem\-solving and communication skills
 Important Notes
* ❌ No Data Scientist profiles – this is a pure ML Engineering role
* 📍 Must be local to Florham Park, NJ
* 🛠 Focus on engineering, deployment, and scalability, not research
**Preferred Qualifications (Nice To Have)**
* Experience with containerization (Docker, Kubernetes)
* Familiarity with MLOps tools and workflows
* Experience working in high\-scale or enterprise environments</t>
        </is>
      </c>
    </row>
    <row r="51">
      <c r="A51" t="inlineStr">
        <is>
          <t>li-4356541526</t>
        </is>
      </c>
      <c r="B51" t="inlineStr">
        <is>
          <t>Site AI Engineer</t>
        </is>
      </c>
      <c r="C51" t="inlineStr">
        <is>
          <t>Suffolk Construction</t>
        </is>
      </c>
      <c r="D51" t="inlineStr">
        <is>
          <t>linkedin</t>
        </is>
      </c>
      <c r="E51">
        <f>HYPERLINK("https://www.linkedin.com/jobs/view/4356541526", "https://www.linkedin.com/jobs/view/4356541526")</f>
        <v/>
      </c>
      <c r="F51">
        <f>HYPERLINK("https://careers-suffolkconstruction.icims.com/jobs/9970/site-ai-engineer/job?mode=apply&amp;iis=LinkedIn&amp;iisn=LinkedIn&amp;urlHash=96yG", "https://careers-suffolkconstruction.icims.com/jobs/9970/site-ai-engineer/job?mode=apply&amp;iis=LinkedIn&amp;iisn=LinkedIn&amp;urlHash=96yG")</f>
        <v/>
      </c>
      <c r="G51" t="inlineStr">
        <is>
          <t>Cedar Rapids, IA</t>
        </is>
      </c>
      <c r="H51" t="inlineStr"/>
      <c r="I51" t="inlineStr">
        <is>
          <t>**Overview**
**About Suffolk**
 Suffolk is a national enterprise that builds, innovates and invests. Suffolk is an end\-to\-end business that provides value throughout the entire project lifecycle by leveraging its core construction management services with vertical service lines that include real estate capital investment, design, self\-perform construction services, technology start\-up investment (Suffolk Technologies) and innovation research/development.
 Suffolk – America’s Contractor – is a national company with more than $5\.0 billion in annual revenue, 2,600 employees, and main offices in Boston (headquarters), New York City, Miami, West Palm Beach, Tampa, Estero, Dallas, Los Angeles, San Francisco, and San Diego. Suffolk manages some of the most complex, sophisticated projects in the country, serving clients in every major industry sector, including healthcare, life sciences, education, gaming, transportation/aviation, government, mission critical and commercial. Suffolk is privately held and is led by founder, chairman and CEO John Fish. Suffolk is ranked \#8 on ENR’s list of “Top CM\-at\-Risk Contractors.” For more information, visit www.suffolk.com and follow Suffolk on Facebook , Twitter , LinkedIn , YouTube , and Instagram .
 At Suffolk, we believe that our total rewards program should offer you and your family the support you need when it matters most. That’s why we have created a program that provides employees with access to a wide variety of options that can be personalized to support you and your loved ones physically, emotionally, and financially.
 Benefits include, competitive salaries, auto allowances and gas cards for certain roles, access to market leading medical and emotional and mental health benefits, dental, and vision insurance plans, virtual care options for physical therapy and primary care, generous paid time off, 401k plan with employer match and access to expert financial resources, company paid and voluntary life insurance, tax deferred savings accounts, 10 backup daycare days each year, short\- and long\-term disability, commuter benefits and more. For more information, click here .
**Role**
 Join Suffolk’s project teams across the U.S. as the on\-site catalyst who turns AI ideas into working reality. Partnering with each project’s AI Champion (Project Manager or Superintendent), you’ll uncover pain points, redesign workflows, and deploy AI agents that cut down reporting, accelerate RFIs, simplify lookahead planning, progress updates, materials tracking, and more. When needed, you will develop user stories and coordinate development with the central AI Studio. You’ll help advance the vision of the “Construction Site of the Future,” showing how agentic AI will transform project operations.
 Starting location – Cedar Rapids, Iowa, with flexibility to relocate within 6–7 months to a major metropolitan area on the East Coast.
**Responsibilities**
* Opportunity hunting and workflow redesign – Lead Lean/Six Sigma discovery workshops; map value streams, assess process and data maturity, and log low\-effort/high\-impact AI use cases.
* Process and data maturity assessment – Evaluate each jobsite’s current workflows and underlying data; surface gaps that block AI adoption and develop phased improvement plans with Operations Excellence to establish the right process baseline before deploying agents.
* Assess the market solutions – Evaluate off\-the\-shelf and platform tools; launch pilots, measure impact, and scale wins.
* Rapid AI\-agent builds – Convert user stories into production\-ready agents in Copilot Studio / Power Apps/Automate, ChatGPT Enterprise, or code\-first frameworks within days; wire them to Teams/SharePoint on the front end and Databricks Lakehouse or other sources on the back end.
* Enterprise\-grade engineering \&amp; LLMOps – Build RAG pipelines backed by Delta tables, Unity Catalog, and Databricks Vector Search; automate infra with GitHub Actions / Posit; monitor latency, cost, adoption, and drift.
* Data integrations – Partner with Data Engineering to design and maintain ETL pipelines, API integrations, and event\-driven connectors feeding RAG and agents.
* Cross\-cloud orchestration – Blend OpenAI, Azure OpenAI, and AWS Bedrock behind secure custom connectors; package agents for seamless rollout.
* Change enablement – Train crews, gather feedback, iterate, and track adoption and ROI metrics; apply influence model principles to embed agents into daily routines and SOPs, and track behavior change KPIs.
* Stakeholder communication – Brief project leadership and clients on agent impact in clear business terms; contribute use cases and playbooks for Suffolk’s “Construction Site of the Future.”
* Escalation \&amp; hand\-off – Draft clear user stories, data specs, and acceptance criteria for any complex solution that requires the central AI Solution Engineers or Data Engineering / Data Science team to lean in.
* Compliance – Ensure every on\-site AI tool meets Suffolk’s information security, data governance, and client confidentiality standards.
**Qualifications**
* 4–6\+ years in AI engineering / full\-stack data applications or data science, including 2\+ years building production LLM/RAG solutions.
* Bachelor’s in CS, Engineering, Physics, or a related field; Master’s preferred.
* Prior hands\-on work in construction or heavy process industries (manufacturing, oil \&amp; gas, chemicals) is a significant plus.
* Demonstrated process excellence background (Lean/Six Sigma Green Belt or equivalent) with experience diagnosing process and data gaps and supporting change management plans with Operations Excellence.
* Strong facilitation and communication skills.
* Hands\-on expertise with Copilot Studio, Power Apps/Automate, custom connectors, and CoE Toolkit governance.
* Programming \&amp; data stack: Python, SQL, Databricks Lakehouse, vector stores.
* DevOps \&amp; IaC: GitHub Actions (or Azure DevOps) and Posit Workbench/Connect automation or comparable CI/CD tooling; strong Git/GitHub workflow discipline.
* Integration \&amp; ETL skills: Foundational understanding of ETL/ELT design, Airflow or Databricks Workflows, and REST/GraphQL API development; proven collaboration with Data Engineering on source\-to\-lake and lake\-to\-agent pipelines.
* Willing and able to travel and work on active jobsites.
**Working Conditions**
 While performing the duties of this job, the employee is regularly required to sit for long periods of time; talk or hear; perform fine motor, hand and finger skills in the use of a keyboard, telephone, or writing. The employee is frequently required to stands; walk; and reach with arms and/or hands. Specific vision abilities include close vision, distance vision, depth perception and the ability to adjust focus. The employee will spend their time in an office environment with a quiet to moderate noise level. Job site walking.
**EEO Statement**
 Suffolk provides equal employment opportunities to all employees and applicants for employment without regard to race, color, religion, sex, sexual orientation, pregnancy or maternity, national origin, citizenship, genetic information, disability, protected veteran, gender identity, age or any other status protected by law. This policy applies to recruiting, hiring, transfers, promotions, terminations, compensation, benefits, and all other terms and conditions of employment. Suffolk will not tolerate any unlawful discrimination toward, or harassment of, applicants or employees by anyone at Suffolk, or anyone working on behalf of Suffolk.</t>
        </is>
      </c>
    </row>
    <row r="52">
      <c r="A52" t="inlineStr">
        <is>
          <t>li-4366795306</t>
        </is>
      </c>
      <c r="B52" t="inlineStr">
        <is>
          <t>Machine Learning Engineer</t>
        </is>
      </c>
      <c r="C52" t="inlineStr">
        <is>
          <t>Talent Stack</t>
        </is>
      </c>
      <c r="D52" t="inlineStr">
        <is>
          <t>linkedin</t>
        </is>
      </c>
      <c r="E52">
        <f>HYPERLINK("https://www.linkedin.com/jobs/view/4366795306", "https://www.linkedin.com/jobs/view/4366795306")</f>
        <v/>
      </c>
      <c r="F52" t="inlineStr"/>
      <c r="G52" t="inlineStr"/>
      <c r="H52" t="inlineStr"/>
      <c r="I52" t="inlineStr">
        <is>
          <t>**Member of Technical Staff – Machine Learning Engineer (Secret Clearance)** 
**Location: Washington, DC (Hybrid – DMV) travel to SCIF's as needed** 
**Clearance: Active and transferable Secret Clearance** 
**Salary: $150,000\-$215,000 and 5000 of equity shares** 
 Talent Stack is supporting a confidential, defense\-focused technology client in hiring a Machine Learning Engineer to build and deploy production\-grade AI applications in mission\-critical environments.
**About the Role:** 
**This role is ideal for engineers who enjoy working across machine learning, data engineering, and software engineering, with a strong emphasis on systems design, performance, and real\-world deployment. The work directly supports high\-impact programs in secure and regulated settings. This is NOT a Data Science role.** 
**What We’re Looking For:** 
* Engineers with hands\-on experience deploying ML systems into production
* Strong software engineering fundamentals, not research\-only or experimentation\-focused profiles
* Comfort working across ML models, backend services, and data pipelines
* Experience improving performance, scalability, and reliability of deployed systems
* Engineers who value ownership, maintainability, and usability
* Willingness to work on\-site in secure DC\-area environments (SCIFs) as required
**What You’ll Do:** 
* Design, build, and maintain production ML systems using Python
* Lead platform and system upgrades to improve scalability and performance
* Develop interactive, user\-facing analytics dashboards using a Python\-based SDK
* Optimize data access patterns and runtime performance
* Troubleshoot and resolve issues in live, mission\-critical applications
* Partner closely with Technical Product Managers to enhance usability and delivery
**Required Qualifications:** 
* 4\+ years of professional experience as an ML Engineer, Software Engineer, or similar
* Bachelors degree from a top US based Computer Science program/STEM related degree.
* 4\+ years of Python engineering experience in production environments
* Proven experience deploying and maintaining ML models in live systems
* Solid understanding of software engineering best practices (testing, version control, performance, maintainability)
* Experience working in security\-sensitive, regulated, or mission\-critical environments
* Active Secret clearance
* Prior experience supporting DoD, IC, or federal customers
* Strong systems and performance optimization experience
* Experience building user\-facing analytics or decision\-support tools
**Work Environment:** 
* **Hybrid role based in Washington, DC**
* **40\-hour work week with flexible start/end times**
* **Core hours: 10am–4pm**
* **On\-site work in SCIFs required based on project needs**
* **Occasional travel to U.S. customer sites**
* **Visa sponsorship not available, Must be a US citizen**
**Active and transferable U.S. government–issued security clearance is required prior to start date. Candidates must currently hold an active Secret, (TS) or TS/SCI clearance.** 
**U.S. citizenship is required, as only U.S. citizens are eligible for a security clearance.** 
**Recruitment Agencies Disclaimer:** 
 This position is posted for direct applicants only. We kindly request that external recruiters, staffing agencies, or search firms refrain from submitting candidates. Unsolicited resumes will be treated as direct applications, and no agency fees will be honored.
 Reference \# P3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2026-01-28T21:09:53Z</dcterms:created>
  <dcterms:modified xsi:type="dcterms:W3CDTF">2026-01-28T21:09:53Z</dcterms:modified>
</cp:coreProperties>
</file>