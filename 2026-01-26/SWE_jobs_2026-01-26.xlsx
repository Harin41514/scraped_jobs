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in-39db8b6ca9064d06</t>
        </is>
      </c>
      <c r="B2" t="inlineStr">
        <is>
          <t>Software Engineer I</t>
        </is>
      </c>
      <c r="C2" t="inlineStr">
        <is>
          <t>Amazon.com</t>
        </is>
      </c>
      <c r="D2" t="inlineStr">
        <is>
          <t>indeed</t>
        </is>
      </c>
      <c r="E2" t="inlineStr"/>
      <c r="F2" t="inlineStr"/>
      <c r="G2" t="inlineStr">
        <is>
          <t>San Francisco, CA, US</t>
        </is>
      </c>
      <c r="H2" s="2" t="n">
        <v>45946</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in-d90f68c68ab292a8</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in-4d74a815d702b42e</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in-0ccc5ba1c059423a</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in-b1e80d8c292f5b1c</t>
        </is>
      </c>
      <c r="B6" t="inlineStr">
        <is>
          <t>Software Engineer II</t>
        </is>
      </c>
      <c r="C6" t="inlineStr">
        <is>
          <t>Amazon.com</t>
        </is>
      </c>
      <c r="D6" t="inlineStr">
        <is>
          <t>indeed</t>
        </is>
      </c>
      <c r="E6" t="inlineStr"/>
      <c r="F6" t="inlineStr"/>
      <c r="G6" t="inlineStr">
        <is>
          <t>San Francisco,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in-58cfbb6a44980262</t>
        </is>
      </c>
      <c r="B7" t="inlineStr">
        <is>
          <t>Software Engineer II</t>
        </is>
      </c>
      <c r="C7" t="inlineStr">
        <is>
          <t>Amazon.com</t>
        </is>
      </c>
      <c r="D7" t="inlineStr">
        <is>
          <t>indeed</t>
        </is>
      </c>
      <c r="E7" t="inlineStr"/>
      <c r="F7" t="inlineStr"/>
      <c r="G7" t="inlineStr">
        <is>
          <t>Irvine,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in-80812f1c5e378de0</t>
        </is>
      </c>
      <c r="B8" t="inlineStr">
        <is>
          <t>Software Engineer II</t>
        </is>
      </c>
      <c r="C8" t="inlineStr">
        <is>
          <t>Amazon.com</t>
        </is>
      </c>
      <c r="D8" t="inlineStr">
        <is>
          <t>indeed</t>
        </is>
      </c>
      <c r="E8" t="inlineStr"/>
      <c r="F8" t="inlineStr"/>
      <c r="G8" t="inlineStr">
        <is>
          <t>Culver City,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in-b0837d0c91e32441</t>
        </is>
      </c>
      <c r="B9" t="inlineStr">
        <is>
          <t>Software Engineer II</t>
        </is>
      </c>
      <c r="C9" t="inlineStr">
        <is>
          <t>Amazon.com</t>
        </is>
      </c>
      <c r="D9" t="inlineStr">
        <is>
          <t>indeed</t>
        </is>
      </c>
      <c r="E9" t="inlineStr"/>
      <c r="F9" t="inlineStr"/>
      <c r="G9" t="inlineStr">
        <is>
          <t>San Francisco, CA, US</t>
        </is>
      </c>
      <c r="H9" s="2" t="n">
        <v>45921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in-82678d3f808e1023</t>
        </is>
      </c>
      <c r="B10" t="inlineStr">
        <is>
          <t>Sr Software Engineer</t>
        </is>
      </c>
      <c r="C10" t="inlineStr">
        <is>
          <t>Amazon.com</t>
        </is>
      </c>
      <c r="D10" t="inlineStr">
        <is>
          <t>indeed</t>
        </is>
      </c>
      <c r="E10" t="inlineStr"/>
      <c r="F10" t="inlineStr"/>
      <c r="G10" t="inlineStr">
        <is>
          <t>San Francisco,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in-56e3f85428cb2597</t>
        </is>
      </c>
      <c r="B11" t="inlineStr">
        <is>
          <t>Software Engineer II</t>
        </is>
      </c>
      <c r="C11" t="inlineStr">
        <is>
          <t>Amazon.com</t>
        </is>
      </c>
      <c r="D11" t="inlineStr">
        <is>
          <t>indeed</t>
        </is>
      </c>
      <c r="E11" t="inlineStr"/>
      <c r="F11" t="inlineStr"/>
      <c r="G11" t="inlineStr">
        <is>
          <t>Irvine,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in-d62f2b7f8c61bcec</t>
        </is>
      </c>
      <c r="B12" t="inlineStr">
        <is>
          <t>Sr Software Engineer</t>
        </is>
      </c>
      <c r="C12" t="inlineStr">
        <is>
          <t>Amazon.com</t>
        </is>
      </c>
      <c r="D12" t="inlineStr">
        <is>
          <t>indeed</t>
        </is>
      </c>
      <c r="E12" t="inlineStr"/>
      <c r="F12" t="inlineStr"/>
      <c r="G12" t="inlineStr">
        <is>
          <t>Irvine,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in-b4ec722f8c7fbeaf</t>
        </is>
      </c>
      <c r="B13" t="inlineStr">
        <is>
          <t>Full Stack Engineer</t>
        </is>
      </c>
      <c r="C13" t="inlineStr">
        <is>
          <t>Cormac</t>
        </is>
      </c>
      <c r="D13" t="inlineStr">
        <is>
          <t>indeed</t>
        </is>
      </c>
      <c r="E13" t="inlineStr"/>
      <c r="F13" t="inlineStr"/>
      <c r="G13" t="inlineStr">
        <is>
          <t>Remote, US</t>
        </is>
      </c>
      <c r="H13" s="2" t="n">
        <v>46047</v>
      </c>
      <c r="I13"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14">
      <c r="A14" t="inlineStr">
        <is>
          <t>in-59120b6747daa152</t>
        </is>
      </c>
      <c r="B14" t="inlineStr">
        <is>
          <t>Senior Software Engineer, Twitch</t>
        </is>
      </c>
      <c r="C14" t="inlineStr">
        <is>
          <t>Amazon.com</t>
        </is>
      </c>
      <c r="D14" t="inlineStr">
        <is>
          <t>indeed</t>
        </is>
      </c>
      <c r="E14" t="inlineStr"/>
      <c r="F14" t="inlineStr"/>
      <c r="G14" t="inlineStr">
        <is>
          <t>San Francisco, CA,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in-1a098da53e40e9f3</t>
        </is>
      </c>
      <c r="B15" t="inlineStr">
        <is>
          <t>Senior Software Engineer, Twitch</t>
        </is>
      </c>
      <c r="C15" t="inlineStr">
        <is>
          <t>Amazon.com</t>
        </is>
      </c>
      <c r="D15" t="inlineStr">
        <is>
          <t>indeed</t>
        </is>
      </c>
      <c r="E15" t="inlineStr"/>
      <c r="F15" t="inlineStr"/>
      <c r="G15" t="inlineStr">
        <is>
          <t>Seattle, WA,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in-414852005e4f5fbd</t>
        </is>
      </c>
      <c r="B16" t="inlineStr">
        <is>
          <t>Software Developer (Machine Learning)</t>
        </is>
      </c>
      <c r="C16" t="inlineStr">
        <is>
          <t>Trideum Corporation</t>
        </is>
      </c>
      <c r="D16" t="inlineStr">
        <is>
          <t>indeed</t>
        </is>
      </c>
      <c r="E16" t="inlineStr"/>
      <c r="F16" t="inlineStr"/>
      <c r="G16" t="inlineStr">
        <is>
          <t>Huntsville, AL, US</t>
        </is>
      </c>
      <c r="H16" s="2" t="n">
        <v>46047</v>
      </c>
      <c r="I16" t="inlineStr">
        <is>
          <t>**Mid\-Level Software Developer (Machine Learning)**  
Full\-time  
**Huntsville, AL**
**About Us**
Trideum Corporation is a 100% employee\-owned company, committed to embracing the world’s toughest challenges with a servant’s heart. Through dedicated hard work and commitment, we provide distinctive quality and unparalleled customer service in all aspects of our business. We also know that our employees are the key to our success, and it is our mission to take care of them so they can take care of our customers and communities where we live, work, and play.
**Position Summary**
We are seeking a **Mid\-Level Software Developer (Machine Learning)** to join our team in Huntsville, AL, contributing to multiple software and artificial intelligence programs in support of missile defense and space systems. In this pivotal role, you will apply expertise in Computer Science, Artificial Intelligence (AI), and Data Science to develop, deploy, and maintain advanced tools that drive automation, data analysis, and operational efficiency for our government customers.
You will be responsible for designing and integrating software components, including but not limited to, Deep Learning (DL), Computer Vision (CV) and adversarial Machine Learning (AML). This role requires hands\-on coding, system design, and the use of modern DevOps, containerization, and CI/CD practices to ensure robust, scalable, and secure deployments.
The ideal candidate is a US citizen with an active Secret security clearance (and eligibility for Top Secret) who thrives on learning new technologies, solving complex problems, and building software that advances national security missions. You’ll work closely with multidisciplinary teams, contributing to the full lifecycle of software development, from concept and architecture to deployment and sustainment, across multiple software and AI/ML programs.
**What You’ll Do**
* **Design, Develop, and Deploy Software:** Architect, code, and maintain scalable applications and backend APIs using Python, Docker, and related technologies, integrating AI/ML capabilities to enhance automation and decision support.
* **Support AI/ML Programs:** Develop, implement, and optimize ML algorithms and software components using frameworks such as PyTorch and Kubeflow.
* **Advance Adversarial ML Capabilities:** Research, develop, and evaluate adversarial machine learning techniques (such as counter–computer vision, robust model training, and threat\-resistant AI pipelines) to enhance system resilience against deception, spoofing, and model\-targeted attacks.
* **Containerization and Deployment:** Design, build, and package software for deployment using Docker and Kubernetes, ensuring efficient, portable, and secure execution across environments.
* **Implement CI/CD and DevOps Practices:** Develop automated pipelines using GitLab or equivalent platforms for continuous integration, testing, and deployment, ensuring reliability and repeatability in software releases.
* **Maintain Software Quality and Security:** Apply best practices in version control, code review, documentation, and secure coding, ensuring compliance with cybersecurity standards and government requirements.
* **Collaborate Across Teams:** Engage with engineers, data scientists, and system integrators to define technical solutions, share insights, and support multiple software and AI/ML initiatives.
* **Innovate and Evolve:** Explore and evaluate emerging technologies to continuously improve performance, scalability, and user functionality across deployed systems.
* **Travel Requirements**: Engage in minimum travel for purposes like onboarding, corporate training, test events and other essential corporate activities.
**Requirements and Qualifications:**
* **Educational Background**: Must have a degree in Computer Science or a related technical field.
* **Experience:** Must have at least 3 years of software development experience.
* **Technical Proficiency**: Demonstrable skills in coding, data management, and software workflows. Must possess a strong understanding of machine learning workflows and software deployment infrastructure.
* **Programming Experience**: Extensive experience with Python, PyTorch, Docker, version control, and backend APIs.
* **Communication Skills**: Strong oral and written communication abilities are required to effectively discuss technical concepts with both technical and non\-technical colleagues.
* **Learning and Adaptability**: A strong desire to learn, experiment with new technologies, and continuously stretch existing skills.
* **Security and Citizenship**: Must be a US citizen and hold a Secret security clearance, with the eligibility to obtain a Top Secret clearance.
**Desired Qualifications:**
* **Experience:** 4\+ years of software development experience.
* **Knowledge**: AI/ML research/development, specifically pertaining to adversarial machine learning and computer vision
* **Experience with Deployment:** Experience designing, building, and packaging software products for deployment using Kubernetes or Docker.
* **Experience with CI/CD**: Extensive experience with DevOps and CI/CD practices using platforms such as GitLab.
**We Take Care of Our People**
Whether you’re looking to launch a new career or grow an existing one, Trideum is the type of company where you can balance great work with great life because we believe that taking care of our people is the right thing to do. Trideum offers:
* Competitive pay based on the work you do here and not your previous salary.
* Traditional benefits such as medical, dental, vision, life, disability, and 401k matching.
* Paid leave and the ability to cash out leave.
* Employee Stock Ownership Plan (ESOP)
* Free access to certified financial planners, wellness and support services, and discount programs.
* Education assistance and professional development opportunities.
* And much more.
**Ready to Apply?**
Start Your Application now!
**Equal Opportunity Employer**
All qualified applicants will receive consideration for employment without regard to race, color, religion, sex, national origin, age, disability, veteran status, genetic information, sexual orientation, gender identity, or any other characteristic protected by law. People with disabilities who need a reasonable accommodation to apply or compete for employment with Trideum may request such accommodation(s) by contacting Human Resources at 256\.704\.6123 or HR@trideum.com.</t>
        </is>
      </c>
    </row>
    <row r="17">
      <c r="A17" t="inlineStr">
        <is>
          <t>in-6a2064fc9da6fd37</t>
        </is>
      </c>
      <c r="B17" t="inlineStr">
        <is>
          <t>Sr. Software Engineer (ML), AGI Customization</t>
        </is>
      </c>
      <c r="C17" t="inlineStr">
        <is>
          <t>Amazon.com</t>
        </is>
      </c>
      <c r="D17" t="inlineStr">
        <is>
          <t>indeed</t>
        </is>
      </c>
      <c r="E17" t="inlineStr"/>
      <c r="F17" t="inlineStr"/>
      <c r="G17" t="inlineStr">
        <is>
          <t>Boston, MA, US</t>
        </is>
      </c>
      <c r="H17" s="2" t="n">
        <v>45964</v>
      </c>
      <c r="I17"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in-7d3cee90da375bd3</t>
        </is>
      </c>
      <c r="B18" t="inlineStr">
        <is>
          <t>Sr. Software Engineer (ML), AGI Customization</t>
        </is>
      </c>
      <c r="C18" t="inlineStr">
        <is>
          <t>Amazon.com</t>
        </is>
      </c>
      <c r="D18" t="inlineStr">
        <is>
          <t>indeed</t>
        </is>
      </c>
      <c r="E18" t="inlineStr"/>
      <c r="F18" t="inlineStr"/>
      <c r="G18" t="inlineStr">
        <is>
          <t>Sunnyvale, CA, US</t>
        </is>
      </c>
      <c r="H18" s="2" t="n">
        <v>45964</v>
      </c>
      <c r="I1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in-07a449db2d4f1c5e</t>
        </is>
      </c>
      <c r="B19" t="inlineStr">
        <is>
          <t>Sr. Software Engineer (ML), AGI Foundations</t>
        </is>
      </c>
      <c r="C19" t="inlineStr">
        <is>
          <t>Amazon.com</t>
        </is>
      </c>
      <c r="D19" t="inlineStr">
        <is>
          <t>indeed</t>
        </is>
      </c>
      <c r="E19" t="inlineStr"/>
      <c r="F19" t="inlineStr"/>
      <c r="G19" t="inlineStr">
        <is>
          <t>Bellevue, WA, US</t>
        </is>
      </c>
      <c r="H19" s="2" t="n">
        <v>45803</v>
      </c>
      <c r="I1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0">
      <c r="A20" t="inlineStr">
        <is>
          <t>in-2b6ed16414b78092</t>
        </is>
      </c>
      <c r="B20" t="inlineStr">
        <is>
          <t>Sr. Software Engineer (ML), AGI Foundations</t>
        </is>
      </c>
      <c r="C20" t="inlineStr">
        <is>
          <t>Amazon.com</t>
        </is>
      </c>
      <c r="D20" t="inlineStr">
        <is>
          <t>indeed</t>
        </is>
      </c>
      <c r="E20" t="inlineStr"/>
      <c r="F20" t="inlineStr"/>
      <c r="G20" t="inlineStr">
        <is>
          <t>Sunnyvale, CA, US</t>
        </is>
      </c>
      <c r="H20" s="2" t="n">
        <v>45803</v>
      </c>
      <c r="I2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1">
      <c r="A21" t="inlineStr">
        <is>
          <t>in-61d01c35e35d2382</t>
        </is>
      </c>
      <c r="B21" t="inlineStr">
        <is>
          <t>Software Engineer- AI/ML, AWS Neuron Distributed Training</t>
        </is>
      </c>
      <c r="C21" t="inlineStr">
        <is>
          <t>Amazon Web Services</t>
        </is>
      </c>
      <c r="D21" t="inlineStr">
        <is>
          <t>indeed</t>
        </is>
      </c>
      <c r="E21" t="inlineStr"/>
      <c r="F21" t="inlineStr"/>
      <c r="G21" t="inlineStr">
        <is>
          <t>Seattle, WA, US</t>
        </is>
      </c>
      <c r="H21" s="2" t="n">
        <v>45727</v>
      </c>
      <c r="I2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in-87f56240b55c251b</t>
        </is>
      </c>
      <c r="B22" t="inlineStr">
        <is>
          <t>Software Engineer- AI/ML, AWS Neuron Distributed Training</t>
        </is>
      </c>
      <c r="C22" t="inlineStr">
        <is>
          <t>Amazon Web Services</t>
        </is>
      </c>
      <c r="D22" t="inlineStr">
        <is>
          <t>indeed</t>
        </is>
      </c>
      <c r="E22" t="inlineStr"/>
      <c r="F22" t="inlineStr"/>
      <c r="G22" t="inlineStr">
        <is>
          <t>Cupertino, CA,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in-934c07142523475a</t>
        </is>
      </c>
      <c r="B23" t="inlineStr">
        <is>
          <t>Sr. Software Engineer- AI/ML, AWS Neuron Distributed Training</t>
        </is>
      </c>
      <c r="C23" t="inlineStr">
        <is>
          <t>Amazon Web Services</t>
        </is>
      </c>
      <c r="D23" t="inlineStr">
        <is>
          <t>indeed</t>
        </is>
      </c>
      <c r="E23" t="inlineStr"/>
      <c r="F23" t="inlineStr"/>
      <c r="G23" t="inlineStr">
        <is>
          <t>Seattle, WA, US</t>
        </is>
      </c>
      <c r="H23" s="2" t="n">
        <v>45713</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in-4bf949e612a24887</t>
        </is>
      </c>
      <c r="B24" t="inlineStr">
        <is>
          <t>Sr. Software Engineer- AI/ML, AWS Neuron Distributed Training</t>
        </is>
      </c>
      <c r="C24" t="inlineStr">
        <is>
          <t>Amazon Web Services</t>
        </is>
      </c>
      <c r="D24" t="inlineStr">
        <is>
          <t>indeed</t>
        </is>
      </c>
      <c r="E24" t="inlineStr"/>
      <c r="F24" t="inlineStr"/>
      <c r="G24" t="inlineStr">
        <is>
          <t>Cupertino, CA,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in-7d1e640c6d31150f</t>
        </is>
      </c>
      <c r="B25" t="inlineStr">
        <is>
          <t>Customer Engagement Software Engineer 2</t>
        </is>
      </c>
      <c r="C25" t="inlineStr"/>
      <c r="D25" t="inlineStr">
        <is>
          <t>indeed</t>
        </is>
      </c>
      <c r="E25" t="inlineStr"/>
      <c r="F25" t="inlineStr"/>
      <c r="G25" t="inlineStr">
        <is>
          <t>Des Moines, IA, US</t>
        </is>
      </c>
      <c r="H25" s="2" t="n">
        <v>46048</v>
      </c>
      <c r="I25" t="inlineStr">
        <is>
          <t>Wellabe is looking for a Customer Engagement Software Engineer 2 to join our team. This role is responsible for creating and modifying moderately complex programs and identifying and solving problems by designing, analyzing, testing, and troubleshooting programs throughout the application development process. In addition, this role supports the ongoing evolution of customer facing digital experiences by building intuitive, reliable, and engaging features that enhance interactions across all digital channels for Wellabe customers.
**Essential functions**
-----------------------
* **Application Development and Delivery**
	+ Develop cost\-effective solutions and modifications on existing or new moderately complex software applications, programs, and processes by analyzing information, investigating problem areas, and implementing solutions.
	+ Support the product lifecycle by performing tasks such as monitoring and reviewing system performance by coding, testing, debugging, documenting, contributing on more complex code reviews, and implementing moderately complex software applications or change management programs according to department standards.
	+ Assist in the DevOps process by helping on moderate to complex designs, prototypes, and other methodologies including the development and implementation of test plans and program specifications.
	+ May lead or assist in leading the execution of designs, prototypes, and other methodologies including the development and implementation of test plans and program specifications.
	+ May assist in the development of architecture systems and applications Use a test environment and test cases to design, prototype, and correct systems
	+ Identify and analyze user requirements and technical debt to perform installations, upgrades, maintenance, and customizations on system software to maintain operational efficiency, improve existing computer system capabilities to automate business processing, and provide system software functionality using vendor provided and general\-purpose software tools.
* **Enhancing Customer Facing Digital Experiences**
	+ Design and develop features that strengthen customer engagement, digital self‑service, and the overall user experience across digital platforms.
	+ Implement capabilities that create seamless, personalized, and consistent interactions across channels.
	+ Build solutions that simplify customer journeys, reduce friction, and increase adoption and ongoing engagement with digital tools.
	+ Support integration of feedback loops, behavioral insights, and customer data to inform iterative platform improvements and enhance digital interactions.
* **Engineering Excellence \&amp; Collaboration**
	+ Drive efficiencies by giving input on evolving coding standards, tools, and processes.
	+ Document programs, processes, and procedures according to department standards to communicate changes and maintain operational efficiency.
	+ Collaborate closely with cross‑functional teams—such as design, product, data, and customer engagement—ensuring that technical solutions align with desired customer and business outcomes.
	+ Train, mentor, support, and develop software engineers by delegating responsibilities and providing advice, coaching, and educational opportunities.
**Success Profile**
-------------------
* Ability to design, document, and implement well‑structured APIs that support scalable, component‑based digital platforms.
* Experience working with cloud‑native deployment models and containerized application patterns, including the ability to build and run services using Azure Container Apps or similar container‑orchestration environments.
* Ability to translate customer needs, journey insights, and digital‑experience best practices into practical technical solutions.
* Ability to build user‑centered digital features that promote engagement, ease of use, and customer satisfaction.
* Working knowledge of the principles, processes, and practices related to software engineering including software systems and programming languages such C\#.net/core, Linq SQL, or related.
* Working knowledge of systems, design techniques, tools, and applications, and data processing, processes, policies, practices, terminology, and procedures.
* Analytical and problem\-solving skills with the ability to identify problems and recommend corresponding solutions.
**Qualifications**
------------------
* Bachelor’s degree in computer science, management information systems, or related field. Combination of education and/or relevant work experience may be accepted in lieu of degree.
* 2\+ years’ related progressive experience in development and systems analysis.
* 1 – 3 coding languages (C\# and SQL, a plus).
* Experience contributing to customer‑facing digital products or platforms preferred.
* Experience working within cross‑functional, agile product teams focused on iterative delivery and measurable user outcomes preferred.
**Benefits**
------------
* Hybrid availability
* 401(k) with generous, full vested company match
* Health insurance
* Paid time off, holidays
* Volunteer time off
* Lifestyle Spending Account (LSA)
* Paternal leave
* Legal insurance
* EAP
* Travel accident insurance
**Growth opportunities**
------------------------
We believe each of us has potential to grow and adapt with our business. We take your career as seriously as you do. Helping you develop your skills and talents leads to opportunities — not only for you, but also for our company. That’s why we provide:
* LinkedIn Learning Premium access
* CliftonStrengths® assessment and coaching
* On\-site and virtual workshops and cohorts featuring world\-class content from FranklinCovey, Crucial Learning, Gallup, and more
* Free world\-class insurance acumen courses through AHIP and LOMA
* Reimbursement and bonus opportunities for professional designations and certifications, including a tuition reimbursement program
* Opportunities to take part in Wellabe's mentorship programs
**About Wellabe**
-----------------
Since 1929, Wellabe has been finding solutions to help our customers protect their health and financial well\-being. And we’re committed to fostering an internal culture of inclusivity, well\-being, and development so each of our team members can succeed. Learn more about Wellabe’s culture of betterment by visiting wellabe.com/culture.
Wellabe is full of smart, caring, hard\-working people with a broad range of talents who understand collaboration is key. We bring our best selves every day, to connect with others to solve problems, spark innovation, and bring ideas to life. Meet the team and learn what makes Wellabe a great place to work by visiting wellabe.com/news/employee\-spotlights.
**Our core values:**
* Be dedicated: Show unwavering commitment by proactively taking initiative, setting clear goals, and managing time effectively.
* Be trustworthy: Take accountability for actions, navigate difficult conversations with integrity, and build strong relationships through consistent, honest behavior.
* Be determined: Demonstrate enthusiasm and a relentless drive to overcome obstacles and achieve goals.
* Be collaborative: Foster teamwork by being self\-aware, actively listening, and effectively communicating across all levels.
* Be open: Embrace diversity and new ideas to create an inclusive environment.
* Be generous: Embody generosity and compassion by serving a greater purpose and helping others.
* Be better: Commit to continuous improvement and adapt effectively to change.
* Be well: Prioritize physical and mental health, manage stress, and demonstrate emotional intelligence.
**Be well – thrive in an environment that fosters inclusivity, well\-being, and development.** **\#LI\-Hybrid**</t>
        </is>
      </c>
    </row>
    <row r="26">
      <c r="A26" t="inlineStr">
        <is>
          <t>in-d209b4e87efa3d33</t>
        </is>
      </c>
      <c r="B26" t="inlineStr">
        <is>
          <t>Software Developer</t>
        </is>
      </c>
      <c r="C26" t="inlineStr">
        <is>
          <t>Champion Technology Services</t>
        </is>
      </c>
      <c r="D26" t="inlineStr">
        <is>
          <t>indeed</t>
        </is>
      </c>
      <c r="E26" t="inlineStr"/>
      <c r="F26" t="inlineStr"/>
      <c r="G26" t="inlineStr">
        <is>
          <t>Baton Rouge, LA, US</t>
        </is>
      </c>
      <c r="H26" s="2" t="n">
        <v>46047</v>
      </c>
      <c r="I26" t="inlineStr">
        <is>
          <t>**Position Overview**
The Software Developer ensures successful completion of company objectives at the infrastructure level. The main focus of the Software Developer is to program company based business systems and applications.
**Primary Job Functions**
* Configure and program Microsoft SharePoint.
* Develop .NET C\+\+, C\#, Visual Basic, Java, HTML applications.
* Database and SQL Stored Procedure development.
* Tests, troubleshoots and provides solutions to technical problems with minimal assistance.
* Writes computer software and programs as necessary.
* Modifies and maintains existing and new internal systems.
* Develops Customer Requirements and Specifications documents.
* Develops Test Plans and User Documentation for all supported systems.
**Secondary Job Functions:**
* Support customer applications as necessary.
* Support internal IT requirements such as computer and printer setup / troubleshooting, network configuration, security and user access as required.
**Key Competencies**
* Leadership
* Demonstrates and fosters maturity in judgment, ethics and integrity.
* Builds rapport, mentors and manages effective teams and work groups.
* Strong decision\-making skills, situational awareness and ability to perform under pressure.
* Understands others and demonstrates cognitive and behavioral flexibility. (Emotional
* Intelligence)
* Functional
* Business/Financial acumen.
* High level of conflict resolution skills and the willingness to make difficult decisions specific to technology or resource needs.
* Demonstrates effective organizational, time management and planning skills.
* Possesses an appreciation of business demands (schedule, scope, budget and customer requirements).
* Ability to analyze and evaluate work processes, workflow and budgets to maintain successful project delivery.
* Foundational
* Demonstrates flexibility/adaptability in changing and challenging situations.
* Demonstrates a passion for the business and its success
* Clear and concise verbal and written communication.
* Demonstrates a focus on customer service and attention to detail.
* Demonstrates a commitment to continuous personal, peer and process improvement.
* Fosters positive energy, creativity and teamwork across all departments/locations with the goal of furthering the company values and mission.
**Requirements**
* Bachelor’s Degree and 3 years of Systems Programming experience (Electrical, Computer Science, Information Systems)
* Proficient with multiple programming languages such as .Net, C\#, Java, HTML, SQL Stored Procedures.
* Valid driver’s license
* Reliable personal transportation with valid liability insurance.
* Fluent in verbal and written English.
* Available for after\-hour, weekend and holidays.
* Available for overnight and extended travel.
* Ability to bend, stoops, crawl, walk and push, pull and lift 50\+lbs for an extended period.</t>
        </is>
      </c>
    </row>
    <row r="27">
      <c r="A27" t="inlineStr">
        <is>
          <t>in-634efc3b51e14691</t>
        </is>
      </c>
      <c r="B27" t="inlineStr">
        <is>
          <t>Embedded Software Engineer</t>
        </is>
      </c>
      <c r="C27" t="inlineStr">
        <is>
          <t>Draper</t>
        </is>
      </c>
      <c r="D27" t="inlineStr">
        <is>
          <t>indeed</t>
        </is>
      </c>
      <c r="E27" t="inlineStr"/>
      <c r="F27" t="inlineStr"/>
      <c r="G27" t="inlineStr">
        <is>
          <t>Cambridge, MA, US</t>
        </is>
      </c>
      <c r="H27" s="2" t="n">
        <v>46047</v>
      </c>
      <c r="I2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Software Engineer 2 develops high performance solutions for resource constrained targets. Develops next\-generation resilient and fault tolerant software solutions in the application domains of undersea, terrestrial, air, hypersonics and space. The Engineer is involved in the full software development life cycle.**Job Description:**
**Duties/Responsibilities**  
* Evaluates requirements, proposes solutions, explores design trades to support a design with some guidance.
* Designs algorithms using modern theory and proven techniques.
* Develops embedded software based on prototype algorithms.
* Analyzes designs to demonstrate performance and functionality.
* Develops and executes software tests to check compliance with requirements.
* Evaluates results to establish problem causes and develop solutions for inefficient or problems.
* Prepares technical data, procedures, reports, drawings, manuals, and other required documentation.
* Communicates with customers and stakeholders to establish requirements and describe the design and deliverables.
* Contributes to the system design based on demonstrated expertise and applicable experience.
* Contributes content for technical reports and presentations with minimal guidance.
* Proactively identify needs and concerns associated with design decisions and communicate them to project leadership.
* Adapt appropriately to changes in program requirement.
* Identifies challenges associated with assigned work and communicate them to project leadership.
* Performs other duties as assigned.
**Skills/Abilities**  
* Excellent development and troubleshooting skills on embedded targets.
* Excellent knowledge of OS coding techniques٫ IP protocols٫ interfaces and hardware subsystems.
* Expertise in software development for real\-time systems.
* Mastery of high level development languages (e.g. C/C\+\+, Rust).
* Excellent organizational skills and attention to detail.
* Strong analytical and problem\-solving skills.
* Knowledge of software configuration management tools٫ defect tracking tools٫ and peer review processes.
* Excellent time management skills with the proven ability to meet deadlines.
* Excellent verbal and written communications skills.
* Experience with UML/SysML.
* Experience with in\-circuit emulators, JTAG debuggers and laboratory test equipment.
**Education**  
Requires a bachelor’s degree in Computer Science, Computer Engineering, or Electrical Engineering.  
**Experience**  
Requires 3\-5 years experience in Software Engineering or related.**Additional Job Description:**
Applicants will be required to obtain and maintain a secret government security clearance.
Secret clearance is preferred.
Connect With Draper for Future Opportunities! If you don't find the right posting in our Career Opportunities, you may submit your resume for future consideration.
**Job Location \- City:**
Cambridge**Job Location \- State:**
Massachusetts**Job Location \- Postal Code:**
02139\-3563
The US base salary range for this full\-time position is
$75,000\.00 \- $150,000\.00*Our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Union ranges will be in compliance with the collective bargaining agreement's approved rates by location and role.**Your recruiter can share more about the specific salary range for your preferred location during the hiring process.**Please note that the compensation details listed in US role postings reflect the base salary only, and does not include bonuses or benefits.*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row>
    <row r="28">
      <c r="A28" t="inlineStr">
        <is>
          <t>in-808820ee692d64e2</t>
        </is>
      </c>
      <c r="B28" t="inlineStr">
        <is>
          <t>Senior Software Engineer</t>
        </is>
      </c>
      <c r="C28" t="inlineStr">
        <is>
          <t>Globus Medical</t>
        </is>
      </c>
      <c r="D28" t="inlineStr">
        <is>
          <t>indeed</t>
        </is>
      </c>
      <c r="E28" t="inlineStr"/>
      <c r="F28" t="inlineStr"/>
      <c r="G28" t="inlineStr">
        <is>
          <t>Methuen, MA, US</t>
        </is>
      </c>
      <c r="H28" s="2" t="n">
        <v>46047</v>
      </c>
      <c r="I28"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As a Senior Software Engineer for robotics applications, you will be part of a small pluri\-disciplinary development team of 5 to 10 engineers, dedicated to the development of a complete surgical robotic system. You are a self\-starter, detail\-oriented, organized and deadline driven. You also possess strong communication skills, a “roll your sleeves up” mentality and you are able to work in an agile structure with changing priorities.
* Justification
Justification
In prevision to EFlex system first installation in the field, there is a need for Methuen\-based robotics engineer to handle sustaining activities associated with EFlex Station Control Software. Following transition of Aman Thakur to another department (former EFlex SW engineer) and Dale's promotion to GEM, a software profile is missing in the team.
Essential Functions:* Design and develop robotics control and safety supervisor software for medical devices (prototypes, proofs of concept in addition to production\-quality solutions), while ensuring efficient performance and scalability of developed solutions.
* Sustain our released KUKA Agilus based surgical robotic system using a Siemens SIMATIC PLC as its safety supervisor by implementing and delivering appropriate software and configurations updates.
* Manage all aspects of assigned work packages to ensure timely completion of tasks while remaining in full compliance with Globus software development procedures (version control, tool chains, documentation tools) and quality system.
* Actively contribute to software design verification and validation activities to ensure designs meet requirements.
* Create and maintain assigned design history file software documents, and if applicable, assist project leads in authoring regulatory documents required for regulatory certification.
* Demonstrate a passion for software development, software craftsmanship, and test\-driven development.
* Work on sizeable individual efforts as well as on teams using agile methodologies.
* Periodically attend surgical cases to understand context and clinical workflows with integrated capital equipment and end\-user (i.e., surgeon) requirements.
* Adhere to the letter and spirit of the company Code of Conduct, the AdvaMed Code, MedTech Code, and all other company policies. Ensure Compliance with applicable governmental laws, rules, and regulations, both in the United States and internationally, by completing introductory and annual training and maintaining knowledge of compliance as it applies to your role.
* Represent the company in a professional manner and uphold the highest standards of ethical business practices and socially responsible conduct in all interactions with other employees, customers, suppliers, and other third parties of Globus.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upholds the highest standards of ethical business practices and socially responsible conduct in all interactions with other employees, customers, suppliers, and other third parties of Globus
 *Reasonable accommodations may be made to enable individuals with disabilities to perform* *these essential functions.*  
Qualifications:* Proactive and autonomous mindset supported by strong problem\-solving skills.
* Bachelor’s Degree with 7 years or a Master's degree with 5 years in a similar role in an international, matrixed and fast\-growing environment. Medical devices or life sciences experience is an asset.
* Strong skills in object oriented C\+\+ development, including C\+\+17 and later.
* Experience with Programmable Logic Controllers (PLC). Background in working with KUKA KSS based systems and SIMATIC PLCs, and experience with KUKA KRL and RSI programming languages are assets.
* Test\-driven programming.
* Proficient in both spoken and written English.
* You are willing to relocate to Methuen, MA, area.
* Ability to travel up to 5% of the time and attend cadaver labs and surgeries.
Physical Demands:
The physical demands listed here are representative of those that must be met by an employee to successfully perform the essential functions of this job.* Required to sit; climb or balance; and stoop, kneel, crouch or crawl
* Required to regularly lift and/or move up to 25 pounds and occasionally lift and/or move up to 65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9">
      <c r="A29" t="inlineStr">
        <is>
          <t>in-8c2048d996c46e74</t>
        </is>
      </c>
      <c r="B29" t="inlineStr">
        <is>
          <t>Software Developer</t>
        </is>
      </c>
      <c r="C29" t="inlineStr">
        <is>
          <t>Full Visbility</t>
        </is>
      </c>
      <c r="D29" t="inlineStr">
        <is>
          <t>indeed</t>
        </is>
      </c>
      <c r="E29" t="inlineStr"/>
      <c r="F29" t="inlineStr"/>
      <c r="G29" t="inlineStr">
        <is>
          <t>Quantico, VA, US</t>
        </is>
      </c>
      <c r="H29" s="2" t="n">
        <v>46044</v>
      </c>
      <c r="I29" t="inlineStr">
        <is>
          <t>### **Job Information**
Industry
IT Services
Date Opened
01/23/2026
Job Type
Full time
City
Quantico
State/Province
Virginia
Country
United States
Zip/Postal Code
22134
### **About Us**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With offices in the National Capital Region, Quantico, VA, and Huntsville, AL \- we deliver critical technical solutions to various federal government agencies and departments.
### **Job Description**
Full Visibility is seeking a Software Developer to work in Quantico, VA. Candidate *must* possess an *active* **Top Secret** clearance.
The Software Developer will develop codes, tests, and debug new software or enhancements to existing software. The candidate will have a good understanding of business applications as well as user, performance, quality, interface, and security requirements. The ideal candidate will work with technical staff to understand problems with software and resolve them, resolve customer complaints with software and respond to suggestions for improvements and enhancements, and may assist in the development of software user manuals. The Software Developer will be responsible for desktop design, testing, security lockdown implementation, integration with standard software packages, integration with automated patching and deployment technologies, documentation, and training to include automating application and configuration deployments and updates.### **Requirements**
* Active Top Secret Clearance; This position may require the successful completion of a Counterintelligence (CI) Polygraph.
* 4 years of relevant experience working as a Front End Developer
* experience with C\# and JavaScript
* experience with Linux and Windows Environment
* Agile knowledge.
 **Preferred:**  
* BS in SW Engineering w/ 4 years or MS w/2 years
Experience with SignalIR  
* 
\#CJ### **Benefits**
Full Visibility LLC is a federally certified Small Business that delivers innovative technical solutions to address the nation’s most critical and sensitive missions. Founded in 2006, our extensive technical capabilities and expertise support federal and state government agencies with over 100 cleared technical experts specializing in mission solution areas of Digital, AI \&amp; Analytics, Cyber, and Engineering.
Our technologists are recognized as industry leaders with demonstrated expertise in innovating and transforming our client environments in support of national security and law enforcement. Headquartered in Tysons, VA – with locations in Chantilly, VA, Quantico, VA, and Huntsville, AL – we have specialized experience supporting sensitive missions and an understanding of the niche skillsets required to overcome challenges in these environments. Our clients benefit from an enthusiastic and reliable team of talent with high employee morale and retention based on our FULL EMPLOYEE approach where each employee’s professional and personal well\-being is considered. Our focus on employee development, success, and morale is demonstrated by our consecutive top ranking as the Best Place to Work by the Washington Business Journal as a thirteen\-time honoree. Full Visibility has also been included on the Inc. 5000 Fastest\-Growing Private Companies in America list eight times since 2014\.  
Full Visibility currently has over 20 active contracts with 100 billable staff supporting 21 clients in the Intelligence and Law Enforcement communities. As part of our commitment to partnerships, we are teammates with 13 prime contract holders. Additionally, Full Visibility holds contracts on several vehicles, such as GSA Multiple Award Schedule (MAS), DISA SETI, DIA SITE III, HCaTS, as well as several classified vehicles. Our portfolio includes experience serving the Department of Defense, Department of Homeland Security, Department of Justice, and Department of Veterans Affairs, as well as commercial clients.  
Contact careers@fullvisibility.com for any questions or concerns related to this position or our company.  
To review our company benefit offerings please visit https://www.fullvisibility.com/benefits.  
Full Visibility LLC is an Equal Opportunity Employer and does not discriminate on the basis of race or ethnicity, religion, sex, national origin, age, veteran status, disability or genetic information or any other reason prohibited by law in employment.</t>
        </is>
      </c>
    </row>
    <row r="30">
      <c r="A30" t="inlineStr">
        <is>
          <t>in-e250d6ac1ac05ae0</t>
        </is>
      </c>
      <c r="B30" t="inlineStr">
        <is>
          <t>Software Engineer</t>
        </is>
      </c>
      <c r="C30" t="inlineStr">
        <is>
          <t>Twilio</t>
        </is>
      </c>
      <c r="D30" t="inlineStr">
        <is>
          <t>indeed</t>
        </is>
      </c>
      <c r="E30" t="inlineStr"/>
      <c r="F30" t="inlineStr"/>
      <c r="G30" t="inlineStr">
        <is>
          <t>Remote, US</t>
        </is>
      </c>
      <c r="H30" s="2" t="n">
        <v>46034</v>
      </c>
      <c r="I3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Software Engineer.
**About the job**
This position is needed to build and operate the critical infrastructure that powers webhook delivery across all Twilio products. You'll design features, implement system improvements, and shape the future of this high\-scale platform service that dispatches billions of webhooks to customers worldwide.
As a Backend Engineer, you'll develop Java services and manage Kubernetes infrastructure to deliver features and improvements to Twilio Webhooks. Engineering teams at Twilio operate as autonomous mini\-startups, giving you ownership and impact. Learn more about Twilio Webhooks: https://www.twilio.com/docs/usage/webhooks
**Responsibilities**
In this role, you’ll:
* Design, implement, test rigorously and support microservices at scale in a collaborative environment.
* Advocate for and implement operational best practices and serve on\-call for the team’s services.
* Demonstrate quickness in learning and interest in teaching others. Take part in sprint and quarterly planning ceremonies.
* Contribute to a highly collaborative team, sharing your ideas and requesting feedback.
* Communicate complex ideas simply through verbal and written communication.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5\+ years of backend development experience, preferably with Java/Python/Go.
* Experience consuming and designing mature REST APIs.
* Previous experience working with Cloud technologies.
* Demonstrated cross\-team communication and collaboration skills.
* Experience with engineering best practices in all phases of the software development life cycle.
* Experience with or interest in designing and operating reliable, scalable systems.
* Computer Science degree or equivalent experience.
* Work experience on a customer\-facing product
**Desired:**
* Proven ability to work carefully and methodically on high\-impact, mission\-critical systems
* Experience deploying and operating services on Kubernetes.
* Experience building fault\-tolerant backend services on top of AWS managed services (like databases, caches)
* Experience working with high traffic, highly scalable systems and complex code bases.
* Observability tooling (Prometheus, Grafana, Datadog, Rollbar…)
**Location**
This role will be remote and based in Ireland.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31">
      <c r="A31" t="inlineStr">
        <is>
          <t>in-0775bcd9f9ba8e7c</t>
        </is>
      </c>
      <c r="B31" t="inlineStr">
        <is>
          <t>Software Engineer</t>
        </is>
      </c>
      <c r="C31" t="inlineStr">
        <is>
          <t>Amazon.com</t>
        </is>
      </c>
      <c r="D31" t="inlineStr">
        <is>
          <t>indeed</t>
        </is>
      </c>
      <c r="E31" t="inlineStr"/>
      <c r="F31" t="inlineStr"/>
      <c r="G31" t="inlineStr">
        <is>
          <t>San Francisco, CA, US</t>
        </is>
      </c>
      <c r="H31" s="2" t="n">
        <v>46008</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in-5f7c33de6a1173e9</t>
        </is>
      </c>
      <c r="B32" t="inlineStr">
        <is>
          <t>Software Engineer</t>
        </is>
      </c>
      <c r="C32" t="inlineStr">
        <is>
          <t>Amazon.com</t>
        </is>
      </c>
      <c r="D32" t="inlineStr">
        <is>
          <t>indeed</t>
        </is>
      </c>
      <c r="E32" t="inlineStr"/>
      <c r="F32" t="inlineStr"/>
      <c r="G32" t="inlineStr">
        <is>
          <t>Seattle, WA, US</t>
        </is>
      </c>
      <c r="H32" s="2" t="n">
        <v>46008</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in-d0f551cea736fb1e</t>
        </is>
      </c>
      <c r="B33" t="inlineStr">
        <is>
          <t>Software Engineer I</t>
        </is>
      </c>
      <c r="C33" t="inlineStr">
        <is>
          <t>Amazon.com</t>
        </is>
      </c>
      <c r="D33" t="inlineStr">
        <is>
          <t>indeed</t>
        </is>
      </c>
      <c r="E33" t="inlineStr"/>
      <c r="F33" t="inlineStr"/>
      <c r="G33" t="inlineStr">
        <is>
          <t>Seattle, WA, US</t>
        </is>
      </c>
      <c r="H33" s="2" t="n">
        <v>46006</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in-c18b2dfb28ef7dcf</t>
        </is>
      </c>
      <c r="B34" t="inlineStr">
        <is>
          <t>Software Engineer I</t>
        </is>
      </c>
      <c r="C34" t="inlineStr">
        <is>
          <t>Amazon.com</t>
        </is>
      </c>
      <c r="D34" t="inlineStr">
        <is>
          <t>indeed</t>
        </is>
      </c>
      <c r="E34" t="inlineStr"/>
      <c r="F34" t="inlineStr"/>
      <c r="G34" t="inlineStr">
        <is>
          <t>Irvine, CA, US</t>
        </is>
      </c>
      <c r="H34" s="2" t="n">
        <v>46006</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in-61afdc78037a698d</t>
        </is>
      </c>
      <c r="B35" t="inlineStr">
        <is>
          <t>Software Engineer I</t>
        </is>
      </c>
      <c r="C35" t="inlineStr">
        <is>
          <t>Amazon.com</t>
        </is>
      </c>
      <c r="D35" t="inlineStr">
        <is>
          <t>indeed</t>
        </is>
      </c>
      <c r="E35" t="inlineStr"/>
      <c r="F35" t="inlineStr"/>
      <c r="G35" t="inlineStr">
        <is>
          <t>San Francisco, CA, US</t>
        </is>
      </c>
      <c r="H35" s="2" t="n">
        <v>46006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in-dba0fd33249e54a2</t>
        </is>
      </c>
      <c r="B36" t="inlineStr">
        <is>
          <t>Sr Software Engineer, Amazon Ads Exchange</t>
        </is>
      </c>
      <c r="C36" t="inlineStr">
        <is>
          <t>Amazon.com</t>
        </is>
      </c>
      <c r="D36" t="inlineStr">
        <is>
          <t>indeed</t>
        </is>
      </c>
      <c r="E36" t="inlineStr"/>
      <c r="F36" t="inlineStr"/>
      <c r="G36" t="inlineStr">
        <is>
          <t>San Francisco, CA, US</t>
        </is>
      </c>
      <c r="H36" s="2" t="n">
        <v>46002</v>
      </c>
      <c r="I3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in-776c1278087a4c71</t>
        </is>
      </c>
      <c r="B37" t="inlineStr">
        <is>
          <t>Sr Software Engineer, Amazon Ads Exchange</t>
        </is>
      </c>
      <c r="C37" t="inlineStr">
        <is>
          <t>Amazon.com</t>
        </is>
      </c>
      <c r="D37" t="inlineStr">
        <is>
          <t>indeed</t>
        </is>
      </c>
      <c r="E37" t="inlineStr"/>
      <c r="F37" t="inlineStr"/>
      <c r="G37" t="inlineStr">
        <is>
          <t>Palo Alto, CA, US</t>
        </is>
      </c>
      <c r="H37" s="2" t="n">
        <v>46002</v>
      </c>
      <c r="I37"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in-d09c8ec0277665c3</t>
        </is>
      </c>
      <c r="B38" t="inlineStr">
        <is>
          <t>Sr Software Engineer, Amazon Ads Exchange</t>
        </is>
      </c>
      <c r="C38" t="inlineStr">
        <is>
          <t>Amazon.com</t>
        </is>
      </c>
      <c r="D38" t="inlineStr">
        <is>
          <t>indeed</t>
        </is>
      </c>
      <c r="E38" t="inlineStr"/>
      <c r="F38" t="inlineStr"/>
      <c r="G38" t="inlineStr">
        <is>
          <t>Arlington, VA, US</t>
        </is>
      </c>
      <c r="H38" s="2" t="n">
        <v>46002</v>
      </c>
      <c r="I38"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in-182cd68fa4aa9d66</t>
        </is>
      </c>
      <c r="B39" t="inlineStr">
        <is>
          <t>Software Engineer I</t>
        </is>
      </c>
      <c r="C39" t="inlineStr">
        <is>
          <t>Amazon.com</t>
        </is>
      </c>
      <c r="D39" t="inlineStr">
        <is>
          <t>indeed</t>
        </is>
      </c>
      <c r="E39" t="inlineStr"/>
      <c r="F39" t="inlineStr"/>
      <c r="G39" t="inlineStr">
        <is>
          <t>San Francisco, CA, US</t>
        </is>
      </c>
      <c r="H39" s="2" t="n">
        <v>46001</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in-d208a78033c7416f</t>
        </is>
      </c>
      <c r="B40" t="inlineStr">
        <is>
          <t>Software Engineer I</t>
        </is>
      </c>
      <c r="C40" t="inlineStr">
        <is>
          <t>Amazon.com</t>
        </is>
      </c>
      <c r="D40" t="inlineStr">
        <is>
          <t>indeed</t>
        </is>
      </c>
      <c r="E40" t="inlineStr"/>
      <c r="F40" t="inlineStr"/>
      <c r="G40" t="inlineStr">
        <is>
          <t>Seattle, WA, US</t>
        </is>
      </c>
      <c r="H40" s="2" t="n">
        <v>46001</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in-ed4553be56a46dae</t>
        </is>
      </c>
      <c r="B41" t="inlineStr">
        <is>
          <t>Software Engineer II, Android</t>
        </is>
      </c>
      <c r="C41" t="inlineStr">
        <is>
          <t>Amazon.com</t>
        </is>
      </c>
      <c r="D41" t="inlineStr">
        <is>
          <t>indeed</t>
        </is>
      </c>
      <c r="E41" t="inlineStr"/>
      <c r="F41" t="inlineStr"/>
      <c r="G41" t="inlineStr">
        <is>
          <t>Irvine, CA, US</t>
        </is>
      </c>
      <c r="H41" s="2" t="n">
        <v>45995</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in-9d266edbcf711a74</t>
        </is>
      </c>
      <c r="B42" t="inlineStr">
        <is>
          <t>Software Engineer II, Twitch</t>
        </is>
      </c>
      <c r="C42" t="inlineStr">
        <is>
          <t>Amazon.com</t>
        </is>
      </c>
      <c r="D42" t="inlineStr">
        <is>
          <t>indeed</t>
        </is>
      </c>
      <c r="E42" t="inlineStr"/>
      <c r="F42" t="inlineStr"/>
      <c r="G42" t="inlineStr">
        <is>
          <t>San Francisco, CA, US</t>
        </is>
      </c>
      <c r="H42" s="2" t="n">
        <v>45995</v>
      </c>
      <c r="I4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in-17ad3770d1c7901b</t>
        </is>
      </c>
      <c r="B43" t="inlineStr">
        <is>
          <t>Software Engineer II, Android</t>
        </is>
      </c>
      <c r="C43" t="inlineStr">
        <is>
          <t>Amazon.com</t>
        </is>
      </c>
      <c r="D43" t="inlineStr">
        <is>
          <t>indeed</t>
        </is>
      </c>
      <c r="E43" t="inlineStr"/>
      <c r="F43" t="inlineStr"/>
      <c r="G43" t="inlineStr">
        <is>
          <t>Seattle, WA, US</t>
        </is>
      </c>
      <c r="H43" s="2" t="n">
        <v>45995</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in-1d14d7010f6a44b9</t>
        </is>
      </c>
      <c r="B44" t="inlineStr">
        <is>
          <t>Software Engineer II, Android</t>
        </is>
      </c>
      <c r="C44" t="inlineStr">
        <is>
          <t>Amazon.com</t>
        </is>
      </c>
      <c r="D44" t="inlineStr">
        <is>
          <t>indeed</t>
        </is>
      </c>
      <c r="E44" t="inlineStr"/>
      <c r="F44" t="inlineStr"/>
      <c r="G44" t="inlineStr">
        <is>
          <t>San Francisco, CA, US</t>
        </is>
      </c>
      <c r="H44" s="2" t="n">
        <v>45995</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in-116caf894969ef2c</t>
        </is>
      </c>
      <c r="B45" t="inlineStr">
        <is>
          <t>Software Engineer II, Twitch</t>
        </is>
      </c>
      <c r="C45" t="inlineStr">
        <is>
          <t>Amazon.com</t>
        </is>
      </c>
      <c r="D45" t="inlineStr">
        <is>
          <t>indeed</t>
        </is>
      </c>
      <c r="E45" t="inlineStr"/>
      <c r="F45" t="inlineStr"/>
      <c r="G45" t="inlineStr">
        <is>
          <t>Seattle, WA, US</t>
        </is>
      </c>
      <c r="H45" s="2" t="n">
        <v>45995</v>
      </c>
      <c r="I4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in-8a54c35587b4456b</t>
        </is>
      </c>
      <c r="B46" t="inlineStr">
        <is>
          <t>Embedded Software Engineer, Merlin Manager</t>
        </is>
      </c>
      <c r="C46" t="inlineStr">
        <is>
          <t>Amazon.com</t>
        </is>
      </c>
      <c r="D46" t="inlineStr">
        <is>
          <t>indeed</t>
        </is>
      </c>
      <c r="E46" t="inlineStr"/>
      <c r="F46" t="inlineStr"/>
      <c r="G46" t="inlineStr">
        <is>
          <t>Sunnyvale, CA, US</t>
        </is>
      </c>
      <c r="H46" s="2" t="n">
        <v>45981</v>
      </c>
      <c r="I4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in-2be8ea2caa130780</t>
        </is>
      </c>
      <c r="B47" t="inlineStr">
        <is>
          <t>Embedded Software Engineer, Merlin Manager</t>
        </is>
      </c>
      <c r="C47" t="inlineStr">
        <is>
          <t>Amazon.com</t>
        </is>
      </c>
      <c r="D47" t="inlineStr">
        <is>
          <t>indeed</t>
        </is>
      </c>
      <c r="E47" t="inlineStr"/>
      <c r="F47" t="inlineStr"/>
      <c r="G47" t="inlineStr">
        <is>
          <t>Redmond, WA, US</t>
        </is>
      </c>
      <c r="H47" s="2" t="n">
        <v>45981</v>
      </c>
      <c r="I4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in-4dbfe61f6fc42e18</t>
        </is>
      </c>
      <c r="B48" t="inlineStr">
        <is>
          <t>Senior Software Engineer, Machine Learning Accelerator Technology</t>
        </is>
      </c>
      <c r="C48" t="inlineStr">
        <is>
          <t>Amazon Web Services</t>
        </is>
      </c>
      <c r="D48" t="inlineStr">
        <is>
          <t>indeed</t>
        </is>
      </c>
      <c r="E48" t="inlineStr"/>
      <c r="F48" t="inlineStr"/>
      <c r="G48" t="inlineStr">
        <is>
          <t>Cupertino, CA, US</t>
        </is>
      </c>
      <c r="H48" s="2" t="n">
        <v>45930</v>
      </c>
      <c r="I48"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in-de44052a5bf5a0b9</t>
        </is>
      </c>
      <c r="B49" t="inlineStr">
        <is>
          <t>Senior Software Engineer, Machine Learning Accelerator Technology</t>
        </is>
      </c>
      <c r="C49" t="inlineStr">
        <is>
          <t>Amazon Web Services</t>
        </is>
      </c>
      <c r="D49" t="inlineStr">
        <is>
          <t>indeed</t>
        </is>
      </c>
      <c r="E49" t="inlineStr"/>
      <c r="F49" t="inlineStr"/>
      <c r="G49" t="inlineStr">
        <is>
          <t>Austin, TX, US</t>
        </is>
      </c>
      <c r="H49" s="2" t="n">
        <v>45930</v>
      </c>
      <c r="I49" t="inlineStr">
        <is>
          <t>**DESCRIPTION**
---------------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in-8e5b7789ee4b7fca</t>
        </is>
      </c>
      <c r="B50" t="inlineStr">
        <is>
          <t>Sr. Device Software Engineer, Amazon Leo Government</t>
        </is>
      </c>
      <c r="C50" t="inlineStr">
        <is>
          <t>Amazon.com</t>
        </is>
      </c>
      <c r="D50" t="inlineStr">
        <is>
          <t>indeed</t>
        </is>
      </c>
      <c r="E50" t="inlineStr"/>
      <c r="F50" t="inlineStr"/>
      <c r="G50" t="inlineStr">
        <is>
          <t>Northridge, CA, US</t>
        </is>
      </c>
      <c r="H50" s="2" t="n">
        <v>45911</v>
      </c>
      <c r="I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in-ab96ce720af021b2</t>
        </is>
      </c>
      <c r="B51" t="inlineStr">
        <is>
          <t>Sr. Device Software Engineer, Amazon Leo Government</t>
        </is>
      </c>
      <c r="C51" t="inlineStr">
        <is>
          <t>Amazon.com</t>
        </is>
      </c>
      <c r="D51" t="inlineStr">
        <is>
          <t>indeed</t>
        </is>
      </c>
      <c r="E51" t="inlineStr"/>
      <c r="F51" t="inlineStr"/>
      <c r="G51" t="inlineStr">
        <is>
          <t>Arlington, VA, US</t>
        </is>
      </c>
      <c r="H51" s="2" t="n">
        <v>45911</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in-4fe2561eab0e07f3</t>
        </is>
      </c>
      <c r="B52" t="inlineStr">
        <is>
          <t>Sr. Device Software Engineer, Amazon Leo Government</t>
        </is>
      </c>
      <c r="C52" t="inlineStr">
        <is>
          <t>Amazon.com</t>
        </is>
      </c>
      <c r="D52" t="inlineStr">
        <is>
          <t>indeed</t>
        </is>
      </c>
      <c r="E52" t="inlineStr"/>
      <c r="F52" t="inlineStr"/>
      <c r="G52" t="inlineStr">
        <is>
          <t>El Segundo, CA, US</t>
        </is>
      </c>
      <c r="H52" s="2" t="n">
        <v>45911</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in-185d42d3afdf04a9</t>
        </is>
      </c>
      <c r="B53" t="inlineStr">
        <is>
          <t>Sr. Device Software Engineer, Amazon Leo Government</t>
        </is>
      </c>
      <c r="C53" t="inlineStr">
        <is>
          <t>Amazon.com</t>
        </is>
      </c>
      <c r="D53" t="inlineStr">
        <is>
          <t>indeed</t>
        </is>
      </c>
      <c r="E53" t="inlineStr"/>
      <c r="F53" t="inlineStr"/>
      <c r="G53" t="inlineStr">
        <is>
          <t>Redmond, WA, US</t>
        </is>
      </c>
      <c r="H53" s="2" t="n">
        <v>45911</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in-1a8ad6a77e53c709</t>
        </is>
      </c>
      <c r="B54" t="inlineStr">
        <is>
          <t>Device Software Engineer, Amazon Leo Government</t>
        </is>
      </c>
      <c r="C54" t="inlineStr">
        <is>
          <t>Amazon.com</t>
        </is>
      </c>
      <c r="D54" t="inlineStr">
        <is>
          <t>indeed</t>
        </is>
      </c>
      <c r="E54" t="inlineStr"/>
      <c r="F54" t="inlineStr"/>
      <c r="G54" t="inlineStr">
        <is>
          <t>Redmond, WA, US</t>
        </is>
      </c>
      <c r="H54" s="2" t="n">
        <v>45910</v>
      </c>
      <c r="I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in-60586c592ae07c11</t>
        </is>
      </c>
      <c r="B55" t="inlineStr">
        <is>
          <t>Device Software Engineer, Amazon Leo Government</t>
        </is>
      </c>
      <c r="C55" t="inlineStr">
        <is>
          <t>Amazon.com</t>
        </is>
      </c>
      <c r="D55" t="inlineStr">
        <is>
          <t>indeed</t>
        </is>
      </c>
      <c r="E55" t="inlineStr"/>
      <c r="F55" t="inlineStr"/>
      <c r="G55" t="inlineStr">
        <is>
          <t>Arlington, VA, US</t>
        </is>
      </c>
      <c r="H55" s="2" t="n">
        <v>45910</v>
      </c>
      <c r="I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in-da5217808c80538e</t>
        </is>
      </c>
      <c r="B56" t="inlineStr">
        <is>
          <t>Device Software Engineer, Amazon Leo Government</t>
        </is>
      </c>
      <c r="C56" t="inlineStr">
        <is>
          <t>Amazon.com</t>
        </is>
      </c>
      <c r="D56" t="inlineStr">
        <is>
          <t>indeed</t>
        </is>
      </c>
      <c r="E56" t="inlineStr"/>
      <c r="F56" t="inlineStr"/>
      <c r="G56" t="inlineStr">
        <is>
          <t>Northridge, CA, US</t>
        </is>
      </c>
      <c r="H56" s="2" t="n">
        <v>45910</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in-6332dfb8bd51beb5</t>
        </is>
      </c>
      <c r="B57" t="inlineStr">
        <is>
          <t>Device Software Engineer, Amazon Leo Government</t>
        </is>
      </c>
      <c r="C57" t="inlineStr">
        <is>
          <t>Amazon.com</t>
        </is>
      </c>
      <c r="D57" t="inlineStr">
        <is>
          <t>indeed</t>
        </is>
      </c>
      <c r="E57" t="inlineStr"/>
      <c r="F57" t="inlineStr"/>
      <c r="G57" t="inlineStr">
        <is>
          <t>El Segundo, CA, US</t>
        </is>
      </c>
      <c r="H57" s="2" t="n">
        <v>45910</v>
      </c>
      <c r="I5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in-cdf60c0f79f5ffd1</t>
        </is>
      </c>
      <c r="B58" t="inlineStr">
        <is>
          <t>Software Engineer I- Ad Demand</t>
        </is>
      </c>
      <c r="C58" t="inlineStr">
        <is>
          <t>Amazon.com</t>
        </is>
      </c>
      <c r="D58" t="inlineStr">
        <is>
          <t>indeed</t>
        </is>
      </c>
      <c r="E58" t="inlineStr"/>
      <c r="F58" t="inlineStr"/>
      <c r="G58" t="inlineStr">
        <is>
          <t>San Francisco, CA, US</t>
        </is>
      </c>
      <c r="H58" s="2" t="n">
        <v>45908</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in-5e797a39353da7ba</t>
        </is>
      </c>
      <c r="B59" t="inlineStr">
        <is>
          <t>Software Engineer I- Ad Demand</t>
        </is>
      </c>
      <c r="C59" t="inlineStr">
        <is>
          <t>Amazon.com</t>
        </is>
      </c>
      <c r="D59" t="inlineStr">
        <is>
          <t>indeed</t>
        </is>
      </c>
      <c r="E59" t="inlineStr"/>
      <c r="F59" t="inlineStr"/>
      <c r="G59" t="inlineStr">
        <is>
          <t>New York, NY, US</t>
        </is>
      </c>
      <c r="H59" s="2" t="n">
        <v>45908</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in-8942d2f94b89c25d</t>
        </is>
      </c>
      <c r="B60" t="inlineStr">
        <is>
          <t>Software Developer Engineer - iOS, Ring</t>
        </is>
      </c>
      <c r="C60" t="inlineStr">
        <is>
          <t>Amazon.com</t>
        </is>
      </c>
      <c r="D60" t="inlineStr">
        <is>
          <t>indeed</t>
        </is>
      </c>
      <c r="E60" t="inlineStr"/>
      <c r="F60" t="inlineStr"/>
      <c r="G60" t="inlineStr">
        <is>
          <t>Hawthorne, CA, US</t>
        </is>
      </c>
      <c r="H60" s="2" t="n">
        <v>45812</v>
      </c>
      <c r="I6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in-7e1fbc248138c48d</t>
        </is>
      </c>
      <c r="B61" t="inlineStr">
        <is>
          <t>Software Developer Engineer - iOS, Ring</t>
        </is>
      </c>
      <c r="C61" t="inlineStr">
        <is>
          <t>Amazon.com</t>
        </is>
      </c>
      <c r="D61" t="inlineStr">
        <is>
          <t>indeed</t>
        </is>
      </c>
      <c r="E61" t="inlineStr"/>
      <c r="F61" t="inlineStr"/>
      <c r="G61" t="inlineStr">
        <is>
          <t>Austin, TX, US</t>
        </is>
      </c>
      <c r="H61" s="2" t="n">
        <v>45812</v>
      </c>
      <c r="I6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in-f9b0e2f742c61164</t>
        </is>
      </c>
      <c r="B62" t="inlineStr">
        <is>
          <t>Software Developer Engineer - iOS, Ring</t>
        </is>
      </c>
      <c r="C62" t="inlineStr">
        <is>
          <t>Amazon.com</t>
        </is>
      </c>
      <c r="D62" t="inlineStr">
        <is>
          <t>indeed</t>
        </is>
      </c>
      <c r="E62" t="inlineStr"/>
      <c r="F62" t="inlineStr"/>
      <c r="G62" t="inlineStr">
        <is>
          <t>Irvine, CA, US</t>
        </is>
      </c>
      <c r="H62" s="2" t="n">
        <v>45812</v>
      </c>
      <c r="I62"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in-a959c080b7c6da32</t>
        </is>
      </c>
      <c r="B63" t="inlineStr">
        <is>
          <t>Senior Software Engineer - Query Processing, Aurora DSQL</t>
        </is>
      </c>
      <c r="C63" t="inlineStr">
        <is>
          <t>Amazon Web Services</t>
        </is>
      </c>
      <c r="D63" t="inlineStr">
        <is>
          <t>indeed</t>
        </is>
      </c>
      <c r="E63" t="inlineStr"/>
      <c r="F63" t="inlineStr"/>
      <c r="G63" t="inlineStr">
        <is>
          <t>East Palo Alto, CA, US</t>
        </is>
      </c>
      <c r="H63" s="2" t="n">
        <v>45796</v>
      </c>
      <c r="I6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in-ec43bd4e1a496656</t>
        </is>
      </c>
      <c r="B64" t="inlineStr">
        <is>
          <t>Senior Software Engineer - Query Processing, Aurora DSQL</t>
        </is>
      </c>
      <c r="C64" t="inlineStr">
        <is>
          <t>Amazon Web Services</t>
        </is>
      </c>
      <c r="D64" t="inlineStr">
        <is>
          <t>indeed</t>
        </is>
      </c>
      <c r="E64" t="inlineStr"/>
      <c r="F64" t="inlineStr"/>
      <c r="G64" t="inlineStr">
        <is>
          <t>Seattle, WA, US</t>
        </is>
      </c>
      <c r="H64" s="2" t="n">
        <v>45796</v>
      </c>
      <c r="I6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in-337a9e651bf52b62</t>
        </is>
      </c>
      <c r="B65" t="inlineStr">
        <is>
          <t>Embedded C++ Software Engineer, Machine Learning Acceleration</t>
        </is>
      </c>
      <c r="C65" t="inlineStr">
        <is>
          <t>Amazon Web Services</t>
        </is>
      </c>
      <c r="D65" t="inlineStr">
        <is>
          <t>indeed</t>
        </is>
      </c>
      <c r="E65" t="inlineStr"/>
      <c r="F65" t="inlineStr"/>
      <c r="G65" t="inlineStr">
        <is>
          <t>Cupertino, CA, US</t>
        </is>
      </c>
      <c r="H65" s="2" t="n">
        <v>45691</v>
      </c>
      <c r="I65"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in-5fd362e8ff48ac30</t>
        </is>
      </c>
      <c r="B66" t="inlineStr">
        <is>
          <t>Embedded C++ Software Engineer, Machine Learning Acceleration</t>
        </is>
      </c>
      <c r="C66" t="inlineStr">
        <is>
          <t>Amazon Web Services</t>
        </is>
      </c>
      <c r="D66" t="inlineStr">
        <is>
          <t>indeed</t>
        </is>
      </c>
      <c r="E66" t="inlineStr"/>
      <c r="F66" t="inlineStr"/>
      <c r="G66" t="inlineStr">
        <is>
          <t>Austin, TX, US</t>
        </is>
      </c>
      <c r="H66" s="2" t="n">
        <v>45691</v>
      </c>
      <c r="I6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in-8fcb262a14d59de8</t>
        </is>
      </c>
      <c r="B67" t="inlineStr">
        <is>
          <t>Software Engineer</t>
        </is>
      </c>
      <c r="C67" t="inlineStr">
        <is>
          <t>VueData Technologies</t>
        </is>
      </c>
      <c r="D67" t="inlineStr">
        <is>
          <t>indeed</t>
        </is>
      </c>
      <c r="E67">
        <f>HYPERLINK("https://www.indeed.com/viewjob?jk=8fcb262a14d59de8", "https://www.indeed.com/viewjob?jk=8fcb262a14d59de8")</f>
        <v/>
      </c>
      <c r="F67">
        <f>HYPERLINK("https://www.vuedata.com/us-jobs.php#Software%20Engineer", "https://www.vuedata.com/us-jobs.php#Software%20Engineer")</f>
        <v/>
      </c>
      <c r="G67" t="inlineStr">
        <is>
          <t>US</t>
        </is>
      </c>
      <c r="H67" s="3" t="n">
        <v>46047</v>
      </c>
      <c r="I67" t="inlineStr">
        <is>
          <t>**Software Engineer**
---------------------
* Job ID \-VD\_US\_13126
* Position Type \-Full Time
* View
VueData LLC is looking for a Software Engineer with Bachelor's degree, or equivalent, in Computer Science, Information Technology, Software or Computer Engineering, or related discipline.
* 5\+ years of progressive related experience
* Good experience in Shopify, Magento .NET, C\#, .NET Core, ASP.NET, SQL Server, Cosmos DB, and Microsoft Azure
* Experience in leading cross functional teams in designing and implementing scalable, high\-performance applications across various domains, leveraging modern design patterns and principles.
### **Technical Requirements**
Provide expert technical support and consultation for the architecture, development, and deployment of full stack enterprise applications with eCommerce platforms such as Shopify and Magento, Microsoft technologies including .NET Framework, .NET Core, C\#, ASP.NET MVC, Web API, Entity Framework, SQL Server, Cosmos DB, and Microsoft Azure.
Oversee the full software development lifecycle (SDLC), applying Agile and Waterfall methodologies to manage project execution, resource planning, and milestone delivery. Architect and implement RESTful APIs, microservices, and cloud\-native solutions using Azure Functions, Azure Web Apps, AWS Lambda, and containerized deployments on ECS and EC2\. Manage cloud infrastructure resources using Azure and AWS.
Design and maintain relational and NoSQL databases including MSSQL Server (2005–2008R2\), MySQL, Cosmos DB, and MongoDB with a focus on performance tuning, query optimization, and data integrity. Drive UI/UX development efforts using HTML, CSS, JavaScript, jQuery, and front\-end frameworks like React JS, ensuring responsive and interactive web interfaces. Participate in architectural review meetings, providing input on system design, integration approaches, and risk mitigation strategies.
 Collaborate with product owners, business analysts, and QA teams to translate business requirements into technical solutions and ensure adherence to enterprise architecture standards. Lead reporting and analytics initiatives using Tableau, Klipfolio, and SSRS to deliver actionable insights to stakeholders. Implement and manage tracking solutions using Google Analytics and Google Tag Manager to monitor user behavior and optimize web performance. Evaluate emerging technologies to enhance development productivity and application capabilities.</t>
        </is>
      </c>
    </row>
    <row r="68">
      <c r="A68" t="inlineStr">
        <is>
          <t>in-95c2d3ac2c694458</t>
        </is>
      </c>
      <c r="B68" t="inlineStr">
        <is>
          <t>Senior Software Engineer (Privacy)</t>
        </is>
      </c>
      <c r="C68" t="inlineStr">
        <is>
          <t>Wikimedia Foundation</t>
        </is>
      </c>
      <c r="D68" t="inlineStr">
        <is>
          <t>indeed</t>
        </is>
      </c>
      <c r="E68">
        <f>HYPERLINK("https://www.indeed.com/viewjob?jk=95c2d3ac2c694458", "https://www.indeed.com/viewjob?jk=95c2d3ac2c694458")</f>
        <v/>
      </c>
      <c r="F68">
        <f>HYPERLINK("https://grnh.se/4c2anmyk1us", "https://grnh.se/4c2anmyk1us")</f>
        <v/>
      </c>
      <c r="G68" t="inlineStr">
        <is>
          <t>New York, NY, US</t>
        </is>
      </c>
      <c r="H68" s="3" t="n">
        <v>46047</v>
      </c>
      <c r="I68" t="inlineStr">
        <is>
          <t>**Timezone preference: GMT\-5 through GMT\+1**
**Senior Software Engineer (Privacy)**
**Summary**
The Wikimedia Foundation is looking for a Senior Software Engineer to join the Product Safety and Integrity team and build new security features to protect Wikipedia and our other projects. This is a very hands\-on engineering role, working alongside a team of engineers and product managers to design and implement new features to protect and reassure our users and to ensure the platform remains resilient against attacks.
You are a seasoned software engineer with experience building security features in large\-scale systems. You understand the importance of testing and documentation, and common pitfalls in developing secure web applications. You have a passion for the WMF mission. We operate in a highly transparent manner, and the work we do touches thousands of editors every day.
You will be working primarily on our MediaWiki platform which powers Wikipedia. As a top 10 website, we must meet stringent performance standards while addressing new security challenges such as supporting modern authentication technologies, detecting and preventing platform abuse from bots, and planning and rolling out improvements to our security architecture by defending against emerging threats.
**You are responsible for:**
* Helping design, develop, and deliver security features, with safety and security in mind
* Working with other engineering teams to ensure that they make safe and compliant architectural and implementation choices
* Leading by example in code review, decision\-making, and team culture — fostering transparency, empathy, and collaboration
* Developing, reviewing, and deploying security features developed by the Foundation and community members
* Conducting internal and external security and privacy reviews
* Performing maintenance and addressing technical debt in security and privacy\-critical components
* Providing support for application security and privacy incidents and operations
**Skills and Experience:**
We value the right mindset and potential over a checklist of specific experiences, and these are the traits we've identified that make great additions to our team so far.
* 5\+ years of experience as a software engineer, ideally with focus on security or privacy
* Ability to work effectively in a modern web application – ours is mostly PHP and JavaScript
* Deep PHP experience isn't required, if you have enough experience in engineering, and back\-end web development, to learn it and be useful
* Driving technical quality and operational excellence by defining and reinforcing standards in testing, observability, and system reliability;
* Comfortably and autonomously creating proofs of concept, writing design documents, and breaking down complex projects into actionable tasks to support less experienced team members
* Experience in developing secure software or security and privacy\-related product features
* A strong interest in working with a talented security team and learning more specialist security skills such as exploiting and mitigating application\-level vulnerabilities
* Ability to explain complex security issues and their implications on privacy and risk to non\-technical audiences
* Sensitivity to the security and privacy challenges faced by participants in a large, international project
* Experience working in a remote, distributed team
**Additionally, we'd love it if you have:**
* Experience working on anti\-abuse mechanisms, such as detecting bots or coordinated activity
* Previous experience building security countermeasures against attacks on technologies at the web, backend, and database level
* Experience finding and fixing security bugs and reviewing code for security gaps
* A working knowledge of threat modeling, secure design patterns and privacy by design
* Prior experience with MediaWiki or Wikimedia projects
* Contributions to open\-source software
####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Salaries at the Wikimedia Foundation are set in a way that is competitive, equitable, and consistent with our values and culture. The anticipated annual pay range of this position for applicants based within the United States is US$113,082 to US$175,725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 **Please note that we are currently able to hire in the following countries:** Australia, Austria, Bangladesh, Belgium, Brazil, Canada, Colombia, Costa Rica, Croatia, Czech Republic, Denmark, Egypt, Estonia, Finland, France, Germany, Ghana, Greece, India, Indonesia, Ireland, Israel, Italy, Kenya, Mexico, Netherlands, Nigeria, Peru, Poland, Singapore, South Africa, Spain, Sweden, Switzerland, Uganda, United Kingdom, United States of America and Uruguay. Our non\-US employees are hired through a local third party Employer of Record (EOR).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row>
    <row r="69">
      <c r="A69" t="inlineStr">
        <is>
          <t>in-bbd033fdad76e62c</t>
        </is>
      </c>
      <c r="B69" t="inlineStr">
        <is>
          <t>Senior Software Engineer (Privacy)</t>
        </is>
      </c>
      <c r="C69" t="inlineStr">
        <is>
          <t>Wikimedia Foundation</t>
        </is>
      </c>
      <c r="D69" t="inlineStr">
        <is>
          <t>indeed</t>
        </is>
      </c>
      <c r="E69">
        <f>HYPERLINK("https://www.indeed.com/viewjob?jk=bbd033fdad76e62c", "https://www.indeed.com/viewjob?jk=bbd033fdad76e62c")</f>
        <v/>
      </c>
      <c r="F69">
        <f>HYPERLINK("https://grnh.se/vh8of4e41us", "https://grnh.se/vh8of4e41us")</f>
        <v/>
      </c>
      <c r="G69" t="inlineStr">
        <is>
          <t>Washington, DC, US</t>
        </is>
      </c>
      <c r="H69" s="3" t="n">
        <v>46047</v>
      </c>
      <c r="I69" t="inlineStr">
        <is>
          <t>**Timezone preference: GMT\-5 through GMT\+1**
**Senior Software Engineer (Privacy)**
**Summary**
The Wikimedia Foundation is looking for a Senior Software Engineer to join the Product Safety and Integrity team and build new security features to protect Wikipedia and our other projects. This is a very hands\-on engineering role, working alongside a team of engineers and product managers to design and implement new features to protect and reassure our users and to ensure the platform remains resilient against attacks.
You are a seasoned software engineer with experience building security features in large\-scale systems. You understand the importance of testing and documentation, and common pitfalls in developing secure web applications. You have a passion for the WMF mission. We operate in a highly transparent manner, and the work we do touches thousands of editors every day.
You will be working primarily on our MediaWiki platform which powers Wikipedia. As a top 10 website, we must meet stringent performance standards while addressing new security challenges such as supporting modern authentication technologies, detecting and preventing platform abuse from bots, and planning and rolling out improvements to our security architecture by defending against emerging threats.
**You are responsible for:**
* Helping design, develop, and deliver security features, with safety and security in mind
* Working with other engineering teams to ensure that they make safe and compliant architectural and implementation choices
* Leading by example in code review, decision\-making, and team culture — fostering transparency, empathy, and collaboration
* Developing, reviewing, and deploying security features developed by the Foundation and community members
* Conducting internal and external security and privacy reviews
* Performing maintenance and addressing technical debt in security and privacy\-critical components
* Providing support for application security and privacy incidents and operations
**Skills and Experience:**
We value the right mindset and potential over a checklist of specific experiences, and these are the traits we've identified that make great additions to our team so far.
* 5\+ years of experience as a software engineer, ideally with focus on security or privacy
* Ability to work effectively in a modern web application – ours is mostly PHP and JavaScript
* Deep PHP experience isn't required, if you have enough experience in engineering, and back\-end web development, to learn it and be useful
* Driving technical quality and operational excellence by defining and reinforcing standards in testing, observability, and system reliability;
* Comfortably and autonomously creating proofs of concept, writing design documents, and breaking down complex projects into actionable tasks to support less experienced team members
* Experience in developing secure software or security and privacy\-related product features
* A strong interest in working with a talented security team and learning more specialist security skills such as exploiting and mitigating application\-level vulnerabilities
* Ability to explain complex security issues and their implications on privacy and risk to non\-technical audiences
* Sensitivity to the security and privacy challenges faced by participants in a large, international project
* Experience working in a remote, distributed team
**Additionally, we'd love it if you have:**
* Experience working on anti\-abuse mechanisms, such as detecting bots or coordinated activity
* Previous experience building security countermeasures against attacks on technologies at the web, backend, and database level
* Experience finding and fixing security bugs and reviewing code for security gaps
* A working knowledge of threat modeling, secure design patterns and privacy by design
* Prior experience with MediaWiki or Wikimedia projects
* Contributions to open\-source software
####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Salaries at the Wikimedia Foundation are set in a way that is competitive, equitable, and consistent with our values and culture. The anticipated annual pay range of this position for applicants based within the United States is US$113,082 to US$175,725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 **Please note that we are currently able to hire in the following countries:** Australia, Austria, Bangladesh, Belgium, Brazil, Canada, Colombia, Costa Rica, Croatia, Czech Republic, Denmark, Egypt, Estonia, Finland, France, Germany, Ghana, Greece, India, Indonesia, Ireland, Israel, Italy, Kenya, Mexico, Netherlands, Nigeria, Peru, Poland, Singapore, South Africa, Spain, Sweden, Switzerland, Uganda, United Kingdom, United States of America and Uruguay. Our non\-US employees are hired through a local third party Employer of Record (EOR).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row>
    <row r="70">
      <c r="A70" t="inlineStr">
        <is>
          <t>in-122a410e5a736516</t>
        </is>
      </c>
      <c r="B70" t="inlineStr">
        <is>
          <t>Software Engineering Director II</t>
        </is>
      </c>
      <c r="C70" t="inlineStr">
        <is>
          <t>Truist</t>
        </is>
      </c>
      <c r="D70" t="inlineStr">
        <is>
          <t>indeed</t>
        </is>
      </c>
      <c r="E70">
        <f>HYPERLINK("https://www.indeed.com/viewjob?jk=122a410e5a736516", "https://www.indeed.com/viewjob?jk=122a410e5a736516")</f>
        <v/>
      </c>
      <c r="F70">
        <f>HYPERLINK("https://careers.truist.com/us/en/job/R0110581", "https://careers.truist.com/us/en/job/R0110581")</f>
        <v/>
      </c>
      <c r="G70" t="inlineStr">
        <is>
          <t>Florence, SC, US</t>
        </is>
      </c>
      <c r="H70" s="3" t="n">
        <v>46047</v>
      </c>
      <c r="I7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Lead a team or teams responsible for technology solutions that meet business needs and satisfy risk and operational requirements of the Tech organization. Identify and resolves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Has full management responsibilities for teammates: hiring, disciplinary, coaching, terminating, performance reviews.
In an Agile environment: Act as an Agile champion. Primarily responsible for delivering high quality working software and automating manual/reusable tasks. Leverage engineering practices to deliver business value. Responsible for oversight of software engineering and unit testing, and supporting integration and functional testing. Oversee warranty support and knowledge transfer to production support. Ensure developed code is in accordance with the acceptance criteria established by the Product Owner.
SCOPE: The differentiating factor between levels of SWE Director is scope, such as size of budget and headcount, and complexity of the business line and related technologies.**ESSENTIAL DUTIES AND RESPONSIBILITIES**  
Following is a summary of the essential functions for this job. Other duties may be performed, both major and minor, which are not mentioned below. Specific activities may change from time to time.  
1\. Direct the engineering and deployment of significant delivery projects in accordance with specified technical requirements, schedules and budgets, including Agile methodologies.  
2\. Oversee the planning, design, engineering, testing and deployment of application projects in conjunction with a variety of resources, which may include Waterfall or Agile approaches.  
3\. Develop departmental plans, including business, financial, production and/or organizational priorities based on IT and focuses on long\-term operations planning and performance, and broader business objectives and priorities.  
4\. Apply an in\-depth understanding of systems engineering and administration and a basic understanding of other IT disciplines in guiding and coaching team members.  
5\. Identify and resolve complex technical, operational, and organizational problems.  
6\. Impact results by supporting the funding of projects, products, services, and/or technologies.  
7\. Maintain appropriate Risk Profile through owning the first line of Risk defense, proactively identifying risks, and implementing the necessary mitigations where warranted. Partner effectively with 2nd line of defense, Auditor, and regulators to ensure Risk is identified and mitigated appropriately.  
8\. May play lead role or technical consultant role in large or complex projects or initiatives.  
9\. Has full management responsibilities for teammates: hiring, disciplinary, coaching, terminating, performance reviews.
**QUALIFICATIONS**  
**Required Qualifications:**  
The requirements listed below are representative of the knowledge, skill and/or ability required. Reasonable accommodations may be made to enable individuals with disabilities to perform the essential functions.  
1\. Bachelor degree and equivalent education and experience, which could include any combination of eight years of experience in IT software engineering, five years’ relevant business experience (i.e. making technical\-related decisions on the business side), five years’ experience in project management, and at least two years of management experience
2\. Broad and in\-depth knowledge of technology trends, competitive environment, regulatory requirements and trends, and IT strategies employed to continually meet the demands of clients and regulators  
3\. Ability to translate enterprise level strategic planning information into software and data management needs, create business plans, and turn them into effective business solutions  
4\. Executive level communications skills, including, strong negotiation/facilitation/presentation skills and experience negotiating with vendors for relevant products and services  
5\. Ability to solve unique and highly complex technical, operational, and organizational problems  
6\. Ability to lead and manage the performance of multiple teams against a set of financial and operational objectives  
7\. Experience managing projects with enterprise\-wide implications from conception through implementation
**Preferred Qualifications:**  
1\. Understanding of multiple approaches to Software Engineering  
2\. Full understanding of Agile methodology  
3\. Experience leading teams in an Agile organization, particularly those practicing DevSecOps, and/or are in transition from traditional waterfall approach to Agile approach  
4\. Banking or financial services experience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71">
      <c r="A71" t="inlineStr">
        <is>
          <t>in-3deaab31e51a5734</t>
        </is>
      </c>
      <c r="B71" t="inlineStr">
        <is>
          <t>Senior Software Engineer</t>
        </is>
      </c>
      <c r="C71" t="inlineStr">
        <is>
          <t>Cox Automotive</t>
        </is>
      </c>
      <c r="D71" t="inlineStr">
        <is>
          <t>indeed</t>
        </is>
      </c>
      <c r="E71">
        <f>HYPERLINK("https://www.indeed.com/viewjob?jk=3deaab31e51a5734", "https://www.indeed.com/viewjob?jk=3deaab31e51a5734")</f>
        <v/>
      </c>
      <c r="F71">
        <f>HYPERLINK("https://click.appcast.io/t/GrKRP29_IeXSoGLIR_5_f0x8ZQI9WS-3RBbV-lDpBVs=", "https://click.appcast.io/t/GrKRP29_IeXSoGLIR_5_f0x8ZQI9WS-3RBbV-lDpBVs=")</f>
        <v/>
      </c>
      <c r="G71" t="inlineStr">
        <is>
          <t>Atlanta, GA, US</t>
        </is>
      </c>
      <c r="H71" s="3" t="n">
        <v>46047</v>
      </c>
      <c r="I71" t="inlineStr">
        <is>
          <t>Cox Automotive is seeking a Senior Full Stack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DevOps\-focused software engineering. You'll work in a collaborative, cross\-functional Agile environment using Scrum or Kanban, partnering closely with product owners, QA engineers, and other teams.  
**Key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**Minimum Qualifications**  
* Bachelor's degree in a related discipline and 4\+ years of experience in a related field, OR master's degree and 2\+ years of experience, OR Ph.D. and up to 1 year of experience, OR 8\+ years of directly relevant experience.
* 4\+ years of experience designing and developing web applications.
* 4\+ years of experience building and deploying applications in a cloud environment (preferably AWS; Azure or GCP acceptable).
* 4\+ years of proficiency in Python, Java, or React.js.
* 4\+ years of experience using Git or similar version control systems.
* Demonstrated experience contributing to open\-source projects or communities.
**Preferred Qualifications**  
* Experience or familiarity with mobile development using Dart and the Flutter framework.
* AWS certifications (Developer, Solutions Architect, or DevOps) highly preferred.
* Experience working with AI technologies or strong curiosity to incorporate AI into development.
* Experience leading or contributing significantly to large\-scale technical projects.
**Technology We Use**  
* **Languages:** Python, JavaScript, Java, SQL, Bash, Dart
* **Cloud \&amp; DevOps:** AWS Lambda, EC2, SQS, SNS, API Gateway, CloudFormation, CodeBuild, Docker, Git
* **Databases:** DynamoDB, Elasticsearch, Oracle
* **Tools \&amp; Practices:** Kibana, Agile (Scrum/Kanban), DevOps, CI/CD
* **Special Focus:** AI integration, Serverless architecture
USD 101,500\.00 \- 169,100\.00 per year  
**Compensation:**  
Compensation includes a base salary of $101,500\.00 \- $169,100\.00\.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72">
      <c r="A72" t="inlineStr">
        <is>
          <t>in-c965128a6bdbc805</t>
        </is>
      </c>
      <c r="B72" t="inlineStr">
        <is>
          <t>Software Engineer II</t>
        </is>
      </c>
      <c r="C72" t="inlineStr">
        <is>
          <t>Amazon.com</t>
        </is>
      </c>
      <c r="D72" t="inlineStr">
        <is>
          <t>indeed</t>
        </is>
      </c>
      <c r="E72">
        <f>HYPERLINK("https://www.indeed.com/viewjob?jk=c965128a6bdbc805", "https://www.indeed.com/viewjob?jk=c965128a6bdbc805")</f>
        <v/>
      </c>
      <c r="F72">
        <f>HYPERLINK("https://www.amazon.jobs/jobs/3104730/software-engineer-ii?cmpid=DA_INAD200785B", "https://www.amazon.jobs/jobs/3104730/software-engineer-ii?cmpid=DA_INAD200785B")</f>
        <v/>
      </c>
      <c r="G72" t="inlineStr">
        <is>
          <t>Irvine, CA, US</t>
        </is>
      </c>
      <c r="H72" s="3" t="n">
        <v>45938</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in-b9abe2f2e42fb918</t>
        </is>
      </c>
      <c r="B73" t="inlineStr">
        <is>
          <t>Software Engineer II</t>
        </is>
      </c>
      <c r="C73" t="inlineStr">
        <is>
          <t>Amazon.com</t>
        </is>
      </c>
      <c r="D73" t="inlineStr">
        <is>
          <t>indeed</t>
        </is>
      </c>
      <c r="E73">
        <f>HYPERLINK("https://www.indeed.com/viewjob?jk=b9abe2f2e42fb918", "https://www.indeed.com/viewjob?jk=b9abe2f2e42fb918")</f>
        <v/>
      </c>
      <c r="F73">
        <f>HYPERLINK("https://www.amazon.jobs/jobs/3104730/software-engineer-ii?cmpid=DA_INAD200785B", "https://www.amazon.jobs/jobs/3104730/software-engineer-ii?cmpid=DA_INAD200785B")</f>
        <v/>
      </c>
      <c r="G73" t="inlineStr">
        <is>
          <t>San Francisco, CA, US</t>
        </is>
      </c>
      <c r="H73" s="3" t="n">
        <v>45938</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in-b4ec722f8c7fbeaf</t>
        </is>
      </c>
      <c r="B74" t="inlineStr">
        <is>
          <t>Full Stack Engineer</t>
        </is>
      </c>
      <c r="C74" t="inlineStr">
        <is>
          <t>Cormac</t>
        </is>
      </c>
      <c r="D74" t="inlineStr">
        <is>
          <t>indeed</t>
        </is>
      </c>
      <c r="E74">
        <f>HYPERLINK("https://www.indeed.com/viewjob?jk=b4ec722f8c7fbeaf", "https://www.indeed.com/viewjob?jk=b4ec722f8c7fbeaf")</f>
        <v/>
      </c>
      <c r="F74">
        <f>HYPERLINK("https://cormaccorp.hrmdirect.com/employment/view.php?req=3623189&amp;jbsrc=1014&amp;location=ac587ee4-ac2f-b55f-2426-a2a0c342866c", "https://cormaccorp.hrmdirect.com/employment/view.php?req=3623189&amp;jbsrc=1014&amp;location=ac587ee4-ac2f-b55f-2426-a2a0c342866c")</f>
        <v/>
      </c>
      <c r="G74" t="inlineStr">
        <is>
          <t>Remote, US</t>
        </is>
      </c>
      <c r="H74" s="3" t="n">
        <v>46047</v>
      </c>
      <c r="I74" t="inlineStr">
        <is>
          <t>CORMAC is seeking a Full Stack Engineer with a strong backend and reporting focus to join our team. The ideal candidate will have experience building and optimizing data\-driven applications, working with complex datasets, and delivering reliable reporting solutions that support informed decision\-making.
In this role, you will collaborate with business stakeholders, analysts, and technical teams to design, develop, and maintain custom reporting tools and backend services that improve visibility into key business operations.
**Responsibilities:**
* Partner with business stakeholders to gather, analyze, and refine reporting and data requirements
* Design, develop, and maintain backend services and microservices supporting reporting and data workflows
* Write and optimize complex SQL queries, stored procedures, functions, and triggers using relational databases (e.g., SQL Server, MySQL, Oracle, PL/SQL)
* Analyze data sources and define efficient methods for data extraction, transformation, and integration
* Monitor and optimize performance of reports and backend services to ensure scalability and efficiency as data volumes grow
* Integrate internal and external data sources while maintaining data integrity and security
* Perform testing and validation to ensure accuracy, reliability, and proper presentation of reporting outputs
* Contribute to front\-end development using Node.js and TypeScript, supporting reporting interfaces and user\-facing components as needed
* Implement automated reporting and scheduling processes to support timely distribution of insights
* Document technical designs, data definitions, and processes for long\-term maintainability
* Collaborate with cross\-functional teams including business analysts, data engineers, and product teams
* Troubleshoot and resolve report\-related and data performance issues
* Support containerized application development using Docker
**Qualifications:**
* Bachelor’s degree in Computer Science, Software Engineering, Information Systems, or a related field
* 3–5 years of experience in software engineering or report\-focused application development
* Strong experience with relational databases and SQL\-based development
* Experience implementing and maintaining microservices architectures
* Experience with Node.js, TypeScript, and HTML/CSS
* Hands\-on experience with Docker in development and deployment environments
* Experience working in Agile/Scrum teams
* Strong analytical and critical thinking skills
* Ability to obtain a Public Trust (Tier 1\) Security Clearance
* Ability to successfully complete required background investigation and fingerprinting as part of the Public Trust (Tier 1\) clearance process
* Must be a U.S. Citizen or lawful permanent resident (Green Card holder) due to federal security requirements
**Preferred Qualifications:**
* Experience with data modeling and data architecture
* Experience working with large\-scale or high\-volume datasets
* Experience generating PDFs using PUG\-PDF in Node.js
* Familiarity with Agile tools such as JIRA and Git
**Interview Process:**
The interview process may include multiple stages. The final interview may be conducted in person, depending on business needs.
**Travel Expectations:**
Travel requirements are minimal and may include at least one trip per year.
**Why CORMAC?**
At CORMAC, we leverage the power of Data Management and Analytics to enable our customers to achieve their strategic goals. With over 20 years of experience in Health Information Technology (HIT), human\-centered design principles and Agile development methodologies, CORMAC delivers complex digital solutions to solve some of the most challenging problems facing public healthcare programs today.
As a US Federal Government contractor in the public healthcare sector, our work is impactful and cutting\-edge while being performed in a supportive, collaborative, and welcoming environment. At CORMAC, we have a highly diverse workforce and believe the work environment is a place where creativity, collaboration, enthusiasm, and innovation happens, regardless of location.
**E\-Verify Participation/EEO**
*As an Equal Employment Opportunity employer, CORMAC provides equal employment opportunity to all employees and applicants without regard to an individual's protected status, including race/ethnicity, color, national origin, ancestry, religion, creed, age, gender, gender identity/expression, sexual orientation, marital status, parental status, including pregnancy, childbirth, or related conditions, disability, military service, veteran status, genetic information, or any other protected status.*</t>
        </is>
      </c>
    </row>
    <row r="75">
      <c r="A75" t="inlineStr">
        <is>
          <t>in-f9efdef641923a8d</t>
        </is>
      </c>
      <c r="B75" t="inlineStr">
        <is>
          <t>Senior Software Engineer, Twitch</t>
        </is>
      </c>
      <c r="C75" t="inlineStr">
        <is>
          <t>Amazon.com</t>
        </is>
      </c>
      <c r="D75" t="inlineStr">
        <is>
          <t>indeed</t>
        </is>
      </c>
      <c r="E75">
        <f>HYPERLINK("https://www.indeed.com/viewjob?jk=f9efdef641923a8d", "https://www.indeed.com/viewjob?jk=f9efdef641923a8d")</f>
        <v/>
      </c>
      <c r="F75">
        <f>HYPERLINK("https://www.amazon.jobs/jobs/3138042/senior-software-engineer-twitch?cmpid=DA_INAD200785B", "https://www.amazon.jobs/jobs/3138042/senior-software-engineer-twitch?cmpid=DA_INAD200785B")</f>
        <v/>
      </c>
      <c r="G75" t="inlineStr">
        <is>
          <t>San Francisco, CA, US</t>
        </is>
      </c>
      <c r="H75" s="3" t="n">
        <v>45995</v>
      </c>
      <c r="I7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in-176deecd719f4514</t>
        </is>
      </c>
      <c r="B76" t="inlineStr">
        <is>
          <t>Senior Software Engineer, Twitch</t>
        </is>
      </c>
      <c r="C76" t="inlineStr">
        <is>
          <t>Amazon.com</t>
        </is>
      </c>
      <c r="D76" t="inlineStr">
        <is>
          <t>indeed</t>
        </is>
      </c>
      <c r="E76">
        <f>HYPERLINK("https://www.indeed.com/viewjob?jk=176deecd719f4514", "https://www.indeed.com/viewjob?jk=176deecd719f4514")</f>
        <v/>
      </c>
      <c r="F76">
        <f>HYPERLINK("https://www.amazon.jobs/jobs/3138042/senior-software-engineer-twitch?cmpid=DA_INAD200785B", "https://www.amazon.jobs/jobs/3138042/senior-software-engineer-twitch?cmpid=DA_INAD200785B")</f>
        <v/>
      </c>
      <c r="G76" t="inlineStr">
        <is>
          <t>Seattle, WA, US</t>
        </is>
      </c>
      <c r="H76" s="3" t="n">
        <v>45995</v>
      </c>
      <c r="I7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in-e8f4485920ff7955</t>
        </is>
      </c>
      <c r="B77" t="inlineStr">
        <is>
          <t>Staff Software Engineer, AI Agent Platform</t>
        </is>
      </c>
      <c r="C77" t="inlineStr">
        <is>
          <t>GEICO</t>
        </is>
      </c>
      <c r="D77" t="inlineStr">
        <is>
          <t>indeed</t>
        </is>
      </c>
      <c r="E77">
        <f>HYPERLINK("https://www.indeed.com/viewjob?jk=e8f4485920ff7955", "https://www.indeed.com/viewjob?jk=e8f4485920ff7955")</f>
        <v/>
      </c>
      <c r="F77">
        <f>HYPERLINK("https://click.appcast.io/t/feDULMvrTfn0fCZNH8m69NnhrBF0l-UIxvQkCUvE6JM=", "https://click.appcast.io/t/feDULMvrTfn0fCZNH8m69NnhrBF0l-UIxvQkCUvE6JM=")</f>
        <v/>
      </c>
      <c r="G77" t="inlineStr">
        <is>
          <t>New York, NY, US</t>
        </is>
      </c>
      <c r="H77" s="3" t="n">
        <v>46047</v>
      </c>
      <c r="I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Geico AI Agent Platform team is seeking an exceptional Staff Software Engineer to build the next generation enterprise Agent OS and SDKs. This role combines deep technical expertise in platform engineering, application design and agentic workflows with strong leadership and mentoring capabilities. You will be responsible for designing, implementing, and maintaining scalable, reliable frontend and backend systems that enable our business, product and engineering teams to build, test and deploy their own AI agents \&amp; workflows. The candidate must have excellent communication skills and a proven track record of delivering business value via technical excellence.
**KEY REPONSIBILITIES**
**Platform Engineering****:**
* Architect and implement scalable multi\-tenant backend systems for building AI agent workflows, including agent configuration, offline evaluation, synthetic data generation, workflow simulation, agent marketplace, etc. using Azure Kubernetes Service (AKS), FastAPI, etc., ensuring economy of scale and control cost of maintenance.
* Collaborate with Design team to architect and implement frontend experiences and workflows for onboarding both technical and non\-technical stakeholders, maximizing user adoption and successful AI agent development
* Develop observability frameworks to ensure 99\.9%\+ uptime for AI agent platforms through robust monitoring, alerting, and incident response procedures
* Evaluate and (if desirable) integrate cutting\-edge GenAI frameworks, libraries and vendors to maintain a state\-of\-the\-art technology stack, including hybrid cloud solutions with AWS/GCP as backup or specialized use cases
* Architect and implement scalable, high\-performance machine learning platforms and systems capable of processing large data volumes and supporting real\-time decision making and workflows.
**DevOps/****Application** **Lifecycle Management:**
* Oversee the end\-to\-end lifecycle of AI agent applications, ensuring robust testing, deployment, and ongoing monitoring.
* Ensure adherence to company production readiness standards, security protocols, and regulatory compliance throughout the development lifecycle.
* Continuously optimize platform performance, reducing latency and improving throughput for AI agent workloads
* Design and implement backup, recovery, and business continuity plans for hosted platform applications \&amp; services
* Design and maintain robust CI/CD pipelines for ML model deployment using Azure DevOps, GitHub Actions, and MLOps tools
**Technical Leadership****:**
* Act as the tech lead for a sub\-team,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software engineers, and product teams to seamlessly deploy ML systems into production environments.
* Translate complex technical concepts into actionable insights for both technical and non\-technical stakeholders.
* Foster a collaborative environment that encourages innovation and the sharing of best practices across teams.
* Present technical solutions and platform roadmaps to leadership and cross\-functional stakeholders
**QUALIFICATIONS****:**
*Technical* *S**kills*
* Bachelor’s degree in computer science, Engineering, Mathematics, or a related field; an advanced degree (master’s or Ph.D.) is highly desirable.
* 6\+ years of hands\-on experience in designing, implementing, and maintaining multi\-tenant AIML systems and platforms in production environments.
* 6\+ years of experience working with cloud platforms such as Azure and AWS.
* Extensive expertise in designing and deploying large\-scale data pipelines and real\-time inference systems and managing the end\-to\-end AI Agent and/or AIML system development lifecycles, including configuration, evaluation, monitoring, observability and AuthN/AuthR considerations
* 6\+ years of experience working with common backend systems \&amp; tools (e.g, Kubernetes, Temporal, OpenSearch, PostgreSQL, Redis, Neo4J, etc.). Deep understanding of Docker, container optimization, and multi\-stage builds. Experience with Prometheus, Grafana, Open Telemetry and distributed tracing
* 3\+ years of experience building front\-end web applications using frameworks such as React and/or Next.JS
* Deep proficiency in programming languages such as Python, Java, Go, etc., with a strong emphasis on coding excellence. Extra credit for properly leveraging AI coding tools such as Cursor for productivity gains
* Proficiency in AIML frameworks such as TensorFlow, PyTorch, Langraph, etc.
 *Leadership Skills*
* Demonstrated track record of mentoring engineers and leading technical initiatives
* Proven ability to tackle complex technical challenges, innovate through hands\-on experimentation, and set technical standards.
* Excellent verbal and written communication against audience of diverse seniority levels and professional backgrounds
 *Preferred* *Specialized Skills*
* Deep expertise operating and/or building AI agent platforms \&amp; capabilities like Langraph platform, Autogen, N8N, Crew.ai, etc.
* Experience with LLM observability systems such as Langsmith, Langfuse, Arize Phoenix, etc.
* Experience building LLM\-based AI agent workflows via both no code/low code and traditional high\-code development environments
* Experience utilizing both open source (e.g. llama, Qwen, Mistral) and proprietary (e.g. GPT, Claude) LLMs for appropriate tasks
* Understanding of AI safety principles, model governance, and regulatory compliance
* Background in regulated industries with understanding of data privacy requirements and cybersecurity review processes
If you are passionate about pushing the boundaries of generative ai platforms, thrive in a hands\-on technical leadership role, and enjoy solving complex, large\-scale problems, we encourage you to apply.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8">
      <c r="A78" t="inlineStr">
        <is>
          <t>in-bdacc06359f4f43b</t>
        </is>
      </c>
      <c r="B78" t="inlineStr">
        <is>
          <t>Staff Software Engineer, AI Agent Platform</t>
        </is>
      </c>
      <c r="C78" t="inlineStr">
        <is>
          <t>GEICO</t>
        </is>
      </c>
      <c r="D78" t="inlineStr">
        <is>
          <t>indeed</t>
        </is>
      </c>
      <c r="E78">
        <f>HYPERLINK("https://www.indeed.com/viewjob?jk=bdacc06359f4f43b", "https://www.indeed.com/viewjob?jk=bdacc06359f4f43b")</f>
        <v/>
      </c>
      <c r="F78">
        <f>HYPERLINK("https://click.appcast.io/t/wdMTaLSQ_L3c8pZTCPl1rgTYCHpnsWPc8xP3EPwTWwA=", "https://click.appcast.io/t/wdMTaLSQ_L3c8pZTCPl1rgTYCHpnsWPc8xP3EPwTWwA=")</f>
        <v/>
      </c>
      <c r="G78" t="inlineStr">
        <is>
          <t>Chevy Chase, MD, US</t>
        </is>
      </c>
      <c r="H78" s="3" t="n">
        <v>46047</v>
      </c>
      <c r="I7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Geico AI Agent Platform team is seeking an exceptional Staff Software Engineer to build the next generation enterprise Agent OS and SDKs. This role combines deep technical expertise in platform engineering, application design and agentic workflows with strong leadership and mentoring capabilities. You will be responsible for designing, implementing, and maintaining scalable, reliable frontend and backend systems that enable our business, product and engineering teams to build, test and deploy their own AI agents \&amp; workflows. The candidate must have excellent communication skills and a proven track record of delivering business value via technical excellence.
**KEY REPONSIBILITIES**
**Platform Engineering****:**
* Architect and implement scalable multi\-tenant backend systems for building AI agent workflows, including agent configuration, offline evaluation, synthetic data generation, workflow simulation, agent marketplace, etc. using Azure Kubernetes Service (AKS), FastAPI, etc., ensuring economy of scale and control cost of maintenance.
* Collaborate with Design team to architect and implement frontend experiences and workflows for onboarding both technical and non\-technical stakeholders, maximizing user adoption and successful AI agent development
* Develop observability frameworks to ensure 99\.9%\+ uptime for AI agent platforms through robust monitoring, alerting, and incident response procedures
* Evaluate and (if desirable) integrate cutting\-edge GenAI frameworks, libraries and vendors to maintain a state\-of\-the\-art technology stack, including hybrid cloud solutions with AWS/GCP as backup or specialized use cases
* Architect and implement scalable, high\-performance machine learning platforms and systems capable of processing large data volumes and supporting real\-time decision making and workflows.
**DevOps/****Application** **Lifecycle Management:**
* Oversee the end\-to\-end lifecycle of AI agent applications, ensuring robust testing, deployment, and ongoing monitoring.
* Ensure adherence to company production readiness standards, security protocols, and regulatory compliance throughout the development lifecycle.
* Continuously optimize platform performance, reducing latency and improving throughput for AI agent workloads
* Design and implement backup, recovery, and business continuity plans for hosted platform applications \&amp; services
* Design and maintain robust CI/CD pipelines for ML model deployment using Azure DevOps, GitHub Actions, and MLOps tools
**Technical Leadership****:**
* Act as the tech lead for a sub\-team,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software engineers, and product teams to seamlessly deploy ML systems into production environments.
* Translate complex technical concepts into actionable insights for both technical and non\-technical stakeholders.
* Foster a collaborative environment that encourages innovation and the sharing of best practices across teams.
* Present technical solutions and platform roadmaps to leadership and cross\-functional stakeholders
**QUALIFICATIONS****:**
*Technical* *S**kills*
* Bachelor’s degree in computer science, Engineering, Mathematics, or a related field; an advanced degree (master’s or Ph.D.) is highly desirable.
* 6\+ years of hands\-on experience in designing, implementing, and maintaining multi\-tenant AIML systems and platforms in production environments.
* 6\+ years of experience working with cloud platforms such as Azure and AWS.
* Extensive expertise in designing and deploying large\-scale data pipelines and real\-time inference systems and managing the end\-to\-end AI Agent and/or AIML system development lifecycles, including configuration, evaluation, monitoring, observability and AuthN/AuthR considerations
* 6\+ years of experience working with common backend systems \&amp; tools (e.g, Kubernetes, Temporal, OpenSearch, PostgreSQL, Redis, Neo4J, etc.). Deep understanding of Docker, container optimization, and multi\-stage builds. Experience with Prometheus, Grafana, Open Telemetry and distributed tracing
* 3\+ years of experience building front\-end web applications using frameworks such as React and/or Next.JS
* Deep proficiency in programming languages such as Python, Java, Go, etc., with a strong emphasis on coding excellence. Extra credit for properly leveraging AI coding tools such as Cursor for productivity gains
* Proficiency in AIML frameworks such as TensorFlow, PyTorch, Langraph, etc.
 *Leadership Skills*
* Demonstrated track record of mentoring engineers and leading technical initiatives
* Proven ability to tackle complex technical challenges, innovate through hands\-on experimentation, and set technical standards.
* Excellent verbal and written communication against audience of diverse seniority levels and professional backgrounds
 *Preferred* *Specialized Skills*
* Deep expertise operating and/or building AI agent platforms \&amp; capabilities like Langraph platform, Autogen, N8N, Crew.ai, etc.
* Experience with LLM observability systems such as Langsmith, Langfuse, Arize Phoenix, etc.
* Experience building LLM\-based AI agent workflows via both no code/low code and traditional high\-code development environments
* Experience utilizing both open source (e.g. llama, Qwen, Mistral) and proprietary (e.g. GPT, Claude) LLMs for appropriate tasks
* Understanding of AI safety principles, model governance, and regulatory compliance
* Background in regulated industries with understanding of data privacy requirements and cybersecurity review processes
If you are passionate about pushing the boundaries of generative ai platforms, thrive in a hands\-on technical leadership role, and enjoy solving complex, large\-scale problems, we encourage you to apply.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9">
      <c r="A79" t="inlineStr">
        <is>
          <t>in-115f7c5a8424ee70</t>
        </is>
      </c>
      <c r="B79" t="inlineStr">
        <is>
          <t>Sr. Software Engineer (ML), AGI Customization</t>
        </is>
      </c>
      <c r="C79" t="inlineStr">
        <is>
          <t>Amazon.com</t>
        </is>
      </c>
      <c r="D79" t="inlineStr">
        <is>
          <t>indeed</t>
        </is>
      </c>
      <c r="E79">
        <f>HYPERLINK("https://www.indeed.com/viewjob?jk=115f7c5a8424ee70", "https://www.indeed.com/viewjob?jk=115f7c5a8424ee70")</f>
        <v/>
      </c>
      <c r="F79">
        <f>HYPERLINK("https://www.amazon.jobs/jobs/3127625/sr-software-engineer-ml-agi-customization?cmpid=DA_INAD200785B", "https://www.amazon.jobs/jobs/3127625/sr-software-engineer-ml-agi-customization?cmpid=DA_INAD200785B")</f>
        <v/>
      </c>
      <c r="G79" t="inlineStr">
        <is>
          <t>Boston, MA, US</t>
        </is>
      </c>
      <c r="H79" s="3" t="n">
        <v>45964</v>
      </c>
      <c r="I7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in-edcd144c22b60aef</t>
        </is>
      </c>
      <c r="B80" t="inlineStr">
        <is>
          <t>Sr. Software Engineer (ML), AGI Customization</t>
        </is>
      </c>
      <c r="C80" t="inlineStr">
        <is>
          <t>Amazon.com</t>
        </is>
      </c>
      <c r="D80" t="inlineStr">
        <is>
          <t>indeed</t>
        </is>
      </c>
      <c r="E80">
        <f>HYPERLINK("https://www.indeed.com/viewjob?jk=edcd144c22b60aef", "https://www.indeed.com/viewjob?jk=edcd144c22b60aef")</f>
        <v/>
      </c>
      <c r="F80">
        <f>HYPERLINK("https://www.amazon.jobs/jobs/3127625/sr-software-engineer-ml-agi-customization?cmpid=DA_INAD200785B", "https://www.amazon.jobs/jobs/3127625/sr-software-engineer-ml-agi-customization?cmpid=DA_INAD200785B")</f>
        <v/>
      </c>
      <c r="G80" t="inlineStr">
        <is>
          <t>Sunnyvale, CA, US</t>
        </is>
      </c>
      <c r="H80" s="3" t="n">
        <v>45964</v>
      </c>
      <c r="I80"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in-802fe2f253a4b062</t>
        </is>
      </c>
      <c r="B81" t="inlineStr">
        <is>
          <t>Senior Software Engineer</t>
        </is>
      </c>
      <c r="C81" t="inlineStr">
        <is>
          <t>Quest Defense</t>
        </is>
      </c>
      <c r="D81" t="inlineStr">
        <is>
          <t>indeed</t>
        </is>
      </c>
      <c r="E81">
        <f>HYPERLINK("https://www.indeed.com/viewjob?jk=802fe2f253a4b062", "https://www.indeed.com/viewjob?jk=802fe2f253a4b062")</f>
        <v/>
      </c>
      <c r="F81">
        <f>HYPERLINK("https://grnh.se/9bs0ebnl7us", "https://grnh.se/9bs0ebnl7us")</f>
        <v/>
      </c>
      <c r="G81" t="inlineStr">
        <is>
          <t>Scottsdale, AZ, US</t>
        </is>
      </c>
      <c r="H81" s="3" t="n">
        <v>46047</v>
      </c>
      <c r="I81" t="inlineStr">
        <is>
          <t>**If you're motivated to tackle challenges that matter and be part of something bigger, join us—together, we're transforming the industry.**
Quest Defense Systems and Solutions is seeking
**Due to the nature of the project all applicants must be US Citizens. T****his role can be remote with 20% travel.**
**Required Qualifications:**
* 3\+ years' experience as a Senior Software Engineer with a strong background in building SaaS services at scale with API first design and demonstrated technical leadership skills
* 5\+ years' experience writing code in Python, JavaScript, Go and/or C/C\+\+
* Knowledge of OSI and data transit from public internet to application
* Distributed service orchestration, HA services, and Reliability
* Central and Declarative dev ops practices
* BA / BS degree with 3\+ years of experience (or) MS degree with 2\+ years, experience from full stack software development background.
**Preferred Qualifications:**
* Familiarity with AI and machine learning concepts and the ability to collaborate effectively with data scientists and AI engineers
* Experience with Docker platform delivery tool or similar
* Experience developing distributed systems and implementing them using Kafka, Redis or similar
* Experience with Kubernetes architecture
* PaaS as a product
* Software assemblies and CI/CD frameworks
* Experience developing cloud infrastructure services such as AWS, Google Cloud and/or Azure
* Knowledge of security, compliance standards, and ZeroTrust strategy Above and Beyond
* CDN and static file delivery
* Database modeling using ORM and familiar with migration strategies
* Experience in modern frontends using JavaScript and/or React
* Observability and log aggregation architectures
* Private PKI and air gapped solutions.
 **Why QDSS:**
We're a family\-like\-company. We are collaborative. We believe in embracing change. We believe in doing consistent good work. EXB houses smart, curious and passionate about "making a difference" people. Our company culture sets us apart from others as well as:
* 401k with Employer\-Match Contributions
* Medical, Dental, and Life coverage
* Disability Benefits
* Generous compensation structure
* Significant opportunities for advancement
* Next Generation / Cutting Edge Technology Projects
* Certification Assistance Available (Approval Required)
* Flexible, Friendly and Fun work environment
 **About Us**
At QDSS, we are more than an engineering company—we are a force for innovation and positive change. With over 25 years of proven expertise in solving mission\-critical challenges, we empower our team to push boundaries, combining deep industry knowledge, cutting\-edge technology, and a collaborative "think tank" approach.
Our vision is to be the trusted partner of choice for our defense and aerospace clients, delivering secure, sustainable, and world\-class solutions that build a brighter future.
At **Quest Defense Systems and Solutions**, we don't just build technology — we engineer the future. From next\-generation aerospace solutions to cutting\-edge defense systems, we tackle the toughest, mission\-critical challenges that keep people safe and push the boundaries of innovation. This is where problem\-solvers, innovators, and visionary thinkers come together to shape the future. With over 25 years of aerospace and defense engineering expertise, our commitment to delivering high\-quality, transformative solutions sets us apart — not just as an industry leader, but as a driving force for impactful change. Together, we're not just leading the industry — we're revolutionizing it.
Quest Defense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training.The physical demands described here are representative of those that must be met by an employee to successfully perform the essential functions of this job. Reasonable accommodations may be made to enable individuals with disabilities to perform the essential functions.</t>
        </is>
      </c>
    </row>
    <row r="82">
      <c r="A82" t="inlineStr">
        <is>
          <t>in-b5277de4e79933b1</t>
        </is>
      </c>
      <c r="B82" t="inlineStr">
        <is>
          <t>Software Engineer, Geospatial Data (Starshield)</t>
        </is>
      </c>
      <c r="C82" t="inlineStr">
        <is>
          <t>SpaceX</t>
        </is>
      </c>
      <c r="D82" t="inlineStr">
        <is>
          <t>indeed</t>
        </is>
      </c>
      <c r="E82">
        <f>HYPERLINK("https://www.indeed.com/viewjob?jk=b5277de4e79933b1", "https://www.indeed.com/viewjob?jk=b5277de4e79933b1")</f>
        <v/>
      </c>
      <c r="F82">
        <f>HYPERLINK("https://grnh.se/08v3ffq72us", "https://grnh.se/08v3ffq72us")</f>
        <v/>
      </c>
      <c r="G82" t="inlineStr">
        <is>
          <t>Hawthorne, CA, US</t>
        </is>
      </c>
      <c r="H82" s="3" t="n">
        <v>46047</v>
      </c>
      <c r="I8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GEOSPATIAL DATA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data team is building highly reliable processing systems for earth observation data captured by Starshield satellites. We're building mission critical models and data processing software in service of constellation efficiency and derived information quality. We're building for national security. Aerospace experience is not required to be successful here\-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space information systems at every phase of development. We build tools that enable us to work more efficiently, and that help us build software systems that are secure, reliable, and autonomous. Our machine learning engineers are responsible for the life cycle of the software they create, including development, testing, and operational support.
**RESPONSIBILITIES:**
* Develop novel geospatial data processing models to extract information from raw and partially processed sensor data
* Create highly reliable software and machine learning systems that task remote sensor payloads on hundreds of satellites in low earth orbit and process the collected information
* See your modeling work and software through from start\-to\-finish: from figuring out the core needs to prototyping, developing, and testing; to production rollout and beyond
**BASIC QUALIFICATIONS:**
* Bachelor's degree in computer science, engineering, math, or scientific discipline; OR 2\+ years of professional experience in software development in lieu of a degree
* 1\+ years of experience in applied machine learning engineering, full stack development, and data science
* 1\+ years of development experience in C, C\+\+, or Python experience
**PREFERRED SKILLS AND EXPERIENCE:**
* Experience applying modern computer vision algorithms at scale
* Experience with software that has been used in real\-world applications and projects
* Experience with AWS or building inside of cloud environments
* Experience with developing within Linux server environments, SSH, scripting, and configuration
* Experience with Kubernetes or similar container orchestration frameworks
* Experience with PostgreSQL or implementing highly performant databases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83">
      <c r="A83" t="inlineStr">
        <is>
          <t>in-9d82097cf68cf537</t>
        </is>
      </c>
      <c r="B83" t="inlineStr">
        <is>
          <t>Sr. Software Engineer (ML), AGI Foundations</t>
        </is>
      </c>
      <c r="C83" t="inlineStr">
        <is>
          <t>Amazon.com</t>
        </is>
      </c>
      <c r="D83" t="inlineStr">
        <is>
          <t>indeed</t>
        </is>
      </c>
      <c r="E83">
        <f>HYPERLINK("https://www.indeed.com/viewjob?jk=9d82097cf68cf537", "https://www.indeed.com/viewjob?jk=9d82097cf68cf537")</f>
        <v/>
      </c>
      <c r="F83">
        <f>HYPERLINK("https://www.amazon.jobs/jobs/2993074/sr-software-engineer-ml-agi-foundations?cmpid=DA_INAD200785B", "https://www.amazon.jobs/jobs/2993074/sr-software-engineer-ml-agi-foundations?cmpid=DA_INAD200785B")</f>
        <v/>
      </c>
      <c r="G83" t="inlineStr">
        <is>
          <t>Bellevue, WA, US</t>
        </is>
      </c>
      <c r="H83" s="3" t="n">
        <v>45803</v>
      </c>
      <c r="I8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84">
      <c r="A84" t="inlineStr">
        <is>
          <t>in-7047d93625141b1e</t>
        </is>
      </c>
      <c r="B84" t="inlineStr">
        <is>
          <t>Sr. Software Engineer (ML), AGI Foundations</t>
        </is>
      </c>
      <c r="C84" t="inlineStr">
        <is>
          <t>Amazon.com</t>
        </is>
      </c>
      <c r="D84" t="inlineStr">
        <is>
          <t>indeed</t>
        </is>
      </c>
      <c r="E84">
        <f>HYPERLINK("https://www.indeed.com/viewjob?jk=7047d93625141b1e", "https://www.indeed.com/viewjob?jk=7047d93625141b1e")</f>
        <v/>
      </c>
      <c r="F84">
        <f>HYPERLINK("https://www.amazon.jobs/jobs/2993074/sr-software-engineer-ml-agi-foundations?cmpid=DA_INAD200785B", "https://www.amazon.jobs/jobs/2993074/sr-software-engineer-ml-agi-foundations?cmpid=DA_INAD200785B")</f>
        <v/>
      </c>
      <c r="G84" t="inlineStr">
        <is>
          <t>Sunnyvale, CA, US</t>
        </is>
      </c>
      <c r="H84" s="3" t="n">
        <v>45803</v>
      </c>
      <c r="I8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85">
      <c r="A85" t="inlineStr">
        <is>
          <t>in-53a795c85219cccd</t>
        </is>
      </c>
      <c r="B85" t="inlineStr">
        <is>
          <t>Software Engineer- AI/ML, AWS Neuron Distributed Training</t>
        </is>
      </c>
      <c r="C85" t="inlineStr">
        <is>
          <t>Amazon Web Services</t>
        </is>
      </c>
      <c r="D85" t="inlineStr">
        <is>
          <t>indeed</t>
        </is>
      </c>
      <c r="E85">
        <f>HYPERLINK("https://www.indeed.com/viewjob?jk=53a795c85219cccd", "https://www.indeed.com/viewjob?jk=53a795c85219cccd")</f>
        <v/>
      </c>
      <c r="F85">
        <f>HYPERLINK("https://www.amazon.jobs/jobs/2937757/software-engineer-aiml-aws-neuron-distributed-training?cmpid=DA_INAD200785B", "https://www.amazon.jobs/jobs/2937757/software-engineer-aiml-aws-neuron-distributed-training?cmpid=DA_INAD200785B")</f>
        <v/>
      </c>
      <c r="G85" t="inlineStr">
        <is>
          <t>Seattle, WA, US</t>
        </is>
      </c>
      <c r="H85" s="3" t="n">
        <v>45727</v>
      </c>
      <c r="I8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in-96b525eadffe70e5</t>
        </is>
      </c>
      <c r="B86" t="inlineStr">
        <is>
          <t>Software Engineer- AI/ML, AWS Neuron Distributed Training</t>
        </is>
      </c>
      <c r="C86" t="inlineStr">
        <is>
          <t>Amazon Web Services</t>
        </is>
      </c>
      <c r="D86" t="inlineStr">
        <is>
          <t>indeed</t>
        </is>
      </c>
      <c r="E86">
        <f>HYPERLINK("https://www.indeed.com/viewjob?jk=96b525eadffe70e5", "https://www.indeed.com/viewjob?jk=96b525eadffe70e5")</f>
        <v/>
      </c>
      <c r="F86">
        <f>HYPERLINK("https://www.amazon.jobs/jobs/2937757/software-engineer-aiml-aws-neuron-distributed-training?cmpid=DA_INAD200785B", "https://www.amazon.jobs/jobs/2937757/software-engineer-aiml-aws-neuron-distributed-training?cmpid=DA_INAD200785B")</f>
        <v/>
      </c>
      <c r="G86" t="inlineStr">
        <is>
          <t>Cupertino, CA, US</t>
        </is>
      </c>
      <c r="H86" s="3" t="n">
        <v>45727</v>
      </c>
      <c r="I8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in-0586f15ae700819b</t>
        </is>
      </c>
      <c r="B87" t="inlineStr">
        <is>
          <t>Sr. Software Engineer- AI/ML, AWS Neuron Distributed Training</t>
        </is>
      </c>
      <c r="C87" t="inlineStr">
        <is>
          <t>Amazon Web Services</t>
        </is>
      </c>
      <c r="D87" t="inlineStr">
        <is>
          <t>indeed</t>
        </is>
      </c>
      <c r="E87">
        <f>HYPERLINK("https://www.indeed.com/viewjob?jk=0586f15ae700819b", "https://www.indeed.com/viewjob?jk=0586f15ae700819b")</f>
        <v/>
      </c>
      <c r="F87">
        <f>HYPERLINK("https://www.amazon.jobs/jobs/2912412/sr-software-engineer-aiml-aws-neuron-distributed-training?cmpid=DA_INAD200785B", "https://www.amazon.jobs/jobs/2912412/sr-software-engineer-aiml-aws-neuron-distributed-training?cmpid=DA_INAD200785B")</f>
        <v/>
      </c>
      <c r="G87" t="inlineStr">
        <is>
          <t>Cupertino, CA, US</t>
        </is>
      </c>
      <c r="H87" s="3" t="n">
        <v>45713</v>
      </c>
      <c r="I8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in-59dafdbccfbc6649</t>
        </is>
      </c>
      <c r="B88" t="inlineStr">
        <is>
          <t>Sr. Software Engineer- AI/ML, AWS Neuron Distributed Training</t>
        </is>
      </c>
      <c r="C88" t="inlineStr">
        <is>
          <t>Amazon Web Services</t>
        </is>
      </c>
      <c r="D88" t="inlineStr">
        <is>
          <t>indeed</t>
        </is>
      </c>
      <c r="E88">
        <f>HYPERLINK("https://www.indeed.com/viewjob?jk=59dafdbccfbc6649", "https://www.indeed.com/viewjob?jk=59dafdbccfbc6649")</f>
        <v/>
      </c>
      <c r="F88">
        <f>HYPERLINK("https://www.amazon.jobs/jobs/2912412/sr-software-engineer-aiml-aws-neuron-distributed-training?cmpid=DA_INAD200785B", "https://www.amazon.jobs/jobs/2912412/sr-software-engineer-aiml-aws-neuron-distributed-training?cmpid=DA_INAD200785B")</f>
        <v/>
      </c>
      <c r="G88" t="inlineStr">
        <is>
          <t>Seattle, WA, US</t>
        </is>
      </c>
      <c r="H88" s="3" t="n">
        <v>45713</v>
      </c>
      <c r="I8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in-33606592113f6f97</t>
        </is>
      </c>
      <c r="B89" t="inlineStr">
        <is>
          <t>Senior Software Engineer</t>
        </is>
      </c>
      <c r="C89" t="inlineStr">
        <is>
          <t>Atlas Media Group, LLC</t>
        </is>
      </c>
      <c r="D89" t="inlineStr">
        <is>
          <t>indeed</t>
        </is>
      </c>
      <c r="E89">
        <f>HYPERLINK("https://www.indeed.com/viewjob?jk=33606592113f6f97", "https://www.indeed.com/viewjob?jk=33606592113f6f97")</f>
        <v/>
      </c>
      <c r="F89">
        <f>HYPERLINK("http://www.indeed.com/job/senior-software-engineer-33606592113f6f97", "http://www.indeed.com/job/senior-software-engineer-33606592113f6f97")</f>
        <v/>
      </c>
      <c r="G89" t="inlineStr">
        <is>
          <t>Plano, TX, US</t>
        </is>
      </c>
      <c r="H89" s="3" t="n">
        <v>46048</v>
      </c>
      <c r="I89" t="inlineStr">
        <is>
          <t>**Overview**  
We are seeking a highly skilled Senior Software Engineer to join our dynamic technology team. The ideal candidate will possess extensive experience in software development, web development, and IT infrastructure, with a strong background in designing and implementing scalable solutions. This role offers the opportunity to work on cutting\-edge projects utilizing a broad range of technologies including Ruby on Rails, AWS, RESTful APIs, and cloud platforms like Azure. The Senior Software Engineer will play a critical role in developing innovative applications, maintaining system integrity, and leading technical initiatives within an Agile environment.
**Duties**
* Lead the design, development, and deployment of complex software applications across multiple platforms including web and application development.
* Collaborate with cross\-functional teams to define project requirements and translate them into technical specifications.
* Develop and maintain RESTful APIs, ensuring high performance and responsiveness for web applications utilizing frameworks such as React Express and front\-end technologies like JavaScript and C\#.
* Manage cloud infrastructure on AWS and Azure, ensuring scalability, security (RBAC), and optimal performance.
* Write clean, efficient code using languages such as Python, Java, C\+\+, C\#, VBA, and SQL; perform code reviews using GitHub, SVN, Git, and other version control tools.
* Implement IT infrastructure solutions to support application deployment and maintenance.
* Apply best practices in Agile methodologies for continuous integration and continuous delivery (CI/CD).
* Troubleshoot and resolve system issues related to Linux servers, MySQL databases, and application bugs.
* Lead efforts in integrating third\-party APIs and developing custom APIs to enhance system functionality.
* Mentor junior developers and contribute to technical documentation to ensure knowledge sharing across teams.
**Experience**
* Proven experience in software development with a focus on web applications using Ruby on Rails, React Express, JavaScript, C\#, C\+\+, Java, Python, VBA, SQL.
* Extensive knowledge of IT infrastructure management including cloud platforms such as AWS and Azure.
* Strong understanding of RESTful API design principles along with experience working with REST standards.
* Hands\-on experience with version control systems like GitHub, SVN, Git.
* Familiarity with Linux operating systems for server management.
* Experience working within Agile development environments with tools such as Jira or similar project management software.
* Background in application development involving front\-end (React) and back\-end technologies (.NET, C\#, Java).
* Knowledge of database systems including MySQL and SQL Server for data management tasks.
* Additional skills in quantum engineering or advanced computing are considered a plus but are not mandatory. Join our team to contribute your expertise in software engineering while working on innovative projects that impact our global user base. We value collaboration, technical excellence, and continuous learning to drive success across our organization.
Job Type: Full\-time
Pay: $112,532\.94 \- $135,523\.53 per year
Benefits:
* 401(k)
* AD\&amp;D insurance
* Dental insurance
* Disability insurance
* Health insurance
* Health savings account
* Life insurance
* Vision insurance
Work Location: In person</t>
        </is>
      </c>
    </row>
    <row r="90">
      <c r="A90" t="inlineStr">
        <is>
          <t>in-3292bafbb814cbf1</t>
        </is>
      </c>
      <c r="B90" t="inlineStr">
        <is>
          <t>Software Engineer</t>
        </is>
      </c>
      <c r="C90" t="inlineStr">
        <is>
          <t>MrCoachJ</t>
        </is>
      </c>
      <c r="D90" t="inlineStr">
        <is>
          <t>indeed</t>
        </is>
      </c>
      <c r="E90">
        <f>HYPERLINK("https://www.indeed.com/viewjob?jk=3292bafbb814cbf1", "https://www.indeed.com/viewjob?jk=3292bafbb814cbf1")</f>
        <v/>
      </c>
      <c r="F90">
        <f>HYPERLINK("http://www.indeed.com/job/software-engineer-3292bafbb814cbf1", "http://www.indeed.com/job/software-engineer-3292bafbb814cbf1")</f>
        <v/>
      </c>
      <c r="G90" t="inlineStr">
        <is>
          <t>Cincinnati, OH, US</t>
        </is>
      </c>
      <c r="H90" s="3" t="n">
        <v>46048</v>
      </c>
      <c r="I90" t="inlineStr">
        <is>
          <t>**Software Engineer – AI‑Driven Factory Platform (Founding Engineer)**
Cincinnati, OH \| Full\-time \| On\-site \| Unlimited PTO \+ Significant Equity
A small team of SpaceX‑trained founders is building an AI‑native, lights‑out steel factory from scratch, where software doesn’t just move bits, it moves atoms. We’re hiring a founding Software Engineer to own core platform systems that orchestrate the factory.
If you love distributed systems, enjoy crossing the boundary between cloud and physical machines, and see LLMs/agents as a serious force multiplier, this is the role you’ve been waiting for.
***What you’ll do***
* Own architecture and implementation of the factory’s core software platform, end‑to‑end.
* Build scalable backends in Go or Python and clean, usable frontends in TypeScript/JavaScript.
* Design event‑driven, distributed systems that coordinate workflows, machines, and production orders.
* Work with SQL, data modeling, object storage (e.g., S3/GCS), and durable event queues (e.g., Kafka).
* Implement and operate workflow orchestration (Temporal, Airflow, or similar) for long‑running asynchronous processes.
* Lean hard on AI‑assisted development: use LLMs/agents to generate boilerplate, tests, and refactors so you can focus on hard problems.
* Collaborate directly with hardware, controls, and operations teams and occasionally debug code on the factory floor.
* Help build out CI/CD pipelines, observability, and a monorepo environment (Bazel/Buck2 or similar) as the software org grows.
***What you bring***
* Strong systems fundamentals and a track record of building and running distributed systems in production.
* Proficiency in Go or Python for backend work and professional experience with TypeScript/JavaScript on the frontend.
* Solid understanding of SQL, data modeling, and event‑driven architectures using queues/streams.
* Experience with (or strong interest in) workflow engines like Temporal or Airflow.
* High ownership: you’re comfortable being the person who designs it, ships it, and keeps it running.
* Bonus: experience integrating with hardware, robots, sensors, PLCs, or industrial equipment, and building in monorepo/CI environments.
* Genuine excitement about using LLMs/agents as a core part of your development workflow.
***Why this is different***
* Founder seat: You’ll be among the first software engineers and will shape the stack, patterns, and culture.
* Real‑world impact: Your systems won’t just power dashboards—they’ll control real machines making real hardware.
* Hardware \+ software: Work at the intersection of AI, distributed systems, and advanced manufacturing.
* Growth: Clear runway to Engineering Leadership or Principal Engineer as new factories and teams spin up.
***Compensation \&amp; benefits (salary)***
* Competitive salary plus significant early‑stage equity.
* **Unlimited** PTO, paid sick time, and parental leave.
* 100% of health, dental, and vision premiums covered for you; 80% covered for your family.
* Premium hardware setup and all the modern software tools you need to move fast.
* Clean, climate‑controlled factory with cutting‑edge equipment and a tight, high‑caliber team.
Job Type: Full\-time
Pay: $200,000\.00 \- $250,000\.00 per year
Benefits:
* 401(k)
* Dental insurance
* Flexible schedule
* Health insurance
* Life insurance
* Paid time off
* Parental leave
* Relocation assistance
* Vision insurance
Work Location: Hybrid remote in Cincinnati, OH 45999</t>
        </is>
      </c>
    </row>
    <row r="91">
      <c r="A91" t="inlineStr">
        <is>
          <t>in-4f5d7aee93a9b52b</t>
        </is>
      </c>
      <c r="B91" t="inlineStr">
        <is>
          <t>TS/SCI Cleared - Software Engineer</t>
        </is>
      </c>
      <c r="C91" t="inlineStr"/>
      <c r="D91" t="inlineStr">
        <is>
          <t>indeed</t>
        </is>
      </c>
      <c r="E91">
        <f>HYPERLINK("https://www.indeed.com/viewjob?jk=4f5d7aee93a9b52b", "https://www.indeed.com/viewjob?jk=4f5d7aee93a9b52b")</f>
        <v/>
      </c>
      <c r="F91">
        <f>HYPERLINK("https://s5analytics.isolvedhire.com/jobs/1692597-566894.html", "https://s5analytics.isolvedhire.com/jobs/1692597-566894.html")</f>
        <v/>
      </c>
      <c r="G91" t="inlineStr">
        <is>
          <t>Aurora, CO, US</t>
        </is>
      </c>
      <c r="H91" s="3" t="n">
        <v>46048</v>
      </c>
      <c r="I91" t="inlineStr">
        <is>
          <t>At S5, we offer a leading\-edge compensation package that includes **top\-tier salaries**, up to **25% profit sharing** into a qualified retirement account, **flexible PTO**, and **company paid medical, vision and dental premiums for you and your family**. You'll join a team of innovative engineers committed to innovation and excellence. We prioritize professional growth and team cohesion through technical trainings, team dinners, retreats, and an annual fully sponsored off\-site. Our culture is built to support your career development, personal well\-being, and long\-term success.
As a Software Engineer at S5 Analytics, you will be an integral part of our team, driving architecture design and implementation of highly valuable, data rich software applications. Your engineering expertise will be required through all phases of the development process including designing, developing, and implementing frontend and backend software for a complex web application translating software requirements into working and maintainable solutions within the existing application frameworks and will contribute to the success of our government customer's mission. You will demonstrate a high level of self\-initiative and responsibility in your work, embodying the qualities of a self\-starter and a reliable professional.
**Responsibilities:**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**Required Skills:**
* Active TS/SCI clearance is required
* Bachelors Degree in Software Engineering or a related discipline
* 2\+ years of Java, C\#, C\+\+ or Python
* 2\+years of Javascript or Typescript experience
* Experience with React, Docker, Spring Boot or .NET
* Proficiency working with relational databases (e.g., PostgreSQL or MongoDB)
* Experience with DevSecOps and Agile Scrum software development methodology including using tools like Git, Jira and Confluence
* Experience with containerization and orchestration technologies including Kubernetes, Docker/Podman, and Helm, with familiarity operating workloads in enterprise or cloud\-managed Kubernetes platforms (e.g., OpenShift, Rancher, EKS).
**Nice to have Qualifications:**
* Experience with AWS, Kubernetes
* Experience with Government Clouds (e.g. GovCloud, C2S)
* An understanding of common geospatial data architectures, visualization, and data analytics
This position offers a comprehensive benefits package that includes significant profit\-sharing opportunities, retirement plan, company\-paid health, vision, and dental care benefits, flexible PTO, and bonus opportunities.
The base salary range for this position is $109,120 \- $231,780 annually, based on full\-time employment in the Denver, Colorado area. The final compensation will be determined based on several factors, including but not limited to relevant experience, qualifications, education, and market conditions.
S5 Analytics considers several factors when extending job offers, including but not limited to candidates' key skills, relevant work and/or military experience, location, training, education, and certifications.
*S5 is proud to be an equal opportunity employer and considers qualified applicants for employment without regard to race, color, creed, religion, national origin, sex, sexual orientation, gender identity and expression, age, disability, veteran status, or any other protected factor.*</t>
        </is>
      </c>
    </row>
    <row r="92">
      <c r="A92" t="inlineStr">
        <is>
          <t>in-fa44d450dc52b864</t>
        </is>
      </c>
      <c r="B92" t="inlineStr">
        <is>
          <t>Senior Software Engineer (IoT)</t>
        </is>
      </c>
      <c r="C92" t="inlineStr">
        <is>
          <t>Bird Rides</t>
        </is>
      </c>
      <c r="D92" t="inlineStr">
        <is>
          <t>indeed</t>
        </is>
      </c>
      <c r="E92">
        <f>HYPERLINK("https://www.indeed.com/viewjob?jk=fa44d450dc52b864", "https://www.indeed.com/viewjob?jk=fa44d450dc52b864")</f>
        <v/>
      </c>
      <c r="F92">
        <f>HYPERLINK("https://grnh.se/sd6pdya33us", "https://grnh.se/sd6pdya33us")</f>
        <v/>
      </c>
      <c r="G92" t="inlineStr">
        <is>
          <t>San Jose, CA, US</t>
        </is>
      </c>
      <c r="H92" s="3" t="n">
        <v>46047</v>
      </c>
      <c r="I92" t="inlineStr">
        <is>
          <t>Hey there!
Bird launched micromobility. Now we're shaping its future.
We're Bird, and we're on a mission to **transform the way the world moves one ride at a time**. Our products, services, and people share one common goal: to make cities more livable by empowering people and communities everywhere to **move freely, discover new possibilities, and create a cleaner, more connected future.** To cleaner air. To calmer streets. To cities built for people.
**Who We Are**
Bird is a global leader in micromobility, dedicated to shaping the future of urban movement. Our cleaner, affordable, and on\-demand mobility solutions are available in over 200 cities worldwide.
We take a collaborative, community\-first approach to micromobility. Bird partners closely with the cities in which it operates, leveraging our experience and safety\-first technology to help them meet their **shared mobility and climate goals** and provide a reliable, affordable, and responsible transportation option for people who live and work there.
Our award\-winning electric vehicles have empowered more than **eighty\-seven million rides** in cities around the world and helped riders take carbon\-free trips in more than 200 cities globally. And our teams are constantly pushing boundaries and challenging the status quo in pursuit of a brighter future.
**Job Summary**
The Senior Software Engineer plays a pivotal role in designing, building, and optimizing high\-quality software solutions. This position exists to provide technical expertise and ownership of complex features, ensuring scalability, reliability, and maintainability. The engineer is expected to tackle challenging technical problems, write clean and efficient code, and collaborate effectively with cross\-functional teams. By mentoring junior engineers and adhering to best practices, this role contributes to the team's success and the overall delivery of Bird's product roadmap.
**Responsibilities**
* Design and develop scalable systems: Design, implement, and optimize backend and infrastructure solutions to support business growth. Deliver at least one major feature or system enhancement per quarter that improves performance, scalability, or maintainability.
* Collaborate cross\-functionally: Work with product, data, vehicle and infrastructure teams to design and implement solutions that align with business needs. Provide actionable recommendations and technical feasibility assessments within agreed timelines.
* Ensure system reliability: Monitor and improve system health, proactively addressing performance bottlenecks and outages. Reduce system downtime by at least 5% annually through incident resolution and preventative measures.
* Mentor engineering talent: Provide code reviews, technical guidance, and mentorship to junior engineers. Conduct at least one structured knowledge\-sharing session per quarter and set individual development goals for mentees.
* Optimize development processes: Improve CI/CD pipelines, automate deployments, and implement best practices to increase engineering efficiency. Reduce manual operational workload by at least 10% per year through automation.
* Contribute to technical roadmap: Collaborate with the team to propose at least two technical initiatives per year that align with the team's roadmap.
* Lead technical problem\-solving: Tackle high\-impact engineering challenges, conduct post\-mortems, and implement long\-term fixes. Reduce repeat incidents by 10% annually through improved monitoring, alerting, and root cause analysis.
* Champion engineering culture: Act as a role model for technical excellence, collaboration, and innovation. Lead at least one technical discussion, hackathon, or knowledge\-sharing event per quarter to strengthen team engagement.
**Must Haves**
* Bachelor's Degree or equivalent experience in STEM with 10\+ years of professional, relevant experience
* Strong experience with Golang, Object Oriented programming and the JVM
* 5\+ years of experience with Kubernetes and AWS
* Strong proficiency in Golang and JVM\-based languages (Java, Kotlin, Scala) for building scalable backend services.
* Experience working with IoT devices, real\-time data pipelines, and communication protocols.
* Expertise in distributed systems, microservices, Kafka, Kubernetes, and AWS for cloud\-based architectures.
* Hands\-on experience with CI/CD pipelines, automation, and debugging using Jenkins, GitHub Actions, or similar tools.
* Familiarity with observability tools (Datadog, Grafana) for system monitoring and debugging.
* Willingness to participate in on\-call rotations for production system support and critical incident resolution.
* Proven ability to reduce system failures through proactive monitoring, alerting, and post\-mortem analysis.
* Strong written and verbal communication skills to advocate for technical solutions and collaborate with stakeholders.
* Experience documenting best practices and technical designs to enhance team knowledge\-sharing.
* Expertise in debugging and optimizing large\-scale, connected systems handling high\-volume telemetry data.
* Ability to evaluate and implement new technologies that improve system resilience and efficiency.
* Proven ability to work across teams, including backend, IoT, data, vehicle and infrastructure, to drive technical decisions.
* Skilled in mentoring engineers through code reviews, technical guidance, and knowledge\-sharing sessions.
* Ability to contribute to technical roadmaps by identifying system improvements that enhance scalability and reliability.
* Experience implementing best practices to improve system performance, maintainability, and cost efficiency.
* Ability to travel approximately twice a year
**Highly Desired**
* Experience in Kotlin, Avro, and Java
* Extensive experience with Flink, Kafka, and real\-time streaming systems
* Expertise in Hadoop Frameworks
* Extensive experience in Geospatial and IOT systems
Target Hiring Salary Range: $165,000 \- $190,000
### **Why Bird Matters**
Every time you hop on a Bird, you're helping build a more livable city. We focus on four core pillars that reflect the impact of every ride:
* **Freedom:** We're the bridge that connects you to every experience—simple, convenient, and stress\-free. We give you the freedom to move without limits.
* **Exploration:** We turn everyday trips into memorable experiences, sparking discovery and wonder as you connect with the world around you.
* **Community:** Taking a Bird is an act of citizenship. We create a sense of belonging and unity, knowing that the richer our communities become, the richer our lives become.
* **Sustainability:** Our electric vehicles reduce gas\-powered car usage and lower carbon emissions. We enable responsible choices, creating tangible impact and driving progress toward a cleaner future.
**Culture at Bird**
We're an ambitious, smart, and open\-minded team that is passionate about our mission. Each day is unlike the last, as we're constantly moving forward, challenging each other, and working together to create the future of micro\-mobility.
**Perks Up!**
We want you to succeed and thrive here, so we offer a few sweet perks:
* Plenty of time off to relax and recharge, plus a wellness resource to help you wind down.
* A work\-from\-home stipend.
* An employer\-paid healthcare package.
* Of course, **Bird ride credits** to get you where you need to be!
**Bird is the world**
Bird stands for a culture of **inclusion**. We celebrate different backgrounds, experiences, and perspectives —encouraging everyone to **bring their authentic selves to work**. We have a diverse environment that empowers our team to feel comfortable when they voice their opinions.
For these reasons and more, Bird is a proud **equal employment opportunity employer**. We welcome everyone regardless of their race, color, religion, sex, national origin, age, disability, veteran status, or genetics, and we are dedicated to providing an inclusive, open, and diverse work environment.
Sound like a place you'd like to work? Sweet. Let's chat.</t>
        </is>
      </c>
    </row>
    <row r="93">
      <c r="A93" t="inlineStr">
        <is>
          <t>in-b16fedd02c2116df</t>
        </is>
      </c>
      <c r="B93" t="inlineStr">
        <is>
          <t>Software Engineer ll</t>
        </is>
      </c>
      <c r="C93" t="inlineStr">
        <is>
          <t>Cohere Health</t>
        </is>
      </c>
      <c r="D93" t="inlineStr">
        <is>
          <t>indeed</t>
        </is>
      </c>
      <c r="E93">
        <f>HYPERLINK("https://www.indeed.com/viewjob?jk=b16fedd02c2116df", "https://www.indeed.com/viewjob?jk=b16fedd02c2116df")</f>
        <v/>
      </c>
      <c r="F93">
        <f>HYPERLINK("https://grnh.se/ym3a0dfy3us", "https://grnh.se/ym3a0dfy3us")</f>
        <v/>
      </c>
      <c r="G93" t="inlineStr">
        <is>
          <t>Remote, US</t>
        </is>
      </c>
      <c r="H93" s="3" t="n">
        <v>46047</v>
      </c>
      <c r="I93" t="inlineStr">
        <is>
          <t>**Opportunity Overview:**
Cohere Health is at the forefront of leveraging artificial intelligence (AI) to transform prior authorization, shifting from transaction\-based processes to creating elevated care journeys. By integrating AI into healthcare decisioning, we aim to improve efficiency, reduce costs, and ultimately enhance patient care. This is a unique opportunity to join our rapidly growing Clinical Intelligence team, where you'll work on building impactful healthcare technologies that streamline and optimize the prior authorization process using AI/ML and Advanced Rules Engines.
**What you'll do:**
* Contribute to the functional \&amp; technical roadmap for the team, working alongside cross\-functional teams to deliver high\-impact deterministic rules\-based and AI\-driven healthcare automation solutions.
* Actively support the technical design process, bringing your expertise and analysis to help make data\-driven decisions
* Continuously discover, understand, and implement new technologies \&amp; services to maximize development efficiency
* Contribute heavily to feature design, development, testing, and delivery of our cloud platform and web applications
* Support all parts of our platform from the database to the frontend
* Drive daily engineering release once 2\-4 times a month
* Perform production support duties 1\-2 times a year.
**What you'll need:**
* Bachelor's degree or higher in Computer Science, software engineering, or equivalent experience in the field.
* Minimum of 3 years of *full time* experience in software development lifecycle, required
* Proficiency with Java/Groovy or Python
* Experience building applications using React and Javascript.
* Familiarity with cloud development AWS/Azure
* Hands on experience leveraging test frameworks such as Cypress, Jest, Mocha, JUnit, or Cucumber is a plus, but not required
* Experience using relational (MySql, Postgres) and NoSQL (Dynamo, Elastic, Mongo) datastores along with data access patterns and strategies.
* Ability to demonstrate a high level of ownership for the entire SDLC, including designing, building, testing, deploying and supporting production services in a fast\-paced environment.
* Be self\-starter requiring minimal direction with ability to learn quickly and adapt to changing priorities and requirements
**Pay \&amp; Perks:**
 Fully remote opportunity with about 5% travel
 Medical, dental, vision, life, disability insurance, and Employee Assistance Program
 401K retirement plan with company match; flexible spending and health savings account
️ Up to 184 hours (23 days) of PTO per year \+ company holidays
 Up to 14 weeks of paid parental leave
 Pet insurance
The salary range for this position is $105,000 to $125,000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 Connect with Talent Acquisition for a Preliminary Phone Screening
* Meet your Hiring Manager!
* Behavioral Interview(s)
* Case Study
* Subject to change
**About Cohere Health:**
Cohere Health's clinical intelligence platform delivers AI\-powered solutions that streamline access to quality care by improving payer\-provider collaboration, cost containment, and healthcare economics. Cohere Health works with over 660,000 providers and handles over 12 million prior authorization requests annually. Its responsible AI auto\-approves up to 90% of requests for millions of health plan members.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Cohere Health drives more transparent, streamlined healthcare processes, helping patients receive faster, more appropriate care and higher\-quality outcomes.
The Coherenauts, as we call ourselves,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row>
    <row r="94">
      <c r="A94" t="inlineStr">
        <is>
          <t>in-4a226b1818c9633e</t>
        </is>
      </c>
      <c r="B94" t="inlineStr">
        <is>
          <t>Senior Full Stack Engineer, Calendar Platform</t>
        </is>
      </c>
      <c r="C94" t="inlineStr">
        <is>
          <t>Calendly</t>
        </is>
      </c>
      <c r="D94" t="inlineStr">
        <is>
          <t>indeed</t>
        </is>
      </c>
      <c r="E94">
        <f>HYPERLINK("https://www.indeed.com/viewjob?jk=4a226b1818c9633e", "https://www.indeed.com/viewjob?jk=4a226b1818c9633e")</f>
        <v/>
      </c>
      <c r="F94">
        <f>HYPERLINK("https://grnh.se/17quikcz2us", "https://grnh.se/17quikcz2us")</f>
        <v/>
      </c>
      <c r="G94" t="inlineStr">
        <is>
          <t>Atlanta, GA, US</t>
        </is>
      </c>
      <c r="H94" s="3" t="n">
        <v>46047</v>
      </c>
      <c r="I94" t="inlineStr">
        <is>
          <t>#### **What's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 **About the team \&amp; opportunity**
**Our Mission**
We power Calendly's products with reliable, high\-performance calendar data infrastructure. Our services provide the foundation for how users interact with their scheduling data, serving as the single source of truth across our platform.
**How you will contribute**
As a Senior Engineer on Calendly's Calendar Platform team, you will build and evolve the core infrastructure our products depend on. Your work will directly shape how millions of users access and interact with their calendar data.
You will focus on critical platform services including:
* Core calendar data API development, building and scaling a new unified interface and underlying data infrastructure for calendar data across all Calendly products
* Synchronization services to maintain data integrity across internal systems and external providers like Google and Microsoft
* Search infrastructure using ElasticSearch to surface relevant calendar data for users
* Novel platform services as new product needs emerge
**Why this role matters**
Calendar data is central to the Calendly platform. As we grow, our products need fast, reliable access to this data through modern, resilient infrastructure. You will help us move beyond legacy patterns and build services designed for scale. The technical decisions you make will ripple across our entire product ecosystem.
#### **A day in the life of a Senior Full Stack Engineer at Calendly**
**Building Calendar Infrastructure**
Design, develop, and maintain services our product teams depend on. You will work hands\-on with Golang, Ruby/Rails, and PostgreSQL to build resilient systems handling high data volumes and complex synchronization requirements.
**Technical Leadership and Collaboration**
Contribute to architectural decisions for calendar platform services. Share your distributed systems expertise with engineers across the organization and help establish patterns for engineering excellence.
**Contribute To Critical Initiatives**
Own and contribute to significant projects from concept to production. Whether you're evolving the core calendar API, improving sync reliability, or optimizing search performance, you will deliver high\-impact solutions with quality and reliability at the forefront.
**Cross\-Functional Partnership**
Partner with product engineering teams, Data Platform, and Infrastructure to understand their needs and translate them into robust solutions. This is a highly collaborative team where your input shapes how we serve internal customers.
**Operational Excellence**
Ensure reliability and performance through thoughtful monitoring, testing, and incident response. Participate in on\-call rotation for business\-critical systems and drive continuous improvement based on operational learnings.
**What do we need from you?**
* 7\+ years of software engineering experience at a SaaS or technology company with strong backend and distributed systems focus
* Deep experience in service\-oriented architecture, microservice patterns, and building resilient, scalable systems
* Proven experience building and operating high\-traffic, high\-availability platforms in production
* Strong proficiency building internal tools, frameworks, and SDKs other engineers use
* Experience with API design and data synchronization across multiple external providers
* Excellent problem\-solving skills with the ability to diagnose complex system issues
* Strong communication skills, able to explain technical concepts clearly to technical and non\-technical stakeholders
* Authorized to work lawfully in the United States of America as Calendly does not engage in immigration sponsorship at this time
**Bonus**
* Experience with Golang, Ruby/Rails, NodeJS/Typescript
* Background in platform engineering roles
* Experience decomposing monolithic applications into microservices
* Familiarity with Google Cloud Platform, Kubernetes, PostgreSQL, Redis, Pub/Sub
* Experience with ElasticSearch or similar search infrastructure
**What will make you successful here**
* You take deep ownership and drive initiatives with a results\-oriented mindset
* You thrive in collaborative environments, working effectively with remote and distributed teams
* You're adaptable, comfortable with evolving requirements and new technologies
* You're passionate about enabling others and see platform engineering as a force multiplier
* You're available to participate in our on\-call rotation to ensure the reliability of business\-critical services
**What's in it for you?**
Ready to make a serious impact? Millions of people already rely on Calendly's products, and we're still in the midst of our growth curve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 Tier 1: San Francisco, CA, San Jose, CA, New York City, NY
* Tier 2: Chicago, IL, Austin, TX, Denver, CO, Boston, MA, Washington D.C., Philadelphia, PA, Portland, OR, Seattle, WA, Miami, FL, and all other cities in CA.
*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Alabama,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row>
    <row r="95">
      <c r="A95" t="inlineStr">
        <is>
          <t>in-9bd57077beeccb13</t>
        </is>
      </c>
      <c r="B95" t="inlineStr">
        <is>
          <t>Senior Software Engineer</t>
        </is>
      </c>
      <c r="C95" t="inlineStr">
        <is>
          <t>FanDuel</t>
        </is>
      </c>
      <c r="D95" t="inlineStr">
        <is>
          <t>indeed</t>
        </is>
      </c>
      <c r="E95">
        <f>HYPERLINK("https://www.indeed.com/viewjob?jk=9bd57077beeccb13", "https://www.indeed.com/viewjob?jk=9bd57077beeccb13")</f>
        <v/>
      </c>
      <c r="F95">
        <f>HYPERLINK("https://grnh.se/kgzn9sxu1us", "https://grnh.se/kgzn9sxu1us")</f>
        <v/>
      </c>
      <c r="G95" t="inlineStr">
        <is>
          <t>Atlanta, GA, US</t>
        </is>
      </c>
      <c r="H95" s="3" t="n">
        <v>46047</v>
      </c>
      <c r="I95"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Our CPE Platform Vertical is responsible for each FanDuel users' wallet, payments, withdrawals, transactional history, tax and player activity journeys. If you deposit or withdraw money, check out your transactions or need to do you tax returns, our Engineering teams own this and more. You will be working to build out our Finance Ledger platform that supports the foundational products of FanDuel like FanDuel Sportsbook, FanDuel Casino, FanDuel Racing and FanDuel Daily Fantasy Sports. We use AWS, K8s, Terraform, Python, \&amp; Java amongst other languages \&amp; technologies.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Responsible for the state of the code you both inherit and produce.
* You write simple and extendable code following standards and best practices. You test your code thoroughly.
* You classify, store, and handle data in accordance with FanDuel policies.
* You track security risks and mitigate and/or escalate them in a timely manner.
* You understand the maintenance characteristics, run\-time properties, and dependencies of your team's software, including hardware platform, operating system and build dependencies.
* You clearly document your software to ensure that future generations of developers understand the intention behind the features and components you build.
* In the event of a problem you are able to troubleshoot, research the root cause of problems, and thoroughly resolve defects.
* You provide excellent customer support.
* You participate in the interview process and help your team train other Software Engineers
* You will keep yourself up to date with market standards, open\-source frameworks.
* Most importantly, be: humble, pragmatic, self\-managed, thirsty for knowledge, never satisfied and always challenging the norm.
**THE STATS**  
What we're looking for in our next teammate
* Degree in Computer Science, related field, or equivalent work experience preferred.
* Experience and passion for writing distributed, highly scalable and available backend systems \&amp; APIs using Java and/or Python or similar programming languages.
* Knowledge of release process best practices for APIs and services within production systems.
* Experience working with cloud\-based infrastructure and technologies, preferably AWS.
* Understanding DevOps concepts such as containers (e.g. Docker), orchestration (e.g. Kubernetes), and Infrastructure as Code (e.g. CloudFormation or Terraform).
* Knowledge of testing concepts, test tools, and integrating testing and best practices in the SDLC.
* Passion to automate your work by using scripting languages e.g. Shell scripts.
* Strong sense of ownership, urgency, and drive.
* Demonstrated abilities driving operational excellence and best practices.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$181,650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96">
      <c r="A96" t="inlineStr">
        <is>
          <t>in-1dfab6186e5b730b</t>
        </is>
      </c>
      <c r="B96" t="inlineStr">
        <is>
          <t>Sr. Principal Software Engineer, Synthesis</t>
        </is>
      </c>
      <c r="C96" t="inlineStr">
        <is>
          <t>Cadence Design Systems</t>
        </is>
      </c>
      <c r="D96" t="inlineStr">
        <is>
          <t>indeed</t>
        </is>
      </c>
      <c r="E96">
        <f>HYPERLINK("https://www.indeed.com/viewjob?jk=1dfab6186e5b730b", "https://www.indeed.com/viewjob?jk=1dfab6186e5b730b")</f>
        <v/>
      </c>
      <c r="F96">
        <f>HYPERLINK("https://cadence.wd1.myworkdayjobs.com/en-US/External_Careers/job/SAN-JOSE/Sr-Principal-Software-Engineer_R52773", "https://cadence.wd1.myworkdayjobs.com/en-US/External_Careers/job/SAN-JOSE/Sr-Principal-Software-Engineer_R52773")</f>
        <v/>
      </c>
      <c r="G96" t="inlineStr">
        <is>
          <t>San Jose, CA, US</t>
        </is>
      </c>
      <c r="H96" s="3" t="n">
        <v>46047</v>
      </c>
      <c r="I96" t="inlineStr">
        <is>
          <t>At Cadence, we hire and develop leaders and innovators who want to make an impact on the world of technology.
Job Description
Cadence Design Systems is looking for a highly motivated software engineer to work as a member of the R\&amp;D staff on Cadence’s Genus Synthesis Solution product. Genus is a complete product that encompasses logic synthesis and physical design. The product breadth means we are looking for skilled and motivated candidates with backgrounds in logic synthesis, word\-level synthesis, static timing analysis, computer architecture, verification, RTL compilation, placement, power analysis, routing, extraction, and optimization. You will be part of a team responsible for creating the innovative technologies required for technology leadership in this space. Development responsibilities include designing, developing, troubleshooting, debugging and supporting the Genus software product.  
The successful candidate will possess the following combination of education and experience:  
* MS in Computer Science or Electrical Engineering, PhD is preferred with 6\+ years of work experience
* Proficient in C/C\+\+
* Excellent programming and software engineering skills
* Experience with UNIX and/or LINUX platforms is preferred
* Strong knowledge of Tcl is preferred
* Experience with multithreaded and/or distributed programming is preferred
* Prior experience with large software development projects is highly recommended
* Prior experience with timing analysis software development projects is highly recommended
* Strong ability to learn
* Strong analysis and problem solving skills
* Good communication skill is preferred as the development team is distributed
Most importantly, we are looking for hard working, innovative engineers who enjoy working with a great team in a high\-performance culture.*The annual salary range for California is $154,000 to $286,000\.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97">
      <c r="A97" t="inlineStr">
        <is>
          <t>in-a6b9200e05a5e6e9</t>
        </is>
      </c>
      <c r="B97" t="inlineStr">
        <is>
          <t>Lead Software Engineer (Wealth Management)</t>
        </is>
      </c>
      <c r="C97" t="inlineStr">
        <is>
          <t>T. Rowe Price</t>
        </is>
      </c>
      <c r="D97" t="inlineStr">
        <is>
          <t>indeed</t>
        </is>
      </c>
      <c r="E97">
        <f>HYPERLINK("https://www.indeed.com/viewjob?jk=a6b9200e05a5e6e9", "https://www.indeed.com/viewjob?jk=a6b9200e05a5e6e9")</f>
        <v/>
      </c>
      <c r="F97">
        <f>HYPERLINK("https://troweprice.wd5.myworkdayjobs.com/en-US/TRowePrice/job/Owings-Mills-MD/Lead-Software-Engineer--Wealth-Management-_79105", "https://troweprice.wd5.myworkdayjobs.com/en-US/TRowePrice/job/Owings-Mills-MD/Lead-Software-Engineer--Wealth-Management-_79105")</f>
        <v/>
      </c>
      <c r="G97" t="inlineStr">
        <is>
          <t>Owings Mills, MD, US</t>
        </is>
      </c>
      <c r="H97" s="3" t="n">
        <v>46047</v>
      </c>
      <c r="I97"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Candidates local to Kansas City, MO; Colorado Springs, CO; or Owings Mills, MD who are able to commit to our onsite hybrid work model are strongly preferred.
Role Summary
As a Lead Software Engineer on the Retiree Income platform team at T. Rowe Price, you will play a pivotal role as a senior technical leader overseeing the design, development, and operation of SaaS applications, services, and infrastructure supporting our retirement income planning and holistic advice solutions. You will blend expert, hands\-on engineering with daily leadership in a cross\-functional Agile environment (including both frontend and backend disciplines) to deliver secure, scalable, and maintainable products that serve both intermediary and direct channels. In this role, you will help define engineering standards, guide architectural decisions, and ensure solutions align with T. Rowe Price’s quality benchmarks, business needs, and Global Technology strategy.
Responsibilities* Lead the full lifecycle of platform components and services, including design, development, testing, and deployment. Demonstrate advanced hands\-on expertise in technologies such as Java, Spring Boot, REST APIs, and modern frontend frameworks like Vue.js to deliver features into production.
* Define and implement comprehensive testing strategies (unit, integration, end\-to\-end, performance), emphasizing automation and clear quality metrics.
* Debug and resolve complex system issues, including codebases you did not author; manage root cause analysis and drive solutions to completion.
* Take ownership of the quality, maintainability, security, and total cost of ownership (TCO) for your services and components. Proactively address technical debt and manage lifecycle considerations.
* Establish and promote coding standards, code review processes, and SDLC best practices that can be leveraged across multiple teams and services.
* Influence platform and enterprise technical strategy by making pragmatic build\-vs\-buy and design decisions in alignment with business priorities and risk.
* Stay informed about industry trends and emerging technologies, and assess their applicability to drive business value.
* Communicate complex technical ideas effectively to non\-technical stakeholders and senior leaders, translating business objectives into actionable engineering plans.
* Utilize deep domain expertise in areas such as client profiling, goal planning, retirement income planning, cash\-flow analysis, tax and investment planning, and integrations with third\-party systems to deliver differentiated experiences for clients and advisors.
Qualifications
Required:* Bachelor’s or Master’s degree, or equivalent education and relevant experience.
* 8\+ years of progressive software engineering experience, including demonstrated technical leadership.
* Proven expertise in architecting, building, and deploying software solutions within the wealth management sector (e.g., portfolio construction, investment management, financial planning, CRM).
* Experience designing and implementing flexible, scalable, reliable SaaS platforms that support a range of applications, users, delivery models (B2C, B2B2C), and channels.
* Advanced proficiency in Java, Spring Boot, REST APIs, and modern frontend frameworks such as Vue.js (or similar), with hands\-on involvement across the software development lifecycle.
* Strong background in automated testing methodologies and frameworks, with the ability to define and enforce product\-level test strategies.
* Experience setting code review standards and providing technical oversight for development activities.
* Excellent problem\-solving and debugging skills, including the ability to work with unfamiliar codebases.
* Strong communication skills, with the ability to clearly convey technical and business concepts to both technical and non\-technical audiences.
Preferred:* Experience building and operating solutions in AWS or comparable public cloud environments, including familiarity with cloud\-native services, security, reliability, and cost optimization.
FINRA Requirements
FINRA licenses are not required and will not be supported for this role.
Work Flexibility
This role is eligible for full time remote work.
Base Salary Ranges
Please review the job posting for the location of this specific opportunity.
$145,000\.00 \- $247,000\.00 for the location of: Maryland, Colorado, Washington and remote workers  
$159,000\.00 \- $272,000\.00 for the location of: Washington, D.C.  
$181,000\.00 \- $309,000\.00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This job posting is expected to be available until:
04/29/2026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98">
      <c r="A98" t="inlineStr">
        <is>
          <t>in-61d9efbd4f643a7b</t>
        </is>
      </c>
      <c r="B98" t="inlineStr">
        <is>
          <t>Software Developer</t>
        </is>
      </c>
      <c r="C98" t="inlineStr">
        <is>
          <t>Red Cedar Consultancy</t>
        </is>
      </c>
      <c r="D98" t="inlineStr">
        <is>
          <t>indeed</t>
        </is>
      </c>
      <c r="E98">
        <f>HYPERLINK("https://www.indeed.com/viewjob?jk=61d9efbd4f643a7b", "https://www.indeed.com/viewjob?jk=61d9efbd4f643a7b")</f>
        <v/>
      </c>
      <c r="F98">
        <f>HYPERLINK("https://redcedarconsultancy.isolvedhire.com/jobs/1692632-486670.html", "https://redcedarconsultancy.isolvedhire.com/jobs/1692632-486670.html")</f>
        <v/>
      </c>
      <c r="G98" t="inlineStr">
        <is>
          <t>Randolph A F B, TX, US</t>
        </is>
      </c>
      <c r="H98" s="3" t="n">
        <v>46047</v>
      </c>
      <c r="I98" t="inlineStr">
        <is>
          <t>**Job Title:**Software Developer
**Location:**Remote
**Summary:**The project focuses on sustaining, enhancing, and modernizing the customers' Recruiting Information Support System to support large number of recruiters worldwide. It involves maintaining the legacy Oracle\-based system while supporting the development and transition to Salesforce\-based CRM. The effort addresses recruiting challenges through modern technology, data analytics, and improved system capabilities. A phased, carefully managed transition ensures uninterrupted recruiting operations while enabling long\-term modernization.
**Responsibilities:**
* Conduct system impact assessments for proposed changes, identifying potential risks and dependencies and recommending mitigation strategies
* Develop software solutions using programming languages such as Java, .NET, or Python, adhering to established coding standards and best practices
* Develop automated unit and integration tests to ensure code quality and functionality.
* Create deployment scripts and collaborate with the DevOps team to automate
* deployments using CI/CD pipelines
* Follow a secure software development lifecycle (SSDLC) process, incorporating security considerations throughout the development process
**Requirements:**
* Candidate should have minimum of 3 years of experience serving as a Software Developer in a regulated and compliant environment
* Java/.NET/Python, Unit/Integration Testing, CI/CD, SSDLC, Secure Coding Practices
* Security\+ CE (IAT Level II) certification required
**PreferredQualifications:**
* Relevant language certifications</t>
        </is>
      </c>
    </row>
    <row r="99">
      <c r="A99" t="inlineStr">
        <is>
          <t>in-617b877cb5137d4a</t>
        </is>
      </c>
      <c r="B99" t="inlineStr">
        <is>
          <t>Full Stack Engineer (QE)</t>
        </is>
      </c>
      <c r="C99" t="inlineStr">
        <is>
          <t>Cloudinfrait</t>
        </is>
      </c>
      <c r="D99" t="inlineStr">
        <is>
          <t>indeed</t>
        </is>
      </c>
      <c r="E99">
        <f>HYPERLINK("https://www.indeed.com/viewjob?jk=617b877cb5137d4a", "https://www.indeed.com/viewjob?jk=617b877cb5137d4a")</f>
        <v/>
      </c>
      <c r="F99">
        <f>HYPERLINK("https://www2.jobdiva.com/candidates/myjobs/openjob_outside.jsp?a=hwjdnw5uokx3jas4336qy2dnhk59je0b99jv2ca7nh17wutffybwfdoqe5eajsb4&amp;SearchString=&amp;StatesString=&amp;source=indeed.com&amp;id=27179720&amp;compid=-1", "https://www2.jobdiva.com/candidates/myjobs/openjob_outside.jsp?a=hwjdnw5uokx3jas4336qy2dnhk59je0b99jv2ca7nh17wutffybwfdoqe5eajsb4&amp;SearchString=&amp;StatesString=&amp;source=indeed.com&amp;id=27179720&amp;compid=-1")</f>
        <v/>
      </c>
      <c r="G99" t="inlineStr">
        <is>
          <t>Riverwoods, IL, US</t>
        </is>
      </c>
      <c r="H99" s="3" t="n">
        <v>46047</v>
      </c>
      <c r="I99" t="inlineStr">
        <is>
          <t>**Primary Skills:** Java, Spring, Spring Boot, Kafka, RabbitMQ, PostgreSQL, Kubernetes,
Helm, Gradle
**Nice to have:** OCP, AWS, Liquibase, Jenkins
Quality\- Automation Testing Exp, Data Testing, Frameworks (Like BDD,TDD), Tools like
Cucumber, J Meter</t>
        </is>
      </c>
    </row>
    <row r="100">
      <c r="A100" t="inlineStr">
        <is>
          <t>in-3ff6621b501a6604</t>
        </is>
      </c>
      <c r="B100" t="inlineStr">
        <is>
          <t>Cloud Full Stack Engineer</t>
        </is>
      </c>
      <c r="C100" t="inlineStr">
        <is>
          <t>Booz Allen Hamilton</t>
        </is>
      </c>
      <c r="D100" t="inlineStr">
        <is>
          <t>indeed</t>
        </is>
      </c>
      <c r="E100">
        <f>HYPERLINK("https://www.indeed.com/viewjob?jk=3ff6621b501a6604", "https://www.indeed.com/viewjob?jk=3ff6621b501a6604")</f>
        <v/>
      </c>
      <c r="F100">
        <f>HYPERLINK("https://careers.boozallen.com/careers/JobDetail?jobId=119993", "https://careers.boozallen.com/careers/JobDetail?jobId=119993")</f>
        <v/>
      </c>
      <c r="G100" t="inlineStr">
        <is>
          <t>Fayetteville, NC, US</t>
        </is>
      </c>
      <c r="H100" s="3" t="n">
        <v>46047</v>
      </c>
      <c r="I100" t="inlineStr">
        <is>
          <t>Cloud Full Stack Engineer**The Opportunity:**
Building a modern cloud platform is an exciting and challenging endeavor. It's more than accounts and infrastructure. For customer adoption to be prolific, software appliances need to be developed that onboard, manage, and give visibility to customer resources. That’s why we need you, an experienced modern application engineer who knows how to leverage the best of industry techniques to design and deliver the best possible application solutions.
As a modern application engineer, you’ll use your experience to work with database experts, DevOps engineers, cloud engineers, and other application engineers to help our clients make their existing products intelligent or help them develop brand\-new, intelligent solutions. You’ll serve as an application engineer leading modern application design and development, using a thorough understanding of applicable technologies and tools. Drawing from your years of experience, you’ll analyze complex business requirements and designs and write technical specifications to design and develop complex web and mobile applications. This is your chance to advance your career with new skills in cloud computing while sharing technical expertise with a cross\-functional team.
Join us. The world can’t wait.
**You Have:**
* Experience with Single Page Application Development and client\-side coding, including JScript, React, Angular, Aurelia, Vue, Ajax, JSON, or REST
* Experience with C\#, Python, PHP, Java, or ASP.NET
* Knowledge of database architecture and data transformations
* Knowledge of WebAPI, application security, and Linux command line
* Knowledge of Agile SDLC
* Ability to interpret and develop technical documentation, including ERD or UML
* Ability to obtain a TS/SCI clearance
* HS diploma or GED
* Ability to obtain a Security\+ Certification within 90 days of hire date
**Nice If You Have:**
* Experience in Cloud environments, including AWS or Microsoft Azure
* Experience working in a Continuous Integration or Continuous Delivery environment
* Knowledge of Kubernetes and Helm
* Knowledge of GitLab
* Security\+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1">
      <c r="A101" t="inlineStr">
        <is>
          <t>in-921ccd38e4e7881a</t>
        </is>
      </c>
      <c r="B101" t="inlineStr">
        <is>
          <t>Full Stack Software Engineer, Senior</t>
        </is>
      </c>
      <c r="C101" t="inlineStr">
        <is>
          <t>Booz Allen Hamilton</t>
        </is>
      </c>
      <c r="D101" t="inlineStr">
        <is>
          <t>indeed</t>
        </is>
      </c>
      <c r="E101">
        <f>HYPERLINK("https://www.indeed.com/viewjob?jk=921ccd38e4e7881a", "https://www.indeed.com/viewjob?jk=921ccd38e4e7881a")</f>
        <v/>
      </c>
      <c r="F101">
        <f>HYPERLINK("https://careers.boozallen.com/careers/JobDetail?jobId=119983", "https://careers.boozallen.com/careers/JobDetail?jobId=119983")</f>
        <v/>
      </c>
      <c r="G101" t="inlineStr">
        <is>
          <t>Annapolis Junction, MD, US</t>
        </is>
      </c>
      <c r="H101" s="3" t="n">
        <v>46047</v>
      </c>
      <c r="I101" t="inlineStr">
        <is>
          <t>Full Stack Software Engineer,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5\+ years of experience designing, developing, modifying, documenting, and integrating software programming applications using agile methods
* 5\+ years of experience in software development with basic programming languages, technologies, tools, workflows, site maintenance, API's or web development stacks, including both Python and React
* Experience developing and testing interfaces between software products and products of other vendors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Experience managing software solutions developed, tested, and deployed on multiple OS variants, including UNIX or Linux
* Ability to debug, troubleshoot, monitor, and maintain the operation of application code
* Ability to obtain a TS/SCI clearance
* Bachelor's degree or 5\+ years of experience in software engineering in lieu of a degree
**Nice If You Have:**
* Experience acquiring client requirements and resolving workflow problems through automation optimization
* Experience with advanced software development, analytic development, and DevOps techniques for creating Pipeline APIs
* Possession of excellent analytical and problem\-solving skills
* Ability to work with automated testing tools to perform testing and maintenance
* TS/SCI clearance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2">
      <c r="A102" t="inlineStr">
        <is>
          <t>in-fe2c69e485f140e1</t>
        </is>
      </c>
      <c r="B102" t="inlineStr">
        <is>
          <t>Software Engineer, Senior</t>
        </is>
      </c>
      <c r="C102" t="inlineStr">
        <is>
          <t>Booz Allen Hamilton</t>
        </is>
      </c>
      <c r="D102" t="inlineStr">
        <is>
          <t>indeed</t>
        </is>
      </c>
      <c r="E102">
        <f>HYPERLINK("https://www.indeed.com/viewjob?jk=fe2c69e485f140e1", "https://www.indeed.com/viewjob?jk=fe2c69e485f140e1")</f>
        <v/>
      </c>
      <c r="F102">
        <f>HYPERLINK("https://careers.boozallen.com/careers/JobDetail?jobId=119972", "https://careers.boozallen.com/careers/JobDetail?jobId=119972")</f>
        <v/>
      </c>
      <c r="G102" t="inlineStr">
        <is>
          <t>Quantico, VA, US</t>
        </is>
      </c>
      <c r="H102" s="3" t="n">
        <v>46047</v>
      </c>
      <c r="I102" t="inlineStr">
        <is>
          <t>Software Engineer, Senior**The Opportunity:**
As a full\-stack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8\+ years of experience with C or C\+\+
* 5\+ years of experience with scripting languages such as Python, JavaScript, or Shell Scripting
* 5\+ years of experience with network programming
* 3\+ years of experience with Ansible, Docker, and Containers
* Experience in Windows or Linux applications and driver development
* Experience with networking protocols such as TCP/IP and network\-based communication protocols, including reverse engineering of applications
* Experience with languages such as C\# or .NET frameworks
* Ability to develop, troubleshoot, and test complex software to satisfy design objectives for computer equipment
* TS/SCI clearance
* Bachelor’s degree in CS, Computer Engineering, or Electrical Engineering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3">
      <c r="A103" t="inlineStr">
        <is>
          <t>in-c6dd317650ea594b</t>
        </is>
      </c>
      <c r="B103" t="inlineStr">
        <is>
          <t>Software Engineer</t>
        </is>
      </c>
      <c r="C103" t="inlineStr">
        <is>
          <t>Booz Allen Hamilton</t>
        </is>
      </c>
      <c r="D103" t="inlineStr">
        <is>
          <t>indeed</t>
        </is>
      </c>
      <c r="E103">
        <f>HYPERLINK("https://www.indeed.com/viewjob?jk=c6dd317650ea594b", "https://www.indeed.com/viewjob?jk=c6dd317650ea594b")</f>
        <v/>
      </c>
      <c r="F103">
        <f>HYPERLINK("https://careers.boozallen.com/careers/JobDetail?jobId=119962", "https://careers.boozallen.com/careers/JobDetail?jobId=119962")</f>
        <v/>
      </c>
      <c r="G103" t="inlineStr">
        <is>
          <t>Chantilly, VA, US</t>
        </is>
      </c>
      <c r="H103" s="3" t="n">
        <v>46047</v>
      </c>
      <c r="I103" t="inlineStr">
        <is>
          <t>Software Engineer**The Opportunity:**
Booz Allen is looking for a Software Engineer who is driven by purpose and ready to build software that directly supports mission‑critical operations across the space domain. In this role, you’ll design, develop, and enhance the software developed for ground systems and the real‑time capabilities that space missions rely on.
You’ll take ownership of complex engineering challenges, from modernizing legacy components to architecting new mission‑focused capabilities that improve performance, resilience, and operational speed. Your work will shape how data is processed, how systems communicate, and how mission teams execute with precision.
This role is built for someone who thrives on solving hard problems, embraces innovation, and understands the responsibility of building software that must perform flawlessly. If you’re motivated by mission impact, energized by technical depth, and ready to engineer solutions that advance GEOINT and space operations, we want to meet you.
Work with us as we shape systems for the better.
Join us. The world can’t wait.
**You Have:**
* 2\+ years of experience in software development with programming languages such as Java, Python, Rust, or GO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Top Secret clearance
* Bachelor's degree in CS or Software Engineering and 2\+ years of experience in software engineering, or 6\+ years of experience in software engineering in lieu of a degree
**Nice If You Have:**
* Experience operating within an Agile environment
* Experience with Linux\-based systems, containers, and orchestration tools, including Docker or Kubernetes
* Experience designing, modifying, developing, writing, and implementing software programming applications
* Experience acquiring client requirements and resolving workflow problems through automation optimization
* Experience working within a Cloud Solution Provider (CSP), including AWS, Azure, or Google
* Experience with C\#, C, C\+\+, JavaScript, React, or Node.JS
* Ability to work with automated testing tools to perform testing and maintenance
* TS/SCI clearance with a polygraph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4">
      <c r="A104" t="inlineStr">
        <is>
          <t>in-a3ab88c859e04601</t>
        </is>
      </c>
      <c r="B104" t="inlineStr">
        <is>
          <t>Senior Software Engineer</t>
        </is>
      </c>
      <c r="C104" t="inlineStr">
        <is>
          <t>GitHub</t>
        </is>
      </c>
      <c r="D104" t="inlineStr">
        <is>
          <t>indeed</t>
        </is>
      </c>
      <c r="E104">
        <f>HYPERLINK("https://www.indeed.com/viewjob?jk=a3ab88c859e04601", "https://www.indeed.com/viewjob?jk=a3ab88c859e04601")</f>
        <v/>
      </c>
      <c r="F104">
        <f>HYPERLINK("https://www.github.careers/careers-home/jobs/4898?lang=en-us", "https://www.github.careers/careers-home/jobs/4898?lang=en-us")</f>
        <v/>
      </c>
      <c r="G104" t="inlineStr">
        <is>
          <t>US</t>
        </is>
      </c>
      <c r="H104" s="3" t="n">
        <v>46047</v>
      </c>
      <c r="I104" t="inlineStr">
        <is>
          <t>* United States
* Engineering
* Experienced Professional
* Individual Contributor
* Yes
* 4898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the home for software development, where developers collaborate to build the world’s leading AI\-powered developer platform.
In the GitHub Code Scanning team, we are passionate about making the world’s software \- both Open Source and Enterprise \- secure and high quality. We believe that the best way to accomplish this is to detect security and quality issues early in the development process, and actively facilitate their remediation as part of the developer workflow.
Our team develops and operates the Code Scanning and Code Quality products that are part of GitHub’s Code Security offering. We use world\-class static analysis research and technology to deeply analyze code, enabling the early detection of security vulnerabilities and other bugs that testing and day\-to\-day use have missed. This role will be involved in the design, rollout and support of highly performant, highly scalable, and highly available services to make found\-means\-fixed a reality leveraging the power of agentic AI.
Come join our engineering team and help design, develop, and scale GitHub's Code Scanning feature. You'll be working in a full\-stack agile engineering team that's part of the larger Code Scanning group working in Security Products. You'll work with and learn from Senior and Staff engineers as well as influence team and product direction. In addition, we support and reward spending time on improving diversity, inclusion, and belonging, as well as other important improvement\-work outside your core role as a software engineer.
We work as a distributed group within a distributed company. The majority of our team members live in Europe and on the east coast of the US and Canada, and while we do have some offices, all our meetings are location\-agnostic and happen online. We operate with a high degree of autonomy and trust, and we have a significant level of influence on the product and technical direction of Code Scanning, as well as the broader Security Products at GitHub. We value learning, introspection and reflection, and we’re always looking for ways to improve as a team and as individuals, so candor and a culture that values the safety to speak up are highly important to us.
**Responsibilities**  
* Design, develop, test and ship high\-quality technical solutions that scale across multiple GitHub services
* Collaborate with cross\-functional teams to define and implement innovative solutions
* Provide technical leadership, mentorship, pairing opportunities, and code reviews to encourage the growth of others
* Own and advocate for the health and quality of the systems that the team builds, including participating in on\-call and first responder rotations
* Write architecture briefs and proposals, carry out code experiments, and build prototypes to learn how we can achieve planetary scale with our systems
* Design and implement GraphQL APIs and REST endpoints that serve as building blocks for product teams to build new features
* Maintain and extend Ruby on Rails applications and Go services
* Drive improvements to service reliability through instrumentation, monitoring, and SLO management
* Lead discussions for technical solutions within the team's area of responsibility and create proposals for architecture
* Drive identification of dependencies during the design of products, applications, services, or platforms
* Participate in incident response, conduct root cause analysis, and contribute to postmortems
* Drive efforts to integrate instrumentation for gathering telemetry data on system behavior such as performance, reliability, availability, and usage
* Utilize CI/CD tools to set up automated pipelines for continuous integration and delivery
* Become intimately familiar with the systems you build and take pride in writing maintainable code
**Qualifications** **Required/Minimum Qualifications:**
* 6\+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Electrical Engineering, Electronics Engineering, Math, Physics, Computer Engineering, Computer Science, or related field AND 4\+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2\+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 OR equivalent experience.
**Preferred Qualifications:**
* Prefer candidates based out of East Coast
In addition, 2\+ years of experience in any of the following areas would be considered beneficial:
* experience building end to end applications leveraging agentic AI
* building web applications in either Ruby or Go
* developing with relational databases
* developing on large Ruby on Rails or React applications
* distributed systems and operating software at scale
**Compensation Range**  
The base salary range for this job is USD $124,000\.00 \- USD $329,200\.00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05">
      <c r="A105" t="inlineStr">
        <is>
          <t>in-f114f1eaeb45262a</t>
        </is>
      </c>
      <c r="B105" t="inlineStr">
        <is>
          <t>Senior Tools Software Engineer (Apex Legends)</t>
        </is>
      </c>
      <c r="C105" t="inlineStr">
        <is>
          <t>Electronic Arts</t>
        </is>
      </c>
      <c r="D105" t="inlineStr">
        <is>
          <t>indeed</t>
        </is>
      </c>
      <c r="E105">
        <f>HYPERLINK("https://www.indeed.com/viewjob?jk=f114f1eaeb45262a", "https://www.indeed.com/viewjob?jk=f114f1eaeb45262a")</f>
        <v/>
      </c>
      <c r="F105">
        <f>HYPERLINK("https://jobs.ea.com/en_US/careers/JobDetail/Senior-Tools-Engineer-Apex-Legends/212128", "https://jobs.ea.com/en_US/careers/JobDetail/Senior-Tools-Engineer-Apex-Legends/212128")</f>
        <v/>
      </c>
      <c r="G105" t="inlineStr">
        <is>
          <t>Los Angeles, CA, US</t>
        </is>
      </c>
      <c r="H105" s="3" t="n">
        <v>46047</v>
      </c>
      <c r="I105" t="inlineStr">
        <is>
          <t>### **General Information**
**Locations**: Los Angeles \- Chatsworth, California, United States of America
* Location: Vancouver \- Great Northern Way
* Country: Canada
Role ID
212128
Worker Type
Regular Employee
Studio/Department
EA Studios \- Respawn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Founded in 2010 by the original creators of the Call of Duty Franchise, **Respawn** was created with the philosophy that when accomplished people have creative freedom, they'll make extraordinary games that achieve the unexpected. From our roots as an indie studio to joining the roster of studios at Electronic Arts, this remains our guiding principle. We love what we do and want to share our passion with players worldwide. Our shipped titles include critically acclaimed multi\-platform games Apex Legends, Titanfall, Titanfall 2, Star Wars™ Jedi series and Medal of Honor: Above and Beyond. Join us for the opportunity to create groundbreaking games with some of the best developer talent in the industry.
You can learn more about our studio and values at https://respawn.com/studio
 **Respawn** is looking for a **Senior Tools Engineer** who is passionate about developing world\-class tools for Apex Legends, our flagship game! You will have the chance to improve, optimize, support and develop new features for our asset compiler/packaging tools and pipeline
 ***\*Note, we are only considering candidates who are willing to work hybrid onsite from our Vancouver, BC, or Los Angeles offices\****
 **Responsibilities:**
* Lead the design, development, and maintenance of code focusing on the core features of our asset pipeline tools for Apex Legends.
* Develop architecture and design solutions for problems within the tools
* Collaborate with build, rendering, and content teams to streamline end\-to\-end asset processing.
* Analyze and optimize asset packaging workflows for efficiency and reliability.
* Build bridges with other partners to work towards the common tools/game engine vision.
* Track bugs, enhancement requests, and technical debt for tools used in the pipeline.
* Plan and prioritize tool development tasks in alignment with project schedules and content team needs.
* Design and implement automated testing and continuous integration for tool reliability.
 **What we're looking for**
* Excellent C\+\+ skills
* 10\+ years of experience having worked on and shipped large game projects
* You enjoy being a subject matter expert and the 'go\-to' person for internal customers
* Familiarity with custom asset packaging and compiling for a game engine
* Familiarity with end to end asset pipeline for a game engine
* Experience with building and maintaining asset cache infrastructure and integration
* Well versed in software engineering principles
* Familiarity with an existing game engine and understanding of editor concepts
* Collaborative, humble and contribute to a healthy team culture
 **Respawn Entertainment**
Academy Award\-winning studio behind critically acclaimed multi\-platform games Apex Legends, Titanfall, Titanfall 2, Star Wars™ Jedi: Fallen Order, and Medal of Honor: Above and Beyond.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06">
      <c r="A106" t="inlineStr">
        <is>
          <t>in-1bac87134595e3a2</t>
        </is>
      </c>
      <c r="B106" t="inlineStr">
        <is>
          <t>EA Sports Academy - Software Engineer</t>
        </is>
      </c>
      <c r="C106" t="inlineStr">
        <is>
          <t>Electronic Arts</t>
        </is>
      </c>
      <c r="D106" t="inlineStr">
        <is>
          <t>indeed</t>
        </is>
      </c>
      <c r="E106">
        <f>HYPERLINK("https://www.indeed.com/viewjob?jk=1bac87134595e3a2", "https://www.indeed.com/viewjob?jk=1bac87134595e3a2")</f>
        <v/>
      </c>
      <c r="F106">
        <f>HYPERLINK("https://jobs.ea.com/en_US/careers/JobDetail/EA-Sports-Academy-Software-Engineer/211920", "https://jobs.ea.com/en_US/careers/JobDetail/EA-Sports-Academy-Software-Engineer/211920")</f>
        <v/>
      </c>
      <c r="G106" t="inlineStr">
        <is>
          <t>Orlando, FL, US</t>
        </is>
      </c>
      <c r="H106" s="3" t="n">
        <v>46047</v>
      </c>
      <c r="I106" t="inlineStr">
        <is>
          <t>### **General Information**
**Locations**: Orlando, Florida, United States of America
Role ID
211920
Worker Type
Regular Employee
Studio/Department
EA Studios \- SPORTS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**Curious about how games come to life?**
At the intersection of engineering and innovation, we create games that connect millions of players worldwide. If you’re driven to learn, collaborate, and make an impact, the **EA SPORTS Academy** is your opportunity to launch your career with one of the most iconic names in sports entertainment — **EA SPORTS**.
Join the **2026 EA SPORTS SE Academy**, a unique, full\-time program based in **Orlando, Florida**, designed to accelerate your growth as a Software Engineer. This is a **permanent role at Electronic Arts**, with your first year focused on guided learning, building relationships, and technical development through the Academy experience.
#### **Your career with EA SPORTS starts with the EA SPORTS SE Academy.**
#### **In year 1, you will:**
* **Start your career journey with a three\-week immersive onboarding experience** — with the first two weeks in\-person at our vibrant Vancouver campus (*round\-trip travel expenses from Orlando to Vancouver will be covered by EA SPORTS*) and the third week back at your local studio (Orlando or Vancouver). During this time, you’ll engage in hands\-on technical training, experience our studio culture, and build meaningful connections with your cohort, teammates, and mentors.
* **After the initial three weeks of onboarding,** you will transition into an EA SPORTS development team as a permanent full\-time Software Engineer. In this position, you will develop your skills through working directly with your development team and by participating in monthly, cohort\-based SE Academy learning sessions covering a broad range of disciplines, including Systems, Gameplay, Animation, UI, Rendering, and more.
#### **After Year 1:**
The EA SPORTS SE Academy experience sets the foundation for your **long\-term career at EA SPORTS**. After completing your first year, you’ll continue in your permanent role with your EA SPORTS development team, applying your skills to world\-class games while staying connected through the **EA SPORTS Academy alumni network** and ongoing professional development opportunities.
Your first year with the EA SPORTS SE Academy is only the beginning of a career journey filled with growth, innovation, and endless possibilities. Get ready to unlock your technical potential by learning from our best\-in\-class domain experts and grow your career with EA SPORTS.
Must be available for a start date of **May 27, 2026,** in Orlando for onsite orientation at our vibrant Tiburon studio (located in downtown Orlando). Must then be available to travel to our state\-of\-the\-art EA Vancouver studio in British Columbia, Canada, for June 1 \- 12, 2026, returning to work onsite at Tiburon from June 15 onwards, before transitioning into a full\-time hybrid position.
**Your Responsibilities:**
* You will participate in monthly learning modules throughout your first year as part of your EA SPORTS Academy cohort and
* You will be embedded in an EA SPORTS Development Team and:
	+ Collaborate with designers, content creators, and software engineers to deliver features for a cross\-platform game.
	+ Write clear and estimable technical design specifications.
	+ Use C/C\+\+ to ship tested and high\-quality technical implementations that meet design requirements.
	+ Follow best practices to maximize game performance across multiple devices and platforms.
**Your Qualifications:**
* B.Sc. or M.Sc. in Computer Science, or equivalent training and professional experience.
* Proficiency in C\+\+ programming.
* Demonstrated knowledge of good software engineering practices.
* Strength working in a collaborative team environment.
* Experience solving challenging engineering problems with creative technical solutions.
* Willingness to participate in professional development activities to stay current on industry knowledge, principles, and solutions.
* 1\+ years of experience with another programming language(s) (C\# or Java) and/or platforms (mobile, game consoles) is a major plus.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07">
      <c r="A107" t="inlineStr">
        <is>
          <t>in-ac2e5f0ea7c969c0</t>
        </is>
      </c>
      <c r="B107" t="inlineStr">
        <is>
          <t>Principal Software Engineer</t>
        </is>
      </c>
      <c r="C107" t="inlineStr">
        <is>
          <t>SIAA</t>
        </is>
      </c>
      <c r="D107" t="inlineStr">
        <is>
          <t>indeed</t>
        </is>
      </c>
      <c r="E107">
        <f>HYPERLINK("https://www.indeed.com/viewjob?jk=ac2e5f0ea7c969c0", "https://www.indeed.com/viewjob?jk=ac2e5f0ea7c969c0")</f>
        <v/>
      </c>
      <c r="F107">
        <f>HYPERLINK("https://jobs.dayforcehcm.com/en-US/siaa/XCHANGE/jobs/417", "https://jobs.dayforcehcm.com/en-US/siaa/XCHANGE/jobs/417")</f>
        <v/>
      </c>
      <c r="G107" t="inlineStr">
        <is>
          <t>Knoxville, TN, US</t>
        </is>
      </c>
      <c r="H107" s="3" t="n">
        <v>46047</v>
      </c>
      <c r="I107" t="inlineStr">
        <is>
          <t>Company Overview
SIAA Xchange, LLC (“Xchange”) was created to unlock smarter, faster, and more profitable access to over $17 billion in premium controlled by the SIAA network. As the embedded MGA and wholesale platform aligned with SIAA, we are more than just a distribution partner, we are building the infrastructure that transforms how carriers connect to the largest network of independent agencies in the country.
Position Overview
We are looking for a Principal Software Engineer with deep Vertafore IMS experience to lead the design, integration, and evolution of enterprise insurance systems.
Who Should Apply
This position is a senior, hands\-on role for someone who has spent years working directly with IMS Configuration, Document Management, and IMS Web Services in underwriting and policy management environments.
Key Responsibilities
* Act as the technical authority for Vertafore IMS
* Lead design and development using C\#, .NET, Angular, and Microsoft Azure
* Design, build, and support IMS Web Services integrations
* Own and enhance IMS Configuration to support underwriting and policy workflows
* Design and support IMS Document Management solutions
* Partner with underwriting, product, and business stakeholders to deliver scalable insurance solutions
* Set engineering standards, review code, and mentor senior engineers
* Influence architecture and technical direction for business\-critical platforms
Required Qualifications
* 7\+ years of professional software engineering experience
* 5\+ years of Vertafore IMS Configuration experience
* 5\+ years of Vertafore IMS Document Management experience
* 5\+ years of Vertafore IMS Web Services experience
* Deep knowledge of insurance underwriting and policy management systems
* Strong expertise in C\# and .NET
* Experience with Angular front\-end development
* Hands\-on experience with Microsoft Azure
* Strong experience designing and consuming REST and/or SOAP web services
Preferred Attributes
* Experience modernizing or integrating legacy insurance platforms
* DevOps, CI/CD, or cloud automation experience
* Prior Principal Engineer, Architect, or technical leadership experience
Location \&amp; Travel
* This role may be remote, hybrid, or onsite, depending on candidate preference and organizational needs.
* Occasional travel for strategic meetings or technical workshops may be required.</t>
        </is>
      </c>
    </row>
    <row r="108">
      <c r="A108" t="inlineStr">
        <is>
          <t>in-4ced6fcfa0beae30</t>
        </is>
      </c>
      <c r="B108" t="inlineStr">
        <is>
          <t>End-to-End Software Developer (Senior) - 26-00859</t>
        </is>
      </c>
      <c r="C108" t="inlineStr">
        <is>
          <t>NavitasPartners</t>
        </is>
      </c>
      <c r="D108" t="inlineStr">
        <is>
          <t>indeed</t>
        </is>
      </c>
      <c r="E108">
        <f>HYPERLINK("https://www.indeed.com/viewjob?jk=4ced6fcfa0beae30", "https://www.indeed.com/viewjob?jk=4ced6fcfa0beae30")</f>
        <v/>
      </c>
      <c r="F108">
        <f>HYPERLINK("https://navitasp.talentnest.com/en/posting/224182/location/269755?source=indeed", "https://navitasp.talentnest.com/en/posting/224182/location/269755?source=indeed")</f>
        <v/>
      </c>
      <c r="G108" t="inlineStr">
        <is>
          <t>Newark, NJ, US</t>
        </is>
      </c>
      <c r="H108" s="3" t="n">
        <v>46047</v>
      </c>
      <c r="I108" t="inlineStr">
        <is>
          <t>**Job Title: End\-to\-End Software Developer (Senior)**
-------------------------------------------------------
**Location:** New York, NY  
**Duration:** 12\+ Months (Long\-Term)
### **Position Overview**
A public\-sector organization is seeking a **Senior End\-to\-End Software Developer** to design, develop, and deploy modern, secure, web\-based enterprise applications. These systems support the full lifecycle management of permits, licenses, inspections, and public infrastructure assets, providing both customer\-facing portals and internal administrative platforms.
The role involves building highly available, accessible applications that enable external users to submit applications and documents, while internal users manage approvals, inspections, compliance, payments, asset tracking, and reporting. Solutions include integrated mapping, document management, workflow automation, and secure bi\-directional communication.
### **Key Responsibilities**
* Design, develop, and deploy secure, scalable, web\-based applications using modern Microsoft technologies
* Perform detailed application design, database design, coding, and unit, integration, and performance testing
* Develop complex application modules using **.NET 4\.8, ASP.NET, .NET Core, C\#, n\-Tier architecture, SOA**, and **XML/JSON\-based web services**
* Implement web user interfaces using **Razor, MVC/MVVM**, AJAX, HTML5, CSS, and JavaScript frameworks (**React, Angular, Backbone**)
* Design and manage relational databases, including normalization, stored procedures, and T\-SQL development using **SQL Server (2017/2019\) and Azure SQL**
* Build applications with secure authentication, authorization, and role\-based access control
* Develop and integrate mapping and geospatial features within web applications
* Generate reports using **SQL Server Reporting Services (SSRS)** and perform data migration and transformation using **SSIS**
* Implement configuration management, CI/CD pipelines, and version control using **Azure DevOps**
* Develop and integrate web services using **WCF**
* Adhere to SDLC methodologies including **Waterfall, RUP, and Agile**
* Create and maintain technical documentation, including application architecture, use case diagrams, and design artifacts
* Collaborate with business analysts, QA teams, and fellow developers throughout the development lifecycle
* Participate in technical reviews, troubleshooting, and solution design discussions
* Research and recommend technical solutions and best practices
### **Mandatory Skills \&amp; Experience**
* Minimum **5 years of experience** in application development, data analysis, database design, testing, implementation, and documentation
* Strong experience designing and implementing software solutions across enterprise environments
* Hands\-on experience with object\-oriented programming and full application lifecycle delivery
### **Preferred Qualifications**
* Bachelor’s degree in Computer Science, Information Technology, or related field (or equivalent experience)
* Advanced certifications or formal training in application development
* Microsoft Certified Professional (preferred)
* **5\+ years** of experience in object\-oriented design, development, testing, and deployment of mission\-critical applications
* **3–5 years** of hands\-on experience with:
	+ C\#, ASP.NET, ADO.NET, MVC, WCF, WPF
	+ HTML5, AJAX, JavaScript, jQuery, Entity Framework, LINQ, Redux
	+ Visual Studio 2017/2019/2022
* **4\+ years** of experience with:
	+ SQL Server (2014/2017/2019\)
	+ Database design, normalization, T\-SQL, stored procedures
	+ SSIS and data modeling tools (ERwin, ERStudio)
* Experience with GIS and map\-based applications using **ArcGIS, OpenLayers, Mapbox**, or similar tools
* Strong experience with **Azure DevOps, TFS**, or equivalent ALM tools
* Proficiency with responsive design frameworks such as **Bootstrap**
* Experience developing mobile or disconnected applications
* Experience integrating online payment systems
* Knowledge of Business Intelligence and decision support systems
* Prior experience working on public\-sector or regulated enterprise systems is a plus</t>
        </is>
      </c>
    </row>
    <row r="109">
      <c r="A109" t="inlineStr">
        <is>
          <t>in-693db7fd62debe5c</t>
        </is>
      </c>
      <c r="B109" t="inlineStr">
        <is>
          <t>End-to-End Software Developer (Senior) - 26-00859</t>
        </is>
      </c>
      <c r="C109" t="inlineStr">
        <is>
          <t>NavitasPartners</t>
        </is>
      </c>
      <c r="D109" t="inlineStr">
        <is>
          <t>indeed</t>
        </is>
      </c>
      <c r="E109">
        <f>HYPERLINK("https://www.indeed.com/viewjob?jk=693db7fd62debe5c", "https://www.indeed.com/viewjob?jk=693db7fd62debe5c")</f>
        <v/>
      </c>
      <c r="F109">
        <f>HYPERLINK("https://navitasp.talentnest.com/en/posting/224182/location/269755?source=indeed", "https://navitasp.talentnest.com/en/posting/224182/location/269755?source=indeed")</f>
        <v/>
      </c>
      <c r="G109" t="inlineStr">
        <is>
          <t>Jersey City, NJ, US</t>
        </is>
      </c>
      <c r="H109" s="3" t="n">
        <v>46047</v>
      </c>
      <c r="I109" t="inlineStr">
        <is>
          <t>**Job Title: End\-to\-End Software Developer (Senior)**
-------------------------------------------------------
**Location:** New York, NY  
**Duration:** 12\+ Months (Long\-Term)
### **Position Overview**
A public\-sector organization is seeking a **Senior End\-to\-End Software Developer** to design, develop, and deploy modern, secure, web\-based enterprise applications. These systems support the full lifecycle management of permits, licenses, inspections, and public infrastructure assets, providing both customer\-facing portals and internal administrative platforms.
The role involves building highly available, accessible applications that enable external users to submit applications and documents, while internal users manage approvals, inspections, compliance, payments, asset tracking, and reporting. Solutions include integrated mapping, document management, workflow automation, and secure bi\-directional communication.
### **Key Responsibilities**
* Design, develop, and deploy secure, scalable, web\-based applications using modern Microsoft technologies
* Perform detailed application design, database design, coding, and unit, integration, and performance testing
* Develop complex application modules using **.NET 4\.8, ASP.NET, .NET Core, C\#, n\-Tier architecture, SOA**, and **XML/JSON\-based web services**
* Implement web user interfaces using **Razor, MVC/MVVM**, AJAX, HTML5, CSS, and JavaScript frameworks (**React, Angular, Backbone**)
* Design and manage relational databases, including normalization, stored procedures, and T\-SQL development using **SQL Server (2017/2019\) and Azure SQL**
* Build applications with secure authentication, authorization, and role\-based access control
* Develop and integrate mapping and geospatial features within web applications
* Generate reports using **SQL Server Reporting Services (SSRS)** and perform data migration and transformation using **SSIS**
* Implement configuration management, CI/CD pipelines, and version control using **Azure DevOps**
* Develop and integrate web services using **WCF**
* Adhere to SDLC methodologies including **Waterfall, RUP, and Agile**
* Create and maintain technical documentation, including application architecture, use case diagrams, and design artifacts
* Collaborate with business analysts, QA teams, and fellow developers throughout the development lifecycle
* Participate in technical reviews, troubleshooting, and solution design discussions
* Research and recommend technical solutions and best practices
### **Mandatory Skills \&amp; Experience**
* Minimum **5 years of experience** in application development, data analysis, database design, testing, implementation, and documentation
* Strong experience designing and implementing software solutions across enterprise environments
* Hands\-on experience with object\-oriented programming and full application lifecycle delivery
### **Preferred Qualifications**
* Bachelor’s degree in Computer Science, Information Technology, or related field (or equivalent experience)
* Advanced certifications or formal training in application development
* Microsoft Certified Professional (preferred)
* **5\+ years** of experience in object\-oriented design, development, testing, and deployment of mission\-critical applications
* **3–5 years** of hands\-on experience with:
	+ C\#, ASP.NET, ADO.NET, MVC, WCF, WPF
	+ HTML5, AJAX, JavaScript, jQuery, Entity Framework, LINQ, Redux
	+ Visual Studio 2017/2019/2022
* **4\+ years** of experience with:
	+ SQL Server (2014/2017/2019\)
	+ Database design, normalization, T\-SQL, stored procedures
	+ SSIS and data modeling tools (ERwin, ERStudio)
* Experience with GIS and map\-based applications using **ArcGIS, OpenLayers, Mapbox**, or similar tools
* Strong experience with **Azure DevOps, TFS**, or equivalent ALM tools
* Proficiency with responsive design frameworks such as **Bootstrap**
* Experience developing mobile or disconnected applications
* Experience integrating online payment systems
* Knowledge of Business Intelligence and decision support systems
* Prior experience working on public\-sector or regulated enterprise systems is a plus</t>
        </is>
      </c>
    </row>
    <row r="110">
      <c r="A110" t="inlineStr">
        <is>
          <t>in-d6164720a63abb97</t>
        </is>
      </c>
      <c r="B110" t="inlineStr">
        <is>
          <t>End-to-End Software Developer (Senior) - 26-00859</t>
        </is>
      </c>
      <c r="C110" t="inlineStr">
        <is>
          <t>NavitasPartners</t>
        </is>
      </c>
      <c r="D110" t="inlineStr">
        <is>
          <t>indeed</t>
        </is>
      </c>
      <c r="E110">
        <f>HYPERLINK("https://www.indeed.com/viewjob?jk=d6164720a63abb97", "https://www.indeed.com/viewjob?jk=d6164720a63abb97")</f>
        <v/>
      </c>
      <c r="F110">
        <f>HYPERLINK("https://navitasp.talentnest.com/en/posting/224182/location/269755?source=indeed", "https://navitasp.talentnest.com/en/posting/224182/location/269755?source=indeed")</f>
        <v/>
      </c>
      <c r="G110" t="inlineStr">
        <is>
          <t>New York, NY, US</t>
        </is>
      </c>
      <c r="H110" s="3" t="n">
        <v>46047</v>
      </c>
      <c r="I110" t="inlineStr">
        <is>
          <t>**Job Title: End\-to\-End Software Developer (Senior)**
-------------------------------------------------------
**Location:** New York, NY  
**Duration:** 12\+ Months (Long\-Term)
### **Position Overview**
A public\-sector organization is seeking a **Senior End\-to\-End Software Developer** to design, develop, and deploy modern, secure, web\-based enterprise applications. These systems support the full lifecycle management of permits, licenses, inspections, and public infrastructure assets, providing both customer\-facing portals and internal administrative platforms.
The role involves building highly available, accessible applications that enable external users to submit applications and documents, while internal users manage approvals, inspections, compliance, payments, asset tracking, and reporting. Solutions include integrated mapping, document management, workflow automation, and secure bi\-directional communication.
### **Key Responsibilities**
* Design, develop, and deploy secure, scalable, web\-based applications using modern Microsoft technologies
* Perform detailed application design, database design, coding, and unit, integration, and performance testing
* Develop complex application modules using **.NET 4\.8, ASP.NET, .NET Core, C\#, n\-Tier architecture, SOA**, and **XML/JSON\-based web services**
* Implement web user interfaces using **Razor, MVC/MVVM**, AJAX, HTML5, CSS, and JavaScript frameworks (**React, Angular, Backbone**)
* Design and manage relational databases, including normalization, stored procedures, and T\-SQL development using **SQL Server (2017/2019\) and Azure SQL**
* Build applications with secure authentication, authorization, and role\-based access control
* Develop and integrate mapping and geospatial features within web applications
* Generate reports using **SQL Server Reporting Services (SSRS)** and perform data migration and transformation using **SSIS**
* Implement configuration management, CI/CD pipelines, and version control using **Azure DevOps**
* Develop and integrate web services using **WCF**
* Adhere to SDLC methodologies including **Waterfall, RUP, and Agile**
* Create and maintain technical documentation, including application architecture, use case diagrams, and design artifacts
* Collaborate with business analysts, QA teams, and fellow developers throughout the development lifecycle
* Participate in technical reviews, troubleshooting, and solution design discussions
* Research and recommend technical solutions and best practices
### **Mandatory Skills \&amp; Experience**
* Minimum **5 years of experience** in application development, data analysis, database design, testing, implementation, and documentation
* Strong experience designing and implementing software solutions across enterprise environments
* Hands\-on experience with object\-oriented programming and full application lifecycle delivery
### **Preferred Qualifications**
* Bachelor’s degree in Computer Science, Information Technology, or related field (or equivalent experience)
* Advanced certifications or formal training in application development
* Microsoft Certified Professional (preferred)
* **5\+ years** of experience in object\-oriented design, development, testing, and deployment of mission\-critical applications
* **3–5 years** of hands\-on experience with:
	+ C\#, ASP.NET, ADO.NET, MVC, WCF, WPF
	+ HTML5, AJAX, JavaScript, jQuery, Entity Framework, LINQ, Redux
	+ Visual Studio 2017/2019/2022
* **4\+ years** of experience with:
	+ SQL Server (2014/2017/2019\)
	+ Database design, normalization, T\-SQL, stored procedures
	+ SSIS and data modeling tools (ERwin, ERStudio)
* Experience with GIS and map\-based applications using **ArcGIS, OpenLayers, Mapbox**, or similar tools
* Strong experience with **Azure DevOps, TFS**, or equivalent ALM tools
* Proficiency with responsive design frameworks such as **Bootstrap**
* Experience developing mobile or disconnected applications
* Experience integrating online payment systems
* Knowledge of Business Intelligence and decision support systems
* Prior experience working on public\-sector or regulated enterprise systems is a plus</t>
        </is>
      </c>
    </row>
    <row r="111">
      <c r="A111" t="inlineStr">
        <is>
          <t>in-7dffa89938c2456c</t>
        </is>
      </c>
      <c r="B111" t="inlineStr">
        <is>
          <t>End-to-End Software Developer (Senior) - 26-00859</t>
        </is>
      </c>
      <c r="C111" t="inlineStr">
        <is>
          <t>NavitasPartners</t>
        </is>
      </c>
      <c r="D111" t="inlineStr">
        <is>
          <t>indeed</t>
        </is>
      </c>
      <c r="E111">
        <f>HYPERLINK("https://www.indeed.com/viewjob?jk=7dffa89938c2456c", "https://www.indeed.com/viewjob?jk=7dffa89938c2456c")</f>
        <v/>
      </c>
      <c r="F111">
        <f>HYPERLINK("https://navitasp.talentnest.com/en/posting/224182/location/269755?source=indeed", "https://navitasp.talentnest.com/en/posting/224182/location/269755?source=indeed")</f>
        <v/>
      </c>
      <c r="G111" t="inlineStr">
        <is>
          <t>Yonkers, NY, US</t>
        </is>
      </c>
      <c r="H111" s="3" t="n">
        <v>46047</v>
      </c>
      <c r="I111" t="inlineStr">
        <is>
          <t>**Job Title: End\-to\-End Software Developer (Senior)**
-------------------------------------------------------
**Location:** New York, NY  
**Duration:** 12\+ Months (Long\-Term)
### **Position Overview**
A public\-sector organization is seeking a **Senior End\-to\-End Software Developer** to design, develop, and deploy modern, secure, web\-based enterprise applications. These systems support the full lifecycle management of permits, licenses, inspections, and public infrastructure assets, providing both customer\-facing portals and internal administrative platforms.
The role involves building highly available, accessible applications that enable external users to submit applications and documents, while internal users manage approvals, inspections, compliance, payments, asset tracking, and reporting. Solutions include integrated mapping, document management, workflow automation, and secure bi\-directional communication.
### **Key Responsibilities**
* Design, develop, and deploy secure, scalable, web\-based applications using modern Microsoft technologies
* Perform detailed application design, database design, coding, and unit, integration, and performance testing
* Develop complex application modules using **.NET 4\.8, ASP.NET, .NET Core, C\#, n\-Tier architecture, SOA**, and **XML/JSON\-based web services**
* Implement web user interfaces using **Razor, MVC/MVVM**, AJAX, HTML5, CSS, and JavaScript frameworks (**React, Angular, Backbone**)
* Design and manage relational databases, including normalization, stored procedures, and T\-SQL development using **SQL Server (2017/2019\) and Azure SQL**
* Build applications with secure authentication, authorization, and role\-based access control
* Develop and integrate mapping and geospatial features within web applications
* Generate reports using **SQL Server Reporting Services (SSRS)** and perform data migration and transformation using **SSIS**
* Implement configuration management, CI/CD pipelines, and version control using **Azure DevOps**
* Develop and integrate web services using **WCF**
* Adhere to SDLC methodologies including **Waterfall, RUP, and Agile**
* Create and maintain technical documentation, including application architecture, use case diagrams, and design artifacts
* Collaborate with business analysts, QA teams, and fellow developers throughout the development lifecycle
* Participate in technical reviews, troubleshooting, and solution design discussions
* Research and recommend technical solutions and best practices
### **Mandatory Skills \&amp; Experience**
* Minimum **5 years of experience** in application development, data analysis, database design, testing, implementation, and documentation
* Strong experience designing and implementing software solutions across enterprise environments
* Hands\-on experience with object\-oriented programming and full application lifecycle delivery
### **Preferred Qualifications**
* Bachelor’s degree in Computer Science, Information Technology, or related field (or equivalent experience)
* Advanced certifications or formal training in application development
* Microsoft Certified Professional (preferred)
* **5\+ years** of experience in object\-oriented design, development, testing, and deployment of mission\-critical applications
* **3–5 years** of hands\-on experience with:
	+ C\#, ASP.NET, ADO.NET, MVC, WCF, WPF
	+ HTML5, AJAX, JavaScript, jQuery, Entity Framework, LINQ, Redux
	+ Visual Studio 2017/2019/2022
* **4\+ years** of experience with:
	+ SQL Server (2014/2017/2019\)
	+ Database design, normalization, T\-SQL, stored procedures
	+ SSIS and data modeling tools (ERwin, ERStudio)
* Experience with GIS and map\-based applications using **ArcGIS, OpenLayers, Mapbox**, or similar tools
* Strong experience with **Azure DevOps, TFS**, or equivalent ALM tools
* Proficiency with responsive design frameworks such as **Bootstrap**
* Experience developing mobile or disconnected applications
* Experience integrating online payment systems
* Knowledge of Business Intelligence and decision support systems
* Prior experience working on public\-sector or regulated enterprise systems is a plus</t>
        </is>
      </c>
    </row>
    <row r="112">
      <c r="A112" t="inlineStr">
        <is>
          <t>in-61b6a25c5e50acab</t>
        </is>
      </c>
      <c r="B112" t="inlineStr">
        <is>
          <t>Software Engineer - REMOTE</t>
        </is>
      </c>
      <c r="C112" t="inlineStr">
        <is>
          <t>JSR Tech Consulting</t>
        </is>
      </c>
      <c r="D112" t="inlineStr">
        <is>
          <t>indeed</t>
        </is>
      </c>
      <c r="E112">
        <f>HYPERLINK("https://www.indeed.com/viewjob?jk=61b6a25c5e50acab", "https://www.indeed.com/viewjob?jk=61b6a25c5e50acab")</f>
        <v/>
      </c>
      <c r="F112">
        <f>HYPERLINK("https://www1.jobdiva.com/candidates/myjobs/openjob_outside.jsp?a=ehjdnwmyyxmf5toz90iwpo1ep5ypcl0466sphrvzn3s298e3b0b0zova8aqp9hg9&amp;SearchString=&amp;StatesString=&amp;source=indeed.com&amp;id=31783140&amp;compid=-1", "https://www1.jobdiva.com/candidates/myjobs/openjob_outside.jsp?a=ehjdnwmyyxmf5toz90iwpo1ep5ypcl0466sphrvzn3s298e3b0b0zova8aqp9hg9&amp;SearchString=&amp;StatesString=&amp;source=indeed.com&amp;id=31783140&amp;compid=-1")</f>
        <v/>
      </c>
      <c r="G112" t="inlineStr">
        <is>
          <t>US</t>
        </is>
      </c>
      <c r="H112" s="3" t="n">
        <v>46047</v>
      </c>
      <c r="I112" t="inlineStr">
        <is>
          <t>Remote, Contract to hire position.
**Software Engineer Job Description:**  
" Design and build internal tools and automation including API linting frameworks, OpenAPI specification validators, code generation utilities, and workflow automation to improve consistency, quality, and efficiency across the API lifecycle.
" Ensure developer experience is at the center of all software created, building intuitive, reliable, and friction reducing tools that empower API producers and consumers and simplify their workflows.
" Collaborate, coordinate, and align with technical stakeholders such as architecture, platform engineering, security, and API governance teams to ensure tooling meets enterprise needs and integrates seamlessly with broader technical ecosystems.
" Apply industry best practices to deliver secure, scalable, and maintainable solutions that align with Prudential's engineering, security, and compliance standards.
" Drive development activities from design through delivery, ensuring tools and services are released on time and effectively support both API producers and consumers.
" Champion code quality, implementing comprehensive unit testing, functional testing, and automated validation to ensure highly reliable solutions and fast feedback loops.
" Demonstrate engineering excellence, consistently applying high quality engineering practices including clean code principles, strong testing strategies (unit, integration, functional), CI/CD pipeline integration, versioning discipline, and reliable automated deployment strategies to ensure tooling is robust, maintainable, and production ready.
" Ensure all software created adheres to strong security principles, including secure coding practices, automated security scanning, vulnerability mitigation, and alignment with enterprise security standards ensuring tooling is safe by design, safe by default, and safe in production.
" Support the tech lead in evaluating and shaping technical decisions, contributing insights and execution capabilities related to tooling, automation, and developer experience improvements.
\#LI\-AC1</t>
        </is>
      </c>
    </row>
    <row r="113">
      <c r="A113" t="inlineStr">
        <is>
          <t>in-ee77ff286b08b37d</t>
        </is>
      </c>
      <c r="B113" t="inlineStr">
        <is>
          <t>Software Engineer with Poly SR SWE1</t>
        </is>
      </c>
      <c r="C113" t="inlineStr">
        <is>
          <t>Lockheed Martin</t>
        </is>
      </c>
      <c r="D113" t="inlineStr">
        <is>
          <t>indeed</t>
        </is>
      </c>
      <c r="E113">
        <f>HYPERLINK("https://www.indeed.com/viewjob?jk=ee77ff286b08b37d", "https://www.indeed.com/viewjob?jk=ee77ff286b08b37d")</f>
        <v/>
      </c>
      <c r="F113">
        <f>HYPERLINK("https://click.appcast.io/t/5_cXzqy_XXKtxnhT51pWFBXF7Gj0-dMSvsSCAJcnubk=", "https://click.appcast.io/t/5_cXzqy_XXKtxnhT51pWFBXF7Gj0-dMSvsSCAJcnubk=")</f>
        <v/>
      </c>
      <c r="G113" t="inlineStr">
        <is>
          <t>Annapolis Junction, MD, US</t>
        </is>
      </c>
      <c r="H113" s="3" t="n">
        <v>46047</v>
      </c>
      <c r="I113" t="inlineStr">
        <is>
          <t>**Job ID:** 715974BR
**Date posted:** Jan. 26, 2026  
**Description:****THE WORK**  
This senior role fosters collaboration with other senior engineers for the development of advanced data analytics solutions and agile development projects in support of a high\-visibility mission. This position involves providing technical leadership and guidance on data analytics and agile development projects, as well as collaborating with cross\-functional teams to drive mission objectives.  
**WHO WE ARE**  
At Lockheed Martin, we're a leading aerospace and defense company that's shaping the future of cyber and intelligence.
We're committed to innovating at the Edge: Harnessing the latest advancements in cyber, artificial intelligence, and machine learning to stay ahead of emerging threats and opportunities.  
This Program is seeking a full stack software engineer to develop, maintain and enhance complex and diverse software systems supporting Analytic Missions.
This Program has a robust process to ensure quality of products. The process includes DAT, UAT/SME Validation, Smoke Test, and System Level Test (SLT) prior to deploying products to production.  
**WHO YOU ARE**  
Experience as a Software Engineer with knowledge assisting in the design, development, testing, and debugging of software solutions, with a focus on Linux operating systems.
Strong Familiarity with programming languages such as Java.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Seven (7\)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**Desired Skills:**  
Sourcing for SWE1 candidate with experience with the below:  
* AI/ML development or integration experience
* Terraform experience with AWS
* C\+\+, Python and/or Golang
* Experience with writing high\-performance / GPU\-enabled applications
* Experience with large\-scale streaming data analytic systems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14">
      <c r="A114" t="inlineStr">
        <is>
          <t>in-80a494473ae57bb6</t>
        </is>
      </c>
      <c r="B114" t="inlineStr">
        <is>
          <t>Systems Software Engineer With Clearance</t>
        </is>
      </c>
      <c r="C114" t="inlineStr">
        <is>
          <t>Lockheed Martin</t>
        </is>
      </c>
      <c r="D114" t="inlineStr">
        <is>
          <t>indeed</t>
        </is>
      </c>
      <c r="E114">
        <f>HYPERLINK("https://www.indeed.com/viewjob?jk=80a494473ae57bb6", "https://www.indeed.com/viewjob?jk=80a494473ae57bb6")</f>
        <v/>
      </c>
      <c r="F114">
        <f>HYPERLINK("https://click.appcast.io/t/7Rzz845yPKwfwtsBM2uKGfOETloWYXaN9wFteUeXt4E=", "https://click.appcast.io/t/7Rzz845yPKwfwtsBM2uKGfOETloWYXaN9wFteUeXt4E=")</f>
        <v/>
      </c>
      <c r="G114" t="inlineStr">
        <is>
          <t>Huntsville, AL, US</t>
        </is>
      </c>
      <c r="H114" s="3" t="n">
        <v>46047</v>
      </c>
      <c r="I114" t="inlineStr">
        <is>
          <t>**Job ID:** 715392BR
**Date posted:** Jan. 26, 2026  
**Description:****Who We Are**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**What We're Doing**  
Our Team, the Command and Control, Battle Management and Communications (C2BMC) Regional team, is constantly engineering, developing and integrating new capabilities for the U.S. Missile Defense System. Protecting both the United States and its allies. This large, fast paced team, is composed of many small agile teams working together dynamic environment with a common mission to develop and deploy leading\-edge missile defense technologies.  
**The Work**  
The Regional Applications Systems Software Engineer is to act as the primary software technical liaison between Regional Applications (RA) cross functional product teams, and Systems Engineering and Verification, Integration and Test RMAs, for system engineering\-related efforts.  
Candidate will be responsible to coordinate RA efforts for software updates associated with end to end systems engineering efforts, requirements flow analysis, support verification \&amp; validation and test event efforts by providing systems engineering focused expertise and leadership to ensure a disciplined software development approach to the definition, development, and analysis of the system capabilities.  
**Basic Qualifications:**  
\*\*\*\*DoD Final SECRET Security Clearance (Top Secret Desirable) \*\*\*\*\*  
* Bachelor degree in computer science, mathematics, physics, engineering, or related field and 9 years of experience or 7 years with a graduate degree.
* Experience in Software Development and Systems Engineering or related disciplines.
* The candidate will have significant experience in authoring ICDs, IDDs and requirements.
* Must be able to function as part of an experienced team in developing software designs and reviewing systems engineering products and artifacts while adhering to the program Software Development. Plan (SDP) and Systems Engineering Management Plan (SEMP). and other C2BMC processes and plans.
* Direct experience with requirements management tools (Jama, IBM DOORS, Polarion, Azure).
Participation in verification \&amp; validation planning or execution (test plan creation, testcase management, defect tracking).  
* Strong written and oral communication with both technical and non technical audiences and experience leading teams.
**Desired Skills:**  
* Experience as Technical Lead, Software Development Lead, Systems Engineering SME or Systems Engineering leader in the Missile Defense, Space, or Link 16 Domain.
* Experience working in an integrated team environment with other systems, software and specialty engineers to develop solutions.
* Experience with identification of system capabilities, definition of system capabilities; communicating the system capabilities to a diverse group of software developers, engineers, subject matter experts, and users; and generating artifacts to document and control the achievement of the system capabilities.
* Experience developing system engineering and architecture artifacts (e.g. Specifications, Interface Control Documents, Use Cases, System Architecture Descriptions, Trade Studies, etc.).
* Experience creating briefings, creating/reviewing architecture designs and artifacts, and presenting at DoD Customer Design Reviews.
* Experience as a technical leader for a DoD Systems Engineering or Software Development effort.
* Familiarity with Private Cloud solutions and IT technologies such as VMWare/Nutanix, RedHat, Network solutions.
* Experience with Software development and Java based software.
* Familiarity with DevSecOps and/or Digital Engineering Transformation (DET) methodologies and solutions.
* Familiarity with Agile development and Scrum.
* Familiarity with Model Based Systems Engineering (MBSE) and Cameo or similar tool.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Systems Engineering: Software  
**Type:** Task Order/IDIQ  
**Shift:** First</t>
        </is>
      </c>
    </row>
    <row r="115">
      <c r="A115" t="inlineStr">
        <is>
          <t>in-b6eef0d5bd29cd7e</t>
        </is>
      </c>
      <c r="B115" t="inlineStr">
        <is>
          <t>Software Developer</t>
        </is>
      </c>
      <c r="C115" t="inlineStr">
        <is>
          <t>Naturescape</t>
        </is>
      </c>
      <c r="D115" t="inlineStr">
        <is>
          <t>indeed</t>
        </is>
      </c>
      <c r="E115">
        <f>HYPERLINK("https://www.indeed.com/viewjob?jk=b6eef0d5bd29cd7e", "https://www.indeed.com/viewjob?jk=b6eef0d5bd29cd7e")</f>
        <v/>
      </c>
      <c r="F115">
        <f>HYPERLINK("https://www.applicantpro.com/openings/naturescapelawncare/jobs/3972439-143123", "https://www.applicantpro.com/openings/naturescapelawncare/jobs/3972439-143123")</f>
        <v/>
      </c>
      <c r="G115" t="inlineStr">
        <is>
          <t>Muskego, WI, US</t>
        </is>
      </c>
      <c r="H115" s="3" t="n">
        <v>46047</v>
      </c>
      <c r="I115" t="inlineStr">
        <is>
          <t>**Naturescape**, a family\-owned business in **Muskego, WI,** operating for over 40 years, is looking for a remote/hybrid **Software Developer.** As a Software Developer at Naturescape, you'll create and maintain a wide variety of applications.
This position offers flexibility to work remotely, but candidates must reside in one of the states where we operate: Wisconsin, Minnesota, Illinois, Iowa, Nebraska, Michigan, Indiana, Kentucky, Tennessee, Georgia, South Carolina, Missouri, or North Carolina. If you're local to the Muskego, WI area, you'll also have the chance to collaborate in person from time to time.
This is an opportunity for meaningful work in a supportive and appreciative environment. Are you looking for a **long\-term career** with a **stable,** **family\-owned business**? Would you like to be a **valued and respected** member of a **close\-knit team**? If so, look no further!
**BENEFITS AT A GLANCE:**
* Starting at $60,320
* Full\-time, flexible schedule
* 401k with unheard\-of **200%** company match (vested immediately \- no waiting period!)
* Generous benefits: health, dental, vision, and supplemental insurance; HRA and HSA; up to 3 weeks of PTO and holidays in the first year of employment; and employee discounts
* Opportunities to **learn new skills**
* Military friendly, willing to work with current drill schedules
**A DAY IN THE LIFE OF A SOFTWARE DEVELOPER**
As a Software Developer at our company, you will be instrumental in crafting innovative software solutions that significantly elevate both the customer and employee experience. We offer the best of both worlds: the robust stability and resources of a larger organization, coupled with the agility and close\-knit collaboration of a focused, dynamic team. You'll be working primarily with JavaScript and Vue.js, as well as Kotlin and Capacitor for our internal Android applications. We're currently tackling exciting challenges such as optimizing vehicle fleet routing and maintenance, fostering excellent customer service through continuous development of our custom CMS/LMS, and maximizing the efficiency/effectiveness of our specialists in the field with our mobile app development.
We are passionate about delivering exceptional value, which translates into a stimulating and fast\-paced work environment with diverse projects and challenges. You will have an opportunity to immerse yourself in the core of our business operations, participating in the strategic planning and hands\-on implementation of solutions that directly impact our success.
In this multifaceted role, your responsibilities will encompass the entire software development lifecycle, from initial conceptualization and rigorous development through seamless deployment and ongoing maintenance. You will gain invaluable experience and quickly master new development skills within a flexible and supportive atmosphere that fosters continuous learning and professional growth. We are looking for individuals who bring dedication, a positive attitude, and a genuine desire to contribute to shaping the future trajectory of our company. Join us and make a tangible difference!
**QUALIFICATIONS**
A qualified candidate will be fluent in English, will have front\-end experience or a willingness to learn, and should be ready to assist us with back\-end programming. Professional experience with Node.js and Vue.js or React.js is essential, as is being comfortable working in a Linux environment.
**ABOUT NATURESCAPE**
Naturescape is a family\-owned company that is 100% committed to making our customers happy with our lawn and landscape care. Since our humble beginnings in Appleton, WI in 1986, we have been committed to providing the highest quality service, guaranteeing satisfaction, and offering very affordable prices. Because of these continued commitments, we have grown and now have 42 locations around the Midwest and South.
We know that we owe this success to our outstanding team. We care about employee satisfaction and want you to **love your job**. Here at Naturescape, we have a team culture where **management is always willing to train and take the time to help you succeed**.
For the benefit of our employees, customers, and anyone who interacts with Naturescape, we are proud to be a drug\-free workplace and provide safe and healthy working conditions at all of our branches.
**HERE'S WHAT OUR EMPLOYEES LOVE ABOUT WORKING AT NATURESCAPE**
*"Management is team\-oriented and genuinely interested in employees, team environment is positively reinforced and overall a great place to be."*
*"Everyone has made an effort in training me. People actually care about me and my family, along with things we are involved in."*
*"Naturescape is an awesome company to work for . . . very generous and have always been very caring and understanding. I am happy to have chosen Naturescape for my career."*
**ARE YOU READY TO JOIN OUR TEAM?**
If you feel that you would be right for this position, please fill out our initial **3\-minute, mobile\-friendly application** so that we can review your information. We look forward to meeting you!
**Come Grow With Us!**</t>
        </is>
      </c>
    </row>
    <row r="116">
      <c r="A116" t="inlineStr">
        <is>
          <t>in-5190eed66c6befd4</t>
        </is>
      </c>
      <c r="B116" t="inlineStr">
        <is>
          <t>Software Engineer (AI-Enabled Products)</t>
        </is>
      </c>
      <c r="C116" t="inlineStr">
        <is>
          <t>Brightway Insurance</t>
        </is>
      </c>
      <c r="D116" t="inlineStr">
        <is>
          <t>indeed</t>
        </is>
      </c>
      <c r="E116">
        <f>HYPERLINK("https://www.indeed.com/viewjob?jk=5190eed66c6befd4", "https://www.indeed.com/viewjob?jk=5190eed66c6befd4")</f>
        <v/>
      </c>
      <c r="F116">
        <f>HYPERLINK("https://brightway.hrmdirect.com/employment/view.php?req=3623693&amp;jbsrc=1014&amp;location=cd5432c3-1a24-2941-8381-d6b9a70841ef", "https://brightway.hrmdirect.com/employment/view.php?req=3623693&amp;jbsrc=1014&amp;location=cd5432c3-1a24-2941-8381-d6b9a70841ef")</f>
        <v/>
      </c>
      <c r="G116" t="inlineStr">
        <is>
          <t>Charlotte, NC, US</t>
        </is>
      </c>
      <c r="H116" s="3" t="n">
        <v>46047</v>
      </c>
      <c r="I116" t="inlineStr">
        <is>
          <t>**About Brightway**
Established in 2008, Brightway is proud to be one of the fastest\-growing insurance agency systems in the United States. With over 350 franchises spanning 35\+ states and an impressive $1\.3 billion in annual premiums, we rank among the nation’s largest privately owned property and casualty insurance distribution companies. We support our agency owners with comprehensive back\-office services, marketing resources, and continuous learning and development.
We are embarking on the next stage of our customer\-centric growth, driven by innovation from our talented associates and the application of cutting\-edge technologies. This growth has opened doors for creative thinkers who thrive in a diverse and collaborative culture. As a Brightway team member, you'll engage in exciting projects that are reshaping the industry, working alongside a dedicated team committed to delivering exceptional customer service and safeguarding our clients' most valuable assets.
\-
**Overview**
Join Brightway as a Software Engineer (AI\-Enabled Products) and become a key contributor to the next generation of our customer and advisor experience. With a data\-rich insurance franchise representing over $1 billion in premium and a rapidly growing customer base, we’re investing heavily in intelligent systems that help our teams move faster, serve customers better, and operate more efficiently.
In this role, you’ll help build and evolve AI\-enabled products across phone, chat, and internal tools. This includes supporting our AI\-powered customer communications, developing an Advisor Assistant that helps answer complex insurance questions, and contributing to automation tools that streamline interactions with insurance carrier systems. You’ll work closely with engineers, product partners, and business stakeholders to design, implement, and refine production ready solutions that have immediate, real\-world impact.
The ideal candidate is a strong software engineer who is intellectually curious and excited about applying modern AI capabilities in practical ways. You should be comfortable building backend services, integrating APIs, and working across systems, while being eager to learn and experiment with emerging tools and technologies. This role is hands on, fast moving, and focused on delivering reliable, scalable software. It is not a research or data science role.
As a Software Engineer at Brightway, you’ll tackle meaningful technical challenges, contribute to systems used daily by customers and advisors, and help shape how AI is responsibly and effectively embedded into our products. You’ll be part of a collaborative team that values learning, iteration, and building technology that truly moves the business forward.
**Job Responsibilities**
* Design, develop, and maintain production\-grade software systems that power Brightway’s AI\-enabled phone, chat, and internal advisor tools
* Collaborate closely with cross\-functional partners to define, design, and ship impactful features quickly and reliably
* Build and integrate backend services and APIs that connect AI capabilities with existing platforms, workflows, and third party systems
* Write high quality, well tested, and maintainable code with a strong focus on reliability, performance, and scalability
* Research emerging technologies and AI tools, and thoughtfully evaluate when and how to apply them to solve real business problems
* Translate high level business needs into practical technical solutions, using a mix of custom built software and off the shelf tools where appropriate
* Debug, troubleshoot, and resolve production issues in a timely manner, taking ownership of the systems you help build
* Continuously improve software quality by identifying technical debt, improving system design, and refining existing implementations
* Stay current with modern software development practices and AI\-enabled tooling, applying new techniques where they provide clear value
* Deliver solutions iteratively, incorporating feedback and measurable outcomes to drive continuous improvement
**Skills and Experience**
* Bachelor’s degree in Computer Science, Software Engineering, or a related field, or equivalent practical experience
* 2\-5 years of professional experience building and delivering production software systems
* Demonstrated ability to design, develop, test, and maintain high\-quality software that solves real business problems
* Proficiency in one or more modern programming languages and web development frameworks; experience with Node.js and/or Python is a strong plus
* Experience building backend services and APIs, including integrating third\-party platforms and services
* Familiarity with cloud based and distributed systems, including microservices architectures and platforms such as AWS, Azure, or GCP
* Comfort working in an agile development environment with an emphasis on iterative delivery, testing, and continuous improvement
* Intellectual curiosity and a strong interest in applying AI\-enabled tools and technologies to practical, production use cases (prior AI\-specific experience is helpful but not required)
* Strong problem\-solving skills, with the ability to reason through ambiguous requirements and propose pragmatic technical solutions
* Clear communication and collaboration skills, with the ability to work effectively across engineering, product, and business teams
* Experience in insurance, fintech, or other regulated industries is a plus
* Experience working in startups or high\-growth environments is a plus
\-
***Equal Employment Opportunity:***  
*Brightway Insurance is committed to creating a diverse and inclusive workplace that values and respects the contributions of all individuals. We are an equal opportunity employer and do not discriminate based on race, color, national origin, sex, age, disability, religion, sexual orientation, gender identity, or any other characteristic protected by applicable law.*
*We believe that a diverse workforce is essential to our success and fosters innovation, creativity, and collaboration. Our goal is to provide a work environment that is free from discrimination and harassment, where everyone has an equal opportunity to succeed and grow.*</t>
        </is>
      </c>
    </row>
    <row r="117">
      <c r="A117" t="inlineStr">
        <is>
          <t>in-d0462585b4a66a4f</t>
        </is>
      </c>
      <c r="B117" t="inlineStr">
        <is>
          <t>Software Engineer (AI-Enabled Products)</t>
        </is>
      </c>
      <c r="C117" t="inlineStr">
        <is>
          <t>Brightway Insurance</t>
        </is>
      </c>
      <c r="D117" t="inlineStr">
        <is>
          <t>indeed</t>
        </is>
      </c>
      <c r="E117">
        <f>HYPERLINK("https://www.indeed.com/viewjob?jk=d0462585b4a66a4f", "https://www.indeed.com/viewjob?jk=d0462585b4a66a4f")</f>
        <v/>
      </c>
      <c r="F117">
        <f>HYPERLINK("https://brightway.hrmdirect.com/employment/view.php?req=3623693&amp;jbsrc=1014&amp;location=b71bb6ad-e215-78fb-0e50-8af140bb2931", "https://brightway.hrmdirect.com/employment/view.php?req=3623693&amp;jbsrc=1014&amp;location=b71bb6ad-e215-78fb-0e50-8af140bb2931")</f>
        <v/>
      </c>
      <c r="G117" t="inlineStr">
        <is>
          <t>Jacksonville, FL, US</t>
        </is>
      </c>
      <c r="H117" s="3" t="n">
        <v>46047</v>
      </c>
      <c r="I117" t="inlineStr">
        <is>
          <t>**About Brightway**
Established in 2008, Brightway is proud to be one of the fastest\-growing insurance agency systems in the United States. With over 350 franchises spanning 35\+ states and an impressive $1\.3 billion in annual premiums, we rank among the nation’s largest privately owned property and casualty insurance distribution companies. We support our agency owners with comprehensive back\-office services, marketing resources, and continuous learning and development.
We are embarking on the next stage of our customer\-centric growth, driven by innovation from our talented associates and the application of cutting\-edge technologies. This growth has opened doors for creative thinkers who thrive in a diverse and collaborative culture. As a Brightway team member, you'll engage in exciting projects that are reshaping the industry, working alongside a dedicated team committed to delivering exceptional customer service and safeguarding our clients' most valuable assets.
\-
**Overview**
Join Brightway as a Software Engineer (AI\-Enabled Products) and become a key contributor to the next generation of our customer and advisor experience. With a data\-rich insurance franchise representing over $1 billion in premium and a rapidly growing customer base, we’re investing heavily in intelligent systems that help our teams move faster, serve customers better, and operate more efficiently.
In this role, you’ll help build and evolve AI\-enabled products across phone, chat, and internal tools. This includes supporting our AI\-powered customer communications, developing an Advisor Assistant that helps answer complex insurance questions, and contributing to automation tools that streamline interactions with insurance carrier systems. You’ll work closely with engineers, product partners, and business stakeholders to design, implement, and refine production ready solutions that have immediate, real\-world impact.
The ideal candidate is a strong software engineer who is intellectually curious and excited about applying modern AI capabilities in practical ways. You should be comfortable building backend services, integrating APIs, and working across systems, while being eager to learn and experiment with emerging tools and technologies. This role is hands on, fast moving, and focused on delivering reliable, scalable software. It is not a research or data science role.
As a Software Engineer at Brightway, you’ll tackle meaningful technical challenges, contribute to systems used daily by customers and advisors, and help shape how AI is responsibly and effectively embedded into our products. You’ll be part of a collaborative team that values learning, iteration, and building technology that truly moves the business forward.
**Job Responsibilities**
* Design, develop, and maintain production\-grade software systems that power Brightway’s AI\-enabled phone, chat, and internal advisor tools
* Collaborate closely with cross\-functional partners to define, design, and ship impactful features quickly and reliably
* Build and integrate backend services and APIs that connect AI capabilities with existing platforms, workflows, and third party systems
* Write high quality, well tested, and maintainable code with a strong focus on reliability, performance, and scalability
* Research emerging technologies and AI tools, and thoughtfully evaluate when and how to apply them to solve real business problems
* Translate high level business needs into practical technical solutions, using a mix of custom built software and off the shelf tools where appropriate
* Debug, troubleshoot, and resolve production issues in a timely manner, taking ownership of the systems you help build
* Continuously improve software quality by identifying technical debt, improving system design, and refining existing implementations
* Stay current with modern software development practices and AI\-enabled tooling, applying new techniques where they provide clear value
* Deliver solutions iteratively, incorporating feedback and measurable outcomes to drive continuous improvement
**Skills and Experience**
* Bachelor’s degree in Computer Science, Software Engineering, or a related field, or equivalent practical experience
* 2\-5 years of professional experience building and delivering production software systems
* Demonstrated ability to design, develop, test, and maintain high\-quality software that solves real business problems
* Proficiency in one or more modern programming languages and web development frameworks; experience with Node.js and/or Python is a strong plus
* Experience building backend services and APIs, including integrating third\-party platforms and services
* Familiarity with cloud based and distributed systems, including microservices architectures and platforms such as AWS, Azure, or GCP
* Comfort working in an agile development environment with an emphasis on iterative delivery, testing, and continuous improvement
* Intellectual curiosity and a strong interest in applying AI\-enabled tools and technologies to practical, production use cases (prior AI\-specific experience is helpful but not required)
* Strong problem\-solving skills, with the ability to reason through ambiguous requirements and propose pragmatic technical solutions
* Clear communication and collaboration skills, with the ability to work effectively across engineering, product, and business teams
* Experience in insurance, fintech, or other regulated industries is a plus
* Experience working in startups or high\-growth environments is a plus
\-
***Equal Employment Opportunity:***  
*Brightway Insurance is committed to creating a diverse and inclusive workplace that values and respects the contributions of all individuals. We are an equal opportunity employer and do not discriminate based on race, color, national origin, sex, age, disability, religion, sexual orientation, gender identity, or any other characteristic protected by applicable law.*
*We believe that a diverse workforce is essential to our success and fosters innovation, creativity, and collaboration. Our goal is to provide a work environment that is free from discrimination and harassment, where everyone has an equal opportunity to succeed and grow.*</t>
        </is>
      </c>
    </row>
    <row r="118">
      <c r="A118" t="inlineStr">
        <is>
          <t>in-909988a0529d1d69</t>
        </is>
      </c>
      <c r="B118" t="inlineStr">
        <is>
          <t>Software Developer II</t>
        </is>
      </c>
      <c r="C118" t="inlineStr">
        <is>
          <t>Jordan's Furniture</t>
        </is>
      </c>
      <c r="D118" t="inlineStr">
        <is>
          <t>indeed</t>
        </is>
      </c>
      <c r="E118">
        <f>HYPERLINK("https://www.indeed.com/viewjob?jk=909988a0529d1d69", "https://www.indeed.com/viewjob?jk=909988a0529d1d69")</f>
        <v/>
      </c>
      <c r="F118">
        <f>HYPERLINK("https://jobs.dayforcehcm.com/en-US/jordans/CANDIDATEPORTAL/jobs/414", "https://jobs.dayforcehcm.com/en-US/jordans/CANDIDATEPORTAL/jobs/414")</f>
        <v/>
      </c>
      <c r="G118" t="inlineStr">
        <is>
          <t>Dedham, MA, US</t>
        </is>
      </c>
      <c r="H118" s="3" t="n">
        <v>46047</v>
      </c>
      <c r="I118" t="inlineStr">
        <is>
          <t>At Jordan’s Furniture, technology plays a critical role in delivering an exceptional customer and employee experience. As a Software Developer II, you’ll design, build, and support scalable software solutions that help our teams work smarter and our business grow.
In this role, you’ll develop and maintain complex applications, troubleshoot and resolve issues through log analysis and code debugging, and partner closely with Information Systems and business teams to turn real\-world needs into thoughtful, reliable technology solutions. You’ll work across the full application stack — user interface, business logic, and data — contributing high\-quality code that supports critical business processes.
We’re looking for someone who is adaptable, detail\-oriented, and comfortable prioritizing work independently in a fast\-paced, collaborative environment. You’re someone who anticipates challenges, thinks critically, and can clearly communicate technical concepts to both technical and non\-technical audiences. This is a hybrid role based out of our Dedham, MA office.
Why You’ll Love This Job
* You’ll build technology that matters — your work directly supports how Jordan’s operates and how our customers experience the brand.
* Stability with room to grow — Jordan’s average employee tenure is 12 years, and we invest in long\-term careers, not short\-term fixes.
* A culture that’s truly different — we live The J\-Way: We Care… A Lot. We Dare to Think Differently. We Do the Right Thing. We Make Work Fun.
Responsibilities We Trust You to Perform
* Design, develop, and enhance software applications and utility programs to meet business needs
* Build user interfaces, database objects (triggers, stored procedures, views, temp tables), and middle\-tier/business logic based on approved requirements
* Write clean, secure, high\-quality code following established standards and best practices
* Query databases and exchange transactional data to support business processing, reporting, and decision\-making
* Maintain software change management and version control in accordance with department guidelines
* Collaborate with cross\-functional development teams to define requirements, user experience, and technical solutions
* Design data models and technical specifications for new and existing applications
* Test, debug, monitor, and troubleshoot applications to ensure reliability and performance
Who You Are
* Bachelor’s degree in Computer Science or equivalent experience
* 5\+ years of academic or professional software development experience
* Experience with web technologies (HTML, CSS, JavaScript, etc.)
* Experience creating and consuming web services (REST, WCF, etc.)
* Experience with Oracle Database and Microsoft .NET
* Strong understanding of software development tools, lifecycle, and coding principles
* Analytical, detail\-oriented problem solver who can manage multiple priorities
* Strong written and verbal communication skills
* Advanced computer proficiency
**Pay Range:** $81,600 – $102,000 annually. We share our pay ranges because transparency matters. This range reflects what we reasonably expect to pay based on experience and performance.
Jordan’s Furniture is an Equal Opportunity Employer.</t>
        </is>
      </c>
    </row>
    <row r="119">
      <c r="A119" t="inlineStr">
        <is>
          <t>in-1c2122ea343cc3dd</t>
        </is>
      </c>
      <c r="B119" t="inlineStr">
        <is>
          <t>Embedded Software Engineer</t>
        </is>
      </c>
      <c r="C119" t="inlineStr">
        <is>
          <t>VectorNav Technologies</t>
        </is>
      </c>
      <c r="D119" t="inlineStr">
        <is>
          <t>indeed</t>
        </is>
      </c>
      <c r="E119">
        <f>HYPERLINK("https://www.indeed.com/viewjob?jk=1c2122ea343cc3dd", "https://www.indeed.com/viewjob?jk=1c2122ea343cc3dd")</f>
        <v/>
      </c>
      <c r="F119">
        <f>HYPERLINK("https://apply.workable.com/j/592520E567", "https://apply.workable.com/j/592520E567")</f>
        <v/>
      </c>
      <c r="G119" t="inlineStr">
        <is>
          <t>Dallas, TX, US</t>
        </is>
      </c>
      <c r="H119" s="3" t="n">
        <v>46047</v>
      </c>
      <c r="I119" t="inlineStr">
        <is>
          <t>VectorNav's GPS and inertial navigation technology enables customers around the world to push the envelope in their respective fields, ranging from UAVs to gimballed cameras to missiles. To support rapid integration with our sensors, we released the VectorNav Software Development Kit (SDK) last year, providing source code in C\+\+, Python, C\#, and Matlab. Following an internal promotion, we're seeking a dedicated, intelligent and insightful engineer with experience integrating sensors into embedded systems to take the lead on future SDK development. This role serves as the primary owner of the SDK, working independently much of the time while collaborating with applications engineers who contribute based on customer needs.
The SDK is built around a C\+\+ core library providing direct interfacing to the sensor, which is then wrapped into Python (via PyBind11\) and into C\# (via C\+\+/CLI). A suite of plugins provide advanced functionality, such as in\-field firmware updates and data logging. The SDK forms the basis for our ROS2 driver and will be used to update our autopilot drivers for Ardupilot and PX4\. With a robust CI/CD pipeline and an agile development approach, we deploy updates to customers as often as every 2\-4 weeks. Besides responding to customer\-defined issues and routine maintenance updates, the backlog is filled with several new plugins and larger\-scoped enhancements, offering opportunities for higher\-level problem solving and architecting new capabilities.
**Responsibilities:**
* Maintain and enhance the SDK core C\+\+ library and its Python and C\# wrappers
* Triage and resolve customer\-reported issues through our CI/CD pipeline
* Architect solutions for new plugins and larger enhancements
* Write and maintain automated tests for cross\-platform reliability
* Create and update documentation, examples, and integration guides
* Support ecosystem drivers (ROS2, Ardupilot, PX4\) as needed
* Collaborate with firmware and applications engineers on sensor integration
**Requirements**
* 5\+ years experience with C\+\+ in embedded environments
* Experience integrating real\-time sensors, especially GPS and inertial sensors
* Familiarity with Python and PyBind11
* Bachelor’s degree in computer science
* Strong verbal, written and interpersonal communications skills
**Benefits**
* **Standard Benefits** Full medical, vision \&amp; dental insurance, vacation time, holidays, sick leave, 401k.
* **Training \&amp; Development** Learn from the most innovative and talented team of engineers in the industry. Transferring the 100\+ years of combined experience from our senior engineers to our new team members is a top priority.
* **Perks** Company\-wide catered lunch every Friday. Fully stocked break room complete with billiards, ping pong, foosball \&amp; more.</t>
        </is>
      </c>
    </row>
    <row r="120">
      <c r="A120" t="inlineStr">
        <is>
          <t>in-3d0ab0b6a706da39</t>
        </is>
      </c>
      <c r="B120" t="inlineStr">
        <is>
          <t>Senior Software Engineer, Services</t>
        </is>
      </c>
      <c r="C120" t="inlineStr">
        <is>
          <t>ALPHATEC SPINE, INC.</t>
        </is>
      </c>
      <c r="D120" t="inlineStr">
        <is>
          <t>indeed</t>
        </is>
      </c>
      <c r="E120">
        <f>HYPERLINK("https://www.indeed.com/viewjob?jk=3d0ab0b6a706da39", "https://www.indeed.com/viewjob?jk=3d0ab0b6a706da39")</f>
        <v/>
      </c>
      <c r="F120">
        <f>HYPERLINK("https://apply.workable.com/j/0FE9D73D57", "https://apply.workable.com/j/0FE9D73D57")</f>
        <v/>
      </c>
      <c r="G120" t="inlineStr">
        <is>
          <t>Carlsbad, CA, US</t>
        </is>
      </c>
      <c r="H120" s="3" t="n">
        <v>46047</v>
      </c>
      <c r="I120" t="inlineStr">
        <is>
          <t>The Sr Software Engineer, Services will help to develop the web applications for the Informatix platform. This includes active participation in all stages of the software development life cycle from requirements definition and design to development, deployment, maintenance, performance tuning, and monitoring.
**Essential Duties and Responsibilities**
* Lead the development of cloud services to meet project requirements
* Install and configure server environments for service deployments
* Working with other software engineers to develop back\-end architecture that is well\-structured and flexible
* Implement performance tests, identify opportunities for optimization and continuous improvements
* Perform task estimation and develop software projects according to project plan
* Mentor junior developers and take ownership of the end\-to\-end module delivery
* Provide proactive, transparent, and concise communication on project status
* Develop documentation related to software development projects (design artifacts, test plans/cases, etc.)
* Collaborate and work effectively with globally distributed teams
**Requirements**
The requirements listed below are representative of the knowledge, skill, and/or ability required. Reasonable accommodations may be made to enable individuals with disabilities to perform the essential functions.
* Strong proficiency building RESTful APIs in C\# using ASP.NET Core within a microservices architecture
* Experience with SQL and relational databases (PostgreSQL, SQL Server, etc.)
* Proficiency with common programming tools such as VS Code, Git repositories, version control software, and remote deployment tools
* Solid understanding of and practical experience with software development lifecycle
* Knowledge of continuous integration environments and tools
* Proficiency in web service debugging, performance tuning, and monitoring
* Experience with developing software for Medical Devices (IEC 62304\) a plus
* Creative and resourceful problem solver with ability to take the big picture into account
* Experience with DevOps practices and supporting tools
* Excellent written and verbal communication skills
* Proven experience delivering software in Agile teams (Scrum and/or Kanban)
**Education and Experience**
* 5\+ years of professional web development software development experience required
* BS/MS degree in Computer Science, Computer Engineering, or related field preferred
* Microsoft Azure Developer Associate certification a plus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$130,000 Full\-Time Annual Salary  
*Please Note: The employer will not sponsor applicants for work visas for this position.*</t>
        </is>
      </c>
    </row>
    <row r="121">
      <c r="A121" t="inlineStr">
        <is>
          <t>in-ae1f2bf33c482b67</t>
        </is>
      </c>
      <c r="B121" t="inlineStr">
        <is>
          <t>Staff Embedded Software Engineer (Networking)</t>
        </is>
      </c>
      <c r="C121" t="inlineStr">
        <is>
          <t>Safran</t>
        </is>
      </c>
      <c r="D121" t="inlineStr">
        <is>
          <t>indeed</t>
        </is>
      </c>
      <c r="E121">
        <f>HYPERLINK("https://www.indeed.com/viewjob?jk=ae1f2bf33c482b67", "https://www.indeed.com/viewjob?jk=ae1f2bf33c482b67")</f>
        <v/>
      </c>
      <c r="F121">
        <f>HYPERLINK("https://apply.workable.com/j/7D69AAB7A2", "https://apply.workable.com/j/7D69AAB7A2")</f>
        <v/>
      </c>
      <c r="G121" t="inlineStr">
        <is>
          <t>Brea, CA, US</t>
        </is>
      </c>
      <c r="H121" s="3" t="n">
        <v>46047</v>
      </c>
      <c r="I121" t="inlineStr">
        <is>
          <t>The Staff Embedded Software Engineer (Networking) is responsible for the architecture, design, and implementation of high\-performance networking software for onboard aircraft video systems. This role focuses on the development of robust network stacks, specifically targeting Layer 2/3 switching and multicast routing to ensure seamless data delivery across complex system architectures.
**Duties and Responsibilities:**
* Lead the design and implementation of software for embedded networking devices, from initial requirements through to production\-ready firmware
* Develop and optimize network protocols including IGMP, Rapid Spanning Tree Protocol (RSTP), and advanced multicast routing strategies for high\-bandwidth video distribution
* Lead board bring\-up activities and interface with hardware teams to validate and integrate new networking product designs
* Analyze and enhance the efficiency, stability, and scalability of network resources, focusing on low\-latency switching and routing
* Support software team members through design approach discussions and rigorous code reviews to ensure engineering excellence
**Requirements**
* Bachelor’s Degree in Computer Engineering, Computer Science, or equivalent experience
* 10\+ years of experience in embedded software development with a focus on networking hardware
* Proven experience developing for Layer 2 and Layer 3 network switches
* Deep technical understanding of IGMP, Rapid Spanning Tree Protocol (RSTP), and Multicast Routing
* Expert knowledge of Linux embedded operating systems, including kernel development and driver maturity
* Advanced proficiency in C, C\+\+, Python, and bash/sh
* Understanding of embedded circuit design and PCB schematics, particularly for ARM/x86 processors and network switch chipsets
* Experience with Audio/Video (A/V) libraries and libraries related to 4K video distribution over IP
* Active participation in and contribution to DevOps and CI/CD pipelines for automated network testing
**Benefits**
The starting pay range for this position is $128,900 \- $154,700 per year however, the base pay offered may vary depending on the level of the position, skills, experience, job\-related knowledge, and location.
In addition to a comprehensive package of health benefits that include company contributions, Safran Passenger Innovations offers a variety of additional benefits and perks to enhance your work\-life balance experience including but not limited to:
* A home allowance to elevate your home workspace
* Discretionary bonus program
* Future financial security with a 401(k) program with a company match
* Paid time off covering vacations, personal time off, and sick days, capped off by an exciting year\-end holiday shutdown
* Embraced flexibility with our alternative work schedule (9/80\) to navigate your workweeks with every other Friday off</t>
        </is>
      </c>
    </row>
    <row r="122">
      <c r="A122" t="inlineStr">
        <is>
          <t>in-ecb856c8b05a0624</t>
        </is>
      </c>
      <c r="B122" t="inlineStr">
        <is>
          <t>Sr. Software Engineer, Backend, Factory Software</t>
        </is>
      </c>
      <c r="C122" t="inlineStr">
        <is>
          <t>Tesla</t>
        </is>
      </c>
      <c r="D122" t="inlineStr">
        <is>
          <t>indeed</t>
        </is>
      </c>
      <c r="E122">
        <f>HYPERLINK("https://www.indeed.com/viewjob?jk=ecb856c8b05a0624", "https://www.indeed.com/viewjob?jk=ecb856c8b05a0624")</f>
        <v/>
      </c>
      <c r="F122">
        <f>HYPERLINK("https://www.tesla.com/careers/search/job/260879?source=Indeed", "https://www.tesla.com/careers/search/job/260879?source=Indeed")</f>
        <v/>
      </c>
      <c r="G122" t="inlineStr">
        <is>
          <t>Austin, TX, US</t>
        </is>
      </c>
      <c r="H122" s="3" t="n">
        <v>46047</v>
      </c>
      <c r="I122" t="inlineStr">
        <is>
          <t>**What to Expect**
We are seeking a highly motivated Senior Software Engineer with expertise in server\-side and backend development to join our small, high\-performing team. You'll build scalable software systems that power the manufacturing of innovative products like vehicles, superchargers, and energy storage solutions as well as our next generation of products. The ideal candidate is passionate about crafting world\-class software, has a proven track record in scalable manufacturing systems, and thrives in collaborative environments. Strong software engineering fundamentals, familiarity with manufacturing and controls engineering, excellent communication skills, and experience with technical feedback are essential.  
**What You'll Do*** Deliver high\-quality, maintainable code that addresses real\-world manufacturing challenges
* Lead end\-to\-end projects, from gathering requirements and architectural design through implementation, testing, and production deployment
* Bridge communication gaps between factory floor equipment (e.g., PLCs) and high\-level MES (Manufacturing Execution System) services
* Mentor engineers and uphold global standards of excellence in software craftsmanship
* Prioritize robust, production\-critical systems with strong validation, monitoring, and support mechanisms
* Collaborate with cross\-functional teams, including Operations, Manufacturing Engineering, Quality, and Supply Chain
* Participate in on\-call rotations (no more than once every two months)
 **What You'll Bring*** Degree in Computer Science, Computer Engineering, Electrical Engineering, or related or equivalent experience
* Minimum 4 years of professional experience (6\+ years preferred)
* Proven experience implementing large\-scale projects in languages like Go, Java, C\+\+, Rust, or similar
* Strong understanding of backend development fundamentals, including SQL databases, networking, and security
* Basic familiarity with frontend technologies (HTML, JavaScript, CSS) and at least one modern framework (e.g., React, Angular, Svelte) for full\-stack integration
* Proficiency in rigorous software development practices, including version control, code reviews, CI/CD pipelines, monitoring, and logging
* Excellent interpersonal communication skills and a demonstrated ability to lead technical initiatives from concept to production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23">
      <c r="A123" t="inlineStr">
        <is>
          <t>in-f2501fc3d17fd80e</t>
        </is>
      </c>
      <c r="B123" t="inlineStr">
        <is>
          <t>Staff Software Engineer, Factory Software</t>
        </is>
      </c>
      <c r="C123" t="inlineStr">
        <is>
          <t>Tesla</t>
        </is>
      </c>
      <c r="D123" t="inlineStr">
        <is>
          <t>indeed</t>
        </is>
      </c>
      <c r="E123">
        <f>HYPERLINK("https://www.indeed.com/viewjob?jk=f2501fc3d17fd80e", "https://www.indeed.com/viewjob?jk=f2501fc3d17fd80e")</f>
        <v/>
      </c>
      <c r="F123">
        <f>HYPERLINK("https://www.tesla.com/careers/search/job/260895?source=Indeed", "https://www.tesla.com/careers/search/job/260895?source=Indeed")</f>
        <v/>
      </c>
      <c r="G123" t="inlineStr">
        <is>
          <t>Austin, TX, US</t>
        </is>
      </c>
      <c r="H123" s="3" t="n">
        <v>46047</v>
      </c>
      <c r="I123" t="inlineStr">
        <is>
          <t>**What to Expect**
We are seeking a highly motivated Staff Software Engineer with expertise in full stack development to join our small, high\-performing team. You'll build scalable software systems that power the manufacturing of innovative products like vehicles, superchargers, and energy storage solutions. The ideal candidate is passionate about crafting world\-class software, has a proven track record in scalable manufacturing systems, and thrives in collaborative environments. Strong software engineering fundamentals, familiarity with manufacturing and controls engineering, excellent communication skills, and experience with technical feedback are essential.  
**What You'll Do*** Deliver high\-quality, maintainable code that addresses real\-world manufacturing challenges
* Lead end\-to\-end projects, from gathering requirements and architectural design through implementation, testing, and production deployment
* Mentor engineers and uphold global standards of excellence in software craftsmanship
* Prioritize robust, production\-critical systems with strong validation, monitoring, and support mechanisms
* Collaborate with cross\-functional teams, including Manufacturing Engineering, Quality, and Material systems
* Participate in on\-call rotations (no more than once every two months)
 **What You'll Bring*** Degree in Computer Science, Computer Engineering, related or equivalent experience
* Minimum 4 years of professional experience (6\+ years preferred)
* Proven experience implementing large\-scale projects in front end technologies like React, Angular, HTML, JavaScript, CSS, or similar
* Create reusable UI components to accelerate frontend development
* Basic understanding of back\-end technologies like Go, Java, C\+\+, Rust, or similar for full\-stack development
* Basic understanding of backend development fundamentals, including SQL databases, networking, and security
* Proficiency in rigorous software development practices, including version control, code reviews, CI/CD pipelines, monitoring, and logging
* Excellent interpersonal communication skills and a demonstrated ability to lead technical initiatives from concept to production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24">
      <c r="A124" t="inlineStr">
        <is>
          <t>in-3abee51c178b47d4</t>
        </is>
      </c>
      <c r="B124" t="inlineStr">
        <is>
          <t>Software Engineer 4 - Ads Pricing &amp; Packaging</t>
        </is>
      </c>
      <c r="C124" t="inlineStr">
        <is>
          <t>Netflix</t>
        </is>
      </c>
      <c r="D124" t="inlineStr">
        <is>
          <t>indeed</t>
        </is>
      </c>
      <c r="E124">
        <f>HYPERLINK("https://www.indeed.com/viewjob?jk=3abee51c178b47d4", "https://www.indeed.com/viewjob?jk=3abee51c178b47d4")</f>
        <v/>
      </c>
      <c r="F124">
        <f>HYPERLINK("https://explore.jobs.netflix.net/careers/job/790312442116", "https://explore.jobs.netflix.net/careers/job/790312442116")</f>
        <v/>
      </c>
      <c r="G124" t="inlineStr">
        <is>
          <t>New York, NY, US</t>
        </is>
      </c>
      <c r="H124" s="3" t="n">
        <v>46047</v>
      </c>
      <c r="I12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The Ads Pricing and Packaging team is responsible for developing cutting\-edge inventory management systems which support various monetization strategies, including dynamic pricing, rate card management, product packaging, inventory segmentation, and yield optimization.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Professional experience in building inventory management solutions that support monetization strategies such as dynamic pricing, rate card management, product packaging, inventory split and yield management.
* General understanding of the advertising marketplace and landscape, with a focus on publisher side challenges like optimizing fill rates and maximizing revenue in the context of inventory management.
* Developed many cloud based applications and comfortable with modern programming languages (preferably object oriented).
* Experience in working with cross\-functional teams to drive large and complex projects.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25">
      <c r="A125" t="inlineStr">
        <is>
          <t>in-768671ff3890eb02</t>
        </is>
      </c>
      <c r="B125" t="inlineStr">
        <is>
          <t>Software Engineer</t>
        </is>
      </c>
      <c r="C125" t="inlineStr">
        <is>
          <t>Amazon.com</t>
        </is>
      </c>
      <c r="D125" t="inlineStr">
        <is>
          <t>indeed</t>
        </is>
      </c>
      <c r="E125">
        <f>HYPERLINK("https://www.indeed.com/viewjob?jk=768671ff3890eb02", "https://www.indeed.com/viewjob?jk=768671ff3890eb02")</f>
        <v/>
      </c>
      <c r="F125">
        <f>HYPERLINK("https://www.amazon.jobs/jobs/3145977/software-engineer?cmpid=DA_INAD200785B", "https://www.amazon.jobs/jobs/3145977/software-engineer?cmpid=DA_INAD200785B")</f>
        <v/>
      </c>
      <c r="G125" t="inlineStr">
        <is>
          <t>Seattle, WA, US</t>
        </is>
      </c>
      <c r="H125" s="3" t="n">
        <v>46008</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in-6d8650f715e3e2b3</t>
        </is>
      </c>
      <c r="B126" t="inlineStr">
        <is>
          <t>Software Engineer</t>
        </is>
      </c>
      <c r="C126" t="inlineStr">
        <is>
          <t>Amazon.com</t>
        </is>
      </c>
      <c r="D126" t="inlineStr">
        <is>
          <t>indeed</t>
        </is>
      </c>
      <c r="E126">
        <f>HYPERLINK("https://www.indeed.com/viewjob?jk=6d8650f715e3e2b3", "https://www.indeed.com/viewjob?jk=6d8650f715e3e2b3")</f>
        <v/>
      </c>
      <c r="F126">
        <f>HYPERLINK("https://www.amazon.jobs/jobs/3145977/software-engineer?cmpid=DA_INAD200785B", "https://www.amazon.jobs/jobs/3145977/software-engineer?cmpid=DA_INAD200785B")</f>
        <v/>
      </c>
      <c r="G126" t="inlineStr">
        <is>
          <t>San Francisco, CA, US</t>
        </is>
      </c>
      <c r="H126" s="3" t="n">
        <v>46008</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in-31853640f91fbbc1</t>
        </is>
      </c>
      <c r="B127" t="inlineStr">
        <is>
          <t>Software Engineer I</t>
        </is>
      </c>
      <c r="C127" t="inlineStr">
        <is>
          <t>Amazon.com</t>
        </is>
      </c>
      <c r="D127" t="inlineStr">
        <is>
          <t>indeed</t>
        </is>
      </c>
      <c r="E127">
        <f>HYPERLINK("https://www.indeed.com/viewjob?jk=31853640f91fbbc1", "https://www.indeed.com/viewjob?jk=31853640f91fbbc1")</f>
        <v/>
      </c>
      <c r="F127">
        <f>HYPERLINK("https://www.amazon.jobs/jobs/3144113/software-engineer-i?cmpid=DA_INAD200785B", "https://www.amazon.jobs/jobs/3144113/software-engineer-i?cmpid=DA_INAD200785B")</f>
        <v/>
      </c>
      <c r="G127" t="inlineStr">
        <is>
          <t>Irvine, CA, US</t>
        </is>
      </c>
      <c r="H127" s="3" t="n">
        <v>46006</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in-f37236f6db7152a6</t>
        </is>
      </c>
      <c r="B128" t="inlineStr">
        <is>
          <t>Software Engineer I</t>
        </is>
      </c>
      <c r="C128" t="inlineStr">
        <is>
          <t>Amazon.com</t>
        </is>
      </c>
      <c r="D128" t="inlineStr">
        <is>
          <t>indeed</t>
        </is>
      </c>
      <c r="E128">
        <f>HYPERLINK("https://www.indeed.com/viewjob?jk=f37236f6db7152a6", "https://www.indeed.com/viewjob?jk=f37236f6db7152a6")</f>
        <v/>
      </c>
      <c r="F128">
        <f>HYPERLINK("https://www.amazon.jobs/jobs/3144113/software-engineer-i?cmpid=DA_INAD200785B", "https://www.amazon.jobs/jobs/3144113/software-engineer-i?cmpid=DA_INAD200785B")</f>
        <v/>
      </c>
      <c r="G128" t="inlineStr">
        <is>
          <t>San Francisco, CA, US</t>
        </is>
      </c>
      <c r="H128" s="3" t="n">
        <v>46006</v>
      </c>
      <c r="I1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in-8dd3ab9423ed9591</t>
        </is>
      </c>
      <c r="B129" t="inlineStr">
        <is>
          <t>Software Engineer I</t>
        </is>
      </c>
      <c r="C129" t="inlineStr">
        <is>
          <t>Amazon.com</t>
        </is>
      </c>
      <c r="D129" t="inlineStr">
        <is>
          <t>indeed</t>
        </is>
      </c>
      <c r="E129">
        <f>HYPERLINK("https://www.indeed.com/viewjob?jk=8dd3ab9423ed9591", "https://www.indeed.com/viewjob?jk=8dd3ab9423ed9591")</f>
        <v/>
      </c>
      <c r="F129">
        <f>HYPERLINK("https://www.amazon.jobs/jobs/3144113/software-engineer-i?cmpid=DA_INAD200785B", "https://www.amazon.jobs/jobs/3144113/software-engineer-i?cmpid=DA_INAD200785B")</f>
        <v/>
      </c>
      <c r="G129" t="inlineStr">
        <is>
          <t>Seattle, WA, US</t>
        </is>
      </c>
      <c r="H129" s="3" t="n">
        <v>46006</v>
      </c>
      <c r="I1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in-6ace6fb2880ac15d</t>
        </is>
      </c>
      <c r="B130" t="inlineStr">
        <is>
          <t>Sr Software Engineer, Amazon Ads Exchange</t>
        </is>
      </c>
      <c r="C130" t="inlineStr">
        <is>
          <t>Amazon.com</t>
        </is>
      </c>
      <c r="D130" t="inlineStr">
        <is>
          <t>indeed</t>
        </is>
      </c>
      <c r="E130">
        <f>HYPERLINK("https://www.indeed.com/viewjob?jk=6ace6fb2880ac15d", "https://www.indeed.com/viewjob?jk=6ace6fb2880ac15d")</f>
        <v/>
      </c>
      <c r="F130">
        <f>HYPERLINK("https://www.amazon.jobs/jobs/3146713/sr-software-engineer-amazon-ads-exchange?cmpid=DA_INAD200785B", "https://www.amazon.jobs/jobs/3146713/sr-software-engineer-amazon-ads-exchange?cmpid=DA_INAD200785B")</f>
        <v/>
      </c>
      <c r="G130" t="inlineStr">
        <is>
          <t>San Francisco, CA, US</t>
        </is>
      </c>
      <c r="H130" s="3" t="n">
        <v>46002</v>
      </c>
      <c r="I13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in-7c21e554e1a5ed47</t>
        </is>
      </c>
      <c r="B131" t="inlineStr">
        <is>
          <t>Sr Software Engineer, Amazon Ads Exchange</t>
        </is>
      </c>
      <c r="C131" t="inlineStr">
        <is>
          <t>Amazon.com</t>
        </is>
      </c>
      <c r="D131" t="inlineStr">
        <is>
          <t>indeed</t>
        </is>
      </c>
      <c r="E131">
        <f>HYPERLINK("https://www.indeed.com/viewjob?jk=7c21e554e1a5ed47", "https://www.indeed.com/viewjob?jk=7c21e554e1a5ed47")</f>
        <v/>
      </c>
      <c r="F131">
        <f>HYPERLINK("https://www.amazon.jobs/jobs/3146713/sr-software-engineer-amazon-ads-exchange?cmpid=DA_INAD200785B", "https://www.amazon.jobs/jobs/3146713/sr-software-engineer-amazon-ads-exchange?cmpid=DA_INAD200785B")</f>
        <v/>
      </c>
      <c r="G131" t="inlineStr">
        <is>
          <t>Palo Alto, CA, US</t>
        </is>
      </c>
      <c r="H131" s="3" t="n">
        <v>46002</v>
      </c>
      <c r="I13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in-20a8ea9b49b5624e</t>
        </is>
      </c>
      <c r="B132" t="inlineStr">
        <is>
          <t>Sr Software Engineer, Amazon Ads Exchange</t>
        </is>
      </c>
      <c r="C132" t="inlineStr">
        <is>
          <t>Amazon.com</t>
        </is>
      </c>
      <c r="D132" t="inlineStr">
        <is>
          <t>indeed</t>
        </is>
      </c>
      <c r="E132">
        <f>HYPERLINK("https://www.indeed.com/viewjob?jk=20a8ea9b49b5624e", "https://www.indeed.com/viewjob?jk=20a8ea9b49b5624e")</f>
        <v/>
      </c>
      <c r="F132">
        <f>HYPERLINK("https://www.amazon.jobs/jobs/3146713/sr-software-engineer-amazon-ads-exchange?cmpid=DA_INAD200785B", "https://www.amazon.jobs/jobs/3146713/sr-software-engineer-amazon-ads-exchange?cmpid=DA_INAD200785B")</f>
        <v/>
      </c>
      <c r="G132" t="inlineStr">
        <is>
          <t>Arlington, VA, US</t>
        </is>
      </c>
      <c r="H132" s="3" t="n">
        <v>46002</v>
      </c>
      <c r="I13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in-b92a9c52ef0fa613</t>
        </is>
      </c>
      <c r="B133" t="inlineStr">
        <is>
          <t>Software Engineer II, Android</t>
        </is>
      </c>
      <c r="C133" t="inlineStr">
        <is>
          <t>Amazon.com</t>
        </is>
      </c>
      <c r="D133" t="inlineStr">
        <is>
          <t>indeed</t>
        </is>
      </c>
      <c r="E133">
        <f>HYPERLINK("https://www.indeed.com/viewjob?jk=b92a9c52ef0fa613", "https://www.indeed.com/viewjob?jk=b92a9c52ef0fa613")</f>
        <v/>
      </c>
      <c r="F133">
        <f>HYPERLINK("https://www.amazon.jobs/jobs/3138330/software-engineer-ii-android?cmpid=DA_INAD200785B", "https://www.amazon.jobs/jobs/3138330/software-engineer-ii-android?cmpid=DA_INAD200785B")</f>
        <v/>
      </c>
      <c r="G133" t="inlineStr">
        <is>
          <t>San Francisco, CA, US</t>
        </is>
      </c>
      <c r="H133" s="3" t="n">
        <v>45995</v>
      </c>
      <c r="I1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in-18b22c68df387cbb</t>
        </is>
      </c>
      <c r="B134" t="inlineStr">
        <is>
          <t>Software Engineer II, Twitch</t>
        </is>
      </c>
      <c r="C134" t="inlineStr">
        <is>
          <t>Amazon.com</t>
        </is>
      </c>
      <c r="D134" t="inlineStr">
        <is>
          <t>indeed</t>
        </is>
      </c>
      <c r="E134">
        <f>HYPERLINK("https://www.indeed.com/viewjob?jk=18b22c68df387cbb", "https://www.indeed.com/viewjob?jk=18b22c68df387cbb")</f>
        <v/>
      </c>
      <c r="F134">
        <f>HYPERLINK("https://www.amazon.jobs/jobs/3138052/software-engineer-ii-twitch?cmpid=DA_INAD200785B", "https://www.amazon.jobs/jobs/3138052/software-engineer-ii-twitch?cmpid=DA_INAD200785B")</f>
        <v/>
      </c>
      <c r="G134" t="inlineStr">
        <is>
          <t>San Francisco, CA, US</t>
        </is>
      </c>
      <c r="H134" s="3" t="n">
        <v>45995</v>
      </c>
      <c r="I13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in-73854868ffe828be</t>
        </is>
      </c>
      <c r="B135" t="inlineStr">
        <is>
          <t>Software Engineer II, Twitch</t>
        </is>
      </c>
      <c r="C135" t="inlineStr">
        <is>
          <t>Amazon.com</t>
        </is>
      </c>
      <c r="D135" t="inlineStr">
        <is>
          <t>indeed</t>
        </is>
      </c>
      <c r="E135">
        <f>HYPERLINK("https://www.indeed.com/viewjob?jk=73854868ffe828be", "https://www.indeed.com/viewjob?jk=73854868ffe828be")</f>
        <v/>
      </c>
      <c r="F135">
        <f>HYPERLINK("https://www.amazon.jobs/jobs/3138052/software-engineer-ii-twitch?cmpid=DA_INAD200785B", "https://www.amazon.jobs/jobs/3138052/software-engineer-ii-twitch?cmpid=DA_INAD200785B")</f>
        <v/>
      </c>
      <c r="G135" t="inlineStr">
        <is>
          <t>Seattle, WA, US</t>
        </is>
      </c>
      <c r="H135" s="3" t="n">
        <v>45995</v>
      </c>
      <c r="I13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in-6fa86b896e1965d7</t>
        </is>
      </c>
      <c r="B136" t="inlineStr">
        <is>
          <t>Software Engineer II, Android</t>
        </is>
      </c>
      <c r="C136" t="inlineStr">
        <is>
          <t>Amazon.com</t>
        </is>
      </c>
      <c r="D136" t="inlineStr">
        <is>
          <t>indeed</t>
        </is>
      </c>
      <c r="E136">
        <f>HYPERLINK("https://www.indeed.com/viewjob?jk=6fa86b896e1965d7", "https://www.indeed.com/viewjob?jk=6fa86b896e1965d7")</f>
        <v/>
      </c>
      <c r="F136">
        <f>HYPERLINK("https://www.amazon.jobs/jobs/3138330/software-engineer-ii-android?cmpid=DA_INAD200785B", "https://www.amazon.jobs/jobs/3138330/software-engineer-ii-android?cmpid=DA_INAD200785B")</f>
        <v/>
      </c>
      <c r="G136" t="inlineStr">
        <is>
          <t>Irvine, CA, US</t>
        </is>
      </c>
      <c r="H136" s="3" t="n">
        <v>45995</v>
      </c>
      <c r="I1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in-1d509ecdb8ccc887</t>
        </is>
      </c>
      <c r="B137" t="inlineStr">
        <is>
          <t>Software Engineer II, Android</t>
        </is>
      </c>
      <c r="C137" t="inlineStr">
        <is>
          <t>Amazon.com</t>
        </is>
      </c>
      <c r="D137" t="inlineStr">
        <is>
          <t>indeed</t>
        </is>
      </c>
      <c r="E137">
        <f>HYPERLINK("https://www.indeed.com/viewjob?jk=1d509ecdb8ccc887", "https://www.indeed.com/viewjob?jk=1d509ecdb8ccc887")</f>
        <v/>
      </c>
      <c r="F137">
        <f>HYPERLINK("https://www.amazon.jobs/jobs/3138330/software-engineer-ii-android?cmpid=DA_INAD200785B", "https://www.amazon.jobs/jobs/3138330/software-engineer-ii-android?cmpid=DA_INAD200785B")</f>
        <v/>
      </c>
      <c r="G137" t="inlineStr">
        <is>
          <t>Seattle, WA, US</t>
        </is>
      </c>
      <c r="H137" s="3" t="n">
        <v>45995</v>
      </c>
      <c r="I1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in-0f7710f64a22faa5</t>
        </is>
      </c>
      <c r="B138" t="inlineStr">
        <is>
          <t>Embedded Software Engineer, Merlin Manager</t>
        </is>
      </c>
      <c r="C138" t="inlineStr">
        <is>
          <t>Amazon.com</t>
        </is>
      </c>
      <c r="D138" t="inlineStr">
        <is>
          <t>indeed</t>
        </is>
      </c>
      <c r="E138">
        <f>HYPERLINK("https://www.indeed.com/viewjob?jk=0f7710f64a22faa5", "https://www.indeed.com/viewjob?jk=0f7710f64a22faa5")</f>
        <v/>
      </c>
      <c r="F138">
        <f>HYPERLINK("https://www.amazon.jobs/jobs/3136032/embedded-software-engineer-merlin-manager?cmpid=DA_INAD200785B", "https://www.amazon.jobs/jobs/3136032/embedded-software-engineer-merlin-manager?cmpid=DA_INAD200785B")</f>
        <v/>
      </c>
      <c r="G138" t="inlineStr">
        <is>
          <t>Redmond, WA, US</t>
        </is>
      </c>
      <c r="H138" s="3" t="n">
        <v>45981</v>
      </c>
      <c r="I13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in-f10871475ad3f733</t>
        </is>
      </c>
      <c r="B139" t="inlineStr">
        <is>
          <t>Embedded Software Engineer, Merlin Manager</t>
        </is>
      </c>
      <c r="C139" t="inlineStr">
        <is>
          <t>Amazon.com</t>
        </is>
      </c>
      <c r="D139" t="inlineStr">
        <is>
          <t>indeed</t>
        </is>
      </c>
      <c r="E139">
        <f>HYPERLINK("https://www.indeed.com/viewjob?jk=f10871475ad3f733", "https://www.indeed.com/viewjob?jk=f10871475ad3f733")</f>
        <v/>
      </c>
      <c r="F139">
        <f>HYPERLINK("https://www.amazon.jobs/jobs/3136032/embedded-software-engineer-merlin-manager?cmpid=DA_INAD200785B", "https://www.amazon.jobs/jobs/3136032/embedded-software-engineer-merlin-manager?cmpid=DA_INAD200785B")</f>
        <v/>
      </c>
      <c r="G139" t="inlineStr">
        <is>
          <t>Sunnyvale, CA, US</t>
        </is>
      </c>
      <c r="H139" s="3" t="n">
        <v>45981</v>
      </c>
      <c r="I13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in-196309eaf2648694</t>
        </is>
      </c>
      <c r="B140" t="inlineStr">
        <is>
          <t>Software Engineer I</t>
        </is>
      </c>
      <c r="C140" t="inlineStr">
        <is>
          <t>Amazon.com</t>
        </is>
      </c>
      <c r="D140" t="inlineStr">
        <is>
          <t>indeed</t>
        </is>
      </c>
      <c r="E140">
        <f>HYPERLINK("https://www.indeed.com/viewjob?jk=196309eaf2648694", "https://www.indeed.com/viewjob?jk=196309eaf2648694")</f>
        <v/>
      </c>
      <c r="F140">
        <f>HYPERLINK("https://www.amazon.jobs/jobs/3111761/software-engineer-i?cmpid=DA_INAD200785B", "https://www.amazon.jobs/jobs/3111761/software-engineer-i?cmpid=DA_INAD200785B")</f>
        <v/>
      </c>
      <c r="G140" t="inlineStr">
        <is>
          <t>San Francisco, CA, US</t>
        </is>
      </c>
      <c r="H140" s="3" t="n">
        <v>45946</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in-16960d8605f64c5f</t>
        </is>
      </c>
      <c r="B141" t="inlineStr">
        <is>
          <t>Software Engineer I</t>
        </is>
      </c>
      <c r="C141" t="inlineStr">
        <is>
          <t>Amazon.com</t>
        </is>
      </c>
      <c r="D141" t="inlineStr">
        <is>
          <t>indeed</t>
        </is>
      </c>
      <c r="E141">
        <f>HYPERLINK("https://www.indeed.com/viewjob?jk=16960d8605f64c5f", "https://www.indeed.com/viewjob?jk=16960d8605f64c5f")</f>
        <v/>
      </c>
      <c r="F141">
        <f>HYPERLINK("https://www.amazon.jobs/jobs/3111761/software-engineer-i?cmpid=DA_INAD200785B", "https://www.amazon.jobs/jobs/3111761/software-engineer-i?cmpid=DA_INAD200785B")</f>
        <v/>
      </c>
      <c r="G141" t="inlineStr">
        <is>
          <t>Irvine, CA, US</t>
        </is>
      </c>
      <c r="H141" s="3" t="n">
        <v>45946</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in-7ba0b1756a5ed5ca</t>
        </is>
      </c>
      <c r="B142" t="inlineStr">
        <is>
          <t>Software Engineer II</t>
        </is>
      </c>
      <c r="C142" t="inlineStr">
        <is>
          <t>Amazon.com</t>
        </is>
      </c>
      <c r="D142" t="inlineStr">
        <is>
          <t>indeed</t>
        </is>
      </c>
      <c r="E142">
        <f>HYPERLINK("https://www.indeed.com/viewjob?jk=7ba0b1756a5ed5ca", "https://www.indeed.com/viewjob?jk=7ba0b1756a5ed5ca")</f>
        <v/>
      </c>
      <c r="F142">
        <f>HYPERLINK("https://www.amazon.jobs/jobs/3104734/software-engineer-ii?cmpid=DA_INAD200785B", "https://www.amazon.jobs/jobs/3104734/software-engineer-ii?cmpid=DA_INAD200785B")</f>
        <v/>
      </c>
      <c r="G142" t="inlineStr">
        <is>
          <t>Culver City, CA, US</t>
        </is>
      </c>
      <c r="H142" s="3" t="n">
        <v>45938</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in-5ab9c2298288aa86</t>
        </is>
      </c>
      <c r="B143" t="inlineStr">
        <is>
          <t>Software Engineer II</t>
        </is>
      </c>
      <c r="C143" t="inlineStr">
        <is>
          <t>Amazon.com</t>
        </is>
      </c>
      <c r="D143" t="inlineStr">
        <is>
          <t>indeed</t>
        </is>
      </c>
      <c r="E143">
        <f>HYPERLINK("https://www.indeed.com/viewjob?jk=5ab9c2298288aa86", "https://www.indeed.com/viewjob?jk=5ab9c2298288aa86")</f>
        <v/>
      </c>
      <c r="F143">
        <f>HYPERLINK("https://www.amazon.jobs/jobs/3104734/software-engineer-ii?cmpid=DA_INAD200785B", "https://www.amazon.jobs/jobs/3104734/software-engineer-ii?cmpid=DA_INAD200785B")</f>
        <v/>
      </c>
      <c r="G143" t="inlineStr">
        <is>
          <t>San Francisco, CA, US</t>
        </is>
      </c>
      <c r="H143" s="3" t="n">
        <v>45938</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in-0def69f2d0891f3e</t>
        </is>
      </c>
      <c r="B144" t="inlineStr">
        <is>
          <t>Software Engineer II</t>
        </is>
      </c>
      <c r="C144" t="inlineStr">
        <is>
          <t>Amazon.com</t>
        </is>
      </c>
      <c r="D144" t="inlineStr">
        <is>
          <t>indeed</t>
        </is>
      </c>
      <c r="E144">
        <f>HYPERLINK("https://www.indeed.com/viewjob?jk=0def69f2d0891f3e", "https://www.indeed.com/viewjob?jk=0def69f2d0891f3e")</f>
        <v/>
      </c>
      <c r="F144">
        <f>HYPERLINK("https://www.amazon.jobs/jobs/3104734/software-engineer-ii?cmpid=DA_INAD200785B", "https://www.amazon.jobs/jobs/3104734/software-engineer-ii?cmpid=DA_INAD200785B")</f>
        <v/>
      </c>
      <c r="G144" t="inlineStr">
        <is>
          <t>Irvine, CA, US</t>
        </is>
      </c>
      <c r="H144" s="3" t="n">
        <v>45938</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in-4b2884eaedd6844f</t>
        </is>
      </c>
      <c r="B145" t="inlineStr">
        <is>
          <t>Software Engineer II</t>
        </is>
      </c>
      <c r="C145" t="inlineStr">
        <is>
          <t>Amazon.com</t>
        </is>
      </c>
      <c r="D145" t="inlineStr">
        <is>
          <t>indeed</t>
        </is>
      </c>
      <c r="E145">
        <f>HYPERLINK("https://www.indeed.com/viewjob?jk=4b2884eaedd6844f", "https://www.indeed.com/viewjob?jk=4b2884eaedd6844f")</f>
        <v/>
      </c>
      <c r="F145">
        <f>HYPERLINK("https://www.amazon.jobs/jobs/3090680/software-engineer-ii?cmpid=DA_INAD200785B", "https://www.amazon.jobs/jobs/3090680/software-engineer-ii?cmpid=DA_INAD200785B")</f>
        <v/>
      </c>
      <c r="G145" t="inlineStr">
        <is>
          <t>San Francisco, CA, US</t>
        </is>
      </c>
      <c r="H145" s="3" t="n">
        <v>45921</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in-2601bba2e9c6d78f</t>
        </is>
      </c>
      <c r="B146" t="inlineStr">
        <is>
          <t>Sr Software Engineer</t>
        </is>
      </c>
      <c r="C146" t="inlineStr">
        <is>
          <t>Amazon.com</t>
        </is>
      </c>
      <c r="D146" t="inlineStr">
        <is>
          <t>indeed</t>
        </is>
      </c>
      <c r="E146">
        <f>HYPERLINK("https://www.indeed.com/viewjob?jk=2601bba2e9c6d78f", "https://www.indeed.com/viewjob?jk=2601bba2e9c6d78f")</f>
        <v/>
      </c>
      <c r="F146">
        <f>HYPERLINK("https://www.amazon.jobs/jobs/3090674/sr-software-engineer?cmpid=DA_INAD200785B", "https://www.amazon.jobs/jobs/3090674/sr-software-engineer?cmpid=DA_INAD200785B")</f>
        <v/>
      </c>
      <c r="G146" t="inlineStr">
        <is>
          <t>San Francisco, CA, US</t>
        </is>
      </c>
      <c r="H146" s="3" t="n">
        <v>45921</v>
      </c>
      <c r="I1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in-f6a1090c8a40b8d5</t>
        </is>
      </c>
      <c r="B147" t="inlineStr">
        <is>
          <t>Sr Software Engineer</t>
        </is>
      </c>
      <c r="C147" t="inlineStr">
        <is>
          <t>Amazon.com</t>
        </is>
      </c>
      <c r="D147" t="inlineStr">
        <is>
          <t>indeed</t>
        </is>
      </c>
      <c r="E147">
        <f>HYPERLINK("https://www.indeed.com/viewjob?jk=f6a1090c8a40b8d5", "https://www.indeed.com/viewjob?jk=f6a1090c8a40b8d5")</f>
        <v/>
      </c>
      <c r="F147">
        <f>HYPERLINK("https://www.amazon.jobs/jobs/3090674/sr-software-engineer?cmpid=DA_INAD200785B", "https://www.amazon.jobs/jobs/3090674/sr-software-engineer?cmpid=DA_INAD200785B")</f>
        <v/>
      </c>
      <c r="G147" t="inlineStr">
        <is>
          <t>Irvine, CA, US</t>
        </is>
      </c>
      <c r="H147" s="3" t="n">
        <v>45921</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in-00ede3ec909b78a8</t>
        </is>
      </c>
      <c r="B148" t="inlineStr">
        <is>
          <t>Software Engineer II</t>
        </is>
      </c>
      <c r="C148" t="inlineStr">
        <is>
          <t>Amazon.com</t>
        </is>
      </c>
      <c r="D148" t="inlineStr">
        <is>
          <t>indeed</t>
        </is>
      </c>
      <c r="E148">
        <f>HYPERLINK("https://www.indeed.com/viewjob?jk=00ede3ec909b78a8", "https://www.indeed.com/viewjob?jk=00ede3ec909b78a8")</f>
        <v/>
      </c>
      <c r="F148">
        <f>HYPERLINK("https://www.amazon.jobs/jobs/3090680/software-engineer-ii?cmpid=DA_INAD200785B", "https://www.amazon.jobs/jobs/3090680/software-engineer-ii?cmpid=DA_INAD200785B")</f>
        <v/>
      </c>
      <c r="G148" t="inlineStr">
        <is>
          <t>Irvine, CA, US</t>
        </is>
      </c>
      <c r="H148" s="3" t="n">
        <v>45921</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in-b553e29cf5d74da3</t>
        </is>
      </c>
      <c r="B149" t="inlineStr">
        <is>
          <t>Sr. Device Software Engineer, Amazon Leo Government</t>
        </is>
      </c>
      <c r="C149" t="inlineStr">
        <is>
          <t>Amazon.com</t>
        </is>
      </c>
      <c r="D149" t="inlineStr">
        <is>
          <t>indeed</t>
        </is>
      </c>
      <c r="E149">
        <f>HYPERLINK("https://www.indeed.com/viewjob?jk=b553e29cf5d74da3", "https://www.indeed.com/viewjob?jk=b553e29cf5d74da3")</f>
        <v/>
      </c>
      <c r="F149">
        <f>HYPERLINK("https://www.amazon.jobs/jobs/3082545/sr-device-software-engineer-amazon-leo-government-?cmpid=DA_INAD200785B", "https://www.amazon.jobs/jobs/3082545/sr-device-software-engineer-amazon-leo-government-?cmpid=DA_INAD200785B")</f>
        <v/>
      </c>
      <c r="G149" t="inlineStr">
        <is>
          <t>El Segundo, CA, US</t>
        </is>
      </c>
      <c r="H149" s="3" t="n">
        <v>45911</v>
      </c>
      <c r="I14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in-5a655e1e026387fe</t>
        </is>
      </c>
      <c r="B150" t="inlineStr">
        <is>
          <t>Sr. Device Software Engineer, Amazon Leo Government</t>
        </is>
      </c>
      <c r="C150" t="inlineStr">
        <is>
          <t>Amazon.com</t>
        </is>
      </c>
      <c r="D150" t="inlineStr">
        <is>
          <t>indeed</t>
        </is>
      </c>
      <c r="E150">
        <f>HYPERLINK("https://www.indeed.com/viewjob?jk=5a655e1e026387fe", "https://www.indeed.com/viewjob?jk=5a655e1e026387fe")</f>
        <v/>
      </c>
      <c r="F150">
        <f>HYPERLINK("https://www.amazon.jobs/jobs/3082545/sr-device-software-engineer-amazon-leo-government-?cmpid=DA_INAD200785B", "https://www.amazon.jobs/jobs/3082545/sr-device-software-engineer-amazon-leo-government-?cmpid=DA_INAD200785B")</f>
        <v/>
      </c>
      <c r="G150" t="inlineStr">
        <is>
          <t>Northridge, CA, US</t>
        </is>
      </c>
      <c r="H150" s="3" t="n">
        <v>45911</v>
      </c>
      <c r="I15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in-571cb10b893e0c4c</t>
        </is>
      </c>
      <c r="B151" t="inlineStr">
        <is>
          <t>Sr. Device Software Engineer, Amazon Leo Government</t>
        </is>
      </c>
      <c r="C151" t="inlineStr">
        <is>
          <t>Amazon.com</t>
        </is>
      </c>
      <c r="D151" t="inlineStr">
        <is>
          <t>indeed</t>
        </is>
      </c>
      <c r="E151">
        <f>HYPERLINK("https://www.indeed.com/viewjob?jk=571cb10b893e0c4c", "https://www.indeed.com/viewjob?jk=571cb10b893e0c4c")</f>
        <v/>
      </c>
      <c r="F151">
        <f>HYPERLINK("https://www.amazon.jobs/jobs/3082545/sr-device-software-engineer-amazon-leo-government-?cmpid=DA_INAD200785B", "https://www.amazon.jobs/jobs/3082545/sr-device-software-engineer-amazon-leo-government-?cmpid=DA_INAD200785B")</f>
        <v/>
      </c>
      <c r="G151" t="inlineStr">
        <is>
          <t>Arlington, VA, US</t>
        </is>
      </c>
      <c r="H151" s="3" t="n">
        <v>45911</v>
      </c>
      <c r="I1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in-e18ee9b07b5161c5</t>
        </is>
      </c>
      <c r="B152" t="inlineStr">
        <is>
          <t>Sr. Device Software Engineer, Amazon Leo Government</t>
        </is>
      </c>
      <c r="C152" t="inlineStr">
        <is>
          <t>Amazon.com</t>
        </is>
      </c>
      <c r="D152" t="inlineStr">
        <is>
          <t>indeed</t>
        </is>
      </c>
      <c r="E152">
        <f>HYPERLINK("https://www.indeed.com/viewjob?jk=e18ee9b07b5161c5", "https://www.indeed.com/viewjob?jk=e18ee9b07b5161c5")</f>
        <v/>
      </c>
      <c r="F152">
        <f>HYPERLINK("https://www.amazon.jobs/jobs/3082545/sr-device-software-engineer-amazon-leo-government-?cmpid=DA_INAD200785B", "https://www.amazon.jobs/jobs/3082545/sr-device-software-engineer-amazon-leo-government-?cmpid=DA_INAD200785B")</f>
        <v/>
      </c>
      <c r="G152" t="inlineStr">
        <is>
          <t>Redmond, WA, US</t>
        </is>
      </c>
      <c r="H152" s="3" t="n">
        <v>45911</v>
      </c>
      <c r="I1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in-22172eff012ef869</t>
        </is>
      </c>
      <c r="B153" t="inlineStr">
        <is>
          <t>Device Software Engineer, Amazon Leo Government</t>
        </is>
      </c>
      <c r="C153" t="inlineStr">
        <is>
          <t>Amazon.com</t>
        </is>
      </c>
      <c r="D153" t="inlineStr">
        <is>
          <t>indeed</t>
        </is>
      </c>
      <c r="E153">
        <f>HYPERLINK("https://www.indeed.com/viewjob?jk=22172eff012ef869", "https://www.indeed.com/viewjob?jk=22172eff012ef869")</f>
        <v/>
      </c>
      <c r="F153">
        <f>HYPERLINK("https://www.amazon.jobs/jobs/3083623/device-software-engineer-amazon-leo-government-?cmpid=DA_INAD200785B", "https://www.amazon.jobs/jobs/3083623/device-software-engineer-amazon-leo-government-?cmpid=DA_INAD200785B")</f>
        <v/>
      </c>
      <c r="G153" t="inlineStr">
        <is>
          <t>Northridge, CA, US</t>
        </is>
      </c>
      <c r="H153" s="3" t="n">
        <v>45910</v>
      </c>
      <c r="I1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in-4363846aa2981408</t>
        </is>
      </c>
      <c r="B154" t="inlineStr">
        <is>
          <t>Device Software Engineer, Amazon Leo Government</t>
        </is>
      </c>
      <c r="C154" t="inlineStr">
        <is>
          <t>Amazon.com</t>
        </is>
      </c>
      <c r="D154" t="inlineStr">
        <is>
          <t>indeed</t>
        </is>
      </c>
      <c r="E154">
        <f>HYPERLINK("https://www.indeed.com/viewjob?jk=4363846aa2981408", "https://www.indeed.com/viewjob?jk=4363846aa2981408")</f>
        <v/>
      </c>
      <c r="F154">
        <f>HYPERLINK("https://www.amazon.jobs/jobs/3083623/device-software-engineer-amazon-leo-government-?cmpid=DA_INAD200785B", "https://www.amazon.jobs/jobs/3083623/device-software-engineer-amazon-leo-government-?cmpid=DA_INAD200785B")</f>
        <v/>
      </c>
      <c r="G154" t="inlineStr">
        <is>
          <t>Redmond, WA, US</t>
        </is>
      </c>
      <c r="H154" s="3" t="n">
        <v>45910</v>
      </c>
      <c r="I1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in-458126178cbac859</t>
        </is>
      </c>
      <c r="B155" t="inlineStr">
        <is>
          <t>Device Software Engineer, Amazon Leo Government</t>
        </is>
      </c>
      <c r="C155" t="inlineStr">
        <is>
          <t>Amazon.com</t>
        </is>
      </c>
      <c r="D155" t="inlineStr">
        <is>
          <t>indeed</t>
        </is>
      </c>
      <c r="E155">
        <f>HYPERLINK("https://www.indeed.com/viewjob?jk=458126178cbac859", "https://www.indeed.com/viewjob?jk=458126178cbac859")</f>
        <v/>
      </c>
      <c r="F155">
        <f>HYPERLINK("https://www.amazon.jobs/jobs/3083623/device-software-engineer-amazon-leo-government-?cmpid=DA_INAD200785B", "https://www.amazon.jobs/jobs/3083623/device-software-engineer-amazon-leo-government-?cmpid=DA_INAD200785B")</f>
        <v/>
      </c>
      <c r="G155" t="inlineStr">
        <is>
          <t>Arlington, VA, US</t>
        </is>
      </c>
      <c r="H155" s="3" t="n">
        <v>45910</v>
      </c>
      <c r="I1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in-2f65f4cbe686c8c4</t>
        </is>
      </c>
      <c r="B156" t="inlineStr">
        <is>
          <t>Device Software Engineer, Amazon Leo Government</t>
        </is>
      </c>
      <c r="C156" t="inlineStr">
        <is>
          <t>Amazon.com</t>
        </is>
      </c>
      <c r="D156" t="inlineStr">
        <is>
          <t>indeed</t>
        </is>
      </c>
      <c r="E156">
        <f>HYPERLINK("https://www.indeed.com/viewjob?jk=2f65f4cbe686c8c4", "https://www.indeed.com/viewjob?jk=2f65f4cbe686c8c4")</f>
        <v/>
      </c>
      <c r="F156">
        <f>HYPERLINK("https://www.amazon.jobs/jobs/3083623/device-software-engineer-amazon-leo-government-?cmpid=DA_INAD200785B", "https://www.amazon.jobs/jobs/3083623/device-software-engineer-amazon-leo-government-?cmpid=DA_INAD200785B")</f>
        <v/>
      </c>
      <c r="G156" t="inlineStr">
        <is>
          <t>El Segundo, CA, US</t>
        </is>
      </c>
      <c r="H156" s="3" t="n">
        <v>45910</v>
      </c>
      <c r="I1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in-0d4cd566ec20997e</t>
        </is>
      </c>
      <c r="B157" t="inlineStr">
        <is>
          <t>Software Engineer I- Ad Demand</t>
        </is>
      </c>
      <c r="C157" t="inlineStr">
        <is>
          <t>Amazon.com</t>
        </is>
      </c>
      <c r="D157" t="inlineStr">
        <is>
          <t>indeed</t>
        </is>
      </c>
      <c r="E157">
        <f>HYPERLINK("https://www.indeed.com/viewjob?jk=0d4cd566ec20997e", "https://www.indeed.com/viewjob?jk=0d4cd566ec20997e")</f>
        <v/>
      </c>
      <c r="F157">
        <f>HYPERLINK("https://www.amazon.jobs/jobs/3082168/software-engineer-i-ad-demand?cmpid=DA_INAD200785B", "https://www.amazon.jobs/jobs/3082168/software-engineer-i-ad-demand?cmpid=DA_INAD200785B")</f>
        <v/>
      </c>
      <c r="G157" t="inlineStr">
        <is>
          <t>New York, NY, US</t>
        </is>
      </c>
      <c r="H157" s="3" t="n">
        <v>45908</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in-72bf5b3670c9d7b9</t>
        </is>
      </c>
      <c r="B158" t="inlineStr">
        <is>
          <t>Software Engineer I- Ad Demand</t>
        </is>
      </c>
      <c r="C158" t="inlineStr">
        <is>
          <t>Amazon.com</t>
        </is>
      </c>
      <c r="D158" t="inlineStr">
        <is>
          <t>indeed</t>
        </is>
      </c>
      <c r="E158">
        <f>HYPERLINK("https://www.indeed.com/viewjob?jk=72bf5b3670c9d7b9", "https://www.indeed.com/viewjob?jk=72bf5b3670c9d7b9")</f>
        <v/>
      </c>
      <c r="F158">
        <f>HYPERLINK("https://www.amazon.jobs/jobs/3082168/software-engineer-i-ad-demand?cmpid=DA_INAD200785B", "https://www.amazon.jobs/jobs/3082168/software-engineer-i-ad-demand?cmpid=DA_INAD200785B")</f>
        <v/>
      </c>
      <c r="G158" t="inlineStr">
        <is>
          <t>San Francisco, CA, US</t>
        </is>
      </c>
      <c r="H158" s="3" t="n">
        <v>45908</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in-53f47c6934d64452</t>
        </is>
      </c>
      <c r="B159" t="inlineStr">
        <is>
          <t>Senior Software Engineer - Query Processing, Aurora DSQL</t>
        </is>
      </c>
      <c r="C159" t="inlineStr">
        <is>
          <t>Amazon Web Services</t>
        </is>
      </c>
      <c r="D159" t="inlineStr">
        <is>
          <t>indeed</t>
        </is>
      </c>
      <c r="E159">
        <f>HYPERLINK("https://www.indeed.com/viewjob?jk=53f47c6934d64452", "https://www.indeed.com/viewjob?jk=53f47c6934d64452")</f>
        <v/>
      </c>
      <c r="F159">
        <f>HYPERLINK("https://www.amazon.jobs/jobs/2987643/senior-software-engineer--query-processing-aurora-dsql?cmpid=DA_INAD200785B", "https://www.amazon.jobs/jobs/2987643/senior-software-engineer--query-processing-aurora-dsql?cmpid=DA_INAD200785B")</f>
        <v/>
      </c>
      <c r="G159" t="inlineStr">
        <is>
          <t>East Palo Alto, CA, US</t>
        </is>
      </c>
      <c r="H159" s="3" t="n">
        <v>45796</v>
      </c>
      <c r="I15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in-a88dd816fe659587</t>
        </is>
      </c>
      <c r="B160" t="inlineStr">
        <is>
          <t>Senior Software Engineer - Query Processing, Aurora DSQL</t>
        </is>
      </c>
      <c r="C160" t="inlineStr">
        <is>
          <t>Amazon Web Services</t>
        </is>
      </c>
      <c r="D160" t="inlineStr">
        <is>
          <t>indeed</t>
        </is>
      </c>
      <c r="E160">
        <f>HYPERLINK("https://www.indeed.com/viewjob?jk=a88dd816fe659587", "https://www.indeed.com/viewjob?jk=a88dd816fe659587")</f>
        <v/>
      </c>
      <c r="F160">
        <f>HYPERLINK("https://www.amazon.jobs/jobs/2987643/senior-software-engineer--query-processing-aurora-dsql?cmpid=DA_INAD200785B", "https://www.amazon.jobs/jobs/2987643/senior-software-engineer--query-processing-aurora-dsql?cmpid=DA_INAD200785B")</f>
        <v/>
      </c>
      <c r="G160" t="inlineStr">
        <is>
          <t>Seattle, WA, US</t>
        </is>
      </c>
      <c r="H160" s="3" t="n">
        <v>45796</v>
      </c>
      <c r="I16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in-ffbfe7e342992961</t>
        </is>
      </c>
      <c r="B161" t="inlineStr">
        <is>
          <t>Embedded C++ Software Engineer, Machine Learning Acceleration</t>
        </is>
      </c>
      <c r="C161" t="inlineStr">
        <is>
          <t>Amazon Web Services</t>
        </is>
      </c>
      <c r="D161" t="inlineStr">
        <is>
          <t>indeed</t>
        </is>
      </c>
      <c r="E161">
        <f>HYPERLINK("https://www.indeed.com/viewjob?jk=ffbfe7e342992961", "https://www.indeed.com/viewjob?jk=ffbfe7e342992961")</f>
        <v/>
      </c>
      <c r="F161">
        <f>HYPERLINK("https://www.amazon.jobs/jobs/2894488/embedded-c-software-engineer-machine-learning-acceleration?cmpid=DA_INAD200785B", "https://www.amazon.jobs/jobs/2894488/embedded-c-software-engineer-machine-learning-acceleration?cmpid=DA_INAD200785B")</f>
        <v/>
      </c>
      <c r="G161" t="inlineStr">
        <is>
          <t>Austin, TX, US</t>
        </is>
      </c>
      <c r="H161" s="3" t="n">
        <v>45691</v>
      </c>
      <c r="I161"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in-6eb97ee6e35b317f</t>
        </is>
      </c>
      <c r="B162" t="inlineStr">
        <is>
          <t>Embedded C++ Software Engineer, Machine Learning Acceleration</t>
        </is>
      </c>
      <c r="C162" t="inlineStr">
        <is>
          <t>Amazon Web Services</t>
        </is>
      </c>
      <c r="D162" t="inlineStr">
        <is>
          <t>indeed</t>
        </is>
      </c>
      <c r="E162">
        <f>HYPERLINK("https://www.indeed.com/viewjob?jk=6eb97ee6e35b317f", "https://www.indeed.com/viewjob?jk=6eb97ee6e35b317f")</f>
        <v/>
      </c>
      <c r="F162">
        <f>HYPERLINK("https://www.amazon.jobs/jobs/2894488/embedded-c-software-engineer-machine-learning-acceleration?cmpid=DA_INAD200785B", "https://www.amazon.jobs/jobs/2894488/embedded-c-software-engineer-machine-learning-acceleration?cmpid=DA_INAD200785B")</f>
        <v/>
      </c>
      <c r="G162" t="inlineStr">
        <is>
          <t>Cupertino, CA, US</t>
        </is>
      </c>
      <c r="H162" s="3" t="n">
        <v>45691</v>
      </c>
      <c r="I162"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li-4366184694</t>
        </is>
      </c>
      <c r="B2" t="inlineStr">
        <is>
          <t>Founding Software Engineer - Data Platform</t>
        </is>
      </c>
      <c r="C2" t="inlineStr">
        <is>
          <t>Arlo</t>
        </is>
      </c>
      <c r="D2" t="inlineStr">
        <is>
          <t>linkedin</t>
        </is>
      </c>
      <c r="E2" t="inlineStr"/>
      <c r="F2" t="inlineStr"/>
      <c r="G2" t="inlineStr">
        <is>
          <t>New York, NY</t>
        </is>
      </c>
      <c r="H2" t="inlineStr"/>
      <c r="I2"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Powered by the industry’s most advanced risk\-pricing engine, Arlo is already scaling fast: we’ve grown to $XXXM in premiums, cover tens of thousands of people, and see accelerating demand across brokers, employers, and partners. Backed by Upfront Ventures, 8VC, and General Catalyst, our team combines deep industry expertise (Palantir, YC) with the ambition to modernize a $1T market.
**About The Role**
 As the Founding Software Engineer on our Data Platform team at Arlo, you will build the foundation for our ML\-driven health insurance quoting system. You'll design and implement the entire data infrastructure that powers our core product, working at the intersection of data engineering and machine learning operations.
**What You Will Do**
* Design and build scalable data pipelines that process billions of healthcare claims records
* Develop robust ETL workflows to ingest, normalize, and transform medical data from multiple sources
* Create infrastructure for real\-time ML inference serving hundreds of millions of predictions
* Build developer tooling to accelerate the work of our data scientists and ML engineers
* Architect and implement monitoring systems to ensure data quality and model performance
* Optimize PySpark code for feature construction to improve performance and efficiency
**Projects You Will Work On**
**Healthcare Data Platform:**
* Build a unified data platform that ingests medical data from diverse sources and normalizes it for both training and inference
* Develop workflow orchestration tools to automate complex data processing pipelines
* Create CI/CD pipelines for reliable deployment of data transformations and ML models
* Refactor and optimize existing PySpark code to enhance performance and scalability
**ML Production Infrastructure:**
* Design and implement real\-time inference systems that can handle high\-volume prediction requests
* Build infrastructure for A/B testing and controlled model rollouts
* Develop monitoring tools to track model performance and data drift in production
 This role combines data engineering and ML infrastructure expertise to create the backbone of our AI\-powered health insurance platform. You'll work across the full ML lifecycle, from initial data processing to production deployment and monitoring.
**What we are looking for**
* 3\+ years of experience as a backend engineer, data engineer, or software engineer with exposure to data pipelines and large\-scale infrastructure.
* Strong understanding of data structures, algorithms, and scalable system design.
* Demonstrated ability to design secure, robust, and scalable infrastructure for data and backend systems.
* Hands\-on experience with big data tools (e.g., Spark) and pipeline orchestration platforms (e.g., Dagster, Airflow, Prefect).
* Proficiency in a backend programming language like Python and solid SQL skills for querying and database design.
* Familiarity with cloud platforms (AWS, GCP, or Azure) and their data services.
**Process**
 This is what you can expect when we like your application:
* 30 minute recruiter call with Rachelle (Talent Lead)
* 30\-minute call with Karthik (CTO)
* Take\-home coding challenge
* 60\-minute review of your coding challenge with Karthik (virtual)
* Onsite interview at our NYC office (or virtual for remote), including technical and behavioral/cultural components
**Target Compensation**
 $200,000 – $220,000 \+ performance bonus \+ equity
**Why Join Arlo:**
* High ownership: You’ll get real responsibility from day one—our high\-trust team empowers you to run with big problems and shape core parts of the company.
* Join an important mission: Your work directly influences how people access care and improves lives at scale.
* Growth \&amp; expansion: We’re moving fast, and as we grow, your scope will grow with us—new challenges, bigger opportunities, and rapid career velocity.
* Apply AI to a problem that matters: Instead of optimizing ads or cutting labor costs, you’ll use AI to fundamentally reimagine how people get healthcare.
* High pace, high collaboration: We operate with velocity, first\-principles thinking, and a team that works closely, openly, and with ambition.
 Exact compensation inclusive of salary and any bonuses is determined based on a number of factors including experience and skill level, location, and qualifications which are assessed during the interview process.
 Arlo is an equal opportunity employer. We do not discriminate based on age, race, color, creed or religion, national origin, sexual orientation, gender identity or expression, military status, sex, disability, predisposing genetic characteristics, marital status, familial status, status as a victim of domestic violence, or arrest or conviction record, as defined under New York State law.</t>
        </is>
      </c>
    </row>
    <row r="3">
      <c r="A3" t="inlineStr">
        <is>
          <t>li-4366167960</t>
        </is>
      </c>
      <c r="B3" t="inlineStr">
        <is>
          <t>Senior Software Developer PHP - Data Engineer, Virtual</t>
        </is>
      </c>
      <c r="C3" t="inlineStr">
        <is>
          <t>Providence</t>
        </is>
      </c>
      <c r="D3" t="inlineStr">
        <is>
          <t>linkedin</t>
        </is>
      </c>
      <c r="E3" t="inlineStr"/>
      <c r="F3" t="inlineStr"/>
      <c r="G3" t="inlineStr">
        <is>
          <t>Beaverton, OR</t>
        </is>
      </c>
      <c r="H3" t="inlineStr"/>
      <c r="I3"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4">
      <c r="A4" t="inlineStr">
        <is>
          <t>li-4366188070</t>
        </is>
      </c>
      <c r="B4" t="inlineStr">
        <is>
          <t>Senior Software Developer PHP - Data Engineer, Virtual</t>
        </is>
      </c>
      <c r="C4" t="inlineStr">
        <is>
          <t>Providence</t>
        </is>
      </c>
      <c r="D4" t="inlineStr">
        <is>
          <t>linkedin</t>
        </is>
      </c>
      <c r="E4" t="inlineStr"/>
      <c r="F4" t="inlineStr"/>
      <c r="G4" t="inlineStr">
        <is>
          <t>Oregon, United States</t>
        </is>
      </c>
      <c r="H4" t="inlineStr"/>
      <c r="I4"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5">
      <c r="A5" t="inlineStr">
        <is>
          <t>li-4366181710</t>
        </is>
      </c>
      <c r="B5" t="inlineStr">
        <is>
          <t>Senior Software Developer PHP - Data Engineer, Virtual</t>
        </is>
      </c>
      <c r="C5" t="inlineStr">
        <is>
          <t>Providence</t>
        </is>
      </c>
      <c r="D5" t="inlineStr">
        <is>
          <t>linkedin</t>
        </is>
      </c>
      <c r="E5" t="inlineStr"/>
      <c r="F5" t="inlineStr"/>
      <c r="G5" t="inlineStr">
        <is>
          <t>Washington, United States</t>
        </is>
      </c>
      <c r="H5" t="inlineStr"/>
      <c r="I5"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6">
      <c r="A6" t="inlineStr">
        <is>
          <t>li-4303205073</t>
        </is>
      </c>
      <c r="B6" t="inlineStr">
        <is>
          <t>Software Engineer 2 - Data Acquisition</t>
        </is>
      </c>
      <c r="C6" t="inlineStr">
        <is>
          <t>WEX</t>
        </is>
      </c>
      <c r="D6" t="inlineStr">
        <is>
          <t>linkedin</t>
        </is>
      </c>
      <c r="E6" t="inlineStr"/>
      <c r="F6" t="inlineStr"/>
      <c r="G6" t="inlineStr">
        <is>
          <t>Maine, United States</t>
        </is>
      </c>
      <c r="H6" t="inlineStr"/>
      <c r="I6" t="inlineStr">
        <is>
          <t>**About The Role**
**The
 **Data Acquisition Team** 
 is the entry point to WEX’s Data\-as\-a\-Service (DaaS) platform—responsible for ingesting, validating, and orchestrating raw data from dozens of internal systems and third\-party providers.**
**As a
 **Software Engineer 2 \- Data Acquisition (Data Engineer)** 
 , you’ll play a key role in designing and building robust, scalable, and extensible pipelines that feed the entire data ecosystem at WEX. You’ll work across multiple data domains and ingestion patterns—batch, streaming, and event\-driven—while ensuring quality, performance, and governance are embedded in every step.**
**WEX is undergoing a data platform transformation—and this team builds the foundation. Every pipeline you create contributes directly to powering analytics, automation, and product intelligence across all business domains.**
**If you’re passionate about
 **scaling data platforms from the ground up** 
 , this is your chance to help shape how WEX ingests and leverages its most valuable asset: data.**
****What You’ll Do****
* Design and implement moderately complex ingestion pipelines that integrate with internal and external systems.
* Develop reusable components for data transformation, validation, and logging.
* Contribute to both batch and streaming ingestion flows, ensuring scalability and maintainability.
* Support platform observability by enhancing monitoring, alerting, and error\-handling features.
* Participate in design discussions, code reviews, and incident investigations.
* Partner with data consumers to understand requirements and translate them into ingestion solutions.
* Improve automation and testing coverage to reduce manual effort and increase pipeline reliability.
****What You Bring****
* B.Sc. in Computer Science, Engineering, or related technical field (M.Sc. preferred). Equivalent experience considered.
* 2–4 years of experience as a data or software engineer, ideally working with data pipelines or distributed systems.
* Solid programming skills in Python, Java, or Scala, with ability to write maintainable, production\-ready code.
* Hands\-on experience with ETL/ELT pipelines, schema management, and data modeling concepts.
* Familiarity with streaming (e.g., Kafka, Kinesis, Spark Streaming) or batch frameworks.
* Understanding of CI/CD, version control, and testing practices.
* Exposure to observability practices such as logging, metrics, and tracing.
* Strong sense of accountability and eagerness to take ownership of assigned deliverables.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$96,100\.00 \- $115,500\.00</t>
        </is>
      </c>
    </row>
    <row r="7">
      <c r="A7" t="inlineStr">
        <is>
          <t>li-4303091924</t>
        </is>
      </c>
      <c r="B7" t="inlineStr">
        <is>
          <t>Senior Software Engineer - Data Acquisition</t>
        </is>
      </c>
      <c r="C7" t="inlineStr">
        <is>
          <t>WEX</t>
        </is>
      </c>
      <c r="D7" t="inlineStr">
        <is>
          <t>linkedin</t>
        </is>
      </c>
      <c r="E7" t="inlineStr"/>
      <c r="F7" t="inlineStr"/>
      <c r="G7" t="inlineStr">
        <is>
          <t>Boston, MA</t>
        </is>
      </c>
      <c r="H7" t="inlineStr"/>
      <c r="I7" t="inlineStr">
        <is>
          <t>**About The Role**
**The
 **Data Acquisition Team** 
 is the entry point to WEX’s Data\-as\-a\-Service (DaaS) platform—responsible for ingesting, validating, and orchestrating raw data from dozens of internal systems and third\-party providers.**
**As a
 **Senior Software Engineer** 
 , you’ll play a key role in designing and building robust, scalable, and extensible pipelines that feed the entire data ecosystem at WEX. You’ll work across multiple data domains and ingestion patterns—batch, streaming, and event\-driven—while ensuring quality, performance, and governance are embedded in every step.**
**WEX is undergoing a data platform transformation—and this team builds the foundation. Every pipeline you create contributes directly to powering analytics, automation, and product intelligence across all business domains.**
**If you’re passionate about
 **scaling data platforms from the ground up** 
 , this is your chance to help shape how WEX ingests and leverages its most valuable asset: data.**
****What You’ll Do****
* Build and maintain high\-performance data acquisition pipelines that integrate with a variety of systems across WEX and third\-party vendors.
* Contribute to the development of a modular ingestion platform that enables reusability, reliability, and observability at scale.
* Implement core pipeline components such as schema validation, transformation orchestration, error handling, and audit logging.
* Support batch and streaming ingestion flows, ensuring the platform meets varying latency and volume requirements across business units.
* Ensure traceability, lineage, and security through integration with control plane and governance systems.
* Participate in code reviews, design sessions, and incident resolution—promoting high standards for code quality and operational reliability.
****What You Bring****
* B.Sc. in Computer Science, Engineering, or related technical field; M.Sc. a plus but not required.
* \+4 years of experience as a software or data engineer, ideally in high\-volume or distributed systems environments.
* Strong programming skills in Python, Java, Scala, or another systems\-focused language.
* Experience with data integration and ingestion pipelines—you understand what it means to bring data in from source systems, transform it, and deliver it reliably downstream.
* Solid grasp of engineering fundamentals, including version control, modular design, testing, and performance tuning.
* Familiarity with concepts like schema evolution, event\-driven architectures, observability, and role\-based access control.
* A collaborative mindset—comfortable working across domains, products, and infrastructure layers.
* A strong sense of ownership and accountability—you care deeply about building systems that last.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$120,000\.00 \- $160,000\.00</t>
        </is>
      </c>
    </row>
    <row r="8">
      <c r="A8" t="inlineStr">
        <is>
          <t>li-4355309514</t>
        </is>
      </c>
      <c r="B8" t="inlineStr">
        <is>
          <t>Senior Software Engineer - Agentic AI Platform</t>
        </is>
      </c>
      <c r="C8" t="inlineStr">
        <is>
          <t>P-1 AI</t>
        </is>
      </c>
      <c r="D8" t="inlineStr">
        <is>
          <t>linkedin</t>
        </is>
      </c>
      <c r="E8" t="inlineStr"/>
      <c r="F8" t="inlineStr"/>
      <c r="G8" t="inlineStr"/>
      <c r="H8" t="inlineStr"/>
      <c r="I8" t="inlineStr">
        <is>
          <t>**About P\-1 AI**
 We are building an engineering AGI. We founded P\-1 AI with the conviction that the greatest impact of artificial intelligence will be on the built world. Our first product is Archie, an AI engineer capable of quantitative intuition over physical product domains and engineering tool use. Archie initially performs at the level of an entry\-level design engineer but rapidly gets smarter and more capable. We aim to put an Archie on every engineering team at every industrial company on earth.
 Our founding team includes the top minds in deep learning, model\-based engineering, and industries that are our customers. We closed a $23 million seed round led by Radical Ventures that includes a number of other AI and industrial luminaries (from OpenAI, DeepMind, etc.).
**About The Role**
 We’re a small team tackling an ambitious problem. At the core of our solution is an intelligent, agentic platform that acts as a tireless teammate which can perform all of the same actions that human engineers can, from developing an intuition about the company’s products and the physics at play in their design, to accessing and using information systems, to decomposing performance requirements and developing them into design solutions. Archie must be scalable, responsive, and competent, and must also be deployable within the corporate networks of our customers so that he can see their most valuable information and do his job well.
 Our Senior SWE for the Agentic AI Platform will design and implement solutions for these challenges, which range from classic distributed systems, integration, and security work, to robustly implementing advanced intelligence features developed by our AI research team. Ownership comes by default, but as Archie becomes more sophisticated we also have potential growth into technical leadership for specific specialty areas.
 This role can be either remote (based in US or Canada and with existing work authorization) or based in our San Mateo Bay Area office. If you are remote, you should plan to spend one week out of six co\-working with the rest of the company in our San Mateo office. We will support relocation for candidates interested in moving to the Bay Area.
**Why This Role**
 This role is where AI meets reality. Every user that works with Archie will be using features and capabilities that you have built, no matter the industry or context.
**What You’ll Do**
* Work with our team to understand our Archie capability roadmap and decompose capabilities into technical development.
* Turn capability prototypes and PoCs from our AI research team into robust, scalable implementations.
* Diagnose and solve technical problems identified by our team or users.
* Develop and act on automated platform tests, including traditional software testing, agentic AI evals, and infrastructure.
* Improve Archie’s scalability and robustness through system architecture design and implementation.
**Who You Are**
* You’ve consistently taken technical ownership of production\-grade software.
* You’re experienced with application development in Python.
* You’ve built and implemented data models and database interactions.
* You develop an obsession with understanding your users’ goals and incorporating this knowledge into your solutions.
* Take pride in developing quality code and practices.
* Are aggressively seeking ways to use AI better in your own workflows.
**Our Values**
**Mission obsession \&amp; urgency** 
 : We are obsessed with building engineering AGI as quickly as possible. We also recognize that as a startup, speed is our most precious competitive advantage. We are constantly asking ourselves what we can do to go faster. We make tradeoffs and sacrifices (personally and in the workplace) in exchange for speed.
**Intellectual excellence \&amp; curiosity** 
 : We ask “what if?” and experiment liberally. We always look for better ways of doing something. We read voraciously. We challenge each other to be better. We surround ourselves with A players and we actively and unapologetically reject B players (and even B\+ players⸺because they tend to surround themselves with C players).
**Shipping discipline:** 
 We treat production with respect. We test and demo our product constantly. We listen attentively to our customers, users, and stakeholders, and we respect our commitments to them. We also respect our commitments to each other and will go the extra mile (or ten or one hundred) to honor them.
**Ownership:** 
 We all have significant ownership stakes in the company and operate in founder mode. We believe in hierarchical requirements but not in hierarchical information flows. If we see that something is broken or can be done better, we flag it and we fix it. We encourage each other to play with and fix anything and everything... but there’s a clear owner for everything.
**Interview Process**
* Initial screening call (30 mins)
* Biographical/behavioural interview (45 mins)
* Technical interview (60 mins)
* CEO interview (30 mins)
**Compensation**
 Salary: $200k \- $250k.
 This role includes a significant equity component. We are an early\-stage startup, so we favor equity over cash in our current compensation philosophy. This role is best suited for candidates who value long\-term ownership and impact over short\-term cash optimization. Our benefits include healthcare, dental, and vision insurance, 401k with employer matching, unlimited PTO.</t>
        </is>
      </c>
    </row>
    <row r="9">
      <c r="A9" t="inlineStr">
        <is>
          <t>li-4366177324</t>
        </is>
      </c>
      <c r="B9" t="inlineStr">
        <is>
          <t>Full Stack Engineer</t>
        </is>
      </c>
      <c r="C9" t="inlineStr">
        <is>
          <t>Stripe</t>
        </is>
      </c>
      <c r="D9" t="inlineStr">
        <is>
          <t>linkedin</t>
        </is>
      </c>
      <c r="E9" t="inlineStr"/>
      <c r="F9" t="inlineStr"/>
      <c r="G9" t="inlineStr"/>
      <c r="H9" t="inlineStr"/>
      <c r="I9" t="inlineStr">
        <is>
          <t>**About The Company**
 Stripe is a leading financial infrastructure platform dedicated to empowering businesses worldwide. Serving millions of companies, from the largest global enterprises to innovative startups, Stripe provides the tools necessary to accept payments, expand revenue streams, and accelerate business growth. Our mission is to increase the GDP of the internet by creating seamless and scalable financial solutions that facilitate commerce and economic activity globally. With a focus on innovation and reliability, Stripe is committed to building a more inclusive and accessible internet economy, offering an unprecedented opportunity for professionals to contribute to transformative projects that impact the global economy.
**About The Role**
 We are seeking experienced Full Stack Engineers to join our Developer Experience and Product Platform (DEeP) organization. In this role, you will be instrumental in building and maintaining scalable, reliable, and secure software services and platforms that serve thousands of Stripe employees, developers, partners, and end\-users. Your work will directly influence the developer experience across Stripe’s suite of products, enabling rapid delivery of high\-quality, cross\-product experiences through our UI and API surfaces. This position offers the flexibility of working either remotely or from an office location, with a focus on fostering collaboration, innovation, and technical excellence. As a key member of our team, you will shape future\-proof interfaces, make strategic technical decisions, and troubleshoot complex production issues, all while contributing to a culture of continuous improvement and technical mastery.
**Qualifications**
* 2\-12\+ years of industry software engineering experience (excluding internships and co\-ops)
* Proficiency in one or more programming languages (language\-agnostic interview process)
* Strong collaboration and communication skills
* Ability to work autonomously with a high degree of responsibility
* Interest in working across multiple technologies and stacks to solve complex problems
* Experience in building scalable, secure, and reliable platforms or services
* Familiarity with modern development practices and tools
* Desire to contribute to a fast\-paced, innovative environment
**Responsibilities**
* Ensure the reliability, scalability, security, and extensibility of our platforms
* Design and shape intuitive, future\-proof user interfaces that are easy to build with
* Make strategic tradeoffs considering business priorities, user experience, and technical sustainability
* Lead technical discussions and contribute to sound decision\-making across teams
* Debug and resolve production issues across various services and levels of the technology stack
* Collaborate with cross\-functional teams to deliver high\-quality features and improvements
* Stay current with industry trends and incorporate best practices into our development processes
**Benefits**
* Competitive salary range with potential for bonuses and equity options
* Comprehensive health, dental, and vision insurance plans
* Retirement savings plan (401(k))
* Wellness stipends and support for work\-life balance
* Opportunities for professional development and career growth
* Flexible work arrangements, including remote work options
* Participation in a culture that values diversity, inclusion, and innovation
 Equal Opportunity
 Stripe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sexual orientation, age, disability, or any other protected characteristic. All qualified applicants will receive consideration for employment without regard to these factors.</t>
        </is>
      </c>
    </row>
    <row r="10">
      <c r="A10" t="inlineStr">
        <is>
          <t>li-4366187409</t>
        </is>
      </c>
      <c r="B10" t="inlineStr">
        <is>
          <t>Software Engineer</t>
        </is>
      </c>
      <c r="C10" t="inlineStr">
        <is>
          <t>Zolo Carbon Smartech</t>
        </is>
      </c>
      <c r="D10" t="inlineStr">
        <is>
          <t>linkedin</t>
        </is>
      </c>
      <c r="E10" t="inlineStr"/>
      <c r="F10" t="inlineStr"/>
      <c r="G10" t="inlineStr">
        <is>
          <t>Louisville, CO</t>
        </is>
      </c>
      <c r="H10" t="inlineStr"/>
      <c r="I10" t="inlineStr">
        <is>
          <t>* Location:\*\* Louisville, CO
* Job Type:\*\* Full\-time
* Base Salary:\*\* $110,000 \- $140,000 commensurate with experience
 \*\*About Us\*\*
 Zolo Carbon Smartech is a global technology company delivering real\-time combustion insight to energy\-intensive industries such as steel, refining, petrochemicals, and power generation. Our laser\-based monitoring systems operate in demanding industrial environments, turning previously invisible combustion conditions into actionable intelligence that improves safety, efficiency, reliability, and environmental performance.
 We build long\-lifecycle, mission\-critical systems deployed worldwide. Our work sits at the intersection of hardware, software, and real\-world industrial operations, and we value engineers who are thoughtful, collaborative, and disciplined in how they build and maintain reliable systems.
 \*\*Position Overview\*\*
 We are seeking a \*\*Software Engineer\*\* to join our Engineering \&amp; Technology team. In this role, you will contribute to the development, testing, and maintenance of software that supports Zolo's combustion monitoring platforms.
 You will work closely with other engineers and cross\-functional teams to implement and support software that interfaces with hardware, instrumentation, and deployed systems. The focus of this role is on building reliable, production\-ready software and supporting ongoing product improvements.
 This is not a pure web or consumer software role. It is well suited for engineers interested in systems\-oriented development and hardware\-adjacent software, working primarily from an office or hybrid environment.
 \*\*What You'll Work On\*\*
* Software supporting laser\-based combustion monitoring systems used in industrial applications
* Internal and customer\-facing tools for data acquisition, diagnostics, configuration, and testing
* Software components that interface with sensors, instruments, and hardware subsystems
* Iterative improvements informed by testing, service feedback, and product priorities
 \*\*Key Responsibilities\*\*
 \*\*Core Engineering Responsibilities\*\*
* Develop, test, and maintain reliable software components following established design and coding practices.
* Implement software features and enhancements based on defined requirements and design guidance.
* Contribute to documentation and testing to support long\-term maintainability.
 \*\*Systems \&amp; Cross\-Functional Collaboration\*\*
* Work closely with hardware engineers, systems integration, service, and production teams to support integrated solutions.
* Assist with hardware\-\-software integration and internal validation efforts.
* Participate in code and design reviews as a contributor.
 \*\*Operational Support\*\*
* Support investigation and resolution of software issues identified in deployed systems, primarily through log analysis, diagnostics, and internal tools.
* Provide technical input to service and support teams as needed.
* Incorporate operational feedback into software updates and refinements.
 \*\*Engineering Practices \&amp; Growth\*\*
* Write clear, maintainable, and well\-documented code.
* Follow established development standards and contribute to continuous improvement of tools and practices.
* Grow technical skills through collaboration with more experienced engineers and exposure to real\-world systems.
 \*\*Qualifications\*\*
 \*\*Required\*\*
* Bachelor's or Master's degree in Computer Science, Software Engineering, or a related field.
* Approximately 5\+ years of professional software development experience.
* Solid understanding of object\-oriented programming and software design principles.
* Proficiency in at least one programming language commonly used in industrial or scientific systems (e.g., Python, C\#, Java, and LabVIEW
* Experience with versi n control systems (e.g., Git).
* Strong problem\-solving skills and attention to detail.
* Ability to work independently on assigned tasks while collaborating effectively with a team.
* Clear written and verbal communication skills.
 \*\*Nice to Have\*\*
* Experience with LabVIEW or similar instrumentation\-focused environments.
* Familiarity with databases (SQL or NoSQL) and API integrations.
* Exposure to front\-end frameworks used for internal tools or operator interfaces (e.g., React, Angular).
* Familiarity with cloud platforms (e.g., AWS, Azure) in hybrid or on\-prem environments.
* Experience with containerization (Docker), CI/CD pipelines, or automated testing frameworks.
 \*\*Location\*\*
 This role is based in \*\*Louisville, CO\*\*.
 Travel is \*\*not expected\*\* and would be limited to rare, planned occasions if needed.
 \*\*What We Offer\*\*
* Competitive salary and benefits package with potential for annual performance bonuses
* Flexible hybrid work arrangements
* Opportunity to work on meaningful industrial technology used in real\-world operations
* Collaborative, supportive engineering culture
* Professional development and growth opportunities
 \*\*How to Apply\*\*
 Interested candidates should send their resume and a brief cover letter describing their interest and relevant experience to \*\*careers@zolotech.com.\*\*
 Please include \*\*"Software Engineer Application"\*\* in the subject line.
 Zolo Carbon Smartech is an equal opportunity employer. We celebrate diversity and are committed to creating an inclusive environment for all employees.</t>
        </is>
      </c>
    </row>
    <row r="11">
      <c r="A11" t="inlineStr">
        <is>
          <t>li-4321436941</t>
        </is>
      </c>
      <c r="B11" t="inlineStr">
        <is>
          <t>Software Developer</t>
        </is>
      </c>
      <c r="C11" t="inlineStr">
        <is>
          <t>Adapt Forward</t>
        </is>
      </c>
      <c r="D11" t="inlineStr">
        <is>
          <t>linkedin</t>
        </is>
      </c>
      <c r="E11" t="inlineStr"/>
      <c r="F11" t="inlineStr"/>
      <c r="G11" t="inlineStr">
        <is>
          <t>North Charleston, SC</t>
        </is>
      </c>
      <c r="H11" t="inlineStr"/>
      <c r="I11" t="inlineStr">
        <is>
          <t>**Developer III, Software Developer
 Charleston, SC
 Top Secret Clearance Required**
**Position Description**
 As a Software Developer, you will be a member of a development team that provides an application used for triaging active, cybersecurity incidents and facilitating rapid response for risk mitigation. You will build and deploy specialized scripts and applications for security response measures.
**Position Requirements And Duties**
* Building custom tools/scripts to fill gaps in existing security stacks.
* Designing least\-privilege models and enforcing zero\-trust principles.
* Identifying vulnerabilities early in the software lifecycle.
* Developing efficient software features to a variety of applications
* Ensuring that the developing codebase is conforming to best practices in regard to coding standards, form validation (both on front\-end and server\-side), placement and flow of business logic, etc.
* Container building and deployment
**Minimum Qualifications**
* US Citizen
* At least 6 years of experience developing innovative web applications
* At least 6 years of experience in Python (Other OOP language considered) and JavaScript/Typescript
* At least 6 years of experience in HTML5, CSS3, and SQL
* At least 6 years of experience developing in a Linux environment
* Experience using version control systems; SVN, GIT, or other equivalent experience
* Demonstrable documentation and communication skills
**Desired Qualifications**
* Experience using version control systems; SVN, GIT, or other equivalent experience
* Demonstrable documentation and communication skills
* Proficiency in languages like Python, Go, Java, JavaScript/Typescript, or Bash for automation and tool integration.
* Experience with GitLab CI, Jenkins, GitHub Actions; Gitlab CICD preferred
* Experience developing custom applications for SIEM tools (Splunk, Elastic, ELK, Datadog) and alerting systems.
* Experience developing custom applications for vulnerability scanning and penetration testing tools
* Familiarity with Docker, Kubernetes, and securing containerized environments.
* Experience building secure containers for custom software/applications
* Cybersecurity Experience
* Experience developing in a LAMP stack environment
* Experience with Modern Web Framework (React/Vue/Angular)
* Experience with SQL Databases
* Full\-stack development experience
* Experience with RESTful design principles
* Test\-Driven Development experience as well as Unit Testing
* Agile development experience
* Master's degree in Computer Science, Software development or related field
* Linux System Administration and hardening
* Experience in Terraform, Ansible, or CloudFormation with a focus on securing configurations.
**Certifications**
* IAT II
**Company Overview**
 Adapt Forward is a cybersecurity solutions provider for some of the nation’s most valuable information systems. Leveraging advanced threat assessment technology and experience in building high\-level information security infrastructure, we develop adaptive solutions uniquely tailored to our customers’ business objectives to protect sensitive data against sophisticated threats in an increasingly complex security environment.
**Summary Of Benefits**
* Comprehensive Physical Wellness Package, including Medical, Dental, Vision Care, plus Flexible Spending Accounts for health\- and dependent\-care are included in our standard benefits plan.
* 401k Retirement Plan with Matching Contribution is immediately available and vested.
* Annual Training Budget to be used for conference attendance, school enrollment, certification programs, and associated travel expenses.
* Eleven Federal Holidays, plus three weeks of PTO/vacation/sick leave that accrues at a rate of ten hours per month.
* Employee Assistance Program: Counseling/legal assistance and other employee well\-being programs are also offered.
**Equal opportunity employer as to all protected groups, including protected veterans and individuals with disabilities.**
**Adapt Forward’s Veteran/Disability Affirmative Action Plan narrative section is available for inspection upon request during normal business hours at the Human Resources office and may be requested by contacting Human Resources at HR@adaptforward.com.**
 Powered by JazzHR</t>
        </is>
      </c>
    </row>
    <row r="12">
      <c r="A12" t="inlineStr">
        <is>
          <t>li-4366180573</t>
        </is>
      </c>
      <c r="B12" t="inlineStr">
        <is>
          <t>Senior Robotics Software Engineer</t>
        </is>
      </c>
      <c r="C12" t="inlineStr">
        <is>
          <t>Agility Robotics</t>
        </is>
      </c>
      <c r="D12" t="inlineStr">
        <is>
          <t>linkedin</t>
        </is>
      </c>
      <c r="E12" t="inlineStr"/>
      <c r="F12" t="inlineStr"/>
      <c r="G12" t="inlineStr">
        <is>
          <t>San Francisco, CA</t>
        </is>
      </c>
      <c r="H12" t="inlineStr"/>
      <c r="I12" t="inlineStr">
        <is>
          <t>Agility Robotics is a pioneer. Our robot, Digit, is the first to be sold into workplaces across the globe. Our team is differentiated by its expertise in imagining, engineering, and delivering robots with advanced mobility, dexterity, intelligence, and efficiency \-\- robots specifically designed to work alongside people, in spaces built for people. Every day, we break through engineering challenges and invent new solutions and capabilities that will one day make robots commonplace and approachable. This work is our passion and our responsibility: our mission is to make businesses more productive and people's lives more fulfilling.
**About the Role**
 We are looking for a Senior Robotics Software Engineer to lead the design and development of robot behaviors that expand and generalize our humanoid robot's real\-world capabilities. In this role, you will own behavior design end\-to\-end, from high\-level task logic and system design down to on\-robot validation and deployment. You will work at the intersection of behavior planning, motion planning, and manipulation, developing new autonomy capabilities and pushing the robot into new classes of tasks. This is a highly hands\-on role for someone who enjoys designing complex behavior systems, working closely with motion planners and hardware, and seeing new capabilities come to life on real robots.
**Key Responsibilities**
* Own the design and implementation of complex robot behaviors.
* Lead behavior planning and execution design, including task decomposition, control flow, and failure handling.
* Develop new autonomy capabilities that expand what the robot can reliably do in the real world.
* Work closely with motion planning, controls, and perception engineers to integrate behaviors with underlying systems.
* Design and implement new behaviors end\-to\-end, from initial concept through deployment.
* Develop and evaluate new manipulation strategies for novel tasks, objects, and environments.
* Support the integration of new end effectors, tools, and hardware capabilities into the behavior stack.
* Generalize behaviors across tasks, object types, and environments to reduce custom logic.
* Define what "production\-ready" means for new behaviors and drive the validation strategy to meet reliability goals.
* Debug complex system\-level failures using logs, replay, and on\-robot experimentation.
* Mentor junior engineers and contribute to technical direction and best practices within the team.
**About You**
* B.S., M.S., or Ph.D. in Robotics, Computer Science, or a related field.
* 5\+ years of professional experience developing robotics software, autonomy systems, or robot behaviors (or equivalent experience through advanced degrees and hands\-on research).
* Strong proficiency in Python; comfortable contributing to large, long\-lived codebases.
* Solid experience working in Linux\-based development environments.
* Hands\-on experience designing robot behaviors, task planners, or autonomy systems.
* Experience with behavior trees, state machines, task planners, or similar behavior\-planning frameworks.
* Experience with motion planning and behavior planning for robots or other autonomous systems, with a strong understanding of how these systems interact.
* Experience working with complex algorithms and data pipelines, with an ability to optimize for performance, robustness, and scalability.
* Strong system\-level understanding of how motion planning, perception, and control interact on real robots.
* Comfortable designing autonomy systems that operate under uncertainty and recover from failure.
* Experience collaborating across perception, planning, controls, and hardware teams.
* Comfortable operating at the system\-design level while still being hands\-on with implementation and on\-robot testing.
* Strong ownership mindset with a focus on robustness, generalization, and real\-world reliability.
**Bonus Points**
* Experience developing manipulation strategies for complex or unstructured environments.
* Experience integrating new hardware capabilities (e.g., end effectors, sensors, tools) into autonomous systems.
* Experience deploying and supporting autonomous robots in real customer environments.
* Prior experience mentoring engineers or leading technical initiatives.
**Full\-time Employees are eligible for Benefits:** 
* **401(k) Plan:** 
 Includes a 6% company match.
* **Equity:** 
 Company stock options.
* **Insurance Coverage:** 
 100% company\-paid medical, dental, vision, and short/long\-term disability insurance for employees.
* **Benefit Start Date:** 
 Eligible for benefits on your first day of employment.
* **Well\-Being Support:** 
 Employee Assistance Program (EAP).
* **Time Off:**
+ **Exempt Employees:** 
 Flexible, unlimited PTO and 10 company holidays, including a winter shutdown.
+ **Non\-Exempt Employees:** 
 10 vacation days, paid sick leave, and 10 company holidays, including a winter shutdown, annually.
* **On\-Site Perks:** 
 Catered lunches four times a week and a variety of healthy snacks and refreshments at our Salem and Pittsburgh locations.
* **Parental Leave:** 
 Generous paid parental leave programs.
* **Work Environment:** 
 A culture that supports flexible work arrangements.
* **Growth Opportunities:** 
 Professional development and tuition reimbursement programs.
* **Relocation Assistance:** 
 Provided for eligible roles.
 All of our roles are U.S.\-based. Applicants must have current authorization to work in the United States.
 Agility Robotics is committed to a work environment in which all individuals are treated with respect and dignity. Each individual has the right to work in a professional atmosphere that promotes equal employment opportunities and prohibits unlawful discriminatory practices, including harassment. Therefore, it is the policy of Agility Robotics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Agility Robotics prohibits any such discrimination or harassment.
**Agility Robotics does not accept unsolicited referrals from third\-party recruiting agencies. We prioritize direct applicants and encourage all qualified candidates to apply directly through our careers page. If you are represented by a third party, your application may not be considered. To ensure full consideration, please apply directly.**
 Apply Now: https://grnh.se/b444bbd04us</t>
        </is>
      </c>
    </row>
    <row r="13">
      <c r="A13" t="inlineStr">
        <is>
          <t>li-4366171970</t>
        </is>
      </c>
      <c r="B13" t="inlineStr">
        <is>
          <t>Fullstack Engineer</t>
        </is>
      </c>
      <c r="C13" t="inlineStr">
        <is>
          <t>TailorMed</t>
        </is>
      </c>
      <c r="D13" t="inlineStr">
        <is>
          <t>linkedin</t>
        </is>
      </c>
      <c r="E13" t="inlineStr"/>
      <c r="F13" t="inlineStr"/>
      <c r="G13" t="inlineStr">
        <is>
          <t>New York, NY</t>
        </is>
      </c>
      <c r="H13" t="inlineStr"/>
      <c r="I13" t="inlineStr">
        <is>
          <t>**Join Us at TailorMed – Transforming Healthcare Affordability**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For that we are looking for highly talented engineers to join our journey.
 Responsibilities:
* You’ll work with a modern stack (Node.js, AWS, and other leading technologies) and use AI\-assisted development tools to boost productivity, code quality, and delivery.
* Implement solutions in AWS cloud environment.
* Learn new technologies and enrich other team members.
* Perform code reviews, evaluate implementations, and provide feedback about potential tool improvements.
* You will onboard into the world of medical treatments, health insurances, health funds and donation programs and build a system that will remove a barrier between the patient and the best medical treatment they should receive.
 Requirements:
* Bachelor's in Computer Science or equivalent
* Proven experience leveraging AI\-assisted development tools to enhance productivity, code quality, and development velocity
* Solid experience and passion for software engineering
* 4\+ years of Web Development (React/Node.js Advantage)
* Proficiency with Cloud Services (AWS, Azure, Google Cloud or others)
* Knowledge in architecture and design of scalable and high performance complex distributed systems \- advantage
* Strong analytical thinking, systematic problem\-solving skills
* Attention to details and high coding standards
* Ability to work independently and as part of a team, in a dynamic environment
* Excellent communication skills</t>
        </is>
      </c>
    </row>
    <row r="14">
      <c r="A14" t="inlineStr">
        <is>
          <t>li-4365846038</t>
        </is>
      </c>
      <c r="B14" t="inlineStr">
        <is>
          <t>Software Engineer</t>
        </is>
      </c>
      <c r="C14" t="inlineStr">
        <is>
          <t>Snowflake Studio™</t>
        </is>
      </c>
      <c r="D14" t="inlineStr">
        <is>
          <t>linkedin</t>
        </is>
      </c>
      <c r="E14" t="inlineStr"/>
      <c r="F14" t="inlineStr"/>
      <c r="G14" t="inlineStr">
        <is>
          <t>Los Angeles, CA</t>
        </is>
      </c>
      <c r="H14" t="inlineStr"/>
      <c r="I14" t="inlineStr">
        <is>
          <t>Snowflake Studios is a fast\-growing digital agency based in Los Angeles. We work with ambitious companies to design and build custom software, web platforms, and product experiences that scale. Our team is made up of builders, thinkers, and problem\-solvers who care deeply about quality and collaboration.
 We’re looking for a Software Engineer to join our team and contribute to a wide range of client and internal projects. You’ll be working alongside designers, developers, and strategists to ship polished, scalable products for early\-stage startups and established brands.
**What you’ll do:** 
* Build and maintain full\-stack applications using modern frameworks
* Write clean, efficient, and testable code
* Collaborate with cross\-functional teams on product direction and execution
* Contribute to code reviews, architecture, and best practices
* Stay up to date with emerging tools and technologies
**What we’re looking for:** 
* 2–5\+ years of software engineering experience
* Strong knowledge of JavaScript, React, Node.js, or similar
* Experience building APIs (REST or GraphQL)
* Familiarity with modern deployment tools (Vercel, AWS, Firebase, etc.)
* Clear communicator who thrives in collaborative environments
**Nice to have:** 
* Experience with headless CMSs, Webflow, or Next.js
* Background in product, UX, or early\-stage startups
* Interest in working with creative teams and solving open\-ended problems
**Role details:** 
* Remote\-first; core collaboration hours are 9am–3pm PT (flexible outside that)
* Contract\-to\-hire or full\-time depending on fit
* Salary range: $90,000–$120,000/year (DOE)
* LA\-based candidates preferred but not required
 If you’re interested in working with a small, sharp team building real products for real people, let’s talk.</t>
        </is>
      </c>
    </row>
    <row r="15">
      <c r="A15" t="inlineStr">
        <is>
          <t>li-4366177326</t>
        </is>
      </c>
      <c r="B15" t="inlineStr">
        <is>
          <t>Backend Software Engineer</t>
        </is>
      </c>
      <c r="C15" t="inlineStr">
        <is>
          <t>Docker, Inc</t>
        </is>
      </c>
      <c r="D15" t="inlineStr">
        <is>
          <t>linkedin</t>
        </is>
      </c>
      <c r="E15" t="inlineStr"/>
      <c r="F15" t="inlineStr"/>
      <c r="G15" t="inlineStr"/>
      <c r="H15" t="inlineStr"/>
      <c r="I15" t="inlineStr">
        <is>
          <t>**About The Company** 
 Docker is a leading technology company dedicated to simplifying application development and deployment. Our mission is to enable developers worldwide to focus on creating innovative solutions by providing powerful, reliable, and easy\-to\-use containerization tools. With a remote\-first approach, our global team collaborates seamlessly across borders to deliver exceptional developer experiences. Docker boasts over 20 million monthly users and has facilitated more than 20 billion image pulls, establishing itself as the industry’s top platform for building, sharing, and running applications. As we continue to grow rapidly, we remain committed to fostering an inclusive, innovative environment where talent and passion drive success.
**About The Role** 
 We are seeking a highly skilled Staff Backend Engineer to join our Supply Chain Security group. This team is pioneering a comprehensive, developer\-centric approach to securing the software supply chain, from initial development to production deployment. The ideal candidate will possess extensive experience in building and managing large\-scale backend services, with a strong emphasis on security and policy enforcement. In this role, you will collaborate closely with product managers, designers, and fellow engineers to enhance Docker’s registry and SaaS offerings, ensuring they are secure, scalable, and user\-friendly. Your contributions will directly impact how developers worldwide deliver containers more efficiently and securely, shaping the future of container security and supply chain integrity.
**Qualifications** 
* 5\+ years of experience in building, deploying, and monitoring microservices within cloud environments such as AWS, Azure, or GCP.
* Proficiency in modern programming languages, primarily Go.
* Strong knowledge of relational and non\-relational databases, especially in high\-volume scenarios.
* Solid understanding of software engineering best practices including code reviews, source control, CI/CD pipelines, and testing methodologies.
* Experience working autonomously within distributed, remote teams.
* Hands\-on experience with infrastructure security, policy enforcement, or compliance frameworks such as SLSA, SOC 2, or FedRAMP is a plus.
**Responsibilities** 
* Develop, deploy, and monitor microservices and serverless components in AWS to support scalable infrastructure.
* Build and enhance automation tooling, including GitHub Actions, Argo CD, and Grafana dashboards, to streamline operations.
* Tackle high\-performance engineering challenges to ensure efficient and secure delivery of container images and associated metadata.
* Design and implement security and compliance policies across the entire delivery pipeline to safeguard the software supply chain.
* Collaboratively own the security posture and developer experience related to secure container images, ensuring best practices are followed.
* Engage in continuous improvement of infrastructure, security protocols, and operational processes to support organizational goals.
**Benefits** 
* Flexible work arrangements with a focus on work\-life balance, including designated quarterly Whaleness Days and an end\-of\-year break.
* Home office setup support to ensure comfort while working remotely.
* Generous paid parental leave policy, offering up to 16 weeks of paid time off.
* Monthly technology stipend valued at $100 to support remote work needs.
* Encouragement and support for taking PTO to pursue personal interests and relaxation.
* Training stipends for attending conferences, courses, and professional development programs.
* Equity participation, allowing employees to share in the company's growth and success.
* Company swag and branded merchandise to foster team spirit.
* Comprehensive health benefits, retirement plans, and holiday policies that vary by country.
 Equal Opportunity
 Docker is committed to fostering an inclusive and diverse workplace. We believe that a variety of perspectives and backgrounds enrich our company culture and drive innovation. We provide equal employment opportunities regardless of race, gender, ethnicity, sexual orientation, disability, or background.</t>
        </is>
      </c>
    </row>
    <row r="16">
      <c r="A16" t="inlineStr">
        <is>
          <t>li-4293023724</t>
        </is>
      </c>
      <c r="B16" t="inlineStr">
        <is>
          <t>Software Engineer II, Backend</t>
        </is>
      </c>
      <c r="C16" t="inlineStr">
        <is>
          <t>Included Health</t>
        </is>
      </c>
      <c r="D16" t="inlineStr">
        <is>
          <t>linkedin</t>
        </is>
      </c>
      <c r="E16" t="inlineStr"/>
      <c r="F16" t="inlineStr"/>
      <c r="G16" t="inlineStr"/>
      <c r="H16" t="inlineStr"/>
      <c r="I16" t="inlineStr">
        <is>
          <t>**The Role**
 We are seeking a Backend Software Engineer to join our growing Engineering team to help develop our internal suite of products in a fast, accessible, and intuitive way. You will closely partner with our Product and Design along with Care and Clinical teams on application design, user experience, developer workflows, deployment strategies, and testing of the applications.
**Qualifications**
* You have professional experience in building and maintaining consumer grade web applications, suggested 3\+ years experience.
* You are an exceptional problem solver utilizing first\-principles thinking.
* You have strong programming skills, CS fundamentals, and a track record of implementing highly reliable software. A formal CS degree is not required.
* You consider yourself a high growth individual, continuously looking to recognize growth areas and improve in both technical and non\-technical skills.
* Experience in our current technologies is a bonus: Go, GraphQL, Docker, or AWS
**Responsibilities**
* Partner with product managers to lead the technical planning of member experience improvements.
* Design systems that span multiple services to allow consistent, fast, clean data flow.
* Swiftly address any issues and invest in resolutions that improve the product's reliability going forward.
* Participate in and influence technical decisions of the wider Applications Engineering team.
* Promote software engineering best practices across teams.
 The United States new hire base salary target ranges for this full\-time position are:
 Zone A: $118,640\.00 \- $167,580\.00 \+ equity \+ benefits
 Zone B: $136,436\.00 \- $192,720\.00 \+ equity \+ benefits
 Zone C: $148,300\.00 \- $209,480\.00 \+ equity \+ benefits
 Zone D: $154,232\.00 \- $217,850\.00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the successful candidate will depend on several job\-related factors, unique to each candidate, which may include, but not limited to, education; training; skill set; years and depth of experience; certifications and licensure; business needs; internal peer equity; organizational considerations; and alignment with geographic and market data. Compensation structures and ranges are tailored to each zone's unique market conditions to ensure that all employees receive fair and competitive compensation based on their roles and locations.
 *Your Recruiter can share details of your geographic alignment upon inquiry.*
 In addition to receiving a competitive base salary, the compensation package may include, depending on the role, the following:
 Remote\-first culture
 401(k) savings plan through Fidelity
 Comprehensive medical, vision, and dental coverage through multiple medical plan options (including disability insurance)
 Full suite of Included Health telemedicine (e.g. behavioral health, urgent care, etc.) and health care navigation products and services offered at no cost for employees and dependents
 Generous Paid Time Off ("PTO") and Discretionary Time Off (“DTO")
 12 weeks of 100% Paid Parental leave
 Up to $25,000 Fertility and Family Building Benefit
 Compassionate Leave (paid leave for employees who experience a failed pregnancy, surrogacy, adoption or fertility treatment)
 11 Holidays Paid with one Floating Paid Holiday
 Work\-From\-Home reimbursement to support team collaboration and effective home office work
 24 hours of Paid Volunteer Time Off (“VTO”) Per Year to Volunteer with Charitable Organizations
*Your recruiter will share more about the specific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is>
      </c>
    </row>
    <row r="17">
      <c r="A17" t="inlineStr">
        <is>
          <t>li-4321519429</t>
        </is>
      </c>
      <c r="B17" t="inlineStr">
        <is>
          <t>Software Engineer I</t>
        </is>
      </c>
      <c r="C17" t="inlineStr">
        <is>
          <t>Continuous</t>
        </is>
      </c>
      <c r="D17" t="inlineStr">
        <is>
          <t>linkedin</t>
        </is>
      </c>
      <c r="E17" t="inlineStr"/>
      <c r="F17" t="inlineStr"/>
      <c r="G17" t="inlineStr"/>
      <c r="H17" t="inlineStr"/>
      <c r="I17" t="inlineStr">
        <is>
          <t>**Our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 Deliver production\-ready software that meets business, customer, and security requirements.
* Increase engineering velocity through effective use of AI tooling and strong development practices.
* Maintain and improve code quality, testing coverage, and system reliability.
* Collaborate across Engineering, Product, QA, and Support to deliver integrated solutions.
* Reduce defects and operational friction through proactive testing, debugging, and documentation.
**How You’ll Get There**
 In your first Month:
* Ramp up on Continuous’ products, architecture, and development standards.
* Set up local development environments, CI/CD workflows, and AI coding assistants.
* Review existing codebases, documentation, and testing strategies.
* Begin contributing small, well\-scoped code changes with guidance from senior engineers.
**In Your First 3 Months**
* Deliver end\-to\-end features or enhancements using a combination of various technologies including: React/TypeScript, .NET, C\#, ASP.net, or Python.
* Write clean, testable, and well\-documented code aligned with team standards.
* Actively participate in code reviews and incorporate feedback.
* Use AI\-assisted development tools to improve speed and quality of delivery.
* Collaborate with QA on testing, bug verification, and release readiness.
**In Your First 6 Months**
* Own moderately complex features within a designated product area.
* Contribute to architectural discussions and technical design reviews.
* Improve test coverage through unit and integration tests.
* Assist Customer Support as an escalation point for technical issues.
* Proactively identify opportunities to improve codebase performance, reliability, or maintainability.
**At 9 Months**
* Consistently deliver high\-quality features with minimal supervision.
* Contribute to learning discussions with peers on effective AI tooling usage and development best practices.
* Lead small technical initiatives or refactors that improve team efficiency.
* Demonstrate strong ownership of code quality, testing, and documentation.
*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 The opportunity to grow as an engineer in a modern, AI\-forward development environment.
* Real ownership over meaningful product features used by financial institutions.
* Exposure to scalable, production\-grade systems and cloud\-based architectures.
* A collaborative, remote\-first culture that values learning and mentorship.
*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We show our true self – our whole self – every day. We unlock our teams’ potential by unlocking our own and each other’s potential. There is only one you and we want to see YOU every day.
**Be Collaborative** 
 – We unite for a common cause. We are in pursuit of the best idea – not our own idea. As a remote company, we must collaborate and communicate to make a difference – an impact. We do this for our teams and for our customers.
**Be Determined** 
 – Giving up is not in our nature. We are smart people who solve tough problems. We have a bias toward action. We strive for great outcomes. We achieve our goals. We deliver success for customers, ourselves, and each other.
**Work Environment And Physical Requirements**
 This is a remote position performed primarily in a home office setting. The role is sedentary and involves prolonged use of a computer and other digital tools.
**Essential Physical Activities:** 
 \- Sitting for extended periods \- Frequent use of near vision for computer work \- Speaking and hearing for virtual meetings \- Occasional walking or standing during travel or events \- Ability to lift up to 10 lbs occasionally (e.g., carrying a laptop or materials)
**Travel Requirements:** 
 Up to 5%
**EEO/AAP For Protected Veterans And Individuals With Disabilities**
 Continuous is an equal opportunity employer and is committed to affirmative action in support of its policy to extend equal employment opportunity to all applicants and employees. All employment decisions are based on business needs, job requirements, and individual qualifications, without regard to race, color, religion, sex, sexual orientation, gender identity or expression, pregnancy, age, national origin, disability, genetic information, protected veteran status, or any other status protected by applicable law.
 Continuous is committed to working with and providing reasonable accommodations to individuals with disabilities and protected veterans. If you need assistance or an accommodation due to a disability, you may contact us at accommodations@continuous.com.
**SECURITY NOTICE: Continuous participates in E\-Verify. Continuous will not ask you to transfer money or purchase Bitcoin as part of our recruitment process. If you encounter a request of this nature, please report it immediately.**</t>
        </is>
      </c>
    </row>
    <row r="18">
      <c r="A18" t="inlineStr">
        <is>
          <t>li-4281655988</t>
        </is>
      </c>
      <c r="B18" t="inlineStr">
        <is>
          <t>Backend Software Engineer - All Levels</t>
        </is>
      </c>
      <c r="C18" t="inlineStr">
        <is>
          <t>Credit Karma</t>
        </is>
      </c>
      <c r="D18" t="inlineStr">
        <is>
          <t>linkedin</t>
        </is>
      </c>
      <c r="E18" t="inlineStr"/>
      <c r="F18" t="inlineStr"/>
      <c r="G18" t="inlineStr">
        <is>
          <t>Charlotte, NC</t>
        </is>
      </c>
      <c r="H18" t="inlineStr"/>
      <c r="I18"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As a backend software engineer on our engineering team, you'll get to lead a growing team at Credit Karma that works across various verticals (home, auto, personal loans, and credit cards). You'll impact a platform that is responsible for handling millions of members accessing their Credit Karma accounts, including registration, login, SMS 2FA, and account recovery.  Further, y
 ou’ll help build product experiences that guide our members through the most challenging financial decision of their lifetime: buying their dream home. From finding a realtor, understanding loan options, and applying to get pre\-approved, we help our members every step of the way. There is an enormous opportunity to build things at scale, move fast, and have a high impact across many different products, including our Core product, Auto, Mortgage and Assets.
**What you’ll do:** 
* Contribute to our core services and data aggregation layer; meeting our need for scale, quality, and rapid iteration
* Build out high quality integrations with other internal services leveraging Credit Karma’s rich financial data set
* Work closely with our external partners to acquire new data to enrich our core user experience
* Develop automation throughout our stack; through our build \&amp; deployment processes, testing, monitoring, data pipeline, and beyond
* Work with front\-end developers to complete end\-to\-end solutions and iterate rapidly as we experiment and learn
* Willingness to learn new skills as our product and technology footprint grows
**What’s great about the role:** 
* Join an engineering team that is experiencing explosive growth and we are actively growing the team to improve and expand our product portfolio
* We are solving BIG problems that are fundamentally changing old industries
* Opportunity to meaningfully improve the lives of our members
* Fast\-paced environment that operates like a ‘start\-up’ within Credit Karma
**Minimum Basic Requirements:** 
* Proficient in Scala or Java with solid foundation in object\-oriented or functional programming, design patterns, algorithms, and system architecture.
 We code primarily in Scala, so you’ll be excited to either ramp or continue with such!
* Experience in microservices architecture, messaging patterns, and deployment models
* Experience in API design and building robust and extendable client/server contracts
**Preferred Qualifications:** 
* Proficient in Scala, Java, or Typescript
* Experience with Kafka, RabbitMQ, Amazon SQS or similar data messaging platform
* Experience building highly integrated, large\-scale, high\-volume, and testable systems
* Experience with Kubernetes and containers technologies
* Ability to mentor and coach other team members
* A solid foundation in OOP, design patterns, algorithms, programming languages, networking and Linux operating systems.
* Expert understanding of web application internals and scalability at any tier.
* Proficiency in SQL, relational database schema design and ORM technologies \&amp; concepts.
* Strong understanding of deployment strategies and production infrastructure needs.
* Strong communication and leadership abilities.
* Experience with Agile/Scrum practices.
* Bachelor’s or Masters degree in Computer Science, Engineering, Computer Information Systems, Mathematics, Physics, or a related field or software development training program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19">
      <c r="A19" t="inlineStr">
        <is>
          <t>li-4366170051</t>
        </is>
      </c>
      <c r="B19" t="inlineStr">
        <is>
          <t>Senior Software Engineer</t>
        </is>
      </c>
      <c r="C19" t="inlineStr">
        <is>
          <t>SOPHiA GENETICS</t>
        </is>
      </c>
      <c r="D19" t="inlineStr">
        <is>
          <t>linkedin</t>
        </is>
      </c>
      <c r="E19" t="inlineStr"/>
      <c r="F19" t="inlineStr"/>
      <c r="G19" t="inlineStr">
        <is>
          <t>Boston, MA</t>
        </is>
      </c>
      <c r="H19" t="inlineStr"/>
      <c r="I19" t="inlineStr">
        <is>
          <t>Are you an experienced Software Engineer with a passion for building and improving scalable, high\-performance systems? Are you looking for a team that embraces fresh ideas, encourages an agile approach, and ensures your voice is heard and your contributions truly make an impact?
 If this sounds like you and you are driven by purpose, join the SOPHiA GENETICS Software Engineering team as our new
 **Senior Software Engineer** 
 , and enable us to make a positive impact on the outcomes for cancer and rare disease patients worldwide.
*This is a hybrid opportunity, requiring 3 days onsite our corporate office in Rolle, CH.*
**Our Mission**
 We believe there is a smarter, more data\-driven way to make decisions in healthcare and our cloud\-native AI powered SOPHiA DDM Platform makes that vision a reality on a daily basis. You will have direct input to our mission to democratize data\-driven medicine for the ultimate benefit of cancer and rare disease patients across the globe.
**Your Mission**
 As our
 **Senior Software Engineer** 
 , you will be responsible for developing, optimizing, and continuously improving core systems, while contributing to technical initiatives and ensuring solutions meet both business and technical requirements. The components you'll work on and own are essential to SOPHiA GENETICS' DDM operations and enable integration with external hospital systems, unlocking the potential for processing of medical data into insights for oncologists at high volumes. These components span the technology stack and enable AI algorithms processing medical data to have a real\-world impact via a robust and scalable architecture. Your expertise will ensure these components not only scale effectively but also remain efficient in terms of performance and cost, while maintaining overall system health. By implementing cutting edge clinical diagnostic workflows through system integrations at prominent healthcare institutions, you will have direct impact on the acceleration of progress of healthcare.
**The value you bring**
**System Development \&amp; Improvement/ Maintenance:**
* Design, develop, and continuously improve robust services and workflows that are scalable and efficient
* Implement enhancements based on evolving business and technical requirements
* Ensure components are seamlessly integrated and perform reliably under workloads
* Optimize system performance, resource utilization, and task execution times
**New Feature Development:**
* Interact with internal and external stakeholders to understand and refine requirements
* Develop and implement new features and components to support changing business needs
* Set up smart fully automated tests covering all use cases and requirements for long term maintainability
**Deployment \&amp; Infrastructure Automation:**
* Optimize deployment workflows, automate pipelines, and enhance infrastructure management for efficient and reliable application deployment
* Contribute to improvements in system stability, minimizing downtime and ensuring seamless rollouts
**Monitoring \&amp; Observability:**
* Implement and maintain monitoring systems to track performance and identify bottlenecks
* Use observability tools like Grafana and Loki to improve system reliability and provide insights into operational health
**Requirements**
* Proficiency in Java for backend service engineering
* Extensive experience working on large\-scale systems with microservice architecture
* Experience with React.js or other modern web UI development framework
* Experience in optimization of system performance, managing resources effectively and improving execution time \- especially when dealing with very large data volumes
* Proficiency with databases like MySQL, MariaDB, and DuckDB, including design and query optimization
* Familiarity with Linux environments and GitLab for version control and CI/CD pipelines
* Experience with scalable architecture, particularly in cloud environments and containerized infrastructure
* Familiarity with monitoring and observability tools like Grafana and Loki
* Experience in Micronaut for developing microservices and backend solutions is a strong plus
* Experience with HL7 / FHIR protocols for healthcare interoperability is a strong plus
* Work experience in a direct customer facing role is a strong plus
* Knowledge of Kafka is a plus
* Experience in genomics is beneficial
**Benefits**
 You will be joining an organization with the patient at the heart of every decision and action, driven by purpose as we pursue exponential growth.
 Business recognition and accolades include:
* World's most innovative companies (Top 10\)
* World's smartest companies (Top 50\)
* 100 Best Places to Work in Boston
* Top 10 European Tech Startup
* Top 10 European biotechs startup to watch
* Top 25 East\-Coast Biotech to watch
 Our benefits package is comprehensive, but varies internationally in\-line with local standards and laws. You can discuss a full breakdown with us, but as a brief overview:
* Sickness and Accident coverage through Helsana
* Meal Vouchers at 90CHF PM with our partner cafeteria
* A fun and engaging work environment, with Rest \&amp; Entertainment space, full stocked free coffee machine and free fruit/snacks
* Free parking in an easy to access location
* A strong social committee whose purpose is to make SOPHiA GENETICs both enjoyable as well as rewarding
* As our global HQ, you'll have direct interaction and exposure to senior leadership and our executive team locally
**Our DNA**
 Like the strands of DNA itself, SOPHiA GENETICS and the team are deeply interconnected and reliant on each other to deliver. There are common threads across the team. Things that bind us together. Those things are Relentless Curious; Resilient \&amp; Nimble and Fearlessly Adventurous
**Our Virtues**
 At SOPHiA GENETICS we established our 7 Virtues to clarify how our principles show up each day through action. We Decide; We Do; We Collaborate; We Innovate; We Empower; We Adapt and We Learn.
 At the centre of our Virtues is our Mantra, We Care, which provides a constant reminder of the compassionate, benevolent, and hopeful nature of our mission and how it should be threaded through each of our Virtues and everything we do. Learn more about our DNA and Virtues on our Careers portal
**The Process**
 We use the power of AI to help our partners make decisions. If you're utilising AI in your search and application process, why not use some of these prompts, or read our AI guide.
 ‘What impact can I expect to have on the world by working at SOPHiA GENETICS?'
 ‘I have an interview with SOPHiA GENETICS. What should I know before I meet with them?'
 ‘I am a \*job title\* \- What can SOPHiA GENETICS offer my career?'
 Apply now with your CV and any supporting information.
 Suitably qualified candidates will be invited through an interview and screening process where you will speak with members of our Talent Acquisition Team, the hiring leader alongside key colleagues and stakeholders from across the business. If you need additional support for accessibility, please contact our TA team for assistance.
*We appreciate the value external partners can bring, but we operate a direct\-hiring model and we are not looking to utilize agency support at this time. All hiring is controlled by Talent Acquisition, potential partners should liaise through TA and not our hiring teams please.*
 Starting Date: ASAP
 Location: Rolle, CH
 Contract: Permanent</t>
        </is>
      </c>
    </row>
    <row r="20">
      <c r="A20" t="inlineStr">
        <is>
          <t>li-4302477597</t>
        </is>
      </c>
      <c r="B20" t="inlineStr">
        <is>
          <t>Software Engineer, Storage</t>
        </is>
      </c>
      <c r="C20" t="inlineStr">
        <is>
          <t>Glean</t>
        </is>
      </c>
      <c r="D20" t="inlineStr">
        <is>
          <t>linkedin</t>
        </is>
      </c>
      <c r="E20" t="inlineStr"/>
      <c r="F20" t="inlineStr"/>
      <c r="G20" t="inlineStr"/>
      <c r="H20" t="inlineStr"/>
      <c r="I20"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seeking a Backend/Infrastructure Engineer to build and evolve the Storage layer that powers a highly available, performant, secure, and cost\-effective suite of storage options for all data at Glean.
 You’ll own the storage systems that handle Glean’s most sensitive data — from enterprise documents and permission hierarchies to user behavioral signals and real\-time query path data. Your work will directly enable organizations at scale to discover and act on their critical knowledge, supporting millions of searches, chat interactions, and agent workflows.
 You’ll deliver robust uptime guarantees, autoscaling, and reliable alerting/monitoring for a key component that runs across multiple cloud providers. As part of the Storage team, you’ll be responsible for a critical piece of Glean’s infrastructure, working closely with several other teams to support their workloads.
 You’ll also work across the stack to abstract cloud differences, reduce human intervention through self\-healing systems, and drive real business impact by enabling Glean’s ever\-growing scale.
**You Will**
* Own impactful infrastructure problems from inception and architecture to production launch
* Write well thought out design documents and robust, high\-quality and well\-tested code
* Work collaboratively with a strong team to identify the most impactful projects we should be prioritizing in our roadmap
* Mentor more junior engineers or learn from battle tested ones
**You Are**
* 3\+ years of experience
* BA/BS in computer science, or related degree
* Experience working on infrastructure for distributed systems or cloud\-native applications
* Experience with storage systems (e.g., databases, object stores, or distributed file systems)
**Key Knowledge And Skills**
* Thrive in a customer\-focused, tight\-nit and cross\-functional environment \- being a team player and willing to take on whatever is most impactful for the company is a must
* A proactive and positive attitude to lead, learn, troubleshoot and take ownership of both small tasks and large features
* Strong coding skills (for example in Go/Python/Java/C\+\+ etc) with an emphasis on designing for reliability and scale, and writing well\-tested components
* Familiarity with cloud native development practices in GCP/AWS/Azure is a plus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1">
      <c r="A21" t="inlineStr">
        <is>
          <t>li-4355216643</t>
        </is>
      </c>
      <c r="B21" t="inlineStr">
        <is>
          <t>Senior Software Engineer</t>
        </is>
      </c>
      <c r="C21" t="inlineStr">
        <is>
          <t>Compass</t>
        </is>
      </c>
      <c r="D21" t="inlineStr">
        <is>
          <t>linkedin</t>
        </is>
      </c>
      <c r="E21" t="inlineStr"/>
      <c r="F21" t="inlineStr"/>
      <c r="G21" t="inlineStr">
        <is>
          <t>New York, United States</t>
        </is>
      </c>
      <c r="H21" t="inlineStr"/>
      <c r="I21"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Search Backend team is at the heart of the Compass Engineering organization, driving the search capabilities across our suite of real estate tools. This team is responsible for ingesting listing data and providing it through REST APIs that serve various front\-end components on our website and mobile apps, as well as other Backend services which rely on listing search results. Their work encompasses everything from finding and paginating listings to sorting, clustering, and boosting search results, both in list and map views.
 We're creating a cutting\-edge platform to introduce numerous game\-changing products and features for real estate agents. Joining the Search Backend team means playing a pivotal role in enhancing an already impressive product. You'll contribute to platform development, improving search quality, enhancing accuracy, boosting performance, and optimizing costs.
 As an engineer on the Search Backend team, you’ll work on both infrastructure\-focused and product\-facing projects. You’ll contribute to areas like real\-time search APIs, relevance tuning, and interactive map\-based search experiences. The ideal candidate combines backend engineering depth with curiosity about the product experience.
**At Compass, You Will**
* Build, develop, and scale the platform that empowers real estate professionals, buyers, and sellers.
* Become a domain expert in real estate technology, serving as an empathetic partner to our customers.
* Optimize performance and cost of listing ingestion and retrieval pipelines.
* Collaborate cross\-functionally to build new search experiences across mobile and web.
* Inspire, recruit, and mentor fellow engineers, and contribute to a culture of technical excellence and learning.
* Operate within a scalable engineering culture that leverages modern principles of distributed systems and automated CI/CD/testing/monitoring to drive efficiency.
**What We Look For**
* BS or MS in CS or EE, or equivalent.
* A track record as a technical leader with teamwide impact.
* 4\+ years of experience developing comprehensive, well\-tested, and high\-performance search applications.
* 4\+ years of programming experience in languages such as Java, Python, and Go (we utilize all three at Compass).
* Experience designing and extending large\-scale search systems, including RESTful APIs, microservice architectures, data ingestion methods, and search methodologies.
* Experience in fine\-tuning performance and using data to optimize end\-to\-end latency and system behavior.
* Understanding and adherence to industry\-standard best practices in software development and architecture.
* In\-depth knowledge and hands\-on experience with Elasticsearch/OpenSearch.
* Familiarity with AWS services, including Elasticsearch/OpenSearch, EKS, S3, Redis, Lambda, and MSK.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22">
      <c r="A22" t="inlineStr">
        <is>
          <t>li-4366188250</t>
        </is>
      </c>
      <c r="B22" t="inlineStr">
        <is>
          <t>Senior Backend Engineer</t>
        </is>
      </c>
      <c r="C22" t="inlineStr">
        <is>
          <t>UpRecruit</t>
        </is>
      </c>
      <c r="D22" t="inlineStr">
        <is>
          <t>linkedin</t>
        </is>
      </c>
      <c r="E22" t="inlineStr"/>
      <c r="F22" t="inlineStr"/>
      <c r="G22" t="inlineStr"/>
      <c r="H22" t="inlineStr"/>
      <c r="I22" t="inlineStr">
        <is>
          <t>**Senior Backend Engineer — Core Trading Systems** 
**$175k–$250k base \+ equity** 
 New York, NY (Hybrid)
 The Opportunity
 We’re hiring a
 **Senior Backend Engineer** 
 to help build the core trading infrastructure for a next\-generation, real\-time prediction marketplace. Backed by top\-tier venture capital and prominent operators, this early\-stage company is applying
 **exchange\-grade engineering principles** 
 to a massive, fast\-growing sports market.
 Today’s sports betting landscape is dominated by centralized operators with poor pricing, latency issues, and opaque practices. This team is building a
 **commission\-free, peer\-to\-peer trading platform** 
 that lets users interact directly with the market — no house, no hidden margins.
 This is a
 **foundational engineering role** 
 focused on designing and scaling the systems that power real\-time markets.
**What You’ll Work On** 
 Trading \&amp; Exchange Infrastructure
* Design and implement
 **deterministic state machines** 
 for matching, settlement, and market lifecycle flows
* Build and optimize
 **order books, matching logic, and market data pipelines**
* Architect
 **high\-throughput, low\-latency systems** 
 with strong correctness guarantees
* Implement
 **pre\-trade and at\-trade risk controls** 
 , session management, and order gateways
 Real\-Time Systems \&amp; Market Data
* Develop ingestion, distribution, and replay systems for real\-time market data
* Ensure strict ordering, idempotency, and consistency across distributed services
* Optimize hot paths using profiling, tracing, and performance tooling
 APIs \&amp; Platform Design
* Build
 **developer\-first APIs** 
 supporting both UI clients and algorithmic trading use cases
* Partner with frontend and product teams to deliver seamless, real\-time user experiences
* Contribute to architectural decisions that support scale, modularity, and regulatory evolution
 Reliability \&amp; Operations
* Collaborate with platform/SRE teams on observability, recovery, and failover strategies
* Participate in production debugging and operational readiness for real\-time systems
**What We’re Looking For** 
 We’re looking for engineers who are
 **deeply interested in trading systems, market structure, and distributed systems** 
 — people who enjoy working close to the metal and care deeply about performance and correctness.
**Requirements** 
* 4\+ years of backend engineering experience
* Strong proficiency in
 **Go, Rust, or C\+\+**
* Experience building
 **distributed, event\-driven, or real\-time systems**
* Solid understanding of
 **concurrency, ordering semantics, and consistency tradeoffs**
* Experience with relational databases (PostgreSQL preferred)
* Ability to operate autonomously in ambiguous, fast\-moving environments
* Strong communication and collaboration skills
**Nice to Have** 
* Experience with
 **matching engines, order books, market\-making, or trading platforms**
* Exposure to
 **Kafka, Redis, streaming systems, or low\-latency pipelines**
* Background in financial exchanges, prediction markets, or quant/trading environments
* Personal interest in sports, betting markets, or market microstructure
**Compensation \&amp; Benefits** 
* Top\-of\-market salary \+ meaningful equity
* 100% employer\-covered health insurance (90% dental \&amp; vision)
* 401(k) with up to 4% match
* HSA with annual employer contribution
* Daily food or commuter stipend
* Flexible PTO
* Hybrid\-friendly NYC office</t>
        </is>
      </c>
    </row>
    <row r="23">
      <c r="A23" t="inlineStr">
        <is>
          <t>li-4292973645</t>
        </is>
      </c>
      <c r="B23" t="inlineStr">
        <is>
          <t>Software Engineer - Systems Engineering</t>
        </is>
      </c>
      <c r="C23" t="inlineStr">
        <is>
          <t>Rubrik</t>
        </is>
      </c>
      <c r="D23" t="inlineStr">
        <is>
          <t>linkedin</t>
        </is>
      </c>
      <c r="E23" t="inlineStr"/>
      <c r="F23" t="inlineStr"/>
      <c r="G23" t="inlineStr">
        <is>
          <t>Palo Alto, CA</t>
        </is>
      </c>
      <c r="H23" t="inlineStr"/>
      <c r="I23" t="inlineStr">
        <is>
          <t>**About The Team**
 The Systems Engineering team within the Developer Platform organization is pivotal in ensuring the reliability and robustness of Rubrik's products. Our mission is to empower these products to excel in demanding use cases by rigorously focusing on key software reliability dimensions—stress, scale, longevity and resilience \- through close collaboration with product component teams, product management, and release managers to integrate reliability early and ensure high\-quality releases for our end customers.
**The Key Responsibility Of The Team Includes**
* Drive release reliability certification for Rubrik Cloud Data Management and Rubrik Security Cloud\-Private products.
* Architect and build scalable infrastructure and efficient pipelines for stress, scale and resilience/chaos testing.
* Develop and deploy simulators to optimize cost efficiency and accelerate testing.
* Enable Product teams with self\-service tools and infrastructure for their validation needs.
* Maintain and evolve long\-running, customer\-like environments to proactively identify potential issues.
**About The Role**
 As a Software Engineer in the Systems Engineering team at Rubrik, you will be developing tools, frameworks and services which will enable engineering teams to ensure reliability and robustness of Rubrik products. If you enjoy working with distributed systems, are curious to learn complex architectures and love tackling challenges then come join us! Rubrik Software engineers are self\-starters and driven. We believe in giving engineers responsibility, not tasks. Our goal is to motivate and challenge people to do their best work.
**What You’ll Do**
* Design \&amp; build infrastructure automation to enable on\-demand building of complex product deployments similar to customer deployments and system stress/performance pipelines
* Develop and enhance tools for monitoring, alerting and telemetry of customer\-like deployments.
* Develop solutions for auto\-triage and RCA of failures using AI technologies and self\-healing of errors
* Work with team members on detailed and constructive design and code reviews
**Experience You’ll Need**
* BS or MS in Computer science or related field with a minimum of 3\+ years of relevant work experience
* Strong knowledge of data structures, algorithms, and software design
* Solid programming skills in one or more programming languages (Python preferred)
* Ability to work collaboratively in a team environment, including quickly getting up to speed with new technologies.
* Building AI based applications/workflows using LLMs
* Working knowledge of virtualization, container technologies, storage, database, network
* Experience with Google Cloud Platform/AWS/Azure or other public cloud technologies
**Preferred Qualifications**
* Building high scale \&amp; performant products.
* Knowledge of CI/CD solutions like Jenkins, Ansible, ELK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$152,400—$228,700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24">
      <c r="A24" t="inlineStr">
        <is>
          <t>li-4291177800</t>
        </is>
      </c>
      <c r="B24" t="inlineStr">
        <is>
          <t>Backend Engineer, Platform</t>
        </is>
      </c>
      <c r="C24" t="inlineStr">
        <is>
          <t>Tailscale</t>
        </is>
      </c>
      <c r="D24" t="inlineStr">
        <is>
          <t>linkedin</t>
        </is>
      </c>
      <c r="E24" t="inlineStr"/>
      <c r="F24" t="inlineStr"/>
      <c r="G24" t="inlineStr"/>
      <c r="H24" t="inlineStr"/>
      <c r="I24"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 source client code and related backend services
* Take ownership of the entire product lifecycle, from writing code to product ideation and strategic decision\-making
* Work closely with UX/UI designers and product managers to shape features
 Because we’re an early\-stage and fully remote company, we’re looking for a strongly motivated individual who can help move the product forward. The ability to think on your feet, collaborate with highly technical teams, and comfort working asynchronously are essential.
**Key Responsibilities**
* Work as part of a team of engineers to design, build, test, and document core software components.
* Develop product features in areas that include our control plane, our relay infrastructure, and our identity integrations.
* Exhibit ownership over the running services that comprise Tailscale’s product by building for observability, participating in incident response, and fielding customer support escalations.
* Analyze and improve efficiency, scalability, and stability of various system resources.
* Bring a security\-first mindset to both design and implementation.
**What We Are Looking For**
* Experience with distributed systems
* Experience with one or more SQL databases
* Familiarity with authentication/authorization protocols and frameworks such as OAuth2, OIDC, SSO, and SAML
* Familiarity with networks (IP addressing, routing, etc.)
* Most of the non\-front\-end portions of the system are developed in the Go programming language. Experience with Go is a plus.
* Ability to give and process constructive feedback, as well as work independently
* Flexibility to adjust to the dynamic nature of a startup
* Excellent written and verbal communication skills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$163,000—$226,000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25">
      <c r="A25" t="inlineStr">
        <is>
          <t>li-4366181068</t>
        </is>
      </c>
      <c r="B25" t="inlineStr">
        <is>
          <t>Senior Software Engineer</t>
        </is>
      </c>
      <c r="C25" t="inlineStr">
        <is>
          <t>Montegallo.</t>
        </is>
      </c>
      <c r="D25" t="inlineStr">
        <is>
          <t>linkedin</t>
        </is>
      </c>
      <c r="E25" t="inlineStr"/>
      <c r="F25" t="inlineStr"/>
      <c r="G25" t="inlineStr"/>
      <c r="H25" t="inlineStr"/>
      <c r="I25" t="inlineStr">
        <is>
          <t>**Python/Data Consultant** 
 We’re seeking a mid\- to senior\-level Consultant based in Denver to design and build internal Python applications, automation workflows, and data pipelines. This role sits at the intersection of engineering, data, and operations—ideal for someone who enjoys turning complex, unstructured inputs into reliable, scalable systems.
 You’ll work in a startup environment where ambiguity is common, ownership is expected, and the impact of your work is immediately visible. This is a hybrid role with regular in\-person collaboration in Denver.
 What You’ll Do
* Design, build, and maintain automation workflows and data pipelines using Python, SQL, and orchestration tools
* Integrate with EMRs, CRMs, and third\-party APIs to automate business processes and system\-to\-system interactions
* Develop internal tools and operational dashboards
* Build and maintain web automation and data extraction solutions using Selenium and HTTPX
* Work closely with cross\-functional teams to translate business and operational requirements into technical solutions
* Produce clear documentation and participate in code reviews to ensure system quality, reliability, and maintainability
* Continuously improve performance, scalability, and robustness of internal applications
 What We’re Looking For
* 3–6\+ years of experience with Python in production environments
* Strong experience building automation workflows, internal tools, and data pipelines
* Solid SQL skills and experience working with relational databases
* Hands\-on experience integrating APIs and external systems
* Experience working with unstructured or semi\-structured data
* Comfortable operating in a startup or consulting\-style environment with evolving requirements
* Strong communication skills and ability to work across technical and non\-technical teams
 Nice to Have
* Experience with orchestration tools (e.g., Airflow, Prefect, Dagster)
* Familiarity with cloud platforms (AWS, GCP, or Azure)
* Experience supporting operational or analytics teams with internal tooling
* Background in data\-heavy domains or regulated environments
 Why Join
* Hybrid work model based in Denver
* High\-impact role with real ownership over internal systems
* Startup pace without excessive bureaucracy
* Opportunity to build foundational tools used daily across the organization
* Collaborative, pragmatic team focused on shipping useful solutions</t>
        </is>
      </c>
    </row>
    <row r="26">
      <c r="A26" t="inlineStr">
        <is>
          <t>li-4366147773</t>
        </is>
      </c>
      <c r="B26" t="inlineStr">
        <is>
          <t>Founding Backend Engineer</t>
        </is>
      </c>
      <c r="C26" t="inlineStr">
        <is>
          <t>Goliath Partners</t>
        </is>
      </c>
      <c r="D26" t="inlineStr">
        <is>
          <t>linkedin</t>
        </is>
      </c>
      <c r="E26" t="inlineStr"/>
      <c r="F26" t="inlineStr"/>
      <c r="G26" t="inlineStr">
        <is>
          <t>New York, NY</t>
        </is>
      </c>
      <c r="H26" t="inlineStr"/>
      <c r="I26" t="inlineStr">
        <is>
          <t>Goliath has retained an exclusive role with a
 **Revenue Generating**
 PreSeed firm with $4M in funding within a $5T premium lifestyle market. This company is building a next\-generation, AI\-driven lifestyle operating system designed for individuals operating at the very top of their fields — founders, elite performers, and creative leaders — to systematically maximize performance and decision\-making.
 The platform is backed by experienced operators and early investors with a history of building and exiting category\-defining consumer and technology businesses, alongside globally recognized athletes from top professional sports leagues. The team’s mission is to redefine what high\-performance living looks like in an AI\-native world, blending intelligence, personalization, and execution into a single operating layer.
 They're looking to bring in a
 **Founding Backend Engineer** 
 to join at a crucial time in the growth of this company. This is a chance to staple your name onto a product and company that is almost certain to have a strong ROI.
 Compensation can get close to $350k in cash with
 **Founding Equity** 
 on top.
 The culture being targeted here is someone who's sharp and been a part of a very early stage startup or built up own.
**Ideal Background:** 
* Hands\-on experience building and maintaining production\-grade systems.
* 3\+ years of backend/ full\-stack engineering experience with a focus on backend.
* Excited by startups, complex problem\-solving, and creating industry\-defining technology
* BS in Computer Science or similarly related field
**Required Tech Stack Exp** 
 Python, Django (Must be well versed), Distributed Job Queues, Infrastructure as Code.
 GCP, Cloud SQL, GKE, and Cloud Logging.
 This role will compensate
 **very** 
 competitively for a startup at their size. Compensation Package will include base ($250\-350k) \+ a extremely competitive equity portion.
 If this sounds exciting, please apply and Goliath Partners will be in touch!</t>
        </is>
      </c>
    </row>
    <row r="27">
      <c r="A27" t="inlineStr">
        <is>
          <t>li-4366178251</t>
        </is>
      </c>
      <c r="B27" t="inlineStr">
        <is>
          <t>Software Engineer</t>
        </is>
      </c>
      <c r="C27" t="inlineStr">
        <is>
          <t>Goliath Partners</t>
        </is>
      </c>
      <c r="D27" t="inlineStr">
        <is>
          <t>linkedin</t>
        </is>
      </c>
      <c r="E27" t="inlineStr"/>
      <c r="F27" t="inlineStr"/>
      <c r="G27" t="inlineStr"/>
      <c r="H27" t="inlineStr"/>
      <c r="I27"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Rust, Go, or C\#
 If you want to build fast, scalable systems where your work has real impact, this is the role.</t>
        </is>
      </c>
    </row>
    <row r="28">
      <c r="A28" t="inlineStr">
        <is>
          <t>li-4366142425</t>
        </is>
      </c>
      <c r="B28" t="inlineStr">
        <is>
          <t>Software Engineer</t>
        </is>
      </c>
      <c r="C28" t="inlineStr">
        <is>
          <t>Goliath Partners</t>
        </is>
      </c>
      <c r="D28" t="inlineStr">
        <is>
          <t>linkedin</t>
        </is>
      </c>
      <c r="E28" t="inlineStr"/>
      <c r="F28" t="inlineStr"/>
      <c r="G28" t="inlineStr"/>
      <c r="H28" t="inlineStr"/>
      <c r="I28"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29">
      <c r="A29" t="inlineStr">
        <is>
          <t>li-4366170780</t>
        </is>
      </c>
      <c r="B29" t="inlineStr">
        <is>
          <t>Software Engineer</t>
        </is>
      </c>
      <c r="C29" t="inlineStr">
        <is>
          <t>Tews Company</t>
        </is>
      </c>
      <c r="D29" t="inlineStr">
        <is>
          <t>linkedin</t>
        </is>
      </c>
      <c r="E29" t="inlineStr"/>
      <c r="F29" t="inlineStr"/>
      <c r="G29" t="inlineStr">
        <is>
          <t>Winter Garden, FL</t>
        </is>
      </c>
      <c r="H29" t="inlineStr"/>
      <c r="I29" t="inlineStr">
        <is>
          <t>**Job Description**
 TEWS is hiring for an exciting Software Engineer role in Greater Orlando. This is a full\-time, permanent position with a great client of ours.
**Position Description**
**Job Title:** 
 Senior Software Engineer
**Job Summary**
 The Senior Software Engineer will be responsible for designing, developing and supporting mission critical enterprise software systems and integrations. You will play a key role in architecting scalable microservices solutions that integrate seamlessly within a high\-performance environment. You will mentor junior resources, work collaboratively with cross\-functional business units and produce code that is modular, accurate, efficient and secure.
**Key Responsibilities**
* Translate business requirements into an overall solution of components and integrations.
* Write and test clean, maintainable and commented .NET code.
* Troubleshoot issues and correct defects. Enhance existing software from user requests.
* Perform upgrades as necessary and introduce new technologies.
* Develop console applications that will consume 3rd party APIs, translate the data and store in an Azure database.
* Publish the application to Azure and make sure it is secure.
* Act as a liaison between business units and IT teams, facilitating clear and effective communication to reduce misunderstandings.
* Lead meetings, workshops, and presentations that keep project teams informed and engaged.
* Ability to create and alter a database schema, perform ad\-hoc queries and build stored procedures and view.
* Build Power Apps and Power Automate flows using SharePoint or a Database as the backend data store.
* Mentor any junior resources on the team and foster a high\-performance culture.
* Lead discussions and provide solutions during team troubleshooting meetings.
* Any experience with PHP scripting or JDE ERP is desired.
**Qualifications**
* Education: Bachelor’s degree in Computer Science, Information Technology, or a related field.
* Experience: Proven expertise as a developer in an enterprise environment and has demonstrated experience in mentoring junior developers.
* Certifications: Certifications such as Microsoft Certified Solutions Developer (MCSD) or equivalent are highly desirable.
* Technical Proficiency:
* Strong skills in Microsoft stack, SQL and consuming third\- party APIs.
* Familiarity with ITSM frameworks and agile methodologies.
 \#zip</t>
        </is>
      </c>
    </row>
    <row r="30">
      <c r="A30" t="inlineStr">
        <is>
          <t>li-4354295361</t>
        </is>
      </c>
      <c r="B30" t="inlineStr">
        <is>
          <t>Full Stack Engineer</t>
        </is>
      </c>
      <c r="C30" t="inlineStr">
        <is>
          <t>BeaconFire Inc.</t>
        </is>
      </c>
      <c r="D30" t="inlineStr">
        <is>
          <t>linkedin</t>
        </is>
      </c>
      <c r="E30" t="inlineStr"/>
      <c r="F30" t="inlineStr"/>
      <c r="G30" t="inlineStr">
        <is>
          <t>Illinois, United States</t>
        </is>
      </c>
      <c r="H30" t="inlineStr"/>
      <c r="I3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1">
      <c r="A31" t="inlineStr">
        <is>
          <t>li-4355205440</t>
        </is>
      </c>
      <c r="B31" t="inlineStr">
        <is>
          <t>Associate Software Engineer</t>
        </is>
      </c>
      <c r="C31" t="inlineStr">
        <is>
          <t>BeaconFire Inc.</t>
        </is>
      </c>
      <c r="D31" t="inlineStr">
        <is>
          <t>linkedin</t>
        </is>
      </c>
      <c r="E31" t="inlineStr"/>
      <c r="F31" t="inlineStr"/>
      <c r="G31" t="inlineStr">
        <is>
          <t>Texas, United States</t>
        </is>
      </c>
      <c r="H31" t="inlineStr"/>
      <c r="I31" t="inlineStr">
        <is>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is>
      </c>
    </row>
    <row r="32">
      <c r="A32" t="inlineStr">
        <is>
          <t>li-4355322076</t>
        </is>
      </c>
      <c r="B32" t="inlineStr">
        <is>
          <t>Junior Software Engineer</t>
        </is>
      </c>
      <c r="C32" t="inlineStr">
        <is>
          <t>BeaconFire Inc.</t>
        </is>
      </c>
      <c r="D32" t="inlineStr">
        <is>
          <t>linkedin</t>
        </is>
      </c>
      <c r="E32" t="inlineStr"/>
      <c r="F32" t="inlineStr"/>
      <c r="G32" t="inlineStr">
        <is>
          <t>Massachusetts, United States</t>
        </is>
      </c>
      <c r="H32" t="inlineStr"/>
      <c r="I32"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3">
      <c r="A33" t="inlineStr">
        <is>
          <t>li-4309512223</t>
        </is>
      </c>
      <c r="B33" t="inlineStr">
        <is>
          <t>Software Engineer</t>
        </is>
      </c>
      <c r="C33" t="inlineStr">
        <is>
          <t>Compass</t>
        </is>
      </c>
      <c r="D33" t="inlineStr">
        <is>
          <t>linkedin</t>
        </is>
      </c>
      <c r="E33" t="inlineStr"/>
      <c r="F33" t="inlineStr"/>
      <c r="G33" t="inlineStr">
        <is>
          <t>Seattle, WA</t>
        </is>
      </c>
      <c r="H33" t="inlineStr"/>
      <c r="I33"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As one of the fastest\-growing technology companies in a massive industry, we're on a mission to build an exceptional engineering team and a transformative operating platform that will redefine real estate. We're seeking talented individuals to join us as we continue to grow our team.
 At Compass, we believe in fostering a diverse and inclusive community, ensuring that our place can be anyone's place. Our entrepreneurial principles spirit unites us, guiding our approach to the challenges ahead.
**About The Role**
 We are hiring for multiple roles in all areas of our platform and across the entire tech stack, from foundational infrastructure up to the user interface and everything in between. This is an exciting time for Compass as we continue expanding the end\-to\-end platform that will power real estate. As an engineer at Compass, you will have abundant opportunities to make tangible impacts, grow your career, and play a pivotal role in creating game\-changing products using cutting\-edge technology.
 We are looking for developers in the early stages of their engineering career who are enthusiastic about solving technical problems, learning about new and existing cloud\-based services, and honing their skills as an engineer in the AI\-driven era of technology. You should have a strong sense of ownership for your work, with a passion for learning and sharing your knowledge with others.
* This role requires in\-office presence in Seattle 3\-4 days per week during a minimum 3–6 month ramp\-up period, with flexibility for hybrid work thereafter, based on performance and business needs.
* Candidates must be available to begin full time no later than January, 2026 and interview locally in our Seattle office.
* Applicants must be authorized to work in the United States. At this time, we are unable to provide visa application sponsorship for this position.
**At Compass, You Will**
* Work with Senior Engineers to build, develop, and scale the variety of services that power our products.
* Utilize AI\-driven development tools and practices.
* Operate in a scalable engineering culture that leverages modern principles of decoupled systems and automated CI/CD/testing/monitoring to drive efficiencies.
* Work closely with Product, Design, and adjacent Engineering teams to deliver business critical features to our customers.
* Become a domain expert in real estate technology, with a deep understanding of our customers.
* Be self\-reflective, solutions\-driven, growth\-minded, and take part in an inclusive environment where we Collaborate Without Ego.
**What We Look For**
* BA/BS/MS in Computer Science or Computer/Electrical Engineering, or equivalent practical experience.
* Software engineering experience of 1\-2 year (relevant internship experience included)
* Experience programming in JavaScript, Java, C\#, Python, or Go for Web roles. Experience with Kotlin or Swift for Mobile roles.
* Experience with AI development tools such as Github Copilot, Claude Code, or Cursor is a plus.
* Experience working on public cloud platforms – AWS in particular – is a plus.
* Experience with one or more of these technologies is a plus: Elasticsearch/OpenSearch, Kubernetes, S3, Redis, Lambda, Kafka, and Databricks
* Excellent oral and written communication skills.
**Compensation:** 
 The base pay range for this position is $95K \- $105K salary;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If you're passionate about shaping the future of real estate technology and possess the skills and experience we're seeking, we encourage you to join our dynamic team at Compass. Together, we'll continue to transform the industry.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34">
      <c r="A34" t="inlineStr">
        <is>
          <t>li-4281658765</t>
        </is>
      </c>
      <c r="B34" t="inlineStr">
        <is>
          <t>Front End Software Engineer - All Levels</t>
        </is>
      </c>
      <c r="C34" t="inlineStr">
        <is>
          <t>Credit Karma</t>
        </is>
      </c>
      <c r="D34" t="inlineStr">
        <is>
          <t>linkedin</t>
        </is>
      </c>
      <c r="E34" t="inlineStr"/>
      <c r="F34" t="inlineStr"/>
      <c r="G34" t="inlineStr">
        <is>
          <t>Charlotte, NC</t>
        </is>
      </c>
      <c r="H34" t="inlineStr"/>
      <c r="I34"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As a front end software engineer on our product engineering team, you'll get to lead a growing team at Credit Karma that works across various verticals (home, auto, personal loans, and credit cards). You'll impact a platform that is responsible for handling millions of members accessing their Credit Karma accounts, including registration, login, SMS 2FA, and account recovery.  Further, y
 ou’ll help build product experiences that guide our members through the most challenging financial decision of their lifetime: buying their dream home. From finding a realtor, understanding loan options, and applying to get pre\-approved, we help our members every step of the way. There is an enormous opportunity to build things at scale, move fast, and have a high impact across many different products, including our Core product, Auto, Mortgage and Assets.
**What you’ll do:** 
* Develop features and improvements for the various consumer facing products at Credit Karma using React and Typescript
* Develop, maintain and advocate Frontend code quality standards and best practices. Teach and reinforce these principles through code review
* Solve technical problems of the highest scope and complexity for the team. Serve as a technical leader, resource, and mentor for the other members of the Frontend Engineering team
**What’s great about the role:** 
* Impact our business is experiencing explosive growth and we are actively growing the team to improve and expand our product portfolio
* We are solving BIG problems that are fundamentally changing old industries
* Opportunity to meaningfully improve the lives of our members
* Fast\-paced environment that operates like a ‘start\-up’ within Credit Karma
**Minimum Basic Requirements:** 
* Programming experience with a focus on front end development
* Experience in at least one relevant front\-end framework (React, Typescript, Node, JavaScript)
* Experience in microservices architecture, messaging patterns, and deployment models
* Experience in API design and building robust and extendable client/server contracts.
**Preferred Qualifications:** 
* Proficient in TypeScript
* Experience with GraphQL
* Ability to mentor, teach and coach early career team members
* Strong command of modern HTML and CSS
* A solid foundation in OOP, design patterns, algorithms, programming languages
* Experience with A/B testing
* Experience building highly integrated and testable systems
* Strong communication and leadership abilities.
* Experience with Agile/Scrum practices.
* Bachelor’s or Masters degree in Computer Science, Engineering, Computer Information Systems, Mathematics, Physics, or a related field or software development training program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 **GDPR Privacy Policy**
* **U.S. Job Applicant Privacy Notice**</t>
        </is>
      </c>
    </row>
    <row r="35">
      <c r="A35" t="inlineStr">
        <is>
          <t>li-4355265400</t>
        </is>
      </c>
      <c r="B35" t="inlineStr">
        <is>
          <t>Full Stack Engineer</t>
        </is>
      </c>
      <c r="C35" t="inlineStr">
        <is>
          <t>BeaconFire Inc.</t>
        </is>
      </c>
      <c r="D35" t="inlineStr">
        <is>
          <t>linkedin</t>
        </is>
      </c>
      <c r="E35" t="inlineStr"/>
      <c r="F35" t="inlineStr"/>
      <c r="G35" t="inlineStr">
        <is>
          <t>Ohio, United States</t>
        </is>
      </c>
      <c r="H35" t="inlineStr"/>
      <c r="I35"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6">
      <c r="A36" t="inlineStr">
        <is>
          <t>li-4366183197</t>
        </is>
      </c>
      <c r="B36" t="inlineStr">
        <is>
          <t>Software Developer (API, SQL)</t>
        </is>
      </c>
      <c r="C36" t="inlineStr">
        <is>
          <t>Jack Henry</t>
        </is>
      </c>
      <c r="D36" t="inlineStr">
        <is>
          <t>linkedin</t>
        </is>
      </c>
      <c r="E36" t="inlineStr"/>
      <c r="F36" t="inlineStr"/>
      <c r="G36" t="inlineStr"/>
      <c r="H36" t="inlineStr"/>
      <c r="I36" t="inlineStr">
        <is>
          <t>**About The Company** 
 At Jack Henry, we are more than just a technology provider; we are a catalyst for positive change within the financial services industry. Our mission is centered around delivering innovative, secure, and user\-centric solutions that empower community banks and credit unions to better serve their customers. We are committed to fostering a collaborative and inclusive environment where our associates can thrive and contribute to meaningful advancements in digital banking and payments. With a focus on people\-inspired innovation, we aim to redefine how financial institutions connect with their clients, ensuring seamless experiences that build trust and loyalty. Our dedication to excellence, purpose\-driven work, and community impact makes us a leader in the industry and a great place for talented professionals to grow and make a difference.
**About The Role** 
 We are seeking a Programmer to join our dynamic Banking Operations Support team. This role is vital in maintaining and enhancing our core banking products, including 20/20, SilverLake, and Core Director, primarily supporting RPG or iSeries/AS400 programming environments. The successful candidate will be responsible for providing technical support, troubleshooting, and fixing issues within our core applications to ensure optimal performance for our clients. This is a remote position, ideal for individuals residing within approximately a 70\-mile radius of our office locations in Allen, TX; Lenexa, KS; Springfield, MO; or Monett, MO. The role offers an exciting opportunity to work within small, focused teams while contributing to large\-scale projects that impact the financial industry. Candidates will engage in coding, debugging, testing, and documentation, playing a crucial role in delivering reliable and efficient solutions that support our clients’ operational needs.
**Qualifications** 
* Minimum of 18 months of programming or software development experience, either professionally or through educational projects
* Participation in an on\-call rotation, including nights and weekends
* Associate’s Degree or Bachelor’s Degree preferred
* Experience with RPG programming language
* Experience supporting or developing core banking systems
* Strong problem\-solving and debugging skills
* Excellent communication and customer support skills
* Ability to work independently and within small teams
* Proficiency in creating technical documentation and system requirements
**Responsibilities** 
* Develop programming code for new software features and enhancements based on client needs and specifications
* Design flowcharts, logic diagrams, and block diagrams to outline system processes
* Identify, troubleshoot, and resolve issues within existing codebases to maintain system stability and performance
* Conduct thorough testing of code changes to ensure quality and reliability
* Implement system conversions and deployment plans, ensuring smooth integration of new code into existing environments
* Provide ongoing programming support for various interfaces and integrations
* Maintain clear and comprehensive documentation of all programming activities and system changes
* Engage with clients to gather system requirements and provide technical guidance on system improvements
* Assist in project bidding and effort estimation as needed
* Participate in on\-call support to address urgent client issues outside regular hours
* Perform additional duties as assigned to support team and organizational goals
**Benefits** 
* Competitive salary and comprehensive benefits package
* Health, dental, and vision insurance coverage
* Retirement plans with company matching
* Paid time off and holidays
* Opportunities for professional growth and career advancement
* Remote work flexibility with potential onsite onboarding and interviews
* Supportive work environment emphasizing work\-life balance and associate wellbeing
* Participation in a culture that values inclusion, innovation, and community impact
 Equal Opportunity
 At Jack Henry, we are committed to fostering an inclusive and diverse workplace. We believe that a variety of perspectives and backgrounds enrich our culture and drive innovation. We are an equal opportunity employer and do not discriminate based on race, religion, color, national origin, gender, gender identity, sexual orientation, age, disability, veteran status, or any other protected characteristic.</t>
        </is>
      </c>
    </row>
    <row r="37">
      <c r="A37" t="inlineStr">
        <is>
          <t>li-4355960773</t>
        </is>
      </c>
      <c r="B37" t="inlineStr">
        <is>
          <t>Full Stack Engineer</t>
        </is>
      </c>
      <c r="C37" t="inlineStr">
        <is>
          <t>Stott and May</t>
        </is>
      </c>
      <c r="D37" t="inlineStr">
        <is>
          <t>linkedin</t>
        </is>
      </c>
      <c r="E37" t="inlineStr"/>
      <c r="F37" t="inlineStr"/>
      <c r="G37" t="inlineStr">
        <is>
          <t>Daleville, VA</t>
        </is>
      </c>
      <c r="H37" t="inlineStr"/>
      <c r="I37" t="inlineStr">
        <is>
          <t>**Senior Full Stack Developer (TypeScript, AWS, Vue/React)** 
**Location:** 
 US East Coast \| Hybrid –
 **Daleville, VA** 
**About the role:** 
 We’re looking for a Senior Full Stack Developer to join a fast\-growing team focused on building modern, scalable applications for data center technologies. This is a hands\-on role covering the full stack, from frontend to backend and cloud infrastructure, with opportunities to mentor others and influence architectural decisions.
**Responsibilities:** 
* Develop and maintain applications across the full software lifecycle
* Work across frontend, backend, databases, and AWS infrastructure
* Collaborate with stakeholders and engineers to translate requirements into solutions
* Conduct code reviews, maintain testing coverage, and support CI/CD pipelines
* Apply security best practices and ensure regulatory compliance
* Mentor junior developers and support knowledge sharing
**Requirements:** 
* 5\+ years software development experience, including full\-stack projects (≥40% frontend, ≥30% backend)
* Extensive TypeScript and web development experience
* Frontend experience with Vue (preferred) or React
* Experience with AWS, ideally serverless solutions
* Familiar with Git, CI/CD pipelines, APIs, microservices, and event\-driven architectures
* Based on the US East Coast and able to attend the office once per month
* Available for a final onsite interview in Daleville, VA
**Nice to have:** 
* Additional languages (Java, C\#, Python, Golang)
* DDD, CQRS, functional programming, TDD/BDD
* Product discovery or product\-led development experience
 If you are interested please email your CV to megan.seymour@stottandmay.com for immediate consideration</t>
        </is>
      </c>
    </row>
    <row r="38">
      <c r="A38" t="inlineStr">
        <is>
          <t>li-4354265549</t>
        </is>
      </c>
      <c r="B38" t="inlineStr">
        <is>
          <t>Java Full Stack Engineer</t>
        </is>
      </c>
      <c r="C38" t="inlineStr">
        <is>
          <t>BeaconFire Inc.</t>
        </is>
      </c>
      <c r="D38" t="inlineStr">
        <is>
          <t>linkedin</t>
        </is>
      </c>
      <c r="E38" t="inlineStr"/>
      <c r="F38" t="inlineStr"/>
      <c r="G38" t="inlineStr">
        <is>
          <t>New York, United States</t>
        </is>
      </c>
      <c r="H38" t="inlineStr"/>
      <c r="I38"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9">
      <c r="A39" t="inlineStr">
        <is>
          <t>li-4366164603</t>
        </is>
      </c>
      <c r="B39" t="inlineStr">
        <is>
          <t>Software Engineer</t>
        </is>
      </c>
      <c r="C39" t="inlineStr">
        <is>
          <t>Bear Cognition, Inc.</t>
        </is>
      </c>
      <c r="D39" t="inlineStr">
        <is>
          <t>linkedin</t>
        </is>
      </c>
      <c r="E39" t="inlineStr"/>
      <c r="F39" t="inlineStr"/>
      <c r="G39" t="inlineStr">
        <is>
          <t>North Charleston, SC</t>
        </is>
      </c>
      <c r="H39" t="inlineStr"/>
      <c r="I39" t="inlineStr">
        <is>
          <t>**Bear Cognition** 
 is a data and AI software firm that delivers intelligence systems that integrate data, enhance automation, and add reasoning layers to transform operational decision\-making. Our goal is to give organizations the ability to think, reason, and act at an exponentially greater level. Bear Cognition works in many different industries but has a strong presence in the Logistics space.
**Job Description:** 
 Lead the development and maintenance of internal and client\-facing web applications. This role will take ownership of our existing suite of Python Dash applications, as well as lead the development of new apps using Nuxt (Vue.js) and TypeScript. The engineer will work closely with data scientists to integrate ML models and workflows into robust, user\-friendly web interfaces. The ideal candidate is a full\-stack\-minded developer who thrives in a collaborative, fast\-paced environment and is passionate about building polished products that scale.
**\*
 *Please note that Bear Cognition currently does not sponsor any work visas* 
 \*** 
***\*Position is located in Charleston, SC\****
**Responsibilities:** 
* Maintain, optimize, and extend existing Python Dash applications
* Lead the design and development of new applications using Vue.js, Nuxt and TypeScript
* Work closely with DevOps and data engineering teams to ensure apps are performant, secure, and properly deployed
* Collaborate with data scientists to integrate machine learning models and workflows via APIs and shared services
* Write clean, modular, maintainable, and efficient code with best modern UI/UX practices
* Follow the software development lifecycle and adhere to industry best practices
* Participate in code reviews and ensure that all solutions align with best practices
* Troubleshoot and debug issues as they arise
**Requirements:** 
* Bachelor's degree in computer science or related field, and 3\+ years of relevant work experience
* Experience building web apps with Python, React, Flask and/or Dash
* Familiarity with REST APIs, FastAPI or Flask
* Solid experience developing with Vue.js, Nuxt, and TypeScript
* Experience building and maintaining SSR apps using Nuxt.js (v3\+)
* Experience with AWS services such as Lambda, S3, RDS, CloudFront, and CloudWatch
* Experience with Google Cloud Services such as Firebase, Cloud Run, Pub/Sub, etc.
* Strong understanding of application interface concepts such as RESTful API, Webhooks, and web sockets
* Strong experience with Git
* Strong understanding of database design, SQL and NoSQL
* Familiarity with containerization technologies such as Docker and Kubernetes
* Experience with testing frameworks such as Jest and Cypress
* Strong communication and problem\-solving skills
**Preferred:** 
* AWS certification completed
* Experience with Dash
* Experience with Vue v3\.x.x and Nuxt v3\.x.x
**We are committed to giving you:** 
 · A competitive starting base salary
 · Training and Ongoing support
 · Advancement opportunity
 · A comprehensive benefits package including medical, dental and vision coverage as well as the opportunity to participate in our 401(k) program
*Bear Cognition is an Equal Opportunity Employer. Bear Cognition strives to make employment decisions on the basis of merit, seeking the most qualified individuals in every job. All qualified applicants will receive consideration for employment without regard to race, color, religion, gender, pregnancy, gender identity or expression, sexual orientation, marital status, national origin or ancestry, genetics, disability, age, veteran status, or other status protected by law. All employment decisions will be based on valid job requirements or other legitimate, non\-discriminatory reasons. Bear Cognition offers reasonable accommodations for individuals with disabilities in the job application and hiring process. If you would like to request such an accommodation, please contact the Vice President of Human Resources for Bear Cognition.*</t>
        </is>
      </c>
    </row>
    <row r="40">
      <c r="A40" t="inlineStr">
        <is>
          <t>li-4355758154</t>
        </is>
      </c>
      <c r="B40" t="inlineStr">
        <is>
          <t>Junior Software Engineer - Up to $100k + Bonus + Package</t>
        </is>
      </c>
      <c r="C40" t="inlineStr">
        <is>
          <t>Hunter Bond</t>
        </is>
      </c>
      <c r="D40" t="inlineStr">
        <is>
          <t>linkedin</t>
        </is>
      </c>
      <c r="E40" t="inlineStr"/>
      <c r="F40" t="inlineStr"/>
      <c r="G40" t="inlineStr">
        <is>
          <t>Boston, MA</t>
        </is>
      </c>
      <c r="H40" t="inlineStr"/>
      <c r="I40" t="inlineStr">
        <is>
          <t>**Job Title:** 
 Junior Software Engineer \- Up to $100k \+ Bonus
**Client:** 
 Elite Tech Firm
**Experience Level:** 
 1\+ years'
**Salary:** 
 Up to $100k \+ Bonus \+ Package
**Location:** 
 Boston (Hybrid)
 An elite tech firm are searching for Software Developers to join a group of the highest\-regarded talent around!
 This team has an unlimited budget when it comes to technology, promotes a great culture, and is made up of incredible like\-minded individuals.
**Role**
* Building out high performance tools \- utilising cutting edge technology across a diverse range of greenfield projects
* Tech driven environment \- Java 23 and Python 3 used extensively!
* Direct involvement in the build out and recruitment of a growing team, as well as daily mentoring responsibilities
**Skills/Experience**
* Strong knowledge of Java or Python
* STEM degree \- strong computer science fundamentals (Preferred)</t>
        </is>
      </c>
    </row>
    <row r="41">
      <c r="A41" t="inlineStr">
        <is>
          <t>li-4366171375</t>
        </is>
      </c>
      <c r="B41" t="inlineStr">
        <is>
          <t>Software Engineer (Full-Stack)</t>
        </is>
      </c>
      <c r="C41" t="inlineStr">
        <is>
          <t>Jerry</t>
        </is>
      </c>
      <c r="D41" t="inlineStr">
        <is>
          <t>linkedin</t>
        </is>
      </c>
      <c r="E41" t="inlineStr"/>
      <c r="F41" t="inlineStr"/>
      <c r="G41" t="inlineStr"/>
      <c r="H41" t="inlineStr"/>
      <c r="I41" t="inlineStr">
        <is>
          <t>**About The Company** 
 Jerry.ai is a pioneering technology company dedicated to transforming the landscape of car ownership and management through innovative artificial intelligence and machine learning solutions. Established in 2017 and backed by over $240 million in funding, we have rapidly grown into a leader in the automotive super app industry. Our platform simplifies and automates the complex, often overwhelming tasks associated with owning a vehicle, including insurance, maintenance, safety, and financing. With over 5 million users and a 4\.7\-star rating in the App Store, Jerry.ai is committed to delivering exceptional value and convenience to consumers across the United States. Our mission is to reimagine the car ownership experience, making it more accessible, efficient, and personalized.
**About The Role** 
 We are seeking a talented and experienced Full Stack Engineer to join our dynamic engineering team. In this role, you will be instrumental in developing and refining automation systems that handle complex insurance servicing tasks, such as policy endorsements, cancellations, document uploads, and reinstatements. Your work will directly impact customer retention by improving renewals and ensuring users have optimal coverage. You will be involved in designing backend pipelines that synchronize customer data, deliver timely alerts, and support seamless re\-shopping experiences. The role offers the opportunity to work on high\-impact projects in a fast\-paced, innovative environment, collaborating asynchronously across global teams in North America and Asia. You will contribute to refactoring major parts of our codebase, building scalable systems, and setting the foundation for our next phase of growth.
**Qualifications** 
* Minimum of 5 years of full stack engineering experience in building production\-grade software
* Prior experience developing large\-scale distributed systems for consumer\-facing applications
* Strong foundations in data structures, algorithms, and systems design
* Proficiency in TypeScript, JavaScript, or similar languages
* Experience with backend frameworks such as Nest.js and Next.js
* Familiarity with frontend technologies including React and React Native
* Experience working with GraphQL APIs
* Knowledge of databases such as Postgres, DynamoDB, and Clickhouse
* Understanding of cloud infrastructure, particularly AWS, ECS/EKS, Lambda, and containerization
* Excellent problem\-solving skills and ability to break down ambiguous challenges into actionable solutions
* Strong ownership mindset with a focus on end\-to\-end system outcomes
* Effective communication skills and ability to collaborate asynchronously across time zones
* Curiosity and adaptability, with a passion for continuous learning and improvement
**Responsibilities** 
* Develop and maintain automation systems to streamline insurance servicing processes, including endorsements, cancellations, and document management
* Build backend business logic that adheres to complex insurance carrier rules to optimize policy management
* Design and implement backend data pipelines that sync customer policy data, deliver alerts, and support re\-shopping experiences
* Optimize internal tools to reduce agent intervention and improve operational efficiency
* Collaborate closely with product, data, and operations teams to anticipate customer churn and enhance retention strategies
* Contribute to the ongoing refactoring and scaling of our microservice architecture
* Implement best practices for API development, system reliability, and security
* Participate in code reviews, testing, and documentation to ensure high\-quality deliverables
* Stay updated with emerging technologies and proactively suggest improvements to existing systems
**Benefits** 
* Comprehensive health, dental, and vision insurance coverage
* Paid time off and paid parental leave
* 401(K) plan with employer matching
* Wellness benefits and resources to support your health and well\-being
* Opportunities for equity grants and long\-term incentives
* Flexible, remote\-first work environment with collaboration across time zones
* Participation in global offsites and team\-building events
* Continuous learning and professional development opportunities
 Equal Opportunity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any other characteristic protected by applicable law.</t>
        </is>
      </c>
    </row>
    <row r="42">
      <c r="A42" t="inlineStr">
        <is>
          <t>li-4355717738</t>
        </is>
      </c>
      <c r="B42" t="inlineStr">
        <is>
          <t>Software Engineer III, Full Stack, YouTube</t>
        </is>
      </c>
      <c r="C42" t="inlineStr">
        <is>
          <t>Google</t>
        </is>
      </c>
      <c r="D42" t="inlineStr">
        <is>
          <t>linkedin</t>
        </is>
      </c>
      <c r="E42" t="inlineStr"/>
      <c r="F42" t="inlineStr"/>
      <c r="G42" t="inlineStr">
        <is>
          <t>Mountain View, CA</t>
        </is>
      </c>
      <c r="H42" t="inlineStr"/>
      <c r="I42" t="inlineStr">
        <is>
          <t>**Minimum qualifications:**
* Bachelor’s degree or equivalent practical experience.
* 2 years of experience programming in C\+\+.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li-4366179209</t>
        </is>
      </c>
      <c r="B43" t="inlineStr">
        <is>
          <t>Software Engineer</t>
        </is>
      </c>
      <c r="C43" t="inlineStr">
        <is>
          <t>Goliath Partners</t>
        </is>
      </c>
      <c r="D43" t="inlineStr">
        <is>
          <t>linkedin</t>
        </is>
      </c>
      <c r="E43" t="inlineStr"/>
      <c r="F43" t="inlineStr"/>
      <c r="G43" t="inlineStr"/>
      <c r="H43" t="inlineStr"/>
      <c r="I43"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44">
      <c r="A44" t="inlineStr">
        <is>
          <t>li-4366187204</t>
        </is>
      </c>
      <c r="B44" t="inlineStr">
        <is>
          <t>Software Engineer</t>
        </is>
      </c>
      <c r="C44" t="inlineStr">
        <is>
          <t>Hyra</t>
        </is>
      </c>
      <c r="D44" t="inlineStr">
        <is>
          <t>linkedin</t>
        </is>
      </c>
      <c r="E44" t="inlineStr"/>
      <c r="F44" t="inlineStr"/>
      <c r="G44" t="inlineStr"/>
      <c r="H44" t="inlineStr"/>
      <c r="I44" t="inlineStr">
        <is>
          <t>Software Engineer Backend \- Kohler Ventures
 Hyra is working on behalf of KOHLER to hire for the position of Software Engineer Backend \- Kohler Ventures. This role involves designing cloud backend architecture to support the growth of new digital businesses focused on consumer health and wellness. You will collaborate with hardware and software teams to drive requirements and execute the rollout of common services and libraries.
 What you'll be doing
 • Design cloud backend architecture that scales with business growth
 • Drive technical requirements in collaboration with hardware and product teams
 • Execute the rollout of common libraries, services, and architectural patterns
 • Improve code normalization across critical concerns throughout the codebase
 • Coordinate with the Head of Software to build a forward\-looking technical vision
 What we're looking for
 • Bachelor's degree in Computer Science, engineering, or a related technical discipline
 • 3\+ years of professional software development experience using NodeJS and TypeScript
 • Experience deploying reliable and scalable applications on cloud platforms
 • Proficiency with PostgreSQL and distributed backend systems
 • Legal authorization to work in the United States is required
 What KOHLER offers
 • Competitive salary and benefit packages
 • Opportunity to work within an independent venture\-building unit
 • Collaborative environment spanning global locations and diverse disciplines
 • Hybrid work model providing flexibility and onsite collaboration
 Apply via Hyra to be considered for this opportunity.</t>
        </is>
      </c>
    </row>
    <row r="45">
      <c r="A45" t="inlineStr">
        <is>
          <t>li-4321419513</t>
        </is>
      </c>
      <c r="B45" t="inlineStr">
        <is>
          <t>Founding Software Engineer</t>
        </is>
      </c>
      <c r="C45" t="inlineStr">
        <is>
          <t>Xcede</t>
        </is>
      </c>
      <c r="D45" t="inlineStr">
        <is>
          <t>linkedin</t>
        </is>
      </c>
      <c r="E45" t="inlineStr"/>
      <c r="F45" t="inlineStr"/>
      <c r="G45" t="inlineStr"/>
      <c r="H45" t="inlineStr"/>
      <c r="I45" t="inlineStr">
        <is>
          <t>A top San Francisco based AI startup is looking for a strong full\-stack software engineer to join their founding team. This is a startup for builders who want full ownership. Engineers own the customer experience end\-to\-end—from “what should we build?” to “it’s live and customers love it.”
 As a founding software engineer you will:
**Build autonomous agents:** 
 Design and scale AI systems that can reliably automate complex, data\-intensive workflows—handling everything from quoting to tracking—so customers can fully offload their logistics.
**Automate AI evaluation loops:** 
 Own the tooling to monitor, evaluate, and retrain AI models in production—ensuring performance improves automatically as new edge cases arise.
**Own the product:** 
 You won’t get a Linear ticket—you’ll get a problem and talk to the customer directly. You’ll design the solution, write the code, and ship it.
**Preferred Experience** 
* **3\+ years** 
 of professional software development with a proven track record of building and scaling production systems \- full\-stack \- python and javascript/react
* **Startup background** 
 —you’ve thrived in fast\-paced, zero\-to\-one environments where speed and ownership matter most.
* **Agentic applications** 
 —experience designing or building AI systems that act autonomously, adapt to context, and improve through feedback loops.
 150\-230k base \+ equity</t>
        </is>
      </c>
    </row>
    <row r="46">
      <c r="A46" t="inlineStr">
        <is>
          <t>li-4355220002</t>
        </is>
      </c>
      <c r="B46" t="inlineStr">
        <is>
          <t>Java Software Engineer</t>
        </is>
      </c>
      <c r="C46" t="inlineStr">
        <is>
          <t>BeaconFire Inc.</t>
        </is>
      </c>
      <c r="D46" t="inlineStr">
        <is>
          <t>linkedin</t>
        </is>
      </c>
      <c r="E46" t="inlineStr"/>
      <c r="F46" t="inlineStr"/>
      <c r="G46" t="inlineStr"/>
      <c r="H46" t="inlineStr"/>
      <c r="I46"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7">
      <c r="A47" t="inlineStr">
        <is>
          <t>li-4366127551</t>
        </is>
      </c>
      <c r="B47" t="inlineStr">
        <is>
          <t>Software Engineer II- Backend, Marketplace/Maps/Membership/AV</t>
        </is>
      </c>
      <c r="C47" t="inlineStr">
        <is>
          <t>Uber</t>
        </is>
      </c>
      <c r="D47" t="inlineStr">
        <is>
          <t>linkedin</t>
        </is>
      </c>
      <c r="E47" t="inlineStr"/>
      <c r="F47" t="inlineStr"/>
      <c r="G47" t="inlineStr">
        <is>
          <t>San Francisco, CA</t>
        </is>
      </c>
      <c r="H47" t="inlineStr"/>
      <c r="I47" t="inlineStr">
        <is>
          <t>**About The Role**
 Collaborates with stakeholders within the team to build and maintain backend services and solutions to support user\-facing products.
**About The Team (We Are Hiring For Multiple Teams)**
 We are building the future of Uber's mobility and logistics platforms. As a software engineer, you will contribute to high\-scale, strategically critical systems that impact millions of users and redefine the global transportation and membership landscape. Our teams drive innovation across critical areas including:
* Maps \&amp; Routing: Building the core technologies for location accuracy, sensor data processing, and state\-of\-the\-art routing algorithms to power ETAs, navigation, and matching for all Uber products.
* Uber One Membership: Enhancing user experience and growth for Uber One, a fast\-growing program providing members with exclusive benefits, best prices, and priority across the platform.
* Delivery Marketplace: Delivery Marketplace is a central pillar of Uber's delivery products, serving as the "brain" of the operation. We drive every decision that enables orders to go from point A to point B \- from Uber Eats \&amp; Grocery, to newer verticals like Uber Direct and Connect. We're responsible for everything: from dispatch decisions, predicting food ready time, delivery times, and optimizing pickup times, to ensuring we deliver the most efficient and impactful solutions for Uber's most critical business goals
* Autonomous Mobility \&amp; Delivery (AM\&amp;D): Pioneering the integration of autonomous vehicles into the existing ecosystem, tackling the complex challenge of building a reliable, efficient, and scalable hybrid marketplace for both Rides and Eats.
**What You'll Do**
* Design, develop, and maintain robust and scalable software solutions
* Collaborate with product managers, cross\-engineering teams, data scientists and other partners to gather requirements and translate them into technical specifications
* Identify opportunities and lead of the entire development lifecycle end\-to\-end, from architecture design and coding to deployment
* Conduct thorough code reviews, offering constructive feedback to maintain high code quality and elevate coding standards
* Stay up\-to\-date with the latest technologies and industry trends, evaluating their potential impact on our software systems and recommending appropriate integrations or improvements
* Participate in periodic on\-call rotations and be available for critical issues
****Basic Qualifications:****
* Bachelor's degree or equivalent in Computer Science, Engineering, Mathematics or related field with at least 1 year of full\-time Software Engineering work experience OR PhD in Computer Science, Engineering, Mathematics or related field
* Proficiency in at least one programming language such as Java, C\+\+, Python, or Go
* 1 year of experience with backend development, building and delivering end\-user products.
****Preferred Qualifications:****
* Master's degree or higher in Computer Science, Engineering, Mathematics or related field
* More than 3 years of full\-time Software Engineering work experience
* Proven experience building highly available distributed systems (at Uber scale) and working across multiple backend services
* Experience working on scalable backend systems utilizing a microservices architecture
* High bar for quality as demonstrated by code reviews, documentation, unit and integration testing
* Experience with optimization techniques and algorithmic development
* Strong problem\-solving skills, with expertise in algorithms, data structures, and complexity analysis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8">
      <c r="A48" t="inlineStr">
        <is>
          <t>li-4321506684</t>
        </is>
      </c>
      <c r="B48" t="inlineStr">
        <is>
          <t>Senior Software Engineer (Java)</t>
        </is>
      </c>
      <c r="C48" t="inlineStr">
        <is>
          <t>RightClick</t>
        </is>
      </c>
      <c r="D48" t="inlineStr">
        <is>
          <t>linkedin</t>
        </is>
      </c>
      <c r="E48" t="inlineStr"/>
      <c r="F48" t="inlineStr"/>
      <c r="G48" t="inlineStr">
        <is>
          <t>New York, NY</t>
        </is>
      </c>
      <c r="H48" t="inlineStr"/>
      <c r="I48" t="inlineStr">
        <is>
          <t>Our client is seeking a
 **Senior Software Engineer** 
 with deep Java expertise and experience working in low\-latency environments. This role focuses on building and enhancing high\-performance electronic trading systems, supporting real\-time market data, and ensuring reliable post\-trade processing. This is a hybrid position based in New York City, NY.
**Starting at $225,000/year.**
**Senior Software Engineer** 
 '
 **s** 
**Responsibilities and Duties**
* Design, develop, and maintain low\-latency Java\-based applications supporting electronic trading systems
* Work with FIX Protocol integrations, including order routing and execution workflows
* Handle real\-time market data using proprietary and SIP feeds
* Support post\-trade processing, reconciliation, and downstream systems
* Optimize system performance, reliability, and scalability in Linux environments
**Senior Software Engineer's Qualifications And Skills**
* Senior\-level experience as a Java Developer in a low\-latency or high\-performance environment
* Hands\-on experience with electronic trading systems and FIX Protocol
* Strong knowledge of market data feeds, both proprietary and SIP
* Experience supporting post\-trade processing systems
* Solid Linux experience in production environments
* Working knowledge of Python or similar scripting languages
 RightClick is an equal opportunity employer who agrees not to discriminate against any employee or job applicant irrespective of race, color, creed, alienage, religion, sex, national origin, age, disability, gender including gender identity, marital status, sexual orientation, citizenship or any other characteristic protected by law.</t>
        </is>
      </c>
    </row>
    <row r="49">
      <c r="A49" t="inlineStr">
        <is>
          <t>li-4313099766</t>
        </is>
      </c>
      <c r="B49" t="inlineStr">
        <is>
          <t>Robotics Software Engineer</t>
        </is>
      </c>
      <c r="C49" t="inlineStr">
        <is>
          <t>HCLTech</t>
        </is>
      </c>
      <c r="D49" t="inlineStr">
        <is>
          <t>linkedin</t>
        </is>
      </c>
      <c r="E49" t="inlineStr"/>
      <c r="F49" t="inlineStr"/>
      <c r="G49" t="inlineStr">
        <is>
          <t>Santa Clara, CA</t>
        </is>
      </c>
      <c r="H49" t="inlineStr"/>
      <c r="I49" t="inlineStr">
        <is>
          <t>HCLTech is looking for a highly talented and self\- motivated
 **Robotics Software Engineer** 
 to join it in advancing the technological world through innovation and creativity.
**Job Title: Robotics Software Engineer** 
**Job ID: 1625360BR** 
**Position Type: Fulltime** 
**Location: East Brunswick NJ** 
 As a Robotics Software Engineer, you will bring business value to our clients through the development, optimization, and implementation of robotic software solutions. You will use the latest technologies and frameworks to create efficient and reliable robotic systems. We are seeking experienced professionals for our open position.
**What will You do:** 
* Develop robot control algorithms to enhance robotic functionality.
* Implement simulation scenarios to test and validate robotic behaviors.
* Write Python/C\+\+ scripts to program robot behavior and interactions.
* Integrate simulation environments with ROS/ROS2 for seamless operation.
* Conduct performance tests and troubleshoot software issues.
* Collaborate with hardware engineers to ensure software\-hardware compatibility.
**Qualifications:** 
 We want to hear from you if you have:
* Experience in robotics software engineering.
* Solid knowledge of Python programming, robot kinematics, and control theory.
* Experience with simulation frameworks and ROS/ROS2\.
* Professional level of English (written and oral).
* Excellent problem\-solving, analytical, and communication skills.
* Intelligent, communicative team\-player personality, interested in and willing to learn new skills and technologies.
**Pay and Benefits**
**Pay Range Minimum: $120000 per year** 
**Pay Range Maximum: $130000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50">
      <c r="A50" t="inlineStr">
        <is>
          <t>li-4355907269</t>
        </is>
      </c>
      <c r="B50" t="inlineStr">
        <is>
          <t>Software Engineer III, YouTube</t>
        </is>
      </c>
      <c r="C50" t="inlineStr">
        <is>
          <t>Google</t>
        </is>
      </c>
      <c r="D50" t="inlineStr">
        <is>
          <t>linkedin</t>
        </is>
      </c>
      <c r="E50" t="inlineStr"/>
      <c r="F50" t="inlineStr"/>
      <c r="G50" t="inlineStr">
        <is>
          <t>Mountain View, CA</t>
        </is>
      </c>
      <c r="H50" t="inlineStr"/>
      <c r="I50"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li-4181022623</t>
        </is>
      </c>
      <c r="B51" t="inlineStr">
        <is>
          <t>Software Engineer - Solutions</t>
        </is>
      </c>
      <c r="C51" t="inlineStr">
        <is>
          <t>Alchemy</t>
        </is>
      </c>
      <c r="D51" t="inlineStr">
        <is>
          <t>linkedin</t>
        </is>
      </c>
      <c r="E51" t="inlineStr"/>
      <c r="F51" t="inlineStr"/>
      <c r="G51" t="inlineStr"/>
      <c r="H51" t="inlineStr"/>
      <c r="I51" t="inlineStr">
        <is>
          <t>Our Mission
 Our mission is to bring web3 to a billion people, by providing builders with the tools they need to build exceptional onchain products. Alchemy is the only complete developer platform that offers the powerful APIs, SDKs, and tools necessary to build and scale onchain apps and rollups.
 Our infrastructure powers 70% of the top web3 teams, 90%\+ of web2 companies building in web3 and 100\+ million end users. Our customers include top web3 brands like Polymarket, OpenSea, Circle, WorldCoin, as well as major global brands like Shopify and Adobe.
 The Alchemy team draws from decades of deep expertise in massively scalable infrastructure, AI, and blockchain from leadership roles at leading companies and universities like Google, Microsoft, Facebook, Stanford, and MIT.
 We're backed by the world's leading VCs and institutions, including: Lightspeed, Silver Lake, a16z, Coatue, Pantera, Addition, Stanford University, Coinbase, and Charles Schwab, among others.
**The Role**
 Alchemy powers the most innovative companies in crypto \- from Robinhood and Coinbase to Worldcoin and Stripe. As a Solutions Engineer, you'll work directly with our most strategic customers to help them design scalable systems, optimize performance, and push the boundaries of what’s possible in blockchain infrastructure.
 This isn’t a support role \- you’ll be a strategic advisor, systems architect, and product collaborator rolled into one. You’ll bridge the gap between bleeding\-edge use cases and robust infrastructure, shaping the future of Alchemy through your insights on real\-world needs.
 Be the technical partner behind Web3’s most ambitious teams.
 What You’ll Do
* Help top\-tier teams design, scale, and optimize their use of Alchemy’s infrastructure — from smart contract automation to custom data pipelines.
* Deeply understand customer goals and proactively guide them through onboarding, integration, and long\-term success.
* Write code to help customers unlock the full potential of our stack.
* Be a voice of the customer \- translate needs from our most demanding users into product insights and roadmap priorities.
* Act as the technical point of contact for strategic accounts, navigating technical blockers, future planning, and success metrics.
* Work across Product, Engineering, and BD to uplevel the full customer experience and close feedback loops fast.
 What We’re Looking For
* 5\+ years of experience in technical roles (solutions engineering, software engineering, devrel, or similar)
* Strong foundation in systems design, APIs, and distributed architecture
* Experience working directly with customers \- ideally in B2B SaaS or infra
* Comfortable writing and reading code \- Python, TypeScript, or similar scripting languages
* Stellar communicator who can translate technical concepts for both builders and execs
* Passion for blockchain, crypto, and the infrastructure powering it \- you don’t need to be a degen, but you’re curious and hungry to learn
* Bonus: experience at a high\-growth startup or scaling a product in a fast\-moving environment
 Why This Role
* You'll operate at the intersection of product, engineering, and real\-world adoption.
* You’ll shape how top\-tier crypto companies bring products to life.
* You'll have massive scope and autonomy on a small, high\-leverage team.
* Define the customer experience for Web3’s infrastructure layer.
 Benefits and Perks
 🩺 Medical, Dental, \&amp; Vision
 💪 Gym Reimbursement
 🖥️ Home Office Build\-out Budget
 🥙 In\-Office Group Meals
 🧘‍♂️ Wellbeing \&amp; Mental Health Perks
 📚 Learning \&amp; Development Stipend
 🎉 Company Sponsored Conferences \&amp; Events
 💸 HSA and FSA Plans
 🧬 Fertility Benefits
**More On The Role**
*Alchemy is committed to offering competitive compensation, including base salary as well as equity. Additionally, Alchemy offers comprehensive medical, dental, and vision coverage, as well as other benefits such as 401k and unlimited flexible time off.*
*The salary range for this position is estimated to be between $150,000 \- $225,000 annually. Please note this range reflects base salary only (relative to SF and NYC geolocations), and does not include annual bonus, equity, or benefits. Your salary will be determined by various factors, including relevant experience, skill set, qualifications, and other business needs.*</t>
        </is>
      </c>
    </row>
    <row r="52">
      <c r="A52" t="inlineStr">
        <is>
          <t>li-4354171579</t>
        </is>
      </c>
      <c r="B52" t="inlineStr">
        <is>
          <t>Java Software Engineer</t>
        </is>
      </c>
      <c r="C52" t="inlineStr">
        <is>
          <t>BeaconFire Inc.</t>
        </is>
      </c>
      <c r="D52" t="inlineStr">
        <is>
          <t>linkedin</t>
        </is>
      </c>
      <c r="E52" t="inlineStr"/>
      <c r="F52" t="inlineStr"/>
      <c r="G52" t="inlineStr">
        <is>
          <t>East Windsor, NJ</t>
        </is>
      </c>
      <c r="H52" t="inlineStr"/>
      <c r="I52"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53">
      <c r="A53" t="inlineStr">
        <is>
          <t>li-4321506164</t>
        </is>
      </c>
      <c r="B53" t="inlineStr">
        <is>
          <t>Junior Software Engineer</t>
        </is>
      </c>
      <c r="C53" t="inlineStr">
        <is>
          <t>Tech Consulting</t>
        </is>
      </c>
      <c r="D53" t="inlineStr">
        <is>
          <t>linkedin</t>
        </is>
      </c>
      <c r="E53" t="inlineStr"/>
      <c r="F53" t="inlineStr"/>
      <c r="G53" t="inlineStr">
        <is>
          <t>Pennsylvania, United States</t>
        </is>
      </c>
      <c r="H53" t="inlineStr"/>
      <c r="I53" t="inlineStr">
        <is>
          <t>**Job Title:** 
 Junior Software Engineer
 **(\*\*Immediate Joining\*\*)** 
**Location:** 
 \[Anywhere in USA]
**Experience:** 
 1–3 years
**Employment Type:** 
 Full\-Time
 **(\*\*\*USC/GC Candidates only\*\*\*)** 
 Are you excited about taking your technical career to new heights with a full\-time, W\-2 role as a consultant in a dynamic and rapidly growing company? If you are, let's get in touch –
 *your interest is the first step to starting the conversation.* 
***\*\*No Sponsorship\*\****
**What This Role Requires:** 
* 1\-3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54">
      <c r="A54" t="inlineStr">
        <is>
          <t>li-4364011429</t>
        </is>
      </c>
      <c r="B54" t="inlineStr">
        <is>
          <t>Software Engineer</t>
        </is>
      </c>
      <c r="C54" t="inlineStr">
        <is>
          <t>Raise</t>
        </is>
      </c>
      <c r="D54" t="inlineStr">
        <is>
          <t>linkedin</t>
        </is>
      </c>
      <c r="E54" t="inlineStr"/>
      <c r="F54" t="inlineStr"/>
      <c r="G54" t="inlineStr">
        <is>
          <t>Austin, TX</t>
        </is>
      </c>
      <c r="H54" t="inlineStr"/>
      <c r="I54" t="inlineStr">
        <is>
          <t>* Pay Rate: $61\.43/hour on W2
* Contract Length: 11 months with a high possibility of extension
* Location: Austin, TX 78759 (Local Only)
* Work Type: Hybrid – Onsite (Mon, Tue \&amp; Thu) \| Remote (Tue \&amp; Fri) \| No possibilities for fully remote
* Work Hours: 8:00 AM – 5:00 PM, with some flexibility.
 Raise is currently hiring a contract team member on behalf of our client. They’re expanding their team to meet growing needs, making this a unique opportunity to work with an industry leader.
**Overview**
* Our client is seeking an experienced Software Engineer to join our team in Austin, TX.
* In this role, you will help design and build secure software solutions that enable state and local agencies to issue official IDs—such as driver’s licenses and ID cards—and use modern biometric technologies to improve public safety.
* You’ll work in a fast\-paced, collaborative environment where your expertise directly supports mission\-critical projects and advances the future of secure identification.
**Key Responsibilities**
* Collaborate with cross\-functional teams to design, document, develop, and deploy software solutions supporting identity management and biometric applications.
* Participate in the full software development lifecycle, including requirements gathering, solution architecture, coding, testing, deployment, and ongoing maintenance.
* Write high\-quality, efficient, and scalable code that adheres to industry best practices, coding standards, and project timelines.
* Perform rigorous testing, debugging, and optimization of software applications to ensure robust performance, security, and reliability.
* Stay current with emerging technologies, tools, and industry trends, proactively applying new knowledge to improve technical capabilities and enhance team performance.
* Partner with product managers and stakeholders to analyze user needs, develop functional documentation, and translate requirements into precise technical specifications.
* Participate in peer code reviews, offering constructive feedback to maintain code quality, consistency, and adherence to development standards.
* Develop and maintain comprehensive technical documentation, including system specifications, user guides, and technical reports.
* Serve as a Work Package Manager when assigned, taking accountability for scope definition, scheduling, and progress tracking of specific project components.
* Work independently and collaboratively within a team of Software Engineers and Architects to deliver high\-quality solutions.
* Engage directly with customers during project implementation phases and provide advanced (Level 3\) technical support for issue resolution.
* Support sales and proposal efforts by contributing technical expertise to bid preparation and solution design.
**Top 4 Required Skills**
* C\#
* Web API, REST API (XML/JSON)
* 5\-8 years of experience with the above
* Don’t focus on the coding only. “Requirement Management” also very important.
**Minimum Qualifications**
* Bachelor’s degree in Computer Science, Software Engineering, or a related field (or foreign equivalent), or equivalent work experience.
* At least 5 years of experience in software engineering with a solid understanding of modern software development practices and processes.
* Proven experience with programming experience using C\#, .NET, and Java.
* Proven experience with JavaScript development with expertise in Angular (versions 9–15\).
* Proficiency with modern version control systems such as Git or Mercurial (Hg).
* Knowledge of software security principles, including application security and data protection during transmission and at rest.
* Experience with data modeling and database querying using SQL Server and MySQL.
* Familiarity with Agile and Waterfall software development methodologies.
* Understanding of best practices for web API design, usability, and security.
* Strong knowledge of server\-side application architecture and development.
* Ability to work independently and collaboratively as part of a team.
* Effective verbal and written communication skills.
* Strong analytical and problem\-solving abilities, with a willingness to learn and adapt.
* Practical, solution\-focused approach to solving complex problems in a cost\-effective manner.
**Preferred Qualifications**
* Ability to digest complex situations, create appropriate strategies and simplify them for execution.
* Knowledge of PKI and security best practices
* Knowledge of cloud\-based architectures and services (AWS, Azure)
* Takes decisions in uncertain and ambiguous contexts.
* Experience with project documentation (functional and technical requirements)
* Experience with project tracking methods and tools for collaboration (Atlassian Jira, Confluence)
**Regulatory Compliance Requirements**
* Must have U.S. or Dual Citizenship and be able to obtain post\-hire clearance from the Committee on Foreign Investments in the U.S. (CFIUS) and Department of Treasury.
**Looking for meaningful work? We can help**
 Raise is an established hiring firm with over 65 years of experience. We believe strongly in making the world a better place through work, which is why we’re a certified B Corporation and donate 10% of our profits to charity.
 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
 We have a dedicated webpage for accommodations where you can learn more about what we offer, and request accommodation: https://raise.jobs/accommodations/
 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another job posting by Raise (or have any other questions), please contact us at \+1 800\-567\-9675 or hello@raiserecruiting.com
 ﻿
**\#USVM**</t>
        </is>
      </c>
    </row>
    <row r="55">
      <c r="A55" t="inlineStr">
        <is>
          <t>li-4321317834</t>
        </is>
      </c>
      <c r="B55" t="inlineStr">
        <is>
          <t>Robotics Software Engineer</t>
        </is>
      </c>
      <c r="C55" t="inlineStr">
        <is>
          <t>Reval</t>
        </is>
      </c>
      <c r="D55" t="inlineStr">
        <is>
          <t>linkedin</t>
        </is>
      </c>
      <c r="E55" t="inlineStr"/>
      <c r="F55" t="inlineStr"/>
      <c r="G55" t="inlineStr"/>
      <c r="H55" t="inlineStr"/>
      <c r="I55" t="inlineStr">
        <is>
          <t>**This is a role posted by Reval Recruiting on behalf of a client** 
**Robotics Software Engineer** 
**Location: San Francisco, CA (in\-person)** 
**This role is posted on behalf of the following client:** 
 They are building the FactoryOS that will allow manufacturers to scale production\-ready automation solutions in minutes, not months. With a suite of powerful applications, they allow manufacturers to automate faster and smarter by interoperably coordinating every robot, machine, and system on one platform. Their mission is to give every American manufacturer the tools to automate their factories at hyperspeed. They are already deployed in production at top manufacturers and growing fast. Backed by leading investors, and built by a team that moves at startup speed with deep conviction in American industrial dominance.
 Job Summary
 The Robotics Software Engineer will design and build the core systems that allow robots to communicate, cooperate, and operate safely in dynamic environments. This is a hands\-on role focused on developing scalable infrastructure and tools for multi\-robot coordination, data flow, and real\-time decision making.
**Responsibilities** 
* Develop reliable, high\-performance control and orchestration software for fleets of mobile robots.
* Build APIs and communication layers between heterogeneous robotic platforms.
* Integrate localization, mapping, and task\-allocation modules into unified systems.
* Optimize algorithms for real\-time performance, safety, and scalability.
* Work closely with robotics hardware teams and customer deployment engineers.
**Qualifications** 
* Bachelor’s or Master’s degree in Robotics, Computer Science, Electrical or Mechanical Engineering, or equivalent experience.
* Strong proficiency in C\+\+ and Python.
* Deep understanding of ROS/ROS 2, SLAM, and motion\-planning frameworks.
* Experience with distributed systems, networking, and cloud\-based infrastructure.
* Ability to debug complex, real\-world robotic systems in production environments.
**Preferred** 
* Experience with warehouse automation, AMRs, or industrial robotics.
* Background in real\-time systems or simulation environments such as Gazebo or Webots.
* Familiarity with Docker, Kubernetes, and CI/CD pipelines.
**What They Offer** 
* Competitive compensation and equity.
* Opportunity to shape the future of large\-scale robotic automation.
* Collaborative, fast\-paced environment with global customers.
* Salary: 140,000 \- 200,000</t>
        </is>
      </c>
    </row>
    <row r="56">
      <c r="A56" t="inlineStr">
        <is>
          <t>li-4352536250</t>
        </is>
      </c>
      <c r="B56" t="inlineStr">
        <is>
          <t>Senior Software Engineer - Trading Systems - Greenfield Platform Team</t>
        </is>
      </c>
      <c r="C56" t="inlineStr">
        <is>
          <t>Mondrian Alpha</t>
        </is>
      </c>
      <c r="D56" t="inlineStr">
        <is>
          <t>linkedin</t>
        </is>
      </c>
      <c r="E56" t="inlineStr"/>
      <c r="F56" t="inlineStr"/>
      <c r="G56" t="inlineStr"/>
      <c r="H56" t="inlineStr"/>
      <c r="I56" t="inlineStr">
        <is>
          <t>We are a globally known trading technology firm, highly successful in our respective vertical over the last 15 years. Our firm is defined by a technology\-first mindset, a flat organizational structure, and constant technological evolution. Our engineers thrive within the front office, and build usable solutions that directly tie to our monetary success day after day.
 We are currently seeking a Senior Full Stack Engineer to join our front office technology group. This team will be the visionaries, designers, and builders of a front office trading platform that will carry out our highly successful trading strategy. As an engineer here, you will work in concert with the front office to design and develop this platform \- and the future of the firms trading.
**Requirements** 
* This is a full stack developer role with a C\# backend and a React front end. Engineers should have experience working front to back \- and be open to working in C\#
* Experience working on the buy side \- or within trading technology teams \- is highly preferred
* Emotional intelligence and ability to work in small teams
**We are unable to sponsor visa's at this time** 
 Compensation will be highly competitive and commensurate on experience.</t>
        </is>
      </c>
    </row>
    <row r="57">
      <c r="A57" t="inlineStr">
        <is>
          <t>li-4366161725</t>
        </is>
      </c>
      <c r="B57" t="inlineStr">
        <is>
          <t>Software Engineer</t>
        </is>
      </c>
      <c r="C57" t="inlineStr">
        <is>
          <t>TalentAlly</t>
        </is>
      </c>
      <c r="D57" t="inlineStr">
        <is>
          <t>linkedin</t>
        </is>
      </c>
      <c r="E57" t="inlineStr"/>
      <c r="F57" t="inlineStr"/>
      <c r="G57" t="inlineStr">
        <is>
          <t>Irving, TX</t>
        </is>
      </c>
      <c r="H57" t="inlineStr"/>
      <c r="I5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Macro Helixis the premier provider of 340B program management technology for hospital health system covered entities and retail contract pharmacy networks.
 As a Software Engineer you will work on product development using mostly C\#, Angular, etc. You will play an active role in prototyping concepts in partnership with other senior engineers within the team and across the business. You will tackle challenging, novel situations every day and will have an opportunity to work with different teams across the organization. As a part of this growing team, you will get to work on variety of technologies like Azure cloud, Databricks, Snowflake etc. with high visibility in the organization. Along the way, we guarantee that you'll learn a ton, have fun, grow and make positive impact on many people.
 Key Responsibilities
 This is a hands\-on development role with experience in developing enterprise level applications.
 Conceptualize and demonstrate solutions through documentation, flowcharts, layouts, diagrams, charts.
 Develop cutting edge\-solutions to maximize performance, scalability, and distributed processing capabilities.
 Work with a team of highly motivated and talented people with diverse perspectives.
 Participate in the software development life cycle that takes project from inception to completion through connecting client's needs with applicable state\-of\-the\-art technology solutions.
 Work closely with QA team throughout the development cycle and support performance tuning and testing activity.
 Work with Product Team in translating business requirements into technical specifications, establish and refine details and requirements of applications, components, enhancements, and defects.
 Ability to Debug/ troubleshoot the issues and identify the root cause.
 Analyze and investigate application engineering tasks and prepare design specifications, analysis, and recommendations.
 Ensure that system improvements are secure and well tested and successfully implemented, documented, and monitored to increase efficiency.
 Develop enterprise\-scale Object\-Oriented Programming (OOP) software utilizing SaaS design principles
 Modernize legacy products to use the latest cloud technologies.
 Build and deploy secure solutions utilizing quality standards and software development life cycle processes which include requirement gathering, high level and detailed design, coding, testing and support.
 Actively participate in Agile Ceremonies.
 Minimum Requirement
 Degree or equivalent and typically requires 4\+ years of relevant experience.
 Education
 4\-year degree in computer science or related field or equivalent experience
 Critical Skills
 4\+ years of experience in software development in a team environment
 4\+ years of experience with C\# /.Net core back\-end development
 4\+ years of experience with SQL server 2012 and higher
 4\+ years of experience with frontend development
 2\+ years of experience working with Angular, .NET, Bootstrap, CSS, JSON, JavaScript, HTML.
 2\+ years of experience in building Restful APIs.
 Preferred Skills
 1\+ years of experience working with Microsoft Azure (preferred), Google Cloud Platform, or AWS (IaaS, PaaS, and Services)
 1\+ year experience with Databricks and Unity Catalog.
 Demonstrated experience in building microservices utilizing Restful APIs.
 Demonstrated experience in enabling code to align with a CI/CD process (JIRA, Jenkins, Git)
 Additional Skills
 Experience in developing and implementing applications on a cloud platform preferably using Azure.
 Familiarity with containerization using Docker for app development.
 Agile Methodology
 Front end frameworks such as Angular
 JIRA
 Excellent written and verbal communication skills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$100,100 \- $166,900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
 PDN\-a0ed1a73\-ba63\-42ca\-a272\-c70d2ccb28ff</t>
        </is>
      </c>
    </row>
    <row r="58">
      <c r="A58" t="inlineStr">
        <is>
          <t>li-4295994097</t>
        </is>
      </c>
      <c r="B58" t="inlineStr">
        <is>
          <t>Software Engineer</t>
        </is>
      </c>
      <c r="C58" t="inlineStr">
        <is>
          <t>Patterson Companies, Inc.</t>
        </is>
      </c>
      <c r="D58" t="inlineStr">
        <is>
          <t>linkedin</t>
        </is>
      </c>
      <c r="E58" t="inlineStr"/>
      <c r="F58" t="inlineStr"/>
      <c r="G58" t="inlineStr">
        <is>
          <t>St Paul, MN</t>
        </is>
      </c>
      <c r="H58" t="inlineStr"/>
      <c r="I58" t="inlineStr">
        <is>
          <t>The Software Engineer's role is to define, develop, test, analyze, and maintain software applications in support of the achievement of Patterson software requirements. This includes writing, coding, testing, and analyzing software programs and applications. The Software Engineer II will also research, design, document, and modify software specifications throughout the development life cycle.
* This role will be Hybrid (2\-days a week in office) and it is required that you are located within 50 miles of our Corporate Offices in either Mendota Heights, MN or Loveland, CO. In\-person attendance is expected to foster collaboration, innovation, and team connection.
**Essential Functions**
 To perform this job successfully, an employee must be able to perform each essential function satisfactorily, with or without reasonable accommodation. To request a reasonable accommodation, notify Human Resources or the manager who oversees the position.
* Collaborates with clients, developers and other team members in the conceptualization and development of new or existing software applications.
* Assists in the definition, development, and documentation of software’s business requirements, objectives, deliverables, and specifications on a project\-by\-project basis in collaboration with internal users and departments.
* Helps research, identify, analyze, and fulfill requirements of all internal and external program users and stakeholders.
* Writes programming scripts to enhance functionality and/or performance of company applications as directed.
* Executes software testing on new and existing programs for the purposes of correcting errors and general debugging.
* Participates in defining software development project plans, including scoping, scheduling, and implementation.
* Performs program turnover to production support and customers upon completion of development, testing, and documentation.
* Provides higher level support for incoming incident tickets from end users to resolve application and software issues. Partners with other engineers in resolving problems with software products or company software systems.
* Performs other duties as assigned.
**Required Qualifications**
* Bachelor's Degree in Computer Science, Management Information Sciences, Mathematics, Engineering, Business, or area of functional responsibility preferred, or a combination of equivalent education and experience
* 3 years of programming experience required.  Should have prior experience within various platforms and languages, including: MS.NET, C\#, and Object\-Oriented Programming.
* Knowledge of all aspects of application development and project life cycles, including Agile and Scrum practices.
* Excellent understanding of coding methods and best practices
* Extensive relational database and operating systems experience
* Fluency in object oriented programming and design
* Ability to conduct research into software\-related issues and products
**Preferred Qualifications**
* Experience working with C\+\+
* Experience working with PostgreSQL
**Working Environment**
* Ability to work remote and be on camera as needed
* Periodic on call rotations and available outside of normal business hours on evenings and weekends during critical production release or issue escalation periods
 The compensation range for this role is below.
 $90,000 \- $100,000
 The potential compensation range for this role is below. The final offer amount would be based on various factors such as candidate location (geographical labor market), experience, and skills. $85,500\.00 \- $106,800\.00</t>
        </is>
      </c>
    </row>
    <row r="59">
      <c r="A59" t="inlineStr">
        <is>
          <t>li-4355788024</t>
        </is>
      </c>
      <c r="B59" t="inlineStr">
        <is>
          <t>Senior Software Developer</t>
        </is>
      </c>
      <c r="C59" t="inlineStr">
        <is>
          <t>Oracle</t>
        </is>
      </c>
      <c r="D59" t="inlineStr">
        <is>
          <t>linkedin</t>
        </is>
      </c>
      <c r="E59" t="inlineStr"/>
      <c r="F59" t="inlineStr"/>
      <c r="G59" t="inlineStr">
        <is>
          <t>Redwood City, CA</t>
        </is>
      </c>
      <c r="H59" t="inlineStr"/>
      <c r="I59"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0">
      <c r="A60" t="inlineStr">
        <is>
          <t>li-4355718055</t>
        </is>
      </c>
      <c r="B60" t="inlineStr">
        <is>
          <t>Senior Software Developer</t>
        </is>
      </c>
      <c r="C60" t="inlineStr">
        <is>
          <t>Oracle</t>
        </is>
      </c>
      <c r="D60" t="inlineStr">
        <is>
          <t>linkedin</t>
        </is>
      </c>
      <c r="E60" t="inlineStr"/>
      <c r="F60" t="inlineStr"/>
      <c r="G60" t="inlineStr"/>
      <c r="H60" t="inlineStr"/>
      <c r="I60"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li-4355678142</t>
        </is>
      </c>
      <c r="B61" t="inlineStr">
        <is>
          <t>Software Engineer in Test</t>
        </is>
      </c>
      <c r="C61" t="inlineStr">
        <is>
          <t>BeaconFire Inc.</t>
        </is>
      </c>
      <c r="D61" t="inlineStr">
        <is>
          <t>linkedin</t>
        </is>
      </c>
      <c r="E61" t="inlineStr"/>
      <c r="F61" t="inlineStr"/>
      <c r="G61" t="inlineStr">
        <is>
          <t>New York, NY</t>
        </is>
      </c>
      <c r="H61" t="inlineStr"/>
      <c r="I61"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t>
        </is>
      </c>
    </row>
    <row r="62">
      <c r="A62" t="inlineStr">
        <is>
          <t>li-4366167286</t>
        </is>
      </c>
      <c r="B62" t="inlineStr">
        <is>
          <t>Senior Software Engineer, Agentic Systems</t>
        </is>
      </c>
      <c r="C62" t="inlineStr">
        <is>
          <t>Asepha</t>
        </is>
      </c>
      <c r="D62" t="inlineStr">
        <is>
          <t>linkedin</t>
        </is>
      </c>
      <c r="E62" t="inlineStr"/>
      <c r="F62" t="inlineStr"/>
      <c r="G62" t="inlineStr">
        <is>
          <t>Manhattan, NY</t>
        </is>
      </c>
      <c r="H62" t="inlineStr"/>
      <c r="I62" t="inlineStr">
        <is>
          <t>Asepha is based in New York and Toronto, building agentic solutions that re\-imagine how medications are prescribed, verified, and supported across the pharmacy ecosystem. Backed by $4M in funding and trusted by multiple Fortune 50 healthcare organizations, we’re scaling rapidly and seeking a talented, innovative
**Senior Software Engineer** 
 to join our growing team. As one of our early hires, you’ll play a critical role in shaping our engineering efforts, making key architectural decisions and writing code to expand our AI product line. You will play a pivotal role in balancing speed of execution with product quality, and have the opportunity to wear multiple hats, from frontend and backend development to devops and customer interactions. Your work will have a direct impact on improving pharmacy workflows and health outcomes.
**Join our mission:** 
 We’re building a world where medication delays are impossible. From the moment a prescription is written, the path to therapy start is clear, fast, and predictable. Asepha is the context graph for the therapy\-start journey, connecting the fragmented steps that slow down medication access: intake, coordination, utilization management, and clinical services. 
**Role and Responsibilities:** 
* Design and build autonomous agents that handle complex, multi\-step pharmaceutical workflows end\-to\-end
* Architect communication systems that coordinate across organizational boundaries
* Build robust orchestration layers for long\-running tasks with graceful failure handling and human\-in\-the\-loop escalation
* Develop frameworks that let agents interact with external pharmacy systems, databases, and APIs
* Implement evaluation and observability infrastructure to monitor agent behavior in production
* Integrate with healthcare data standards and legacy pharmacy systems
* Scale systems to handle real\-time processing across multiple pharmacy networks
**Qualifications:** 
* 5\+ years of experience in software engineering with strong backend focus
* Proficiency in Python or TypeScript and deep knowledge of backend fundamentals: APIs, data stores, concurrency, distributed systems
* Experience with web frameworks and service\-oriented architectures (FastAPI, Flask, or equivalent) and designing clean, versioned APIs
* Familiarity with caching, messaging, and database technologies (Redis, Kafka, SQL/NoSQL, vector databases) and how to use them for performance and reliability
* Experience building for cloud infrastructure (Azure, AWS, or GCP)
* Experience building and deploying agentic AI systems. You understand tool use, planning, memory, and orchestration patterns
* You've built systems where the hardest part wasn't the code, it was figuring out what to build
* You've shipped something end\-to\-end with minimal guidance and owned the outcome
* Located in New York and can commute to our Manhattan office 3 days per week
**Perks** 
 :
* Competitive compensation package, including $150\-250k USD annual salary \+ stock options
* Full medical, dental, vision
* Unlimited days off to maintain a healthy work\-life balance \+ 2 weeks of company\-wide office closure during the holidays
* Complimentary breakfast provided daily and weekly team lunches in the office
* Professional development stipend
 Note: Only candidates selected for an interview will be contacted.
 Asepha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63">
      <c r="A63" t="inlineStr">
        <is>
          <t>li-4341253024</t>
        </is>
      </c>
      <c r="B63" t="inlineStr">
        <is>
          <t>Senior Software Engineer</t>
        </is>
      </c>
      <c r="C63" t="inlineStr">
        <is>
          <t>Cadence</t>
        </is>
      </c>
      <c r="D63" t="inlineStr">
        <is>
          <t>linkedin</t>
        </is>
      </c>
      <c r="E63" t="inlineStr"/>
      <c r="F63" t="inlineStr"/>
      <c r="G63" t="inlineStr"/>
      <c r="H63" t="inlineStr"/>
      <c r="I63" t="inlineStr">
        <is>
          <t>Re‑architecting U.S. healthcare demands speed, precision, and an obsession with details. Cadence is building a remote care delivery system that keeps older people healthy, out of the hospital, and at home. By pairing each patient with a dedicated clinical team that reviews their health every day, versus every few months, we catch issues early and intervene before they escalate. The result: measurably better outcomes for patients and less administrative burden for clinicians.
 Today, Cadence supports tens of thousands of active patients nationwide. Our AI‑powered system and scalable clinical model enable proactive, population‑level care. We’re among the fastest‑growing companies in healthtech, and we’re just getting started.
 The Cadence Solutions team seeks a Senior Software Engineer to join our engineering team. This person will be responsible for building within the core of Cadence's remote patient monitoring platform. Your role will allow medical professionals to monitor and interact with millions of patients across the U.S. in an effort to improve their medical outcomes.
**WHAT YOU’LL DO:**
* Design, build, and maintain services for the Cadence platform.
* Improve engineering standards, tooling, and processes on a rapidly growing team.
* Collaborate with product owners, internal stakeholders, and customers to determine the right solutions for our product.
* Work with other engineers throughout our 6\-week delivery cycle process to ship well\-designed and architected features.
**WHAT YOU’LL NEED:**
* 5\+ years experience as a Backend or Fullstack Software Engineer
* Experience writing server applications (Golang a plus)
* Experience in a high\-growth, fast\-paced startup environment
* Experience working in a cloud environment such as AWS or Google Cloud.
* Experience with relational databases such as Postgres or MySQL.
**WHO WE ARE:**
 We move fast, raise standards, and own outcomes. We hire drivers, not passengers – people who take initiative, solve problems, and sweat the details because lives depend on it. Momentum matters in healthcare where slow decisions cost lives. At Cadence, we set a high bar and back each other relentlessly to clear it. If you’re ready to do the best work of your career and make a real impact in healthcare, join us.
**WHAT YOU’LL GET:**
* Autonomy to tackle big, complex problems that matter
* An opportunity to improve lives every single day
* A chance to shape a category‑defining company at scale
* Medical, dental, and vision insurance
* Competitive total compensation and meaningful equity
* TelaDoc (virtual primary care)
* National and local discounts powered by TriNet
* Unlimited PTO and paid holidays
* Remote equipment setup and home office stipend
* Paid Parental Leave
* 401K and 401K match
* Charitable Donation Match program
* Location: Remote
**Noteworthy**
 Our job titles may span more than one career level. The base pay for this role typically ranges between $205,000 – $245,000 annual base salary. The actual base pay is determined by a variety of factors, including experience, skills, training, and business needs. Compensation may vary based on market location and is subject to change.
*Cadence is committed to equal opportunity and fairness regardless of race, color, religion, sex, gender identity, sexual orientation, nation of origin, ancestry, age, physical or mental disability, country of citizenship, medical condition, marital or domestic partner status, family status, family care status, military or veteran status or any other basis protected by local, state or federal laws.*
*A notice to Cadence applicants: Our Talent team only directs candidates to apply through our official careers page at https://www.cadence.care/our\-team. Cadence will never refer you to external websites, ask for payment or personal information, or conduct interviews via messaging apps. We receive all applications through our website and anyone suggesting otherwise is not with Cadence.*</t>
        </is>
      </c>
    </row>
    <row r="64">
      <c r="A64" t="inlineStr">
        <is>
          <t>li-4355768867</t>
        </is>
      </c>
      <c r="B64" t="inlineStr">
        <is>
          <t>Senior Software Developer</t>
        </is>
      </c>
      <c r="C64" t="inlineStr">
        <is>
          <t>Oracle</t>
        </is>
      </c>
      <c r="D64" t="inlineStr">
        <is>
          <t>linkedin</t>
        </is>
      </c>
      <c r="E64" t="inlineStr"/>
      <c r="F64" t="inlineStr"/>
      <c r="G64" t="inlineStr"/>
      <c r="H64" t="inlineStr"/>
      <c r="I64"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5">
      <c r="A65" t="inlineStr">
        <is>
          <t>li-4257223705</t>
        </is>
      </c>
      <c r="B65" t="inlineStr">
        <is>
          <t>Senior AI Software Engineer, GenAI Framework</t>
        </is>
      </c>
      <c r="C65" t="inlineStr">
        <is>
          <t>NVIDIA</t>
        </is>
      </c>
      <c r="D65" t="inlineStr">
        <is>
          <t>linkedin</t>
        </is>
      </c>
      <c r="E65" t="inlineStr"/>
      <c r="F65" t="inlineStr"/>
      <c r="G65" t="inlineStr">
        <is>
          <t>Redmond, WA</t>
        </is>
      </c>
      <c r="H65" t="inlineStr"/>
      <c r="I65" t="inlineStr">
        <is>
          <t>NVIDIA is now looking for AI Software Engineers for ourGenAI Frameworks ( Megatron Core and NeMo Framework ) team. Megatron Core and NeMo Framework are open\-source, scalable and cloud\-native frameworks built for researchers and developers working on Large Language Models (LLM) and Multimodal (MM) foundation model pretraining and post\-training. Our GenAI Frameworks provide end\-to\-end model training, including pretraining, alignment, customization, evaluation, deployment and tooling to optimize performance and user experience.
 In this critical role, you will expand Megatron Core and NeMo Framework's capabilities, enabling users to develop, train, and optimize models by designing and implementing the latest in distributed training algorithms, model parallel paradigms, model optimizations, defining robust APIs, meticulously analyzing and tuning performance, and expanding our toolkits and libraries to be more comprehensive and coherent. You will collaborate with internal partners, users, and members of the open source community to analyze, design, and implement highly optimized solutions.
**What You’ll Be Doing**
* Design and develop the GenAI open source Megatron Core and NeMo Framework
* Solve large\-scale, end\-to\-end AI training and inference challenges, spanning the full model lifecycle from initial orchestration, data pre\-processing, and running of model training and tuning, to model deployment.
* Work at the intersection of AI applications, libraries, frameworks, and the entire software stack.
* Innovate and improve model architectures, distributed training algorithms, and model parallel paradigms.
* Accelerate foundation model training and finetuning with mixed precision recipes and next\-gen NVIDIA GPU architectures.
* Performance tuning and optimizations of deep learning framework and software components.
* Research, prototype, and develop robust and scalable AI tools and pipelines.
**What We Need To See**
* MS, PhD or equivalent experience in Computer Science, AI, Applied Math, or related fields and 5\+ years of industry experience.
* Experience with AI Frameworks (e.g. PyTorch, JAX), and/or inference and deployment environments (e.g. TRTLLM, vLLM, SGLang).
* Proficient in Python programming, software design, debugging, performance analysis, test design and documentation.
* Consistent record of working effectively across multiple engineering initiatives and improving AI libraries with new innovations.
* Strong understanding of AI/Deep\-Learning fundamentals and their practical applications.
**Ways To Stand Out From The Crowd**
* Hands\-on experience in large\-scale AI training, with a deep understanding of core compute system concepts (such as latency/throughput bottlenecks, pipelining, and multiprocessing) and demonstrated excellence in related performance analysis and tuning.
* Expertise in distributed computing, model parallelism, and mixed precision training
* Prior experience with Generative AI techniques applied to LLM and Multi\-Modal learning (Text, Image, and Video).
* Knowledge of GPU/CPU architecture and related numerical software.
* Contributions to open source deep learning frameworks.
 NVIDIA is widely considered to be one of the technology world’s most desirable employers. We have some of the most forward\-thinking and hardworking people on the planet working with us. If you're creative and autonomous,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JR1997692</t>
        </is>
      </c>
    </row>
    <row r="66">
      <c r="A66" t="inlineStr">
        <is>
          <t>li-4366165638</t>
        </is>
      </c>
      <c r="B66" t="inlineStr">
        <is>
          <t>AI Software Developer (Remote - US Only)</t>
        </is>
      </c>
      <c r="C66" t="inlineStr">
        <is>
          <t>TechD</t>
        </is>
      </c>
      <c r="D66" t="inlineStr">
        <is>
          <t>linkedin</t>
        </is>
      </c>
      <c r="E66" t="inlineStr"/>
      <c r="F66" t="inlineStr"/>
      <c r="G66" t="inlineStr">
        <is>
          <t>Miami, FL</t>
        </is>
      </c>
      <c r="H66" t="inlineStr"/>
      <c r="I66" t="inlineStr">
        <is>
          <t>**⚠️ IMPORTANT: U.S. CITIZENSHIP REQUIRED** 
 Applicants must be U.S. citizens only. Visa holders or sponsorship candidates will
 **not** 
 qualify for this role.
**About NeuralSeek** 
 NeuralSeek is a next generation enterprise AI platform that accelerates the implementation of AI powered solutions across organizations. Built with governance, security, and guardrails at its core, NeuralSeek allows enterprises to deploy AI confidently at scale while maintaining visibility, control, and compliance.
**About the Role** 
 We are seeking an
 **AI Software Developer** 
 to build and support AI enabled systems and platform services. This role is open to candidates with
 **varied levels of experience** 
 who have strong coding fundamentals and enjoy working with algorithms, APIs, and modern software architectures.
**Key Responsibilities** 
* Develop and maintain software components for AI\-powered platforms
* Design, build, and integrate
 **APIs** 
 for internal and external use
* Implement algorithmic logic and data processing workflows
* Work with structured and unstructured data
* Collaborate with a distributed, remote\-first engineering team
* Learn and adopt new technologies as the platform evolves
**Required Qualifications** 
* Experience coding in at least one modern programming language (
 **Python, Node.js, TypeScript** 
 , or similar)
* Strong understanding of algorithms and coding thought processes
* Experience building or consuming
 **APIs** 
 (REST, GraphQL, or similar)
* Self\-starter with the ability to learn quickly and work independently
**Preferred (Nice to Have)** 
* Experience working in
 **Linux** 
 environments
* Knowledge of
 **databases** 
 and
 **SQL**
* Familiarity with distributed systems or search technologies
**Experience Level** 
* Open to
 **junior, mid\-level, and senior** 
 candidates
* Role scope and compensation will align with experience
**Location \&amp; Work Environment** 
* **Remote but with option to relocate to Miami office 3 days a week.**
* Must be
 **based in the United States**</t>
        </is>
      </c>
    </row>
    <row r="67">
      <c r="A67" t="inlineStr">
        <is>
          <t>li-4351142517</t>
        </is>
      </c>
      <c r="B67" t="inlineStr">
        <is>
          <t>Software Engineer II, Lifecycle Engineering</t>
        </is>
      </c>
      <c r="C67" t="inlineStr">
        <is>
          <t>iRhythm Technologies, Inc.</t>
        </is>
      </c>
      <c r="D67" t="inlineStr">
        <is>
          <t>linkedin</t>
        </is>
      </c>
      <c r="E67" t="inlineStr"/>
      <c r="F67" t="inlineStr"/>
      <c r="G67" t="inlineStr">
        <is>
          <t>Orange County, CA</t>
        </is>
      </c>
      <c r="H67" t="inlineStr"/>
      <c r="I67" t="inlineStr">
        <is>
          <t>**Career\-defining. Life\-changing.**
 At iRhythm, you’ll have the opportunity to grow your skills and your career while impacting the lives of people around the world. iRhythm is shaping a future where everyone, everywhere can access the best possible cardiac health solutions. Every day, we collaborate, create, and constantly reimagine what’s possible. We think big and move fast, driven by our commitment to put patients first and improve lives. We need builders like you. Curious and innovative problem solvers looking for the chance to meaningfully shape the future of cardiac health, our company, and your career
**About This Role**
 iRhythm’s Product Development team is seeking a highly skilled Software Engineer II to join our Lifecycle (Sustaining) Engineering team. This role focuses on supporting existing products through their lifecycle, ensuring quality, compliance, and continuous improvement while maintaining business continuity. In this role, you will own and execute product firmware \&amp; tooling software changes that keep our released medical device products safe, compliant, manufacturable, and reliable. You’ll work closely with our product development team of embedded firmware and software engineers and cross\-functionally with hardware, quality, and operations to resolve field and factory issues, manage obsolescence, improve yield, and maintain regulatory compliance. This opportunity offers substantial career growth potential while positively impacting lives through design and technology.
 What You Will Be Doing
* Own software changes across released manufacturing equipment including bug fixes, minor feature enhancements, refactors, and obsolescence\-driven updates working within established design controls and change management processes.
* Lead software updates to manufacturing test systems (fixture software, functional test scripts, ICT/boundary scan integration) and drive improvements to yield, throughput, and reliability.
* Integrate embedded firmware with hardware (board bring\-up, driver updates, peripheral interfaces), using oscilloscopes, logic analyzers, JTAG/SWD, and in\-circuit debuggers for root cause and verification.
* Lead firmware/software investigations for field returns, NCRs, and deviations; perform structured root cause analysis; implement and verify CAPA actions with clear traceability.
* Author and execute V\&amp;V (unit/integration/system), including test plans, protocols, automated regression suites, and reports compliant with IEC 62304 and internal SOPs.
* Maintain configuration management (requirements, code, test assets, DHF/DMR updates, SBOMs), ensuring complete documentation and traceability through release.
* Perform risk management activities (ISO 14971\), update hazard analyses, perform impact assessments for changes, and ensure risk controls remain effective post\-change.
* Validate software used in production (CSV/IQ/OQ/PQ as applicable), ensuring alignment with 21 CFR 820\.70(i) and Part 11 for electronic records/signatures.
* Collaborate cross\-functionally with Hardware, Quality, Regulatory, Manufacturing, Supply Chain, and external suppliers/CMs to plan and execute changes with minimal disruption.
* Support embedded software development and updates, ensuring compatibility with hardware and compliance with IEC 62304 and cybersecurity requirements.
* Contribute to secure product maintenance by assessing and implementing vulnerability patches, managing third‑party dependencies current in line with evolving guidance.
**What We Want To See**
* BS in Computer Engineering, Computer Science, or related field
* 3\+ years of experience embedded software development (C/C\+\+), including hardware bring\-up, low\-level drivers, and board\-level debugging within the medical device or regulated industry, manufacturing support a plus.
* Strong testing discipline: unit/integration/system testing, test automation, static analysis, code reviews, and documented V\&amp;V deliverables.
* Ability to understand and modify different programming scripts such as Java, Python, JavaScript, C\#, etc., used for writing automated test scripts and frameworks.
* Manufacturing support experience: troubleshooting test failures, interpreting schematics and datasheets, working with CM/fixture vendors, and implementing sustainable fixes.
* Strong knowledge of configuration and change control (Git, branching strategies, code reviews, CI; ECR/ECO, traceability, DHF/DMR updates).
* Strong understanding of FDA QSR, ISO 13485, IEC 60601, ISO 14971 and IEC 62304 standards.
* Cybersecurity for medical devices experience (SBOM management, vulnerability assessment, third‑party component governance) a plus.
* Experience with tools like Selenium, Appium, Cypress, Playwright, and frameworks like TestNG, JUnit, Cucumber for developing and running automated tests a plus.
**Work Environment / Other Requirements**
* Location: On\-site (Cypress, CA – Orange County)
* Up to 10% travel to iSF (San Francisco facility)
**Location:**
 Orange County
 Actual compensation may vary depending on job\-related factors including knowledge, skills, experience, and work location.
**Estimated Pay Range**
 $88,000\.00 \- $110,000\.00
 As a part of our core values, we ensure an inclusive workforce. We welcome and celebrate people of all backgrounds, experiences, skills, and perspectives. iRhythm Technologies, Inc. is an Equal Opportunity Employer. We will consider for employment all qualified applicants with arrest and conviction records in accordance with all applicable laws.
 iRhythm provides reasonable accommodations for qualified individuals with disabilities in job application procedures, including those who may have any difficulty using our online system. If you need such an accommodation, you may contact us at taops@irhythmtech.com
**About IRhythm Technologies**
 iRhythm is a leading digital healthcare company that creates trusted solutions that detect, predict, and prevent disease. Combining wearable biosensors and cloud\-based data analytics with powerful proprietary algorithms, iRhythm distills data from millions of heartbeats into clinically actionable information. Through a relentless focus on patient care, iRhythm’s vision is to deliver better data, better insights, and better health for all.
**Make iRhythm your path forward. Zio, the heart monitor that changed the game.**
 There have been instances where individuals not associated with iRhythm have impersonated iRhythm employees pretending to be involved in the iRhythm recruiting process, or created postings for positions that do not exist. Please note that all open positions will always be shown here on the iRhythm Careers page, and all communications regarding the application, interview and hiring process will come from a @irhythmtech.com email address. Please check any communications to be sure they come directly from @irhythmtech.com email address. If you believe you have been the victim of an imposter or want to confirm that the person you are communicating with is legitimate, please contact taops@irhythmtech.com. Written offers of employment will be extended in a formal offer letter from an @irhythmtech.com email address
 **ONLY** 
 .
 For more information, see https://www.ftc.gov/business\-guidance/blog/2023/01/taking\-ploy\-out\-employment\-scams and https://www.ic3\.gov/Media/Y2020/PSA200121</t>
        </is>
      </c>
    </row>
    <row r="68">
      <c r="A68" t="inlineStr">
        <is>
          <t>li-4360764387</t>
        </is>
      </c>
      <c r="B68" t="inlineStr">
        <is>
          <t>Senior Software Engineer</t>
        </is>
      </c>
      <c r="C68" t="inlineStr">
        <is>
          <t>Storm2</t>
        </is>
      </c>
      <c r="D68" t="inlineStr">
        <is>
          <t>linkedin</t>
        </is>
      </c>
      <c r="E68" t="inlineStr"/>
      <c r="F68" t="inlineStr"/>
      <c r="G68" t="inlineStr"/>
      <c r="H68" t="inlineStr"/>
      <c r="I68" t="inlineStr">
        <is>
          <t>**⚡ Senior Software Engineer (iOS)** 
**🌍 NYC (3 days per week)** 
**💲 $170 \- 230k base plus stock options** 
 I’m supporting a leading consumer learning platform with tens of millions of users to hire a
 **Senior iOS Engineer** 
 into their Ads and Monetization team. This is a hands\-on iOS role focused on ads, subscriptions, experimentation, and UI systems. It is very much product engineering, not backend or infrastructure work.
 The company is at an interesting point in their growth. Their user base is huge, their freemium model is maturing, and ads, subscriptions, and personalised learning now need to work together much more closely on mobile. That shift needs experienced iOS engineers who care about user experience, performance, and building things that scale to millions of people.
 They are also moving toward Server\-Driven UI so they can ship experiments faster, personalise experiences more reliably, and keep the iOS product aligned with web and Android. This is still early, so you would have real influence over how this is designed and rolled out rather than just inheriting decisions that were already made.
**Who this is for**
 You have experience building consumer, publisher\-style iOS products where ads and subscriptions live side by side. You might have worked on platforms similar to Reddit, Duolingo, Medium, Quora, Chegg, Brainly, or other high\-traffic content apps.
**You have likely worked on things like**
 :
* Ad placements or monetisation surfaces on iOS
* Paywalls, subscription flows, or freemium funnels
* A/B testing and growth experiments at real scale
* Feed\-based or content\-heavy mobile experiences
**Tech**
* Swift, using UIKit and or SwiftUI
* iOS\-first architecture with shared backend services
* Experimentation and analytics tooling
* A move toward Server\-Driven UI
**What you would be doing**
* Building and improving ads, paywalls, and premium upsell flows on iOS
* Helping shape the move toward Server\-Driven UI
* Shipping experiments that reach millions of users
* Working closely with product, design, and data to drive clear improvements in revenue and engagement
**Probably not a fit if**
* You want pure backend or infra work
* You prefer internal tools over customer\-facing product
* You are looking for a low\-ownership, ticket\-only role
**Why this role?**
* You would be working on real product problems that already matter at scale, not early\-stage guesswork.
* You would help shape a major architectural change while it is still forming.
* Your work would have clear, measurable impact on how users engage with the product and how the business grows.
* It is a strong opportunity to join at the point where the next phase of the product is being built.
*📧 Interested in applying? Please click on the ‘Easy Apply’ button or email me at ben.watts@storm2\.com* 
*⚡ Storm2 is a specialist FinTech recruitment firm with clients across Europe, APAC, and North America. To discuss open opportunities or career options, please visit our website at storm2\.com and follow the Storm2 LinkedIn page for the latest jobs and intel.*</t>
        </is>
      </c>
    </row>
    <row r="69">
      <c r="A69" t="inlineStr">
        <is>
          <t>li-4256064977</t>
        </is>
      </c>
      <c r="B69" t="inlineStr">
        <is>
          <t>Software Engineer / React|TS / Front-end (San Francisco)</t>
        </is>
      </c>
      <c r="C69" t="inlineStr">
        <is>
          <t>Levelpath</t>
        </is>
      </c>
      <c r="D69" t="inlineStr">
        <is>
          <t>linkedin</t>
        </is>
      </c>
      <c r="E69" t="inlineStr"/>
      <c r="F69" t="inlineStr"/>
      <c r="G69" t="inlineStr">
        <is>
          <t>San Francisco, CA</t>
        </is>
      </c>
      <c r="H69" t="inlineStr"/>
      <c r="I69" t="inlineStr">
        <is>
          <t>**About Levelpath**
 Founded in 2022 and backed by some of the top venture capital firms in the Silicon Valley, Levelpath is on a mission to revolutionize the modern procurement software industry and make it
 *delightful.* 
 No matter the business size or needs, our platform simplifies the procurement process for everyone in the organization, making enterprises faster, safer, and more transparent.
 We’re applying AI across the platform to empower users and enhance productivity, streamline workflows, and unlock unprecedented procurement possibilities.
 At Levelpath, we believe growth happens outside your comfort zone and that we live up to our full potential when we’re challenged. This is an environment where everyone is driven to solve problems that haven’t been solved.
**Engineering At Levelpath**
 We are looking for lead front\-end developers to help us build our public\-facing products.
 To be successful in this role you must have several years experience with React and Typescript, have experience with GraphQL and REST, and have worked with backend teams (we use Ruby On Rails).
 This position is located in downtown San Francisco. In this role you will have the opportunity to be a part of an international team and an agile environment with short decision paths. We currently use Github, AWS, Slack but you may leverage any devices and tools that allow you to do your best work.
**What You Will Do**
* Lead development of our amazing applications (React/TS/GraphQL/REST)
* Use your Front\-end experience to improve the overall code quality, tools and processes
* Work with our backend teams (Ruby on Rails backends) using GraphQL and REST.
* Work with our UI/UX designer to ensure the user experience is flawless
**What You Bring To The Table**
* 5\+ years using React \+ TS
* Excellent communication skills both verbal and written
* Enjoys working in a team and helping each other
* Knowledge in Back\-end systems/frameworks like Ruby On Rails/Django is a plus
*Levelpath is committed to equal treatment and opportunity in all aspects of recruitment, selection, and employment. We work hard to evaluate all employees and job applicants consistently, without regard to race, color, religion, gender, national origin, age, disability, pregnancy, gender expression or identity, sexual orientation, citizenship, or any other legally protected class. We’re working to build a more inclusive economy where our customers have equal access to opportunity, and we strive to live by these same values in our workplace.*</t>
        </is>
      </c>
    </row>
    <row r="70">
      <c r="A70" t="inlineStr">
        <is>
          <t>li-4282105825</t>
        </is>
      </c>
      <c r="B70" t="inlineStr">
        <is>
          <t>Staff Software Engineer, Growth Platform</t>
        </is>
      </c>
      <c r="C70" t="inlineStr">
        <is>
          <t>Airbnb</t>
        </is>
      </c>
      <c r="D70" t="inlineStr">
        <is>
          <t>linkedin</t>
        </is>
      </c>
      <c r="E70" t="inlineStr"/>
      <c r="F70" t="inlineStr"/>
      <c r="G70" t="inlineStr"/>
      <c r="H70" t="inlineStr"/>
      <c r="I7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CRM Engineering team builds world\-class tools that drive growth and foster meaningful relationships between Airbnb and its community, including Hosts, Guests, Law Enforcement, Government Regulators, Local Community Leaders, and more. This team tackles some of the most challenging and unique problems faced by our business. Here are a few examples:
* Growth Platform: Designed to increase supply and retain existing hosts.
* Policy Platform: Enables Airbnb to engage with regulatory bodies across the globe regarding short\-term rental regulations. This platform tracks regulations that impact the Airbnb business and provides intelligence to address unique business challenges.
* Community Platform: Establishes a social platform to drive community enablement, collaboration, and success.
* Agent Tools: Empowers agents to understand and resolve issues that customers are unable to address on their own.
* Aircover Claims Platform: Facilitates the processing of claims for Aircover insurance products, offering protection to both hosts and guests.
**The Difference You Will Make**
 Our team is building an AI driven growth platform to serve as a true growth engine for Airbnb's supply expansion. This platform will leverage AI\-driven intelligence to provide sales insights, meet diverse supply needs, help current hosts achieve greater success on the Airbnb platform, and build lead funnels to attract more high\-quality hosts to Airbnb.
 There is immense potential for AI\-driven initiatives to revolutionize the supply funnel at Airbnb. This role presents an exciting opportunity to create a unique and impactful platform that addresses complex business challenges.
 In this position, you will closely collaborate with and influence stakeholders across technical, business, product, and design teams to identify, scope, and deliver critical initiatives. As you lead efforts across these stakeholders and work with a distributed team of engineers, you will also actively contribute to prototyping, evaluating, and implementing solutions. This is your chance to make a lasting impact on Airbnb's growth trajectory and technology landscape!
**A Typical Day**
* Design the future state of our technical systems by combining a strategic understanding of our highest level product goals with a deep understanding of our existing systems to inform the right technical and product tradeoffs for both short and long term
* Lead engineers—both inside and outside your immediate team—in building out these technical solutions
* Participate in the development of product and UX requirements by engaging early and often with designers, product managers and other stakeholders to help steer teams on the most efficient path towards overall goals
* Nurture a culture of technical quality from design, through code review, to production operations
* Mentor other engineers in developing their technical and collaboration skills
* Identify and propose solutions to problems coming in the way of technical and product engineering excellence
* Collaborate with internal teams across the tech community, Hosting, Guest and Mobile and data engineering.
**Your Expertise**
* 9\+ years of relevant software development industry experience in a fast\-paced tech environment
* Strong proficiency in at least one major backend programming language (e.g., Java, Kotlin, Scala, Python) and experience with modern frontend frameworks (e.g., React, Angular, Vue.js)
* Proven track record of delivering end\-to\-end products in a collaborative environment, from ideation and planning to implementation and launch
* Experience with architectural patterns of large\-scale web applications, including well\-designed APIs, high\-volume data pipelines, and efficient algorithms
* Demonstrated ability to make data\-driven decisions, articulate technical trade\-offs, and communicate effectively with cross\-functional partners
* Passion for creating intuitive user experiences and a keen interest in data systems and analytics
* Good judgment in making tradeoffs to balance short\-term business needs with long\-term technical quality
* Strong understanding of how deep backend systems are expressed in the UX shown to customers
* End\-to\-end mentality that transcends team boundaries and helps find globally optimal solutions
* Excellent communication skills and the ability to work well within a team and with teams across the engineering organization
* Passionate about efficiency, availability, system quality and user experience
* Passionate about building AI\-driven applications that deliver innovative and impactful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71">
      <c r="A71" t="inlineStr">
        <is>
          <t>li-4365858738</t>
        </is>
      </c>
      <c r="B71" t="inlineStr">
        <is>
          <t>[Hicare net] Full-Stack Software Engineer(Backend-Focused, Digital Health Platform)</t>
        </is>
      </c>
      <c r="C71" t="inlineStr">
        <is>
          <t>KOTRA Silicon Valley</t>
        </is>
      </c>
      <c r="D71" t="inlineStr">
        <is>
          <t>linkedin</t>
        </is>
      </c>
      <c r="E71" t="inlineStr"/>
      <c r="F71" t="inlineStr"/>
      <c r="G71" t="inlineStr">
        <is>
          <t>Irvine, CA</t>
        </is>
      </c>
      <c r="H71" t="inlineStr"/>
      <c r="I71" t="inlineStr">
        <is>
          <t>This job posting is for Hicare.net Inc., and is supported by KOTRA Silicon Valley.
 본 공고는 Hicare.net Inc.의 요청으로 코트라 실리콘밸리가 지원합니다.
**\[About Hicare.net Inc.]** 
 Hicare.net Inc. is a fast\-growing digital health technology company providing solutions for Health Plans, ACOs, MSOs, and provider groups. Our platform supports critical healthcare workflows, including:
 \- Annual Wellness Visits (AWV)
 \- Health Risk Assessments (HRA)
 \- Remote Patient Monitoring (RPM)
 \- Chronic Care Management (CCM)
 \- Care Gap Closure
 \- EMR integrations (FHIR, HL7, API)
 Our mission is to simplify preventive care operations and help providers deliver high\-quality Medicare services more efficiently.
**\[Position Summary]** 
 We are hiring a
 **Full\-Stack Software Engineer (Backend\-Focused, Digital Health Platform)** 
 to join our core product development team. In this role, you will design and implement backend services, APIs, data models, and front\-end components that power our AWV/HRA/RPM platform. You will work in a collaborative, cross\-functional environment and take ownership of major product features end\-to\-end.
**\[Responsibilities]** 
 1\) Backend Development (Primary Focus)
 \- Design and develop backend services using Node.js / NestJS
 \- Build and maintain core APIs for AWV/HRA workflows, including clinical questionnaires, care plan generation, and visit documentation
 \- Implement scalable data models for clinical forms, vitals, assessments, and audit logs
 \- Develop and maintain logic engines for AWV workflows and eligibility checks
 \- Integrate with EMR systems and external healthcare APIs (FHIR, HL7, etc.)
 \- Ensure secure and compliant handling of PHI data (HIPAA aligned)
 \- Build and optimize offline\-to\-online sync logic supporting mobile/tablet users
 2\) Cloud Infrastructure
 \- Deploy, monitor, and maintain services on AWS
 \- Troubleshoot scalability, performance, and reliability issues
 \- Support automated deployments, logging, and observability frameworks
 3\) Front\-End Development (Secondary)
 \- Build UI components using React / Next.js
 \- Collaborate with UI/UX planners to implement intuitive user flows
 \- Enhance performance and usability across web and tablet environments
 \- Support responsive design and clinical workflow optimization
 4\) Cross\-Functional Collaboration
 \- Work with product managers, planners, and operations teams to define requirements
 \- Collaborate with globally distributed engineering and business teams
 \- Participate in code reviews, design discussions, and system architecture decisions
 \- Own features from planning through deployment and ongoing support
**\[Required Qualifications]** 
* 3\+ years of full\-stack or backend engineering experience
* Proficiency in Node.js, NestJS, Next.js, React, MySQL, PostgreSQL
* Experience with Redis or similar in\-memory data processing and caching technologies
* Experience deploying and maintaining services on AWS
* Strong problem\-solving skills and ability to take ownership
* Strong bilingual communication (Korean \&amp; English)
* Ability to iterate quickly on MVPs and production\-scale features
* Self\-driven and comfortable operating in a fast\-paced environment
**\[Preferred Qualifications]** 
* Experience building healthtech, SaaS, or enterprise platforms
* Familiarity with healthcare APIs and standards (FHIR, HL7, eligibility APIs)
* Knowledge of DevOps tools (Docker, Terraform, GitHub Actions, CI/CD workflows)
* Experience in startup or high\-growth environments
* Experience collaborating with multicultural or distributed teams
* Experience supporting tablet/mobile workflows or offline\-first architecture
**\[Others]** 
* Location: Irvine, CA (On\-site)
* Full\-Time
* Competitive Pay: $17/hr \~ $55/hr
* Lunch provided
* 401(k)지원
* Premium Health Insurance/dental/vision
* Paid sick day
**\[Why Join Hicare?]** 
* Build mission\-critical digital health products used by clinicians and care teams
* High ownership and visibility across the organization
* Career growth opportunities in a rapidly scaling company
* Impactful work that improves patient care and healthcare outcomes
* Flexible work environment in Irvine
 \[
 **How to Apply]** 
 Please send your resume to:
 \- Email: jhseo.kotrasv@gmail.com
 \- Subject: Application – Full\-Stack Software Engineer (Backend\-Focused)
 \*Qualified candidates will be contacted for interviews.
*Hicare.net Inc. is committed to diversity and inclusion and welcomes applicants from all backgrounds.* 
 Remarks
 ※ 본 공고와 관련한 추후 면접진행 및 채용과정, 당사자 간 합의 및 계약 사항, 그리고 해당국가 취업 관련 비자 발급 여부에 대해서는 KOTRA가 책임지지 않음을 알려드리오니 착오 없으시기 바랍니다.
 ※ 업체에서 채용 결정 시 공고가 조기 마감될 수 있음을 알려드립니다.</t>
        </is>
      </c>
    </row>
    <row r="72">
      <c r="A72" t="inlineStr">
        <is>
          <t>li-4366150730</t>
        </is>
      </c>
      <c r="B72" t="inlineStr">
        <is>
          <t>Software Engineer</t>
        </is>
      </c>
      <c r="C72" t="inlineStr">
        <is>
          <t>TalentAlly</t>
        </is>
      </c>
      <c r="D72" t="inlineStr">
        <is>
          <t>linkedin</t>
        </is>
      </c>
      <c r="E72" t="inlineStr"/>
      <c r="F72" t="inlineStr"/>
      <c r="G72" t="inlineStr">
        <is>
          <t>Morristown, NJ</t>
        </is>
      </c>
      <c r="H72" t="inlineStr"/>
      <c r="I72" t="inlineStr">
        <is>
          <t>Job title: R\&amp;D Solution Architect \- Data Products
 Location: Morristown, NJ
 Job type: Full Time
 About the job
 At Sanofi, we're committed to providing the next\-gen healthcare that patients and customers need. It's about harnessing data insights and leveraging AI responsibly to search deeper and solve sooner than ever before. Join our R\&amp;D Team as a Digital Solution Architect and you can help make it happen. Your job? As a Solution Architect, you are a dynamic technology leader interested in creating and designing state\-of\-the\-art data platforms and technology stacks to support advanced analytics, artificial intelligence, and machine learning initiatives.
 We are an innovative global healthcare company with one purpose: to chase the miracles of science to improve people's lives. Digital \&amp; Data is at the heart of Sanofi: our ambition is to be the leading digital healthcare platform to develop \&amp; deliver medicine faster, enable healthcare professionals to improve treatments and help patients improve their health. Ready to get started?
 Main responsibilities:
 Design end\-to\-end solutions to meet business needs, within the agreed requirements, and are pragmatic and supportive of the strategic architecture direction
 Guarantee and promote the right usage of standards for Processes, Applications and Infrastructure environments
 Leverage the existing Portfolio of digital products, catalogue of services and promote the usage of existing building blocks
 Design and produce design documents and solution roadmaps showing the states of transition
 Orchestrate the delivery of interconnected technology components through the solution lifecycle
 Work in close collaboration with Business, Technology and Product stakeholders to contextualize the architecture design
 Contributes to standards of life cycle maintenance
 About you
 Experience:
 5\-8 years or experience in solution architecture, AI architecture and software engineering
 Experience developing best Lean \&amp; Agile practices, policies, and/or procedures
 Drive proof of concept implementations
 Facilitate design and review sessions to define broad solutions with the big picture in mind
 Soft skills:
 Ability to assess new technologies and compile architecture decision records (ADRs)
 Experience working with multiple teams to drive alignment and results
 Self\-motivated, takes initiative
 Problem solving \&amp; critical thinking
 Technical skills:
 AWS Certification
 Knowledge in GenAI and AI architecture for new products
 Knowledge in AWS Sagemaker and AWS Bedrock
 Knowledge in data ingestion, integration, transformation, storage
 Cloud\-based services (especially AWS managed services)
 Agile development processes and DevOps methodology / principals
 GIT\-based source code management (GitHub) and Continuous Integration and Continuous Delivery (CI/CD) practices (GitHub Actions)
 Experience in specifying Infrastructure as a code (Terraform)
 Linux, containers, Kubernetes, and serverless
 Javascript, Node.js, React and Flutter
 Knowledge of NoSQL and relational databases (AWS RDS)
 Solid understanding of networking concepts
 Integration Services (Informatica Cloud, Airflow, DBT, DLT)
 Knowledge with messaging solutions (EventBridge, SNS, SQS, Rabbit MQ, Kafka)
 Knowledge of Data warehousing solutions (Snowflake)
 Experience in working within compliance (e.g.: quality, regulatory \- data privacy, GxP, SOX) and cybersecurity requirements is a plus
 Education:
 Bachelor's and/or Master's degree in Computer Science, Information Systems, Software Engineering or similar field
 Languages: English
 Why choose us?
 We provide a highly collaborative environment, with an opportunity to work with a world class team.
 Contribute to a company that is not only a leader in healthcare but also a pioneer in digital transformation, shaping the future of global health.
 Bring the miracles of science to life alongside a supportive, future\-focused team.
 Discover endless opportunities to grow your talent and drive your career, whether it's through a promotion or lateral move, at home or internationally.
 Enjoy a thoughtful, well\-crafted rewards package that recognizes your contribution and amplifies your impact.
 Take good care of yourself and your family, with a wide range of health and wellbeing benefits including high\-quality healthcare, prevention and wellness programs and at least 14 weeks' gender\-neutral parental leave.
 Pursue progress, discover extraordinary
 Better is out there. Better medications, better outcomes, better science. But progress doesn't happen without people \- people from different backgrounds, in different locations, doing different roles, all united by one thing: a desire to make miracles happen. So, let's be those people.
 At Sanofi, we provide equal opportunities to all regardless of race, color, ancestry, religion, sex, national origin, sexual orientation, age, citizenship, marital status, disability, or gender identity. Watch our ALL IN video and check out our Diversity Equity and Inclusion actions at sanofi.com!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\#LI\-SA
 All compensation will be determined commensurate with demonstrated experience. Employees may be eligible to participate in Company employee benefit programs, and additional benefits information can be found here.
 PDN\-a0ed1ac6\-4b3b\-4356\-9d0f\-27c9be02eb84</t>
        </is>
      </c>
    </row>
    <row r="73">
      <c r="A73" t="inlineStr">
        <is>
          <t>li-4303294708</t>
        </is>
      </c>
      <c r="B73" t="inlineStr">
        <is>
          <t>Senior Software Engineer, MathDx – cuBLASDx and cuSolverDx</t>
        </is>
      </c>
      <c r="C73" t="inlineStr">
        <is>
          <t>NVIDIA</t>
        </is>
      </c>
      <c r="D73" t="inlineStr">
        <is>
          <t>linkedin</t>
        </is>
      </c>
      <c r="E73" t="inlineStr"/>
      <c r="F73" t="inlineStr"/>
      <c r="G73" t="inlineStr">
        <is>
          <t>California, United States</t>
        </is>
      </c>
      <c r="H73" t="inlineStr"/>
      <c r="I73" t="inlineStr">
        <is>
          <t>NVIDIA is looking for an expert software engineer to help us expand our catalog of Device eXtension (Dx) APIs for our math libraries. For over a decade, NVIDIA's accelerated computing platform has revolutionized HPC and AI with applications ranging from COVID\-19 research to autonomous machines. Did you know that our team develops the GPU\-accelerated mathematical libraries that make all of this possible?
 The hardware and software accelerated computing ecosystem is constantly evolving, including shifts towards hybrid backends, deep integration with high\-level languages and ecosystems (such as Python, Numpy, JAX, MLIR…), and optimization at runtime for maximum flexibility and performance. Our Dx APIs allow developers to embed highly\-optimized mathematical operations in their applications for these and other scenarios. You will be part of a team designing, developing, and optimizing math libraries for the future. If you are passionate about designing modern HPC libraries and want to build software that will stand the test\-of\-time as it accelerates countless applications, we might have the dream job you have been waiting for!
**What You'll Be Doing**
* Design modern, flexible, and easy to use APIs for math libraries and lead design reviews with all collaborators.
* Work closely with internal (e.g., engineering, Product Management) and external partners such as researchers to understand their use cases and requirements.
* Become a domain expert by continuously surveying current trends in software systems.
**What We Need To See**
* PhD or MSc degree in Computer Science, Applied Math, or a related science or engineering field is preferred (or equivalent experience).
* 3\+ years of experience designing and developing software for high\-performance computing and/or AI applications.
* Advanced C\+\+ skills, including modern design paradigms (e.g., template meta\-programming, RAII).
* Parallel programming experience with CUDA or OpenCL.
* Strong collaboration, communication, and documentation habits.
**Ways To Stand Out From The Crowd**
* Experience using graph compilers and/or Just In Time compilation workflows (e.g. XLA, LLVM, MLIR, Numba, NVRTC).
* Programming skills with Python, and modern automation setups for both building software (e.g. cmake) as well as testing it (e.g. CI/CD, sanitizers).
* Experience with CCCL, OpenMP, OpenACC, multi\-threading, MPI, PGAS.
* Strong background in numerical methods (e.g., FFT, numerical linear algebra).
* Experience with scientific and deep learning libraries and frameworks such as PyTorch, JAX, MKL, MAGMA, PETSc, Kokkos, etc.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JR2003815</t>
        </is>
      </c>
    </row>
    <row r="74">
      <c r="A74" t="inlineStr">
        <is>
          <t>li-4329877162</t>
        </is>
      </c>
      <c r="B74" t="inlineStr">
        <is>
          <t>Principal Software Engineer</t>
        </is>
      </c>
      <c r="C74" t="inlineStr">
        <is>
          <t>Business Centric Technology</t>
        </is>
      </c>
      <c r="D74" t="inlineStr">
        <is>
          <t>linkedin</t>
        </is>
      </c>
      <c r="E74" t="inlineStr"/>
      <c r="F74" t="inlineStr"/>
      <c r="G74" t="inlineStr">
        <is>
          <t>Plano, TX</t>
        </is>
      </c>
      <c r="H74" t="inlineStr"/>
      <c r="I74" t="inlineStr">
        <is>
          <t>We’re looking for a Principal Software Engineer to lead innovation and guide technical strategy on our software development team. This is a critical role for a seasoned full\-stack engineer who’s excited about shaping new product lines that will power strategic apps across the globe.
 You’ll work on\-site Mon \- Fri at the Plano, TX office... in a collaborative, engineering\-driven environment.
**COMP: Salary Range is** 
 $175K \- $190K with a 15% yearly bonus potential depending on candidates' experience, etc.
**WHAT’S IN IT FOR YOU:** 
* 100% Covered Healthcare for Both Employee and Family
* Company Paid Short\-term Disability
* Company Paid Life Insurance plus Company\-Paid Dependent Life Insurance
* Great 401K Match
* 18 Days PTO Accrued
* Team Members receive significant hotel discounts (internationally as well)
* Monday–Friday, business hours. No 24/7 on\-call rotations
**WHAT YOU’LL BE DOING:** 
* Lead architecture \&amp; technical direction across modern full\-stack applications.
* Design and build scalable, high\-performance systems using Node.js, React, TypeScript/JavaScript, and Java.
* Mentor and support other engineers — you’ll be a leader, coach, and role model.
* Collaborate with designers, product managers, and QA to ensure seamless product delivery.
* Drive and uphold engineering best practices: clean code, testing, documentation, and agile workflows.
* Serve as a key technical liaison across departments, aligning business needs with engineering capabilities.
**WHAT YOU’LL BRING:** 
* Bachelor’s or Master’s in Computer Science, Software Engineering, or related field.
* 10\+ years of software engineering experience, with a focus on scalable applications \&amp; system design.
* 5\+ years of experience in senior or leadership roles.
* Strong full\-stack development skills, with deep experience in Node.js, React, JavaScript, HTML/CSS. \- JAVA
* Expertise in RESTful APIs, Microservices architecture, JSON, GraphQL, SQL/NoSQL (MongoDB, Redis).
* Solid background in cloud platforms (AWS, Azure, or GCP) and containerization (Docker, Kubernetes).
* Demonstrated experience working closely with UI/UX designers to ensure collaborative refinement and implementation of designs to meet specifications, including cross\-browser compatibility.
* Proven success in mentoring engineers and driving software projects from idea to launch.
* Excellent communication skills — both technical and non\-technical.
 APPLY TODAY! CP\# 8498</t>
        </is>
      </c>
    </row>
    <row r="75">
      <c r="A75" t="inlineStr">
        <is>
          <t>li-4313459719</t>
        </is>
      </c>
      <c r="B75" t="inlineStr">
        <is>
          <t>Senior Software Engineer, Aerial - Performance</t>
        </is>
      </c>
      <c r="C75" t="inlineStr">
        <is>
          <t>NVIDIA</t>
        </is>
      </c>
      <c r="D75" t="inlineStr">
        <is>
          <t>linkedin</t>
        </is>
      </c>
      <c r="E75" t="inlineStr"/>
      <c r="F75" t="inlineStr"/>
      <c r="G75" t="inlineStr">
        <is>
          <t>North Carolina, United States</t>
        </is>
      </c>
      <c r="H75" t="inlineStr"/>
      <c r="I75" t="inlineStr">
        <is>
          <t>NVIDIA Aerial CUDA Accelerated RAN (ACAR) is framework for building high\-performance, software\-defined, cloud\-native Radio Access Network functions over NVIDIA CPU/GPU/DPU based systems. We are seeking a self\-motivated senior performance engineer to drive performance and scalability of our platform. This position offers the opportunity to work on cutting\-edge technology for 5G and 6G networks, using NVIDIA's world\-class compute platforms to advance the field of software\-defined digital signal processing stack!
**What You'll Be Doing**
 As a member of Aerial RAN team working for 5G and 6G networks, you will be responsible for:
* Optimizing CPU, GPU and NIC sub\-systems for predictable low\-latency and maximum efficiency
* Crafting and implementing performance verification tools, frameworks and dashboards
* Monitoring and prioritizing performance regressions reported by CI/CD
* Collaborating with multi\-functional teams to solve performance bottlenecks in CPU, GPU and NIC sub\-systems
* Benchmarking performance use\-cases on different platforms
**What We Need To See**
* BS/MS (or equivalent experience) in a relevant field and 10\+ years’ experience or PhD with 5\+ years’ experience or equivalent.
* Strong software design, development, debugging and testing skills.
* Hands\-on experience with performance analysis, characterization and optimization.
* Experience with programming latency sensitive, real\-time, multi\-threaded applications on CPUs and one or more of GPUs or DSPs or Vector processors.
* Deep knowledge of CPU, DSP or GPU architecture, as well as memory, I/O and networking interfaces.
* Familiarity with data science and using visualization tools to summarize large quantities of data.
* Experience in one or more programming / scripting languages: C/C\+\+, Python, shell scripting.
**Ways to stand out** 
**from the crowd**
* Experience in designing and managing firmware timelines for wireless SoCs used in cellular wireless networks and/or terminals!
* Track record in E2E design/testing of signal processing algorithms at the PHY layer or resource allocation optimization at MAC level.
* CUDA experience highly desired.
* Appetite to learn the details of how next generations of GPU will operate and build an outstanding Software\-Radio 5G/6G stack that can fully demonstrate their power.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JR2001033</t>
        </is>
      </c>
    </row>
    <row r="76">
      <c r="A76" t="inlineStr">
        <is>
          <t>li-4321429715</t>
        </is>
      </c>
      <c r="B76" t="inlineStr">
        <is>
          <t>Senior Software Engineer</t>
        </is>
      </c>
      <c r="C76" t="inlineStr">
        <is>
          <t>Recruiting from Scratch</t>
        </is>
      </c>
      <c r="D76" t="inlineStr">
        <is>
          <t>linkedin</t>
        </is>
      </c>
      <c r="E76" t="inlineStr"/>
      <c r="F76" t="inlineStr"/>
      <c r="G76" t="inlineStr">
        <is>
          <t>San Francisco, CA</t>
        </is>
      </c>
      <c r="H76" t="inlineStr"/>
      <c r="I76"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**Software Engineer \- Full Stack / Backend**
**Location:** 
 San Francisco, CA (On\-site)
**Type:** 
 Full\-time
**Compensation:** 
 $200,000 \- $270,000 base \+ 0\.2% \- 0\.6% equity
**Visa Sponsorship:** 
 Available
**About The Role**
 We're building the most advanced conversational AI agents for the enterprise—and we’re looking for exceptional engineers to join us on this mission. Since launching, we’ve earned the trust of top\-tier customers like Eventbrite, Substack, Rippling, BILT, and more by delivering powerful generative AI solutions for customer service and beyond.
 As a Software Engineer on this team, you’ll collaborate closely with the founders to shape a
 **category\-defining product** 
 and scale it across both massive enterprises and high\-growth startups. This role is designed for someone who not only thrives in a fast\-moving startup environment, but actively seeks out high\-impact challenges with long\-term outcomes.
****What You’ll Do****
* Drive development of the core AI product, working across the stack
* Own and evolve the backend (Python/FastAPI) and frontend (Next.js/React) architecture
* Work directly with early customers, implementing solutions and gathering feedback
* Collaborate with a tight\-knit team to build elegant, scalable features from scratch
* Move fast, ship often, and iterate toward industry\-leading performance
**Experience:**
* 4\-10 years in backend or full\-stack engineering
* Background in high\-growth startups (Seed to Series C), known for top\-tier technical culture
* Track record of leading high\-impact projects, launching fast\-scaling products, or contributing as a founding engineer or founder
* Experience building or integrating AI\-powered products is a strong plus
**Technical \&amp; Product Skills:**
* Proficient in Python (FastAPI) and TypeScript/React
* Deep understanding of backend and infrastructure fundamentals
* Strong product sense and ability to own features end\-to\-end
* Autonomy in decision\-making and comfort navigating ambiguity
 Compensation: $200,000 \- $270,000 base \+ equity
 https://www.recruitingfromscratch.com/</t>
        </is>
      </c>
    </row>
    <row r="77">
      <c r="A77" t="inlineStr">
        <is>
          <t>li-4321537016</t>
        </is>
      </c>
      <c r="B77" t="inlineStr">
        <is>
          <t>Embedded Software Engineer, EV Charging</t>
        </is>
      </c>
      <c r="C77" t="inlineStr">
        <is>
          <t>Siemens</t>
        </is>
      </c>
      <c r="D77" t="inlineStr">
        <is>
          <t>linkedin</t>
        </is>
      </c>
      <c r="E77" t="inlineStr"/>
      <c r="F77" t="inlineStr"/>
      <c r="G77" t="inlineStr">
        <is>
          <t>Atlanta, GA</t>
        </is>
      </c>
      <c r="H77" t="inlineStr"/>
      <c r="I77" t="inlineStr">
        <is>
          <t>Here at Siemens, we take pride in enabling sustainable progress through technology. We do this through empowering customers by combining the real and digital worlds. Improving how we live, work, and move today and for the next generation! We know that the only way a business thrives is if our people are thriving. That’s why we always put our people first. Our global, diverse team would be happy to support you and challenge you to grow in new ways. Who knows where our shared journey will take you?
**Transform the everyday with us!**
**Siemens eMobility® solutions is shaping the market with innovative EV charging technologies.** 
 We are dedicated to driving an open and accessible market for electric vehicles, as well as planning and implementing secure grid connections to enable further growth of EV adoption.
**We are seeking an experienced and driven Embedded Software Engineer. This position will be based in Atlanta.**
 The Software Developer will design and implement embedded software for Linux, RTOS, and bare\-metal\-based products. This role involves working on innovative solutions across the complete product lifecycle, from design and validation to deployment and maintenance, focusing on algorithm development, wired/wireless communications, IoT security, and data analysis.
 The ideal candidate will bring a strong background in embedded systems, power electronics, and EV charging communication protocols, along with exceptional skills to drive innovation, quality, and timely delivery in a fast\-paced market.
**You will make a difference with the following job duties:**
* Design and implement Embedded Software solutions in C / C\+\+ while following Agile SDLC
* Develop software tools to support manufacturing processes and field services teams.
* Create documentation such as:
+ Docs for the factory and field service teams with instructions on how to build, use and debug our products.
+ Docs for design, architecture, Release Notes, etc.
* Analyze, design, implement, and test new features based on customer and system requirements (some based on new standards and/or legislations).
* Research and integrate new components, technologies, and methods into product designs.
* Analyze and fix defects (both internal defects and defects from the field)
* Hands\-on testing of code changes in the lab with chargers and EVs.
* Build tools to collect charger data and analyze it to find and prevent issues in the field.
* Implement SW unit tests with tools such as GoogleTest, Pytest.
* Improve procedures for SDLC and CI/CD pipelines.
* Develop OCPP client software to comply with OCPP 1\.6, OCPP 2\.0\.1, and OCPP 2\.1\.0\.
* Create and update low level drivers for various communication platforms.
* Develop applications to interface with WiFi, Cellular modems, RFID, etc.
**You’ll win us over by having the following qualifications:**
 Basic Qualifications:
* Bachelor’s degree in Computer Science, Computer Engineering, Electrical Engineering, or related field
* 2\+ years of experience with the following:
+ Embedded firmware development
+ Strong knowledge of embedded systems, microcontrollers, and real\-time operating systems including Embedded Linux and Yocto Custom Linux Distros
+ Proficiency in C/C\+\+ programming language
+ Strong understanding of hardware/software interfaces and real\-time constraints.
+ Experience with firmware debugging tools, techniques, and processes
+ Experience with tools for SW Development (Jira, Git, Toolchains, etc.)
* Legally authorized to work in the United States on a continual and permanent basis without company sponsorship.
* Some travel required (10%).
 Preferred Qualifications:
* Bachelors or Master’s degree in Computer Science, Computer Engineering, Electrical Engineering, or related field and 5\+ years of experience in Embedded Software Development.
* Experience in Agile development, version control/CI/CD pipelines e.g. – Git, SonarQube), and product development for regulated industries.
* Embedded firmware development experience with 32\-bit and 64\-bit microprocessors
* Technical expertise in communication protocols (CAN, Ethernet, Wi\-Fi, I2C, Modbus), security best practices, and EVSE protocols/standards (OCPP, ISO 15118, DIN 70121, IEC 61851, SAE J3105\)
* Knowledge of electrical systems and power electronics, specifically EV charging solutions, is highly desired.
* Understanding of system design descriptions, logic diagrams and functional block diagrams, specifications, and material requisitions.
* Competent at reading schematics.
* Good communication, work ethic, interpersonal skills, and the ability to interface with cross\-functional teams and external customers.
* Independently motivated
 68,830 117,994 10</t>
        </is>
      </c>
    </row>
    <row r="78">
      <c r="A78" t="inlineStr">
        <is>
          <t>li-4366184087</t>
        </is>
      </c>
      <c r="B78" t="inlineStr">
        <is>
          <t>Senior Software Engineer</t>
        </is>
      </c>
      <c r="C78" t="inlineStr">
        <is>
          <t>ZoomInfo</t>
        </is>
      </c>
      <c r="D78" t="inlineStr">
        <is>
          <t>linkedin</t>
        </is>
      </c>
      <c r="E78" t="inlineStr"/>
      <c r="F78" t="inlineStr"/>
      <c r="G78" t="inlineStr"/>
      <c r="H78" t="inlineStr"/>
      <c r="I78"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What You'll Do
 You’ll be joining a highly interdisciplinary team transforming the core of Zoominfo’s business. Collaborating with PMs, designers, and engineers you will rapidly drive innovation by building intelligent systems that power cutting edge user experiences, create valuable insights for our customers, and drive revenue growth. You'll design and deploy novel multi\-agent systems that collaborate to solve complex problems implementing communication patterns, memory structures, and orchestration logic that enable agents to reason, plan, and act effectively.
 In addition to deploying scalable, observable, cost\-efficient production AI services, you’ll be working with leading LLM technologies to build an agentic AI platform that multiplies your impact across teams.
 Your work will enable teams across the organization to compose, evaluate, and deploy intelligent agents, accelerating time\-to\-market for new features and delivering business impact.
 What You'll Bring
**Technical Excellence**
 Strong Python skills. You prototype quickly and deliver maintainable, production\-grade systems.
 Solid data skills. You explore datasets, form hypotheses, and execute projects that leverage data through enrichment, transformation, or generative AI techniques.
 Experience building LLM\-powered agentic systems using frameworks such as LangChain, LangGraph, or custom orchestration layers.
 Understanding of context retrieval, grounding, compression techniques to optimize reasoning performance, vector databases, embedding stores, and retrieval\-augmented generation (RAG) architecturesExperience quantifying stochastic performance and designing evaluation metrics that measure prompt quality, reasoning depth, and user\-perceived value.
 Experience with cloud\-native systems (AWS/GCP), containerization (Docker/Kubernetes), and modern observability tooling.
 Experience contributing to platforms and reusable components that enable other teams to build AI\-driven solutions.
**Business Acumen**
 Product\-focused mindset: you think in terms of user value, revenue impact, and business outcomes.
 Customer empathy: you understand how technical improvements translate to customer satisfaction, reduced friction, and willingness to pay.
 Cost consciousness: you optimize for both performance and infrastructure efficiency.
 Communication skills: you articulate technical work in business terms, presenting AI initiatives through the lens of ROI, market opportunity, and customer impact.Ownership mindset: youtake responsibility for business outcomes, not just technical deliverables.
 Impact You'll Create
**Success In This Role Means Driving Measurable Improvements In**
 Revenue metrics: Feature adoption rates, expansion revenue, willingness\-to\-pay
 Engagement metrics: Daily/monthly active users, session depth, feature usage
 Efficiency metrics: Cost per inference, infrastructure optimization, time\-to\-market
 Customer success metrics: NPS scores, churn reduction, support ticket deflection
 Platform metrics: Internal team velocity, reuse of platform components, developer satisfaction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$140,000—$220,000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79">
      <c r="A79" t="inlineStr">
        <is>
          <t>li-4355950683</t>
        </is>
      </c>
      <c r="B79" t="inlineStr">
        <is>
          <t>Senior Software Developer</t>
        </is>
      </c>
      <c r="C79" t="inlineStr">
        <is>
          <t>Oracle</t>
        </is>
      </c>
      <c r="D79" t="inlineStr">
        <is>
          <t>linkedin</t>
        </is>
      </c>
      <c r="E79" t="inlineStr"/>
      <c r="F79" t="inlineStr"/>
      <c r="G79" t="inlineStr">
        <is>
          <t>Nashville, TN</t>
        </is>
      </c>
      <c r="H79" t="inlineStr"/>
      <c r="I79"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0">
      <c r="A80" t="inlineStr">
        <is>
          <t>li-4355941640</t>
        </is>
      </c>
      <c r="B80" t="inlineStr">
        <is>
          <t>Senior Software Developer</t>
        </is>
      </c>
      <c r="C80" t="inlineStr">
        <is>
          <t>Oracle</t>
        </is>
      </c>
      <c r="D80" t="inlineStr">
        <is>
          <t>linkedin</t>
        </is>
      </c>
      <c r="E80" t="inlineStr"/>
      <c r="F80" t="inlineStr"/>
      <c r="G80" t="inlineStr">
        <is>
          <t>Nashville, TN</t>
        </is>
      </c>
      <c r="H80" t="inlineStr"/>
      <c r="I80"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li-4355888133</t>
        </is>
      </c>
      <c r="B81" t="inlineStr">
        <is>
          <t>Senior Software Developer</t>
        </is>
      </c>
      <c r="C81" t="inlineStr">
        <is>
          <t>Oracle</t>
        </is>
      </c>
      <c r="D81" t="inlineStr">
        <is>
          <t>linkedin</t>
        </is>
      </c>
      <c r="E81" t="inlineStr"/>
      <c r="F81" t="inlineStr"/>
      <c r="G81" t="inlineStr">
        <is>
          <t>Nashville, TN</t>
        </is>
      </c>
      <c r="H81" t="inlineStr"/>
      <c r="I81"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2">
      <c r="A82" t="inlineStr">
        <is>
          <t>li-4355788021</t>
        </is>
      </c>
      <c r="B82" t="inlineStr">
        <is>
          <t>Senior Software Developer</t>
        </is>
      </c>
      <c r="C82" t="inlineStr">
        <is>
          <t>Oracle</t>
        </is>
      </c>
      <c r="D82" t="inlineStr">
        <is>
          <t>linkedin</t>
        </is>
      </c>
      <c r="E82" t="inlineStr"/>
      <c r="F82" t="inlineStr"/>
      <c r="G82" t="inlineStr">
        <is>
          <t>Nashville, TN</t>
        </is>
      </c>
      <c r="H82" t="inlineStr"/>
      <c r="I82"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3">
      <c r="A83" t="inlineStr">
        <is>
          <t>li-4366180343</t>
        </is>
      </c>
      <c r="B83" t="inlineStr">
        <is>
          <t>Senior Full Stack Engineer, Trading Alerts</t>
        </is>
      </c>
      <c r="C83" t="inlineStr">
        <is>
          <t>bet365</t>
        </is>
      </c>
      <c r="D83" t="inlineStr">
        <is>
          <t>linkedin</t>
        </is>
      </c>
      <c r="E83" t="inlineStr"/>
      <c r="F83" t="inlineStr"/>
      <c r="G83" t="inlineStr">
        <is>
          <t>Denver, CO</t>
        </is>
      </c>
      <c r="H83" t="inlineStr"/>
      <c r="I83" t="inlineStr">
        <is>
          <t>At bet365, we're one of the world's leading online gambling companies, revolutionising the industry since 2000\. Founded by Denise Coates CBE, we now employ over 9,000 people and serve over 100 million customers in 27 languages. Our focus on In\-Play betting has solidified our market\-leading position, offering an unmatched experience across 96 sports and 700,000 streaming events. With over 750 concurrent sporting fixtures at peak and more live sports streamed than anyone else in Europe, we handle over 6 billion HTTP requests daily and process more than 2 million bets per hour at peak.
 We empower our employees to push boundaries and explore new ideas, cultivating a culture that celebrates and rewards creativity. This offers employees a wealth of opportunities for growth, giving them the opportunity to make a real impact in the world of online gambling. As a forward\-thinking company, we’re breaking new ground in software innovation too, redefining what’s possible for our customers worldwide.
**Job Description**
 As a Senior Full Stack Engineer, you will be responsible for developing, maintaining and evolving our US Sports platform.
 We are building a team and trading platform to help us become a leader in the US sports gambling industry, replicating our strong foundation in Europe.
 As part of our team, you will play a pivotal role in driving our growth and success. Our N\-Tier distributed systems process large volumes of data, especially during high\-profile sporting events, where resilience and stability are crucial to delivering an exceptional customer experience.
 You will play an important role in shaping the success of our team. Beyond technical excellence, you will use your expertise to coach and onboard junior engineers, ensuring their smooth integration into our team through mentorship. Working with technical and non\-technical stakeholders will help the team implement the architectural vision.
 This role is eligible for inclusion in the Company’s hybrid working from home policy.
 The listed salary for this position is $125,000 \- $155,000 annually.
**Qualifications**
* Previously worked on high throughput and low latency systems.
* Experience in coaching and mentoring in technical subject areas.
* Ability to prioritize people and conversations over process.
* Previously thrived in a fast\-paced agile environment.
* An aptitude and enjoyment in learning new technologies.
* Commercial experience using GCP with Kubernetes.
* Knowledge of React and Typescript.
* Experience with Golang Microservices.
* Exposure to C\#, .net, MSSQL and/or WPF.
* Experience in a delivery focused culture.
**Additional Information**
* Building scalable systems that guarantee quality and reliability under high demand.
* Understanding existing bet365 systems and working with the architecture team to generate solutions for integration and improvement
* Being a shining light for technical excellence and good engineering process.
* Providing technical guidance and mentorship to support team members' professional development.
* Working on and solving complex problems, both individually and as part of a team
* Advocating for change where it has tangible benefit to the developer experience or quality of the product
* Adopting innovative technologies like our various in\-house AI offerings.
* Collaborating proactively with stakeholders and the team.
 bet365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84">
      <c r="A84" t="inlineStr">
        <is>
          <t>li-4365087357</t>
        </is>
      </c>
      <c r="B84" t="inlineStr">
        <is>
          <t>Mid-Level .NET Software Engineer</t>
        </is>
      </c>
      <c r="C84" t="inlineStr">
        <is>
          <t>STAND 8 Technology Consulting</t>
        </is>
      </c>
      <c r="D84" t="inlineStr">
        <is>
          <t>linkedin</t>
        </is>
      </c>
      <c r="E84" t="inlineStr"/>
      <c r="F84" t="inlineStr"/>
      <c r="G84" t="inlineStr"/>
      <c r="H84" t="inlineStr"/>
      <c r="I84" t="inlineStr">
        <is>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 Design, develop, test, and deploy client\-specific configurations and platform enhancements.
* Support new client onboarding as well as ongoing Business\-as\-Usual (BAU) updates.
* Maintain and improve release processes, ensuring consistency across multiple environments.
* Collaborate with cross\-functional teams\-Customer Success, Delivery, QA, Infrastructure, Project Management, and Support\-to meet release and delivery requirements.
* Contribute to core product development and Release Engineering initiatives.
* Participate in Agile ceremonies, maintain documentation, and drive continuous improvement.
**Required Qualifications** 
* 3\+ years of professional experience in .NET development.
* 1\+ year of experience with ASP.NET Core and Entity Framework Core.
* Proficiency in C\#, ASP.NET, and REST APIs.
* Strong understanding of RDBMS concepts and Microsoft SQL Server.
* Front\-end experience with HTML5, CSS3, and JavaScript.
* Familiarity with version control systems such as Git.
* Experience with modern JavaScript frameworks (e.g., Angular, React).
* Ability to manage complex release cycles across multiple environments.
* Excellent communication and collaboration skills across distributed teams.
**Preferred / Bonus Skills** 
* Experience with Azure Cloud and Azure DevOps.
* Familiarity with Agile methodologies, Jira, and Confluence.
* Exposure to operational tools such as Splunk, PagerDuty, or Zendesk.
*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85">
      <c r="A85" t="inlineStr">
        <is>
          <t>li-4281104536</t>
        </is>
      </c>
      <c r="B85" t="inlineStr">
        <is>
          <t>C2 Software Engineer (Radar &amp; Sensor Integration)</t>
        </is>
      </c>
      <c r="C85" t="inlineStr">
        <is>
          <t>CHAOS Industries</t>
        </is>
      </c>
      <c r="D85" t="inlineStr">
        <is>
          <t>linkedin</t>
        </is>
      </c>
      <c r="E85" t="inlineStr"/>
      <c r="F85" t="inlineStr"/>
      <c r="G85" t="inlineStr">
        <is>
          <t>Hawthorne, CA</t>
        </is>
      </c>
      <c r="H85" t="inlineStr"/>
      <c r="I85"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Mid\-career Command \&amp; Control/Mission Systems Software Engineer to join our team supporting our R\&amp;D and product engineering initially focusing on our next\-generation Command \&amp; Control mission system product family. This is a highly collaborative role which will allow you to work on multiple capabilities within our product offerings. As a member of our engineering team, you also have the opportunity to expand your skillset across our product families.
**Responsibilities**
* Research \&amp; Development (R\&amp;D) and Production software development for our next\-generation Command \&amp; Control (C2\) mission system product
* Support system integration of sensors and effectors
* Support both edge and cloud deployments
* Support deployed software capabilities in the hands of our U.S. and international customers
* Work full\-time on\-site in our office in Los Angeles (Hawthorne\_, California
**Minimum Requirements**
* Bachelor’s or higher Degree in Computer Science, Computer Engineering, or related degree
* 5\+ years of experience in professional, object\-oriented software development
* Experience developing and/or integrating with C2 systems
* Extensive/advanced Python experience
* Experience with Agile lifecycle processes including Scrum, Continuous Integration, and Test\-Driven Development Methodologies
* Ability to work with minimal supervision and collaborate on small teams
* Solid understanding and extensive experience in software development using Linux
* U.S. Person status is required as this position will require the ability to access U.S.\-only data systems
**Preferred Requirements**
* Experience with DoD \&amp; related System/SW Architectures and messaging standards (e.g. OMS, SOSA, Link\-16, etc)
* Experience designing \&amp; implementing tracking and track fusion algorithms
* Development experience in Ground or Airborne Sensors (Radars, EO/IR, EW, etc.)
* Experience with Networks (software and hardware)
* Experience with advanced Time Synchronization technologies beyond NTP
* Experience with git
* Experience with Containers (e.g. Docker, Podman, etc.)
* Familiarity with cloud computing and virtualization technologies (e.g. WSL, KVM, Hyper\-V, VMware)
* Experience with Modeling \&amp; Simulation, including hardware\-in\-the\-loop and software\-in\-the\-loop testbeds (e.g. DIS, VR\-Forces, AFSIM)
* Experience with production\-level SW development \&amp; deployment, including DevOps, DevSecOps, and/or Continuous Integration/Continuous Delivery (CI/CD) using modern FOSS/COTS toolsets.
* Experience with full lifecycle SW development of high\-TRL systems
* Experience with HW/SW I\&amp;T and V\&amp;V of high\-TRL systems
* Experience with additional languages such as C\+\+, Rust, NodeJS, Java, Go, etc.
* Current or previous DoD security clearance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$130,000 \- $240,000***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86">
      <c r="A86" t="inlineStr">
        <is>
          <t>li-4355932390</t>
        </is>
      </c>
      <c r="B86" t="inlineStr">
        <is>
          <t>Senior Software Engineer, Support Automations</t>
        </is>
      </c>
      <c r="C86" t="inlineStr">
        <is>
          <t>Retell AI</t>
        </is>
      </c>
      <c r="D86" t="inlineStr">
        <is>
          <t>linkedin</t>
        </is>
      </c>
      <c r="E86" t="inlineStr"/>
      <c r="F86" t="inlineStr"/>
      <c r="G86" t="inlineStr"/>
      <c r="H86" t="inlineStr"/>
      <c r="I86"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In 2026, We are expanding our vision to build a CX platform of the AI era where the entire contact center is reimagined as a team of AI employees. We are moving beyond mechanical automation that relies on human finetuning to instead transform core functions into intelligent, opinionated AI roles. Frontline agents, QA analysts, and managers now operate as distinct digital workers that serve as the new interface for customer experience. They execute, monitor, and improve continuously to create a system where software behaves like an organization.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**Senior Software Engineer, Support Automations** 
 at Retell, you will own the technical support function for a highly technical, agentic voice AI platform. This is a
 **hands\-on leadership role** 
 : you will personally debug complex customer issues, build AI agents and automations, and lead a growing team of support engineers.
 You will operate at the intersection of
 **engineering, customers, and product** 
 , ensuring world\-class reliability, fast resolution, and scalable support economics as Retell grows.
 This role is ideal for someone who enjoys solving hard technical problems under pressure, working directly with customers, and building systems and teams from the ground up.
**Key Responsibilities**
 Support Fundamentals
* Own end\-to\-end resolution of complex support tickets for a production, agentic AI platform.
* Debug issues across agents, prompts, APIs, webhooks, logs, integrations, and telephony.
* Build, configure, and test AI agents to reproduce and resolve customer issues.
* Join live customer calls when needed to diagnose problems and restore confidence.
* Own core support metrics including CSAT, NPS, SLA, and response times.
* Define and improve support unit economics, including automation vs headcount tradeoffs.
 Automation \&amp; Tooling
* Design and build AI\-driven support workflows and automations to reduce manual load.
* Develop internal tools and dashboards for the support team with appropriate permissions and access control.
* Improve observability, alerting, and debugging workflows to shorten time\-to\-resolution.
* Identify recurring issues and turn them into automations, tooling, or product improvements.
 Team Leadership \&amp; Management
* Recruit, interview, onboard, and mentor support engineering team members.
* Set quality bars, escalation guidelines, and on\-call processes.
* Run weekly analysis of feature requests, bug trends, and documentation gaps.
* Partner closely with Engineering and Product to influence roadmap and reliability priorities.
 Product \&amp; Feedback Loop
* Translate customer pain points into clear, actionable feedback for Product and Engineering.
* Help shape documentation, best practices, and customer\-facing guidance.
* Act as a voice of the customer while maintaining technical rigor and operational discipline.
 YOU MIGHT THRIVE IF
* Have 3\+ years of experience in technical support, support engineering, solutions engineering, systems engineering, or similar roles.
* Have supported a technical, developer\-facing product in production.
* Have 1\+ year of experience at a startup, ideally in a support engineering role.
* Are comfortable writing and debugging code (Python \&amp; JavaScript) for real use cases.
* Have built or configured AI agents, workflows, or LLM\-powered systems.
* Are highly detail\-oriented and calm under pressure when incidents occur.
* Think analytically about metrics, root causes, and system\-level improvements.
* Communicate clearly with both technical and non\-technical stakeholders.
**JOB DETAILS**
* Cash: $200,000 \- $290,000 base salary
* Equity: Offers Equity
* Location: Redwood City, CA, US (Relocation Provided)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Recruiter Intro Call (15min): Learn about us and share your background.
* Technical First Round (45 min): Live debugging exercise in real a world scenario
* Onsite (3 hours)
+ Support Automation Build \- Design or build an AI\-powered support workflow
+ Real\-Time Customer Call Simulation \- Handle a live support scenario with an unhappy customer
+ Support Analytics \&amp; Judgement \- Analyze support metrics, trends, and tradeoffs</t>
        </is>
      </c>
    </row>
    <row r="87">
      <c r="A87" t="inlineStr">
        <is>
          <t>li-4354836918</t>
        </is>
      </c>
      <c r="B87" t="inlineStr">
        <is>
          <t>Software Engineer</t>
        </is>
      </c>
      <c r="C87" t="inlineStr">
        <is>
          <t>Base-2 Solutions</t>
        </is>
      </c>
      <c r="D87" t="inlineStr">
        <is>
          <t>linkedin</t>
        </is>
      </c>
      <c r="E87" t="inlineStr"/>
      <c r="F87" t="inlineStr"/>
      <c r="G87" t="inlineStr">
        <is>
          <t>Annapolis Junction, MD</t>
        </is>
      </c>
      <c r="H87" t="inlineStr"/>
      <c r="I87" t="inlineStr">
        <is>
          <t>**Required Security Clearance**
**Top Secret/SCI with Full Scope Polygraph**
**City**
**Annapolis Junction**
**State/Territory**
**Maryland**
**Travel**
**None**
**Potential For Teleworking**
**No**
**Schedule**
**Full Time**
**DoD 8570 IAT Requirement**
**None**
**DoD 8570 IAM Requirement**
**None**
**DoD 8570 IASAE Requirement**
**None**
**DoD CSSP Requirement**
**None**
**Last Updated**
**1/25/26 8:30 PM**
**Requisition ID**
**222503**
 US Citizenship Required?:
**Yes**
**Pay Range**
**$132,454\.76 to $176,606\.35**
**Work Type**
**On\-Site**
**Referral Eligibility**
**Eligible**
**Job Description**
 Base\-2 Solutions is seeking aSoftware Engineer who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**Required Experience**
* AI/ML development or integration experience.
* Terraform experience with AWS.
* C\+\+, Python, and/or Golang.
* Experience with writing\-performance / GPU\-enabled applications.
* Experience with large\-scale streaming data analytic systems.
**Qualifications**
* Seven (7\) years’ experience as a SWE, in programs and contracts of similar scope, type, and complexity is required.
* Bachelor’s degree in Computer Science or related discipline from an accredited college or university is required.
+ Four (4\) years of additional SWE experience on projects with similar software processes may be substituted for a bachelor’s degree.
**Capabilities**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**Pay \&amp; Benefit Highlights**
**Compensation**
* Above market fixed salary or hourly pay.
* Up to $10,000 bonus for each referral.
* Additional bonuses for exceptional performance, assisting with business development and company growth.
**Health**
* 100% paid premiums for health insurance. Choose from over 5 gold\-level medical plans from CareFirst, Kaiser and UnitedHealthcare. Choose from PPO, POS. HMO, and HSA\-compatible.
* HSA and FSA options.
* 100% paid premiums for dental insurance.
* 100% paid premiums for vision insurance.
**Income Protection**
* 100% paid premiums for short\-term disability.
* 100% paid premiums for long\-term disability.
* 100% paid premiums for accidental death \&amp; dismemberment.
* 100% paid premiums for life insurance with a $200,000 max benefit.
**Retirement**
* 8% company contribution to 401k with immediate vesting.
* 401k pre\-tax and Roth options.
**Leave**
* Up to 20 days of flexible paid time off (PTO).
* 11 days of paid floating holidays.
**Work\-Life Balance**
* Flexible work schedules including flex time and compressed work period.
* Remote work including partial or fully remote (contract and project\-dependent).
 View our detailed Pay \&amp; Benefits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88">
      <c r="A88" t="inlineStr">
        <is>
          <t>li-4366179279</t>
        </is>
      </c>
      <c r="B88" t="inlineStr">
        <is>
          <t>Lead Software Engineer</t>
        </is>
      </c>
      <c r="C88" t="inlineStr">
        <is>
          <t>Excel Sports Management</t>
        </is>
      </c>
      <c r="D88" t="inlineStr">
        <is>
          <t>linkedin</t>
        </is>
      </c>
      <c r="E88" t="inlineStr"/>
      <c r="F88" t="inlineStr"/>
      <c r="G88" t="inlineStr">
        <is>
          <t>Chicago, IL</t>
        </is>
      </c>
      <c r="H88" t="inlineStr"/>
      <c r="I88" t="inlineStr">
        <is>
          <t>**Excel Sports Management**
 is an industry\-leading sports agency representing top\-tier talent, blue\-chip brands and marquee properties. Our success is rooted in our people, our high character reputation and our commitment to creating a diverse and welcoming workplace. We focus on team chemistry, collaboration, strong relationships, valuable networks, and ambitious ideas to deliver innovative solutions that keep our clients and agency ahead of the curve.
***Excel Sports Management is an Equal Opportunity Employer (EOE).***
**Position Overview:**
 We are seeking a Senior Full Stack Engineer with strong DevOps expertise and domain knowledge in sports to help design, build, deploy, and operate analytics\-driven applications and platforms. This Director\-level role is ideal for an engineer who enjoys full ownership of systems—from frontend and backend development to CI/CD, cloud infrastructure, and data platforms. This role will be based in our Chicago Office.
 You will play a key role in building scalable, production\-grade tools used by Excel teams and external partners, while helping establish best practices across engineering, data, and cloud operations.
**This Position Is a Great Fit If You…**
* Want end\-to\-end ownership, from application development through cloud deployment and operations
* Enjoy working across frontend, backend, infrastructure, and data without being siloed
* Care about building production\-grade, scalable systems, not just prototypes
* Like turning ambiguous business needs into clean, well\-architected solutions
* Believe in automation\-first engineering, including Terraform\-based IaC and CI/CD
* Enjoy collaborating with analytics, marketing, and client\-facing teams
* Want your work to have direct, visible impact on internal teams and external clients
* Are excited to help shape technical standards while staying hands\-on
* Have demonstrated experience in sports and want to take your career to the next level
**Role \&amp; Responsibilities:**
* Serve as the primary owner of AWS infrastructure, leveraging Terraform to manage Dockerized services, Airflow orchestration and data warehousing
* Design, develop, and maintain end\-to\-end applications, including frontend, backend, and infrastructure components
* Build and manage CI/CD pipelines that produce Docker containers and/or installable packages
* Define, provision, and manage cloud infrastructure using Terraform
* Architect and maintain cloud\-native systems with a focus on reliability, scalability, security, and cost efficiency
* Build and manage data lakes, data warehouses, or similar analytics platforms to support reporting, modeling, and client deliverables
* Develop backend services and data workflows, with a strong emphasis on Python\-based systems
* Design and maintain data orchestration pipelines (e.g., Apache Airflow)
* Collaborate closely with analytics, marketing, product, and client\-facing teams to translate business needs into technical solutions
* Lead and mentor a small engineering team providing technical guidance, performance feedback and task prioritization within the analytics group
* Support both internal stakeholders and external clients, ensuring solutions are robust, well\-documented, and production\-ready
* Implement best practices for testing, monitoring, deployment, and documentation
* Troubleshoot and resolve issues across application, data, and infrastructure layers while providing production support during standard working hours
* Lead relevant internal Center of Excellence for deepening and standardizing use of data in sports science and athlete performance
**Required Qualifications:**
* 5\+ years of professional software engineering experience with full stack ownership, including 2 years of experience in the sports industry
* Strong experience building frontend and backend applications
* Demonstrated expertise in DevOps and cloud engineering, including:
* CI/CD pipeline design and implementation
* Docker and containerized workloads
* Infrastructure as Code using Terraform
* Hands\-on experience deploying and operating systems on AWS
* Strong proficiency in Python
* Strong proficiency in Node.js and modern React\-based frontend frameworks
* Experience designing or working with data lakes, data warehouses, or large\-scale analytics platforms
* Solid understanding of cloud networking, security, and observability
* Demonstrated ability to lead projects and proactively manage varied stakeholders
* Ability to work independently, take ownership, and operate in a fast\-paced environment
**Preferred Qualifications:**
* Experience with Apache Airflow or similar orchestration tools
* Experience building or integrating AI/ML\-driven solutions
* Familiarity with serverless and event\-driven architectures
* Experience working in analytics, data science, or insight\-driven product teams
* Strong interest in sports
**The pay range for this position is: $200,000 per year \- $240,000 per year. This position is also eligible for benefits and discretionary bonus.** 
**Ultimately, the salary may vary based upon, but not limited to, relevant experience, time in role, business sector, and geographic location, among other criteria.** 
**This position is not eligible for sponsorship.** 
*Excel Sports Management provides equal employment opportunities (EEO) to all employees and applicants for employment without regard to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This policy applies to all terms and conditions of employment, including recruiting, hiring, placement, promotion, termination, leaves of absence, compensation and training.*</t>
        </is>
      </c>
    </row>
    <row r="89">
      <c r="A89" t="inlineStr">
        <is>
          <t>li-4365862558</t>
        </is>
      </c>
      <c r="B89" t="inlineStr">
        <is>
          <t>Staff Software Engineer, AI Agent Platform</t>
        </is>
      </c>
      <c r="C89" t="inlineStr">
        <is>
          <t>GEICO</t>
        </is>
      </c>
      <c r="D89" t="inlineStr">
        <is>
          <t>linkedin</t>
        </is>
      </c>
      <c r="E89" t="inlineStr"/>
      <c r="F89" t="inlineStr"/>
      <c r="G89" t="inlineStr">
        <is>
          <t>Chevy Chase, MD</t>
        </is>
      </c>
      <c r="H89" t="inlineStr"/>
      <c r="I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Geico AI Agent Platform team is seeking an exceptional Staff Software Engineer to build the next generation enterprise Agent OS and SDKs. This role combines deep technical expertise in platform engineering, application design and agentic workflows with strong leadership and mentoring capabilities. You will be responsible for designing, implementing, and maintaining scalable, reliable frontend and backend systems that enable our business, product and engineering teams to build, test and deploy their own AI agents \&amp; workflows. The candidate must have excellent communication skills and a proven track record of delivering business value via technical excellence.
**KEY REPONSIBILITIES**
**Platform Engineering:** 
* Architect and implement scalable multi\-tenant backend systems for building AI agent workflows, including agent configuration, offline evaluation, synthetic data generation, workflow simulation, agent marketplace, etc. using Azure Kubernetes Service (AKS), FastAPI, etc., ensuring economy of scale and control cost of maintenance.
* Collaborate with Design team to architect and implement frontend experiences and workflows for onboarding both technical and non\-technical stakeholders, maximizing user adoption and successful AI agent development
* Develop observability frameworks to ensure 99\.9%\+ uptime for AI agent platforms through robust monitoring, alerting, and incident response procedures
* Evaluate and (if desirable) integrate cutting\-edge GenAI frameworks, libraries and vendors to maintain a state\-of\-the\-art technology stack, including hybrid cloud solutions with AWS/GCP as backup or specialized use cases
* Architect and implement scalable, high\-performance machine learning platforms and systems capable of processing large data volumes and supporting real\-time decision making and workflows.
**DevOps/Application Lifecycle Management:** 
* Oversee the end\-to\-end lifecycle of AI agent applications, ensuring robust testing, deployment, and ongoing monitoring.
* Ensure adherence to company production readiness standards, security protocols, and regulatory compliance throughout the development lifecycle.
* Continuously optimize platform performance, reducing latency and improving throughput for AI agent workloads
* Design and implement backup, recovery, and business continuity plans for hosted platform applications \&amp; services
* Design and maintain robust CI/CD pipelines for ML model deployment using Azure DevOps, GitHub Actions, and MLOps tools
**Technical Leadership**
* Act as the tech lead for a sub\-team, setting technical direction and ensuring consistency in design principles and best practices.
* Provide hands\-on mentorship and guidance during design reviews, code assessments, and performance tuning.
* Lead by example in tackling complex technical challenges and driving system\-wide architectural improvements.
* Establish and champion engineering standards for ML infrastructure, deployment practices, and operational procedures
* Create technical documentation, runbooks, and deliver internal training sessions on platform capabilities
**Cross\-Functional Collaboration:** 
* Work closely with data scientists, software engineers, and product teams to seamlessly deploy ML systems into production environments.
* Translate complex technical concepts into actionable insights for both technical and non\-technical stakeholders.
* Foster a collaborative environment that encourages innovation and the sharing of best practices across teams.
* Present technical solutions and platform roadmaps to leadership and cross\-functional stakeholders
**QUALIFICATIONS:** 
*Technical Skills*
* Bachelor’s degree in computer science, Engineering, Mathematics, or a related field; an advanced degree (master’s or Ph.D.) is highly desirable.
* 6\+ years of hands\-on experience in designing, implementing, and maintaining multi\-tenant AIML systems and platforms in production environments.
* 6\+ years of experience working with cloud platforms such as Azure and AWS.
* Extensive expertise in designing and deploying large\-scale data pipelines and real\-time inference systems and managing the end\-to\-end AI Agent and/or AIML system development lifecycles, including configuration, evaluation, monitoring, observability and AuthN/AuthR considerations
* 6\+ years of experience working with common backend systems \&amp; tools (e.g, Kubernetes, Temporal, OpenSearch, PostgreSQL, Redis, Neo4J, etc.). Deep understanding of Docker, container optimization, and multi\-stage builds. Experience with Prometheus, Grafana, Open Telemetry and distributed tracing
* 3\+ years of experience building front\-end web applications using frameworks such as React and/or Next.JS
* Deep proficiency in programming languages such as Python, Java, Go, etc., with a strong emphasis on coding excellence. Extra credit for properly leveraging AI coding tools such as Cursor for productivity gains
* Proficiency in AIML frameworks such as TensorFlow, PyTorch, Langraph, etc.
*Leadership Skills*
* Demonstrated track record of mentoring engineers and leading technical initiatives
* Proven ability to tackle complex technical challenges, innovate through hands\-on experimentation, and set technical standards.
* Excellent verbal and written communication against audience of diverse seniority levels and professional backgrounds
**Preferred Specialized Skills**
* Deep expertise operating and/or building AI agent platforms \&amp; capabilities like Langraph platform, Autogen, N8N, Crew.ai, etc.
* Experience with LLM observability systems such as Langsmith, Langfuse, Arize Phoenix, etc.
* Experience building LLM\-based AI agent workflows via both no code/low code and traditional high\-code development environments
* Experience utilizing both open source (e.g. llama, Qwen, Mistral) and proprietary (e.g. GPT, Claude) LLMs for appropriate tasks
* Understanding of AI safety principles, model governance, and regulatory compliance
* Background in regulated industries with understanding of data privacy requirements and cybersecurity review processes
 If you are passionate about pushing the boundaries of generative ai platforms, thrive in a hands\-on technical leadership role, and enjoy solving complex, large\-scale problems, we encourage you to apply.
**Annual Salary**
 $115,000\.00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0">
      <c r="A90" t="inlineStr">
        <is>
          <t>li-4366170152</t>
        </is>
      </c>
      <c r="B90" t="inlineStr">
        <is>
          <t>Software Engineering - Software Engineer II</t>
        </is>
      </c>
      <c r="C90" t="inlineStr">
        <is>
          <t>Apex Systems</t>
        </is>
      </c>
      <c r="D90" t="inlineStr">
        <is>
          <t>linkedin</t>
        </is>
      </c>
      <c r="E90" t="inlineStr"/>
      <c r="F90" t="inlineStr"/>
      <c r="G90" t="inlineStr">
        <is>
          <t>Redmond, WA</t>
        </is>
      </c>
      <c r="H90" t="inlineStr"/>
      <c r="I90" t="inlineStr">
        <is>
          <t>**Job\#: 3015410**
**Job Description:**
 JOB TITLE Audio Software Engineer
 DURATION 12 MONTHS
 LOCATION ONSITE IN REDMOND WA
 PAY RATE : $61 \- $71 HOURLY
**Description:** 
 Onsite \- Redmond, WA
 Audio Software Engineer (Contract)s seeking a talented Audio Software Engineer to join our team focused on advancing audio technologies for next\-generation products. In this role, you will develop and optimize audio signal processing algorithms, build simulation frameworks, and design systems for performance measurement and data analysis. You’ll collaborate with world\-class engineers in a fast\-paced, innovative environment.
 Job Responsibilities \- Design, implement, and optimize audio signal processing algorithms in Python and C\+\+. \- Develop systems and frameworks for simulating audio processing pipelines. \- Build scalable solutions for storage, retrieval, and analysis of audio performance measurement data. \- Collaborate with cross\-functional teams to create and leverage audio performance evaluation tools. \- Document code, algorithms, and system architectures for internal and external stakeholders. \- Participate in code and design reviews
 Minimum Qualifications \- Bachelor’s degree in Computer Science, Electrical Engineering, Audio Engineering, or related field. \- 2\+ years of experience in software development with Python and C\+\+. \- Understanding of digital signal processing (DSP) concepts and algorithms. \- Experience with data storage, retrieval, and analysis systems (e.g., SQL, NoSQL, or similar). \- Strong problem\-solving skills and ability to work independently. \- Excellent written and verbal communication skills.
 Preferred Qualifications \- Master’s degree or higher in a relevant field. \- Experience with real\-time audio processing and optimization. \- Familiarity with audio measurement and performance analysis tools. \- Experience developing simulation frameworks for audio or related domains. \- Knowledge of cloud\-based data storage and analytics platforms. \- Prior experience working in a large\-scale, collaborative engineering environment.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91">
      <c r="A91" t="inlineStr">
        <is>
          <t>li-4351530677</t>
        </is>
      </c>
      <c r="B91" t="inlineStr">
        <is>
          <t>Software Engineer - Mobility - S&amp;P Global</t>
        </is>
      </c>
      <c r="C91" t="inlineStr">
        <is>
          <t>Jobs via eFinancialCareers</t>
        </is>
      </c>
      <c r="D91" t="inlineStr">
        <is>
          <t>linkedin</t>
        </is>
      </c>
      <c r="E91" t="inlineStr"/>
      <c r="F91" t="inlineStr"/>
      <c r="G91" t="inlineStr">
        <is>
          <t>New York, NY</t>
        </is>
      </c>
      <c r="H91" t="inlineStr"/>
      <c r="I91" t="inlineStr">
        <is>
          <t>**About the Role:**
**Grade Level (for internal use):**
 09
 **Software Engineer \- Mobility**
**About S\&amp;P Global Mobility**
 S\&amp;P Global has recently announced the intent to separate our Mobility Segment into a standalone public company.
 For more information, visit www.spglobal.com/mobility .
 As a Software Engineer based out of our New York City Headquarters, you will work with a team that is composed of highly skilled and supportive individuals, with each engineer contributing uniquely to serve our U.S.\-based car dealers and manufacturers. The development team oversees and takes ownership of the entire software development life cycle.
**A successful Software Engineer will:**
* Take ownership of assigned deliverables, both in terms of timeliness and software quality.
* Develop new software, and enhance existing software, to high standards. Adhere to best practices that enhance user experience, usability, scalability, performance and security.
* Learn about various components owned by the team and how these components fit within the overall platform.
* Effectively communicate with all stakeholders including regular progress and updates to your manager, peers and leads.
**Who you are:**
* 2 \+ years of software engineering experience
* Working knowledge of modern object\-oriented languages
* Working knowledge of modern front\-end frameworks and component\-based UI libraries
* Working knowledge of object\-oriented design techniques and RESTful API implementations
* Proficient with software development lifecycle (SDLC) methodologies like Agile
* Good experience with developing solutions involving SQL and NoSQL database technologies.
* Knowledge of modern relational databases and Google Big Query is a plus.
**Right to work requirements:** 
 This role is limited for candidates with indefinite right to work within the USA.
**Compensation/Benefits Information (US Applicants Only):**
* S\&amp;P Global states that the anticipated base salary range for this position is $69661 to $122231\. Final base salary for this role will be based on the individual's geographical location as well as experience and qualifications for the role.
* In addition to base compensation, this role is eligible for an annual incentive plan.
* This role is eligible to receive additional S\&amp;P Global benefits. For more information on the benefits we provide to our employees, visit link https://spgbenefits.com/benefit\-summaries/us
**About automotiveMastermind:**
**Who we are:**
 Founded in 2012, automotiveMastermind is a leading provider of predictive analytics and marketing automation solutions for the automotive industry and believes that technology can transform data, revealing key customer insights to accurately predict automotive sales. Through its proprietary automated sales and marketing platform, Mastermind, the company empowers dealers to close more deals by predicting future buyers and consistently marketing to them. automotiveMastermind is headquartered in New York City. For more information, visit automotivemastermind.com.
 At automotiveMastermind, we thrive on high energy at high speed. We're an organization in hyper\-growth mode and have a fast\-paced culture to match. Our highly engaged teams feel passionately about both our product and our people. This passion is what continues to motivate and challenge our teams to be best\-in\-class. Our cultural values of "Drive" and "Help" have been at the core of what we do, and how we have built our culture through the years. This cultural framework inspires a passion for success while collaborating to win.
**What we do:**
 Through our proprietary automated sales and marketing platform, Mastermind, we empower dealers to close more deals by predicting future buyers and consistently marketing to them. In short, we help automotive dealerships generate success in their loyalty, service, and conquest portfolios through a combination of turnkey predictive analytics, proactive marketing, and dedicated consultative services.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SWP Priority \- Ratings \- (Strategic Workforce Planning)</t>
        </is>
      </c>
    </row>
    <row r="92">
      <c r="A92" t="inlineStr">
        <is>
          <t>li-4365833842</t>
        </is>
      </c>
      <c r="B92" t="inlineStr">
        <is>
          <t>Software Developer in Test (SDET)</t>
        </is>
      </c>
      <c r="C92" t="inlineStr">
        <is>
          <t>Syms Strategic Group, LLC (SSG)</t>
        </is>
      </c>
      <c r="D92" t="inlineStr">
        <is>
          <t>linkedin</t>
        </is>
      </c>
      <c r="E92" t="inlineStr"/>
      <c r="F92" t="inlineStr"/>
      <c r="G92" t="inlineStr">
        <is>
          <t>Potomac, MD</t>
        </is>
      </c>
      <c r="H92" t="inlineStr"/>
      <c r="I92"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row r="93">
      <c r="A93" t="inlineStr">
        <is>
          <t>li-4366177087</t>
        </is>
      </c>
      <c r="B93" t="inlineStr">
        <is>
          <t>Software Engineer - Java Backend III</t>
        </is>
      </c>
      <c r="C93" t="inlineStr">
        <is>
          <t>Apex Systems</t>
        </is>
      </c>
      <c r="D93" t="inlineStr">
        <is>
          <t>linkedin</t>
        </is>
      </c>
      <c r="E93" t="inlineStr"/>
      <c r="F93" t="inlineStr"/>
      <c r="G93" t="inlineStr">
        <is>
          <t>Cincinnati, OH</t>
        </is>
      </c>
      <c r="H93" t="inlineStr"/>
      <c r="I93" t="inlineStr">
        <is>
          <t>**Job\#: 3019496**
**Job Description:**
 Job Title: Software Engineer\- Java Backend
 Pay Range: $59\-$68
 Location: Cincinnati, OH
 Length: 3 months
**Job Description**
**Required Technical Skills**
* Minimum of 5 years of hands\-on backend development experience using Java
* Strong proficiency in Spring Boot, RESTful API design, and microservices architecture
* Experience working with Apache Kafka in event‑driven environments
* Proficiency with AWS services such as Lambda, ECS/EKS, S3, API Gateway, and RDS/DynamoDB
* Experience with Kubernetes and containerized application deployments
* Familiarity with Terraform or similar infrastructure‑as‑code tools
* Practical experience building and maintaining CI/CD pipelines using Jenkins or comparable tools
* Experience with monitoring and logging platforms such as Dynatrace and Splunk
* Understanding of backend systems that support mobile applications, including authentication, performance, and scalability considerations
**Core Responsibilities**
* Design and develop scalable, secure RESTful APIs for iOS and Android mobile applications
* Build, deploy, and maintain microservices in a cloud‑native environment
* Integrate backend services with mobile‑focused capabilities such as authentication, push notifications, and analytics pipelines
* Conduct code reviews and perform debugging, monitoring, and performance optimization
* Ensure reliability, scalability, and observability across backend services
* Collaborate closely with mobile, web, DevOps, and product teams
* Maintain technical documentation and support adherence to engineering best practices
* Participate in all phases of the software development lifecycle, including requirements gathering, design, development, testing, and production support
**Qualifications**
* Bachelor’s degree in Computer Science or a related field, or equivalent professional experience
* Demonstrated experience designing backend systems that support mobile applications
* Strong knowledge of Java, microservices, and cloud‑native architectures
* Hands‑on experience with AWS services
* Solid understanding of distributed systems, message queues, and API security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94">
      <c r="A94" t="inlineStr">
        <is>
          <t>li-4302876648</t>
        </is>
      </c>
      <c r="B94" t="inlineStr">
        <is>
          <t>Staff Flight Software Engineer</t>
        </is>
      </c>
      <c r="C94" t="inlineStr">
        <is>
          <t>Terran Orbital Corporation</t>
        </is>
      </c>
      <c r="D94" t="inlineStr">
        <is>
          <t>linkedin</t>
        </is>
      </c>
      <c r="E94" t="inlineStr"/>
      <c r="F94" t="inlineStr"/>
      <c r="G94" t="inlineStr">
        <is>
          <t>Irvine, CA</t>
        </is>
      </c>
      <c r="H94" t="inlineStr"/>
      <c r="I94" t="inlineStr">
        <is>
          <t>Join a team where your impact reaches beyond the stars! At Terran Orbital, you’re not just part of the system – you’re a vital force propelling our mission forward. As trailblazers in satellite manufacturing and aerospace innovation, we shatter boundaries daily to deliver groundbreaking solutions that power our nation’s defense and commercial missions. We are a unique, fast growing, and trusted team dedicated to swiftly and efficiently designing, building, launching, and operating state of the art satellites for advanced mission constellations. If you’re driven by purpose, inspired by challenges, and ready to leave your mark on the universe, you’ll find a home and endless opportunities for growth here. Together, let’s redefine what is possible in orbit and beyond!
**Summary**
 Terran Orbital is seeking an experienced
 **Staff Flight Software Engineer** 
 to join our growing team. Reporting to the
 **Flight Software Engineering Manager,** 
 the
 **Staff Flight Software Engineer** 
 will become an integral part of our dynamic team, driving the development of cutting\-edge nano\-satellite vehicle solutions across a variety of exciting projects. Your expertise will be pivotal in advancing our innovative technologies and contributing to the success of our mission\-critical initiatives.
**Key Duties And Responsibilities**
* Collaborate with multiple engineering teams to establish software requirements
* Perform as the technical lead of a satellite program
* Lead a team of junior software engineers, providing mentorship and tasking
* Design, develop, and maintain simple, reliable, and fault\-tolerant software
* Develop software for unique payloads, such as imagers, image processors, communication devices, and various astronomical science instruments.
* Create comprehensive unit and regression tests in existing frameworks
* Integrate and test software in simulation, flight replica, flight vehicle, and hardware\-in\-the\-loop environments
* Communicate with the customer in technical working groups
* Potential 10% travel to visit customers or vendors for Design Reviews and collaborative technical work
**Qualifications And Skills**
* Bachelor’s degree in Computer Science or equivalent field.
* 8\+ years of experience developing C\+\+ applications for embedded, high\-performance, or critical systems.
* Prior experience using GitHub or similar Git tool.
* Highly motivated, self\-starting, responsible, thorough, and able to perform duties autonomously without supervision.
* Excellent written and verbal communication skills.
* U.S. Citizenship with ability to obtain and maintain DoD security clearance.
**Additional Differentiators**
* Experience using ARM and Texas Instruments platforms for embedded systems.
* Experience with test equipment, oscilloscopes, and spectrum analyzers.
* Experience with Linux and GNU tools such as make GCC and debuggers such as GDB.
* Experience with scripting languages such as bash and Python.
* Familiarity with build pipelines, deployment and testing on\-target.
* Familiarity with Serial Communications \- CAN, RS\-422/485, I2C, SPI, PCI, SpaceWire.
 Your actual level and base salary will be determined case\-by\-case and may vary based on the job\-related qualification, knowledge, skills, education, and experience. In addition to base salary, we offer 100% covered medical, dental, and vision coverage, a 401(k) match, Flexible Time Off (FTO), covered life insurance, maternity and paternity leave, tuition reimbursement, employee referrals, and lots of swag!
 Salary Range
 $150,000 \- $190,000 USD
**Benefits**
* 100% Company\-paid comprehensive medical, dental, and vision coverage for you and your dependents
* 401(k) Match
* Flexible Time Off (FTO)
* Education Reimbursement
* Competitive Paid Parental Leave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the ability to lift or move objects up to 10 pounds and occasionally lift or move objects up to 25 pounds. This position is generally sedentary, with substantial computer usage.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hr@terranorbital.com.
 Terran Orbital does not accept unsolicited resumes from recruiters, employment agencies, or staffing firms. To conduct business with Terran Orbital, a Master Services Agreement (MSA) must be executed and confirmed prior to submitting any information relating to a potential candidate. Without a signed MSA, Terran Orbital shall not be responsible to any individual or entity for any payment relating to any form of fee or compensation.
 And, in the event that a resume or candidate is submitted by a recruiter, an employment agency, or a staffing firm without a fully executed MSA, Terran Orbital has the unrestricted right to pursue and hire any of those candidate(s) without any legal or financial responsibility to the recruiter, agency, and/or firm.</t>
        </is>
      </c>
    </row>
    <row r="95">
      <c r="A95" t="inlineStr">
        <is>
          <t>li-4333416448</t>
        </is>
      </c>
      <c r="B95" t="inlineStr">
        <is>
          <t>Senior AI/ML Software Engineer (Remote in Arizona)</t>
        </is>
      </c>
      <c r="C95" t="inlineStr">
        <is>
          <t>Rocket Lawyer</t>
        </is>
      </c>
      <c r="D95" t="inlineStr">
        <is>
          <t>linkedin</t>
        </is>
      </c>
      <c r="E95" t="inlineStr"/>
      <c r="F95" t="inlineStr"/>
      <c r="G95" t="inlineStr">
        <is>
          <t>Arizona, United States</t>
        </is>
      </c>
      <c r="H95" t="inlineStr"/>
      <c r="I95" t="inlineStr">
        <is>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an experienced, passionate Senior AI/ML software engineer for Rocket Copilot, our new AI assistant launched in December 2023\. In this role, you will help our team deeply embed AI features across our platform. You will work in an agile, cross\-functional team, working with multiple product teams as we build out AI features across Rocket Lawyer. You will design, implement, test, release, and maintain new AI features, working closely with product managers, UX designers, data engineers, QA engineers, and others.
 We value a fun, collaborative, team\-oriented work environment, where we celebrate our accomplishments.
**How You Will Make a Difference Day To Day**
* Rapidly prototype product features to explore new AI capabilities, while writing clean, understandable code
* Deliver generative AI features to production
* Mentor junior AI developers
* Create, monitor and troubleshoot backend API services to allow Rocket Lawyer product frontends to interact with ML models
* Work closely with multiple product teams and cross\-functional teammates to quickly integrate AI into existing and new Rocket Lawyer products
* Build, train, fine\-tune, deploy and maintain ML models for AI features
* Keep up\-to\-date with industry trends around generative AI and machine learning
**What You’ll Need**
* 7\+ years of experience writing ML code for launched products
* Experience leading a small team of developers
* Experience writing production features leveraging LLMs and generative AI
* Understanding of the state of the art in generative AI, including RAG, LoRA, RLHF and others
* Experience creating data sets from proprietary anonymized data, and using them to train and fine\-tune ML models
* Strong programming skills in Python
**Highly Desired**
* Experience with Pydantic AI
* Experience with vector databases
* Strong programming skills in NodeJS, Java, Kotlin, or similar languages
* Experience or familiarity with AI model evaluation techniques
* Interest in building user\-facing products
* Understanding of microservices architectures and distributed systems
* Experience with building data pipelines using technologies such as Snowflake or Hive
* Experience with machine learning frameworks like TensorFlow, PyTorch and Scikit\-Learn
* Strong programming skills in SQL
**Benefits \&amp; Perks**
* Comprehensive health plans (including Medical, Dental and Vision insurance for full\-time employees)
* Unlimited PTO
* Competitive salary packages
* Life insurance
* Disability benefits
* Supplemental Optional Life Insurance Benefits
* FSA Options Optional
* HSA with Company Match
* 401k program with Company Match
* Fertility Assistance and Planning options
* Wellhub \&amp; ClassPass fitness platforms
* Comprehensive Pet Insurance options
* Financial Wellbeing \&amp; Student Loan Program access
* Access to additional Mental Health \&amp; Wellbeing resources
* Pre\-tax Commuter/Transit Benefits
* Free Rocket Lawyer account with online access to an extensive legal documents library and brilliant licensed attorneys at discounted rates
**Interview Process**
* Recruiter Phone Screen
* Role Assessment(s)
* Hiring Manager Interview
* Panel Interviews
* Final Interview
*Rocket Lawyer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*hr@rocketlawyer.com* 
*.*
**Compensation**
 Base salary range by location:
* San Francisco Bay Area, CA: $189,000 \- $256,000
* California (outside of San Francisco Bay Area) and Colorado: $160,000 \- $218,000
* Utah, Arizona, and North Carolina: $150,000 \- $205,000
 Actual compensation packages are determined by various factors unique to each candidate, including but not limited to skill set, depth of experience, certifications, specific work location, and performance during the interview process.
 $150,000—$256,000 USD
 By applying for this position, your data will be processed as per Rocket Lawyer Privacy Policy.</t>
        </is>
      </c>
    </row>
    <row r="96">
      <c r="A96" t="inlineStr">
        <is>
          <t>li-4314508442</t>
        </is>
      </c>
      <c r="B96" t="inlineStr">
        <is>
          <t>WaveServer Software Developer - Summer 2026 Co-op</t>
        </is>
      </c>
      <c r="C96" t="inlineStr">
        <is>
          <t>Ciena</t>
        </is>
      </c>
      <c r="D96" t="inlineStr">
        <is>
          <t>linkedin</t>
        </is>
      </c>
      <c r="E96" t="inlineStr"/>
      <c r="F96" t="inlineStr"/>
      <c r="G96" t="inlineStr">
        <is>
          <t>Atlanta, GA</t>
        </is>
      </c>
      <c r="H96" t="inlineStr"/>
      <c r="I96" t="inlineStr">
        <is>
          <t>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**How You Will Contribute**
 As a Waveserver Software Developer Co\-op at Ciena, you will have the opportunity to make a significant impact on our network solutions and contribute to the advancement of our innovative technology. Working in a dynamic team environment, you will bring fresh ideas and challenge yourself and others to continuously improve our projects.
**Your Key Responsibilities Will Include**
 Crafting, developing, testing, deploying, maintaining, and enhancing software that is critical to our network solutions.
 Taking ownership of individual project priorities, assignments, and timelines, ensuring successful completion.
 Engaging in the full software development lifecycle, collaborating with cross\-functional teams including developers, customer support, quality assurance, and release managers.
**The Must Haves**
* Working towards a degree in Electrical/Computer Engineering, Computer Science or a related field coupled with a proven track record in software development.
* Demonstrated ability to develop with one or more of the following programming languages \- C, C\+\+.
* Experience working with Linux\-based developer tools and debugging environment such as GNU, GCC, GDB etc.
**Assets**
* A passion for developing embedded software solutions for performance and reliability.
**Pay Range**
 The pay range for this position is $27\.00 \- $37\.50
 Pay ranges at Ciena are designed to accommodate variations in knowledge, skills, experience, market conditions, and locations, reflecting our diverse products, industries, and lines of business. Please note that the pay range information provided in this posting pertains specifically to the primary location, which is the top location listed in case multiple locations are available.
 In addition to competitive compensation, Ciena offers students access to the Employee Assistance Program (EAP), company\-paid holidays, paid sick leave, and vacation pay as required by applicable laws.
**Not ready to apply?** 
 Join our Talent Community to get relevant job alerts straight to your inbox.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t>
        </is>
      </c>
    </row>
    <row r="97">
      <c r="A97" t="inlineStr">
        <is>
          <t>li-4206698048</t>
        </is>
      </c>
      <c r="B97" t="inlineStr">
        <is>
          <t>Software Engineer</t>
        </is>
      </c>
      <c r="C97" t="inlineStr">
        <is>
          <t>Gem</t>
        </is>
      </c>
      <c r="D97" t="inlineStr">
        <is>
          <t>linkedin</t>
        </is>
      </c>
      <c r="E97">
        <f>HYPERLINK("https://www.linkedin.com/jobs/view/4206698048", "https://www.linkedin.com/jobs/view/4206698048")</f>
        <v/>
      </c>
      <c r="F97" t="inlineStr"/>
      <c r="G97" t="inlineStr">
        <is>
          <t>San Francisco, CA</t>
        </is>
      </c>
      <c r="H97" t="inlineStr"/>
      <c r="I97" t="inlineStr">
        <is>
          <t>Role Details
* Location: This role is based 3 days per week out of our San Francisco, HQ and is not eligible for full\-time remote work.
* Compensation: The annual cash compensation range for this position is $190,000–$260,000 based on level in addition to equity \&amp; benefits.
*The range displayed on this job posting reflects the minimum and maximum compensation. Factors including location, level, job\-related knowledge, skills, and experience will determine compensation.*
**About Gem**
 Gem is the only AI\-first all\-in\-one recruiting platform. It brings together your ATS, CRM, sourcing, scheduling, and analytics — plus 650\+ million profiles to source from — with AI built into every workflow. By eliminating the headaches of juggling multiple tools, Gem helps customers boost recruiter productivity by up to 5x while saving 30\-50% on technology costs. Over 1,000 organizations — from startups to industry leaders like Zillow, DoorDash, and Asana — trust Gem to fuel their growth. With an industry\-leading 4\.8/5 rating on G2, Gem is the platform recruiters actually love to use. Gem has raised $148M from renown investors including Accel, Greylock, ICONIQ, Sapphire, and Meritech.
 With Gem, You Can Experience The Power Of a Truly Connected Recruiting Platform — One Consistent Interface, Unified Data, Smarter AI Recommendations, And Simplified Permissions. Our Customers Achieve Remarkable Results
 Just as we strive to help our customers find great talent, we also invest in our own people and culture. We are proud of the culture we’ve built and have recently been recognized as:
* Forbes America's Best Startup Employers 2025
* Great Place to Work Certified, 2024
* Fortune Best Workplaces for Millennials, 2023
 The Team and Role
* Gem engineers work closely with product managers and designers to influence product direction, company roadmap, and business outcomes.
* We stay close to customers by joining customer calls, and reading customer feedback.
* We enjoy shipping features, moving fast, and being scrappy.
* We are receptive to feedback and continuously work on improving both our product and our craft.
* We work out of our San Francisco office.
* Read more about our company values.
 What You’ll Do Day\-to\-Day
* Own product features end\-to\-end alongside your product manager, engineering manager and designer.
* Work primarily with Typescript, React, Python, GraphQL, Node, PostgreSQL.
* Collaborate with engineers on your team and across Gem on code reviews, data model, architecture, and product decisions.
* Stay close to our customers.
* Embody our company values of ownership, velocity, customer centricity, diversity and transparency.
* Influence decisions and have direct impact on business outcomes.
**About You**
* You have industry experience as a software engineer, building user\-facing products.
* You move with velocity and invest in improving your craft.
* You are good at driving solutions by communicating and working cross\-functionally.
* You are energized by collaborating in\-office with your peers.
**Benefits**
* Highly competitive salary \&amp; equity
* 10\-year window to exercise your stock options
* Supportive Flexible Time Off program
* 16 paid holidays, including regular company\-wide wellness days
* Best\-in\-class medical, dental \&amp; vision insurance
* $1,200 annual stipend for learning and development opportunities
* 16 weeks of Paid Parental Leave for birthing and non\-birthing parents
* New Parent Perks totaling $1,500 and flexibility upon return to work
 Gem is an equal opportunity employer. We celebrate our inclusive work environment and encourage folks of all backgrounds and perspectives to apply. At Gem, we’re committed to having an inclusive and transparent environment where every voice is heard and acknowledged. We embrace our differences, and know that our diverse team is a strength that drives our success.
 Gem is committed to developing a barrier\-free recruitment process and work environment. If you require any accommodation, please email us at accommodations@gem.com and we’ll work with you to meet your accessibility needs.
**Gem’s Candidate Privacy Notice**
 By clicking “Submit Application”, you acknowledge and agree that you have read and understand Gem’s Candidate Privacy Statement, including the information provided on how Gem processes your personal data and your related rights as set forth therein.</t>
        </is>
      </c>
    </row>
    <row r="98">
      <c r="A98" t="inlineStr">
        <is>
          <t>li-4366201907</t>
        </is>
      </c>
      <c r="B98" t="inlineStr">
        <is>
          <t>Software Engineering Director II</t>
        </is>
      </c>
      <c r="C98" t="inlineStr">
        <is>
          <t>Truist</t>
        </is>
      </c>
      <c r="D98" t="inlineStr">
        <is>
          <t>linkedin</t>
        </is>
      </c>
      <c r="E98">
        <f>HYPERLINK("https://www.linkedin.com/jobs/view/4366201907", "https://www.linkedin.com/jobs/view/4366201907")</f>
        <v/>
      </c>
      <c r="F98" t="inlineStr"/>
      <c r="G98" t="inlineStr">
        <is>
          <t>Florence, SC</t>
        </is>
      </c>
      <c r="H98" t="inlineStr"/>
      <c r="I9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Lead a team or teams responsible for technology solutions that meet business needs and satisfy risk and operational requirements of the Tech organization. Identify and resolves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Has full management responsibilities for teammates: hiring, disciplinary, coaching, terminating, performance reviews.
 In an Agile environment: Act as an Agile champion. Primarily responsible for delivering high quality working software and automating manual/reusable tasks. Leverage engineering practices to deliver business value. Responsible for oversight of software engineering and unit testing, and supporting integration and functional testing. Oversee warranty support and knowledge transfer to production support. Ensure developed code is in accordance with the acceptance criteria established by the Product Owner.
 SCOPE: The differentiating factor between levels of SWE Director is scope, such as size of budget and headcount, and complexity of the business line and related technologies.
**Essential Duties And Responsibilities**
 Following is a summary of the essential functions for this job. Other duties may be performed, both major and minor, which are not mentioned below. Specific activities may change from time to time.
* Direct the engineering and deployment of significant delivery projects in accordance with specified technical requirements, schedules and budgets, including Agile methodologies.
* Oversee the planning, design, engineering, testing and deployment of application projects in conjunction with a variety of resources, which may include Waterfall or Agile approaches.
* Develop departmental plans, including business, financial, production and/or organizational priorities based on IT and focuses on long\-term operations planning and performance, and broader business objectives and priorities.
* Apply an in\-depth understanding of systems engineering and administration and a basic understanding of other IT disciplines in guiding and coaching team members.
* Identify and resolve complex technical, operational, and organizational problems.
* Impact results by supporting the funding of projects, products, services, and/or technologies.
* Maintain appropriate Risk Profile through owning the first line of Risk defense, proactively identifying risks, and implementing the necessary mitigations where warranted. Partner effectively with 2nd line of defense, Auditor, and regulators to ensure Risk is identified and mitigated appropriately.
* May play lead role or technical consultant role in large or complex projects or initiatives.
* Has full management responsibilities for teammates: hiring, disciplinary, coaching, terminating, performance reviews.
**Qualifications**
**Required Qualifications:**
 The requirements listed below are representative of the knowledge, skill and/or ability required. Reasonable accommodations may be made to enable individuals with disabilities to perform the essential functions.
* Bachelor degree and equivalent education and experience, which could include any combination of eight years of experience in IT software engineering, five years’ relevant business experience (i.e. making technical\-related decisions on the business side), five years’ experience in project management, and at least two years of management experience
* Broad and in\-depth knowledge of technology trends, competitive environment, regulatory requirements and trends, and IT strategies employed to continually meet the demands of clients and regulators
* Ability to translate enterprise level strategic planning information into software and data management needs, create business plans, and turn them into effective business solutions
* Executive level communications skills, including, strong negotiation/facilitation/presentation skills and experience negotiating with vendors for relevant products and services
* Ability to solve unique and highly complex technical, operational, and organizational problems
* Ability to lead and manage the performance of multiple teams against a set of financial and operational objectives
* Experience managing projects with enterprise\-wide implications from conception through implementation
****Preferred Qualifications:****
* Understanding of multiple approaches to Software Engineering
* Full understanding of Agile methodology
* Experience leading teams in an Agile organization, particularly those practicing DevSecOps, and/or are in transition from traditional waterfall approach to Agile approach
* Banking or financial services experience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99">
      <c r="A99" t="inlineStr">
        <is>
          <t>li-4356000902</t>
        </is>
      </c>
      <c r="B99" t="inlineStr">
        <is>
          <t>Full Stack Engineer  | AI/SaaS | Hybrid in SF</t>
        </is>
      </c>
      <c r="C99" t="inlineStr">
        <is>
          <t>Forethought</t>
        </is>
      </c>
      <c r="D99" t="inlineStr">
        <is>
          <t>linkedin</t>
        </is>
      </c>
      <c r="E99">
        <f>HYPERLINK("https://www.linkedin.com/jobs/view/4356000902", "https://www.linkedin.com/jobs/view/4356000902")</f>
        <v/>
      </c>
      <c r="F99" t="inlineStr"/>
      <c r="G99" t="inlineStr">
        <is>
          <t>San Francisco, CA</t>
        </is>
      </c>
      <c r="H99" t="inlineStr"/>
      <c r="I99" t="inlineStr">
        <is>
          <t>Launched in 2018, Forethought offers the world’s most advanced AI agents for CX — enterprise\-ready and built for every customer moment. Handling billions of monthly interactions for leading companies like Upwork, Grammarly, Airtable, and Datadog, Forethought’s AI agents think, act, and improve — delivering better customer experiences and scalable business impact.
 We are tackling a $400B\+ market opportunity, and we’re assembling a world\-class team to help us get there. We are seeking dedicated and talented
 **Full Stack Engineers** 
 with a growth mindset, engineers who thrive on solving complex challenges and want to help shape the future of AI\-driven customer support.
 As a Senior Full Stack Engineer at Forethought, you will design and build AI\-powered products that transform the customer support experience. You’ll develop features that help support teams find answers faster, automate complex workflows, and deliver exceptional customer experiences. Our modern tech stack includes React.js, TypeScript, FastAPI, and MongoDB. As a key member of our early engineering team, you’ll work closely with Design, Product, and Backend teams to turn complex challenges into elegant, intuitive solutions. You’ll own the frontend architecture, write clean and maintainable code, and develop reliable integrations with REST APIs.
**What a Typical Week May Look Like At Forethought**
* Build and maintain core product features using React and TypeScript
* Modify and extend behavior of back\-end code using Python
* Work with other engineers to develop an API endpoint
* Work with the design team to develop a pixel\-perfect interface
* Help think of new features and product ideas
* Test and launch your code to the world's largest companies
* Iterate and do it all over again
 What we value and look for in a forward\-deployed engineer:
* \[Required] 5\+ years experience in front end or full stack development
* Proficiency with JavaScript, HTML, CSS, and React
* Strong coding ability; able to work in large codebases with fluency
* Solid grasp of computer science, algorithms and data structures
* Past work building web applications in a real world setting
* Detailed ability to implement pixel\-perfect UI from pixel\-perfect mockups
* "Full\-stack" mentality; Python experience is a bonus
* Adaptable, humble, and interested in making an impact
* Bachelor's in Computer Science or related field
**Tech Stack**
 React, TypeScript, FastAPI, Python, MongoDB
**Location**
 Hybrid in SF \- 2 x week in office
**Why Forethought**
* A fast\-paced and collaborative environment
* Build category\-defining products
* Work with world class talent (Facebook, Dropbox, LinkedIn, Google)
* A chance to be an early member of the team with equity to match
* Make an impact and help make everyone a genius at their job
* Medical, dental, and vision coverage
* Unlimited PTO policy
 If you’re interested in building thoughtful, production\-grade software in an AI\-driven product environment, we’d love to hear from you.</t>
        </is>
      </c>
    </row>
    <row r="100">
      <c r="A100" t="inlineStr">
        <is>
          <t>li-4365893067</t>
        </is>
      </c>
      <c r="B100" t="inlineStr">
        <is>
          <t>Senior Software Engineer, Developer Platform</t>
        </is>
      </c>
      <c r="C100" t="inlineStr">
        <is>
          <t>Verily</t>
        </is>
      </c>
      <c r="D100" t="inlineStr">
        <is>
          <t>linkedin</t>
        </is>
      </c>
      <c r="E100">
        <f>HYPERLINK("https://www.linkedin.com/jobs/view/4365893067", "https://www.linkedin.com/jobs/view/4365893067")</f>
        <v/>
      </c>
      <c r="F100">
        <f>HYPERLINK("https://verily.wd1.myworkdayjobs.com/Verily_Careers/job/Boston-Massachusetts/Senior-Software-Engineer\u002d\u002dDeveloper-Platform_REQ-365?source=LinkedIn&amp;urlHash=0pwG", "https://verily.wd1.myworkdayjobs.com/Verily_Careers/job/Boston-Massachusetts/Senior-Software-Engineer\u002d\u002dDeveloper-Platform_REQ-365?source=LinkedIn&amp;urlHash=0pwG")</f>
        <v/>
      </c>
      <c r="G100" t="inlineStr">
        <is>
          <t>Boston, MA</t>
        </is>
      </c>
      <c r="H100" t="inlineStr"/>
      <c r="I100"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The Developer Platform team is responsible for building cloud\-native, self\-service developer infrastructure that enables the software development lifecycle for over 600 engineers at Verily. We furnish a speedy, delightful, scalable, and secure developer journey through integrated capabilities in AI, IDE extensions, application templates, developer portals, CI/CD and other functional areas.
 We are a product\-oriented, highly\-effective, world\-class platform engineering team that has a large positive impact on the product development process at Verily. As part of this team, you will work closely with engineers who have worked on successful projects like Kubernetes, Istio, and Firebase.
**Responsibilities**
* Own the technical design and implementation for a significant platform capability or set of capabilities.
* Design and develop capabilities that leverage state\-of\-the\-art cloud\-native open source components (e.g. Kubernetes, VSCode, Backstage, Terraform) and cutting\-edge AI.
* Scope tasks and set priorities for other team members contributing to your objectives.
* Drive execution through high\-quality implementation and set an example of best practices in code health and production (e.g. monitoring, frequent releases, reliable CI).
* Facilitate a rapidly growing team and organization by guiding junior engineers, setting high standards in design reviews, providing input into roadmaps, prioritization of user\-facing features, and team processes.
**Qualifications**
 Minimum Qualifications
* BA/BS degree in Computer Science, Electrical Engineering, or a related field; or equivalent practical experience in software engineering with 5\+ years experience developing and maintaining reliable, scalable, and secure products and services in production in Go, Python, TypeScript or similar programming languages.
* Prior experience with cloud technologies: Google Cloud Platform/Amazon Web Services/Azure or other cloud providers, GitHub Actions, VSCode, Kubernetes, Backstage or related tools.
* Strong foundation in data structures, algorithms, and system design with strong analytical and debugging skills.
* Strong communication skills in scenarios like deriving requirements from customers, articulating the scope of a problem, or documenting a proposed system design.
**Preferred Qualifications**
* Experience with Google Cloud Platform and Kubernetes.
* Experience in building with LLMs to solve business problems.
* Strong working knowledge of microservices, software delivery platforms, DevSecOps, continuous integration, and release management processes.
* Familiarity working in a centralized developer platform team.
* Passionate about developer experience with a high empathy for users.
 Qualified applicants must not require employer sponsored work authorization now or in the future for employment in the United States.
 The US base salary range for this full\-time position is $150,500 \- 225,500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01">
      <c r="A101" t="inlineStr">
        <is>
          <t>li-4366187409</t>
        </is>
      </c>
      <c r="B101" t="inlineStr">
        <is>
          <t>Software Engineer</t>
        </is>
      </c>
      <c r="C101" t="inlineStr">
        <is>
          <t>Zolo Carbon Smartech</t>
        </is>
      </c>
      <c r="D101" t="inlineStr">
        <is>
          <t>linkedin</t>
        </is>
      </c>
      <c r="E101">
        <f>HYPERLINK("https://www.linkedin.com/jobs/view/4366187409", "https://www.linkedin.com/jobs/view/4366187409")</f>
        <v/>
      </c>
      <c r="F101">
        <f>HYPERLINK("https://de.jobsyn.org/007F0981007E44EF88AB580FCA39F8695044&amp;urlHash=8P0-", "https://de.jobsyn.org/007F0981007E44EF88AB580FCA39F8695044&amp;urlHash=8P0-")</f>
        <v/>
      </c>
      <c r="G101" t="inlineStr">
        <is>
          <t>Louisville, CO</t>
        </is>
      </c>
      <c r="H101" t="inlineStr"/>
      <c r="I101" t="inlineStr">
        <is>
          <t>* Location:\*\* Louisville, CO
* Job Type:\*\* Full\-time
* Base Salary:\*\* $110,000 \- $140,000 commensurate with experience
 \*\*About Us\*\*
 Zolo Carbon Smartech is a global technology company delivering real\-time combustion insight to energy\-intensive industries such as steel, refining, petrochemicals, and power generation. Our laser\-based monitoring systems operate in demanding industrial environments, turning previously invisible combustion conditions into actionable intelligence that improves safety, efficiency, reliability, and environmental performance.
 We build long\-lifecycle, mission\-critical systems deployed worldwide. Our work sits at the intersection of hardware, software, and real\-world industrial operations, and we value engineers who are thoughtful, collaborative, and disciplined in how they build and maintain reliable systems.
 \*\*Position Overview\*\*
 We are seeking a \*\*Software Engineer\*\* to join our Engineering \&amp; Technology team. In this role, you will contribute to the development, testing, and maintenance of software that supports Zolo's combustion monitoring platforms.
 You will work closely with other engineers and cross\-functional teams to implement and support software that interfaces with hardware, instrumentation, and deployed systems. The focus of this role is on building reliable, production\-ready software and supporting ongoing product improvements.
 This is not a pure web or consumer software role. It is well suited for engineers interested in systems\-oriented development and hardware\-adjacent software, working primarily from an office or hybrid environment.
 \*\*What You'll Work On\*\*
* Software supporting laser\-based combustion monitoring systems used in industrial applications
* Internal and customer\-facing tools for data acquisition, diagnostics, configuration, and testing
* Software components that interface with sensors, instruments, and hardware subsystems
* Iterative improvements informed by testing, service feedback, and product priorities
 \*\*Key Responsibilities\*\*
 \*\*Core Engineering Responsibilities\*\*
* Develop, test, and maintain reliable software components following established design and coding practices.
* Implement software features and enhancements based on defined requirements and design guidance.
* Contribute to documentation and testing to support long\-term maintainability.
 \*\*Systems \&amp; Cross\-Functional Collaboration\*\*
* Work closely with hardware engineers, systems integration, service, and production teams to support integrated solutions.
* Assist with hardware\-\-software integration and internal validation efforts.
* Participate in code and design reviews as a contributor.
 \*\*Operational Support\*\*
* Support investigation and resolution of software issues identified in deployed systems, primarily through log analysis, diagnostics, and internal tools.
* Provide technical input to service and support teams as needed.
* Incorporate operational feedback into software updates and refinements.
 \*\*Engineering Practices \&amp; Growth\*\*
* Write clear, maintainable, and well\-documented code.
* Follow established development standards and contribute to continuous improvement of tools and practices.
* Grow technical skills through collaboration with more experienced engineers and exposure to real\-world systems.
 \*\*Qualifications\*\*
 \*\*Required\*\*
* Bachelor's or Master's degree in Computer Science, Software Engineering, or a related field.
* Approximately 5\+ years of professional software development experience.
* Solid understanding of object\-oriented programming and software design principles.
* Proficiency in at least one programming language commonly used in industrial or scientific systems (e.g., Python, C\#, Java, and LabVIEW
* Experience with versi n control systems (e.g., Git).
* Strong problem\-solving skills and attention to detail.
* Ability to work independently on assigned tasks while collaborating effectively with a team.
* Clear written and verbal communication skills.
 \*\*Nice to Have\*\*
* Experience with LabVIEW or similar instrumentation\-focused environments.
* Familiarity with databases (SQL or NoSQL) and API integrations.
* Exposure to front\-end frameworks used for internal tools or operator interfaces (e.g., React, Angular).
* Familiarity with cloud platforms (e.g., AWS, Azure) in hybrid or on\-prem environments.
* Experience with containerization (Docker), CI/CD pipelines, or automated testing frameworks.
 \*\*Location\*\*
 This role is based in \*\*Louisville, CO\*\*.
 Travel is \*\*not expected\*\* and would be limited to rare, planned occasions if needed.
 \*\*What We Offer\*\*
* Competitive salary and benefits package with potential for annual performance bonuses
* Flexible hybrid work arrangements
* Opportunity to work on meaningful industrial technology used in real\-world operations
* Collaborative, supportive engineering culture
* Professional development and growth opportunities
 \*\*How to Apply\*\*
 Interested candidates should send their resume and a brief cover letter describing their interest and relevant experience to \*\*careers@zolotech.com.\*\*
 Please include \*\*"Software Engineer Application"\*\* in the subject line.
 Zolo Carbon Smartech is an equal opportunity employer. We celebrate diversity and are committed to creating an inclusive environment for all employees.</t>
        </is>
      </c>
    </row>
    <row r="102">
      <c r="A102" t="inlineStr">
        <is>
          <t>li-4366195838</t>
        </is>
      </c>
      <c r="B102" t="inlineStr">
        <is>
          <t>Senior Software Engineer</t>
        </is>
      </c>
      <c r="C102" t="inlineStr">
        <is>
          <t>RaySecur, Inc.</t>
        </is>
      </c>
      <c r="D102" t="inlineStr">
        <is>
          <t>linkedin</t>
        </is>
      </c>
      <c r="E102">
        <f>HYPERLINK("https://www.linkedin.com/jobs/view/4366195838", "https://www.linkedin.com/jobs/view/4366195838")</f>
        <v/>
      </c>
      <c r="F102" t="inlineStr"/>
      <c r="G102" t="inlineStr">
        <is>
          <t>Westwood, MA</t>
        </is>
      </c>
      <c r="H102" t="inlineStr"/>
      <c r="I102" t="inlineStr">
        <is>
          <t>Senior Software Engineer, C\+\+
 We're looking for an experienced Senior Software Engineer to join our team and help build cutting\-edge products at the intersection of hardware, terahertz imaging and image processing/AI.
 What You'll Do
 You'll architect and develop sophisticated software systems that bring together hardware integration and advanced image processing algorithms. This role involves working across the stack; from firmware and hardware interfaces to high\-performance C\+\+ applications and modern user interfaces. You'll tackle complex technical challenges in real\-time processing, system optimization, and creating seamless user experience.
 What We're Looking For
 You have deep expertise in C\+\+ development and a track record of shipping products that combine software and hardware. You're comfortable working with multithreaded applications, understand the nuances of real\-time systems, and can optimize for both performance and reliability. Experience with image processing pipelines, computer vision, or AI/ML integration is preferred.
 Qualifications:
* Minimum of a bachelor’s degree in mathematics, computer science/engineering, or a similar discipline
* 5\+ years of professional C\+\+ development experience
* Experience with image processing algorithms and computer vision
* Hands\-on work with AI/ML model integration and deployment
* Deep understanding of multithreaded programming and concurrency
* Knowledge and experience on Windows and Ubuntu
* Strong verbal and written communication skills
 Bonus Qualifications:
* Comfortable with client\-side programming in JavaScript/HTML5 (especially React/Redux)
* Knowledge of firmware development and IoT systems
* Aws knowledge tied to IoT integrations
* Strong background in hardware integration and embedded systems
* Experience with Node.js, Electron.js, and/or modern front\-end frameworks
* Familiarity with databases, both SQL and NoSQL
**About The Role**
 This is a hands\-on technical position where you'll have significant ownership over architectural decisions and product direction. You'll work closely with hardware, image processing and AI engineers, and R\&amp;D and product teams to build systems that push the boundaries of what's possible.
 LEGAL NOTICES: It is unlawful in Massachusetts to require or administer a lie detector test as a condition of employment or continued employment. An employer who violates this law shall be subject to criminal penalties and civil liability.
 Powered by JazzHR
 HhLxJgFAQr</t>
        </is>
      </c>
    </row>
    <row r="103">
      <c r="A103" t="inlineStr">
        <is>
          <t>li-4366209286</t>
        </is>
      </c>
      <c r="B103" t="inlineStr">
        <is>
          <t>Software Engineer (6025)</t>
        </is>
      </c>
      <c r="C103" t="inlineStr">
        <is>
          <t>itD</t>
        </is>
      </c>
      <c r="D103" t="inlineStr">
        <is>
          <t>linkedin</t>
        </is>
      </c>
      <c r="E103">
        <f>HYPERLINK("https://www.linkedin.com/jobs/view/4366209286", "https://www.linkedin.com/jobs/view/4366209286")</f>
        <v/>
      </c>
      <c r="F103" t="inlineStr"/>
      <c r="G103" t="inlineStr">
        <is>
          <t>San Jose, CA</t>
        </is>
      </c>
      <c r="H103" t="inlineStr"/>
      <c r="I103" t="inlineStr">
        <is>
          <t>itD is seeking an Software Engineer to design, build, and deploy intelligent solutions that optimize cloud infrastructure, cost, security, and performance. This role plays a critical part in advancing operational excellence through AI\-driven automation, predictive analytics, and scalable data engineering across multi\-cloud environments. The ideal candidate brings strong hands\-on experience in machine learning, cloud platforms, and data pipelines, with a proven ability to translate insights into measurable operational improvements.
**Location:** 
 Onsite \- San Jose, CA
**Pay Range:** 
 $51 \- 58 (hourly)
 We provide comprehensive medical benefits, a 401(k) plan, paid holidays, and more. Please note that we are only considering direct W2 candidates at this time, as we are unable to offer sponsorship.
**Responsibilities**
* Design and implement AI agents to monitor, analyze, and optimize cloud resources based on cloud provider findings and recommendations.
* Develop and deploy predictive models for drift detection, cost anomaly detection, forecasting, and optimization of public cloud usage and spend.
* Automate operational workflows using machine learning, intelligent scripting, and cloud\-native services.
* Integrate AI\-driven insights with major cloud platforms and existing data sources, tools, and telemetry systems.
* Perform anomaly detection across security, cost optimization, and performance analytics to support proactive operations.
* Design, build, and maintain scalable ETL pipelines using cloud\-native services, including AWS Glue.
* Enable interactive analytics and reporting using data lake querying technologies.
* Manage and optimize cloud data storage and processing solutions to support analytics and ML workloads.
* Orchestrate complex workflows and data pipelines using Apache Airflow DAGs.
* Evaluate and adopt emerging AI/ML technologies to drive continuous operational improvement.
* Maintain clear documentation, standards, and best practices for AI/ML solutions in cloud environments.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or Master’s degree in Computer Science, Data Science, or a related technical field, or equivalent work experience.
* Proven experience building, deploying, and operating machine learning models, with 2\+ years focused on cloud operations.
* Strong knowledge of public cloud platforms, including AWS, GCP, Azure, or OCI.
* Proficiency in Python and PySpark, with hands\-on experience using ML frameworks such as PyTorch, TensorFlow, or scikit\-learn.
* Experience working with streaming data, APIs, and telemetry systems.
* Hands\-on experience with AWS Glue ETL, AWS Athena, Snowflake, and Apache Airflow DAGs.
* Experience operating in Agile and DevOps environments, including project tracking tools, version control systems, and CI/CD pipelines.
* Proficiency in general\-purpose programming and scripting languages such as Python, Golang, and Bash.
* Strong communication skills and ability to collaborate effectively across multi\-functional teams.
**Preferred Qualifications And Skills**
* Broad understanding of cloud technologies and services across one or more providers, including AWS, GCP, Azure, Oracle, or Alibaba.
* Demonstrated experience leading technical initiatives and delivering measurable outcomes.
* Full\-stack development experience using Angular for frontend development and Flask for backend services.
* Strong work ethic with a commitment to delivering high\-quality, reliable solutions and support.
**Education**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04">
      <c r="A104" t="inlineStr">
        <is>
          <t>li-4365881620</t>
        </is>
      </c>
      <c r="B104" t="inlineStr">
        <is>
          <t>Software Engineer III, Viewpoint</t>
        </is>
      </c>
      <c r="C104" t="inlineStr">
        <is>
          <t>Verily</t>
        </is>
      </c>
      <c r="D104" t="inlineStr">
        <is>
          <t>linkedin</t>
        </is>
      </c>
      <c r="E104">
        <f>HYPERLINK("https://www.linkedin.com/jobs/view/4365881620", "https://www.linkedin.com/jobs/view/4365881620")</f>
        <v/>
      </c>
      <c r="F104">
        <f>HYPERLINK("https://verily.wd1.myworkdayjobs.com/Verily_Careers/job/Raleigh-North-Carolina/Software-Engineer-III\u002d\u002dViewpoint_REQ-556?source=LinkedIn&amp;urlHash=kZYQ", "https://verily.wd1.myworkdayjobs.com/Verily_Careers/job/Raleigh-North-Carolina/Software-Engineer-III\u002d\u002dViewpoint_REQ-556?source=LinkedIn&amp;urlHash=kZYQ")</f>
        <v/>
      </c>
      <c r="G104" t="inlineStr">
        <is>
          <t>Raleigh, NC</t>
        </is>
      </c>
      <c r="H104" t="inlineStr"/>
      <c r="I104"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Verily is working to advance precision health by closing the gap between research \&amp; care. The Viewpoint Site CTMS team (formerly SignalPath) is building the next generation of software for the clinical research site. We focus on enabling efficient, collaborative, timely execution of clinical trials to make research an enjoyable, cost effective endeavor. You will join an interdependent, fun, engaged development organization that is focused on delivering high\-quality software solutions.
 Are you ready to own all aspects of the software development life cycle? Is collaboration something you require in your next role? Are you biased towards taking action? Do you want to apply your skills towards making a difference in people's lives?
 Agile isn’t something we do, it’s something we are! So if you are up for the challenge of solving real word problems working alongside a team of intelligent and driven individuals then we are ready for you!
**What We Work With**
* Scala, Java, Golang, Python, Angular, React and Cypress.
* Cloud computing environments (AWS, GCP).
**Responsibilities**
* Design, develop, test, deploy, maintain and improve software.
* Manage individual project priorities, deadlines and deliverables.
* Collaborate with cross\-functional teams to deliver a high quality, FDA regulated software.
**Qualifications**
 Minimum Qualifications
* BS degree in Computer Science, Computer Engineering or related technical field, or equivalent practical experience.
* 2\+ years of one or more general purpose programming languages, including but not limited to: Java, Scala, Python, Go, JavaScript/TypeScript.
* Full\-stack web applications development.
* Interest in and ability to learn other programming languages and technologies as needed.
**Preferred Qualifications**
* Fluency in one or more general purpose programming languages including but not limited to: Java, Scala, JavaScript/TypeScript, Python, Go.
* Experience developing full\-stack products is a plus.
* Experience working within an agile organization (we use Jira extensively).
* Demonstrated ability to apply problem\-solving skills to complex issues.
* Demonstrated interest in and ability to learn other programming languages and technologies as needed.
 Qualified applicants must not require employer sponsored work authorization now or in the future for employment in the United States.
 The US base salary range for this full\-time position is $125,000 \- $178,000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05">
      <c r="A105" t="inlineStr">
        <is>
          <t>li-4128786861</t>
        </is>
      </c>
      <c r="B105" t="inlineStr">
        <is>
          <t>Senior Backend Engineer, AI Team</t>
        </is>
      </c>
      <c r="C105" t="inlineStr">
        <is>
          <t>Acorns</t>
        </is>
      </c>
      <c r="D105" t="inlineStr">
        <is>
          <t>linkedin</t>
        </is>
      </c>
      <c r="E105">
        <f>HYPERLINK("https://www.linkedin.com/jobs/view/4128786861", "https://www.linkedin.com/jobs/view/4128786861")</f>
        <v/>
      </c>
      <c r="F105" t="inlineStr"/>
      <c r="G105" t="inlineStr"/>
      <c r="H105" t="inlineStr"/>
      <c r="I105"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\_\_\_\_\_\_\_\_\_\_\_\_\_\_\_\_\_\_\_\_\_\_\_\_\_\_\_\_\_\_\_\_\_\_\_\_\_\_\_\_\_\_\_\_\_\_\_\_\_\_\_\_\_\_\_\_\_\_\_\_\_\_\_\_\_\_\_\_\_\_\_\_\_\_\_
**Sr. Software Engineer (AI Team) \| Acorns**
 Acorns is seeking a Senior Software Engineer to join our AI team! Are you passionate about cutting\-edge AI technologies? Do you thrive in an environment where your skills can redefine customer experiences and positively impact lives? Join Acorns as we build the future of Fintech with a customer service virtual agent that’s as empowering as our mission.
 You will harness the power of AI to design a virtual agent that redefines customer support by providing personalized, real\-time assistance. You will utilize proprietary data to create intelligent, empathetic solutions that empower our users to make informed financial decisions. Playing a pivotal role, you'll help shape a product that embodies our core values of benevolence and courage, transforming customer service into an uplifting and impactful experience.
 Acorns is a remote\-first organization, offering the flexibility to work remotely while providing optional access to office space in Irvine, CA.
**What You Will Do At Acorns**
* Understand Acorns’ mission, vision, strategic objectives, and fintech industry knowledge while building relationships with team members, stakeholders, and cross\-functional teams.
* Review and analyze proprietary datasets, existing Vector database architecture, pipelines, and tools to identify gaps and propose improvements.
* Contribute to key customer\-facing projects, debugging and enhancing models, scaling pipelines, and delivering the virtual support bot MVP to production.
* Collaborate with cross\-functional teams to align AI efforts with business goals, mentor junior team members, and drive innovation through LLM capabilities.
* Optimize data pipelines, establish scalable monitoring processes, and develop a roadmap for innovation aligned with fintech objectives.
**What You Will Bring To Acorns**
* Bachelor’s or Master’s Degree in Computer Science, Software Engineering, Data Science, Statistics, or a STEM\-related field
* 5\+ years of total software engineering experience
* 3\+ years of experience in artificial intelligence, data science, or machine learning engineering
* 3\+ years of experience with modern cloud computing technologies, such as AWS, Bedrock, Sagemaker, Databricks, or Kubernetes
* Foundational knowledge with Generative AI, Transformer, fine tuning LLM, Search ranking, RAG improvement, and LLM Agent
* Experience tuning neural networks on custom datasets.
* Experience with Huggingface, LangChain, chatbot development
* Proficiency in programming languages and analytical tools, such as Python or PyTorch, Pandas, NumPy, SciKit\-Learn, Matplotlib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**Management Principles**
* Managers are constantly raising the bar
* Managers ensure all team members have a voice and a path
* No surprises \- Managers give and receive feedback early and often
* Managers continuously assess performance action on concerns quickly
*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visitwww.e\-verify.gov</t>
        </is>
      </c>
    </row>
    <row r="106">
      <c r="A106" t="inlineStr">
        <is>
          <t>li-4366171970</t>
        </is>
      </c>
      <c r="B106" t="inlineStr">
        <is>
          <t>Fullstack Engineer</t>
        </is>
      </c>
      <c r="C106" t="inlineStr">
        <is>
          <t>TailorMed</t>
        </is>
      </c>
      <c r="D106" t="inlineStr">
        <is>
          <t>linkedin</t>
        </is>
      </c>
      <c r="E106">
        <f>HYPERLINK("https://www.linkedin.com/jobs/view/4366171970", "https://www.linkedin.com/jobs/view/4366171970")</f>
        <v/>
      </c>
      <c r="F106">
        <f>HYPERLINK("https://tailormed.co/careers/co/us-remote/0E.469/fullstack-engineer/all/?coref=1.11.p35_791A&amp;urlHash=pe4o", "https://tailormed.co/careers/co/us-remote/0E.469/fullstack-engineer/all/?coref=1.11.p35_791A&amp;urlHash=pe4o")</f>
        <v/>
      </c>
      <c r="G106" t="inlineStr">
        <is>
          <t>New York, NY</t>
        </is>
      </c>
      <c r="H106" t="inlineStr"/>
      <c r="I106" t="inlineStr">
        <is>
          <t>**Join Us at TailorMed – Transforming Healthcare Affordability**
 At
 **TailorMed** 
 , we’re on a mission to eliminate barriers across the entire medication journey—from affordability to access and adherence. As a pioneering force in healthcare, we’re building a new category that transforms how patients, providers, pharmacies, life sciences, and payers collaborate to ensure every patient receives the treatment they need without delay.
 Our enterprise solution streamlines the full lifecycle of patient support programs, reducing the cost of care and driving better outcomes. With the nation's
 **largest Affordability Network** 
 —deployed across
 **800\+ hospitals, 1,300 clinics, and 650 pharmacies** 
 —we’re reshaping healthcare with innovative automation and industry\-leading partnerships.
 For that we are looking for highly talented engineers to join our journey.
 Responsibilities:
* You’ll work with a modern stack (Node.js, AWS, and other leading technologies) and use AI\-assisted development tools to boost productivity, code quality, and delivery.
* Implement solutions in AWS cloud environment.
* Learn new technologies and enrich other team members.
* Perform code reviews, evaluate implementations, and provide feedback about potential tool improvements.
* You will onboard into the world of medical treatments, health insurances, health funds and donation programs and build a system that will remove a barrier between the patient and the best medical treatment they should receive.
 Requirements:
* Bachelor's in Computer Science or equivalent
* Proven experience leveraging AI\-assisted development tools to enhance productivity, code quality, and development velocity
* Solid experience and passion for software engineering
* 4\+ years of Web Development (React/Node.js Advantage)
* Proficiency with Cloud Services (AWS, Azure, Google Cloud or others)
* Knowledge in architecture and design of scalable and high performance complex distributed systems \- advantage
* Strong analytical thinking, systematic problem\-solving skills
* Attention to details and high coding standards
* Ability to work independently and as part of a team, in a dynamic environment
* Excellent communication skills</t>
        </is>
      </c>
    </row>
    <row r="107">
      <c r="A107" t="inlineStr">
        <is>
          <t>li-4321519429</t>
        </is>
      </c>
      <c r="B107" t="inlineStr">
        <is>
          <t>Software Engineer I</t>
        </is>
      </c>
      <c r="C107" t="inlineStr">
        <is>
          <t>Continuous</t>
        </is>
      </c>
      <c r="D107" t="inlineStr">
        <is>
          <t>linkedin</t>
        </is>
      </c>
      <c r="E107">
        <f>HYPERLINK("https://www.linkedin.com/jobs/view/4321519429", "https://www.linkedin.com/jobs/view/4321519429")</f>
        <v/>
      </c>
      <c r="F107">
        <f>HYPERLINK("https://continuous.com/careers?gh_jid=4101376009&amp;gh_src=qym2cq3s9us&amp;urlHash=YAsG", "https://continuous.com/careers?gh_jid=4101376009&amp;gh_src=qym2cq3s9us&amp;urlHash=YAsG")</f>
        <v/>
      </c>
      <c r="G107" t="inlineStr"/>
      <c r="H107" t="inlineStr"/>
      <c r="I107" t="inlineStr">
        <is>
          <t>**Our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 Deliver production\-ready software that meets business, customer, and security requirements.
* Increase engineering velocity through effective use of AI tooling and strong development practices.
* Maintain and improve code quality, testing coverage, and system reliability.
* Collaborate across Engineering, Product, QA, and Support to deliver integrated solutions.
* Reduce defects and operational friction through proactive testing, debugging, and documentation.
**How You’ll Get There**
 In your first Month:
* Ramp up on Continuous’ products, architecture, and development standards.
* Set up local development environments, CI/CD workflows, and AI coding assistants.
* Review existing codebases, documentation, and testing strategies.
* Begin contributing small, well\-scoped code changes with guidance from senior engineers.
**In Your First 3 Months**
* Deliver end\-to\-end features or enhancements using a combination of various technologies including: React/TypeScript, .NET, C\#, ASP.net, or Python.
* Write clean, testable, and well\-documented code aligned with team standards.
* Actively participate in code reviews and incorporate feedback.
* Use AI\-assisted development tools to improve speed and quality of delivery.
* Collaborate with QA on testing, bug verification, and release readiness.
**In Your First 6 Months**
* Own moderately complex features within a designated product area.
* Contribute to architectural discussions and technical design reviews.
* Improve test coverage through unit and integration tests.
* Assist Customer Support as an escalation point for technical issues.
* Proactively identify opportunities to improve codebase performance, reliability, or maintainability.
**At 9 Months**
* Consistently deliver high\-quality features with minimal supervision.
* Contribute to learning discussions with peers on effective AI tooling usage and development best practices.
* Lead small technical initiatives or refactors that improve team efficiency.
* Demonstrate strong ownership of code quality, testing, and documentation.
*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 The opportunity to grow as an engineer in a modern, AI\-forward development environment.
* Real ownership over meaningful product features used by financial institutions.
* Exposure to scalable, production\-grade systems and cloud\-based architectures.
* A collaborative, remote\-first culture that values learning and mentorship.
*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We show our true self – our whole self – every day. We unlock our teams’ potential by unlocking our own and each other’s potential. There is only one you and we want to see YOU every day.
**Be Collaborative** 
 – We unite for a common cause. We are in pursuit of the best idea – not our own idea. As a remote company, we must collaborate and communicate to make a difference – an impact. We do this for our teams and for our customers.
**Be Determined** 
 – Giving up is not in our nature. We are smart people who solve tough problems. We have a bias toward action. We strive for great outcomes. We achieve our goals. We deliver success for customers, ourselves, and each other.
**Work Environment And Physical Requirements**
 This is a remote position performed primarily in a home office setting. The role is sedentary and involves prolonged use of a computer and other digital tools.
**Essential Physical Activities:** 
 \- Sitting for extended periods \- Frequent use of near vision for computer work \- Speaking and hearing for virtual meetings \- Occasional walking or standing during travel or events \- Ability to lift up to 10 lbs occasionally (e.g., carrying a laptop or materials)
**Travel Requirements:** 
 Up to 5%
**EEO/AAP For Protected Veterans And Individuals With Disabilities**
 Continuous is an equal opportunity employer and is committed to affirmative action in support of its policy to extend equal employment opportunity to all applicants and employees. All employment decisions are based on business needs, job requirements, and individual qualifications, without regard to race, color, religion, sex, sexual orientation, gender identity or expression, pregnancy, age, national origin, disability, genetic information, protected veteran status, or any other status protected by applicable law.
 Continuous is committed to working with and providing reasonable accommodations to individuals with disabilities and protected veterans. If you need assistance or an accommodation due to a disability, you may contact us at accommodations@continuous.com.
**SECURITY NOTICE: Continuous participates in E\-Verify. Continuous will not ask you to transfer money or purchase Bitcoin as part of our recruitment process. If you encounter a request of this nature, please report it immediately.**</t>
        </is>
      </c>
    </row>
    <row r="108">
      <c r="A108" t="inlineStr">
        <is>
          <t>li-4366235172</t>
        </is>
      </c>
      <c r="B108" t="inlineStr">
        <is>
          <t>Sr. Staff Software Engineer, Traffic Infrastructure</t>
        </is>
      </c>
      <c r="C108" t="inlineStr">
        <is>
          <t>LinkedIn</t>
        </is>
      </c>
      <c r="D108" t="inlineStr">
        <is>
          <t>linkedin</t>
        </is>
      </c>
      <c r="E108">
        <f>HYPERLINK("https://www.linkedin.com/jobs/view/4366235172", "https://www.linkedin.com/jobs/view/4366235172")</f>
        <v/>
      </c>
      <c r="F108" t="inlineStr"/>
      <c r="G108" t="inlineStr">
        <is>
          <t>Bellevue, WA</t>
        </is>
      </c>
      <c r="H108" t="inlineStr"/>
      <c r="I10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traffic infrastructure team, you will be at the forefront of managing every HTTP request that reaches LinkedIn. You will leverage your software engineering expertise and technical leadership skills to enhance the traffic tier’s reliability, security posture, operational rigor, and efficiency. The ideal candidate will have in\-depth expertise in DNS, traffic engineering, and routing platforms, along with hands\-on experience working with technologies like Azure Front Door (AFD), Cloudflare, IPVS, Apache Traffic Server (ATS), HAProxy, and various proxy systems. In this role, we rely on your technical leadership to elevate our traffic tier to the next level.
 Responsibilities:
* You will act as a domain expert for Traffic Infrastructure at LinkedIn and own architectural decisions
* You will design, implement, deploy, and maintain traffic routing platforms such as Apache Traffic Server (ATS), HAProxy, to optimize global traffic flow.
* You will partner with customers and leaders to create roadmaps, drive alignments and deliver products
* You will lead and mentor teams, while actively building and operating large scale systems
* You will define, enforce and continuously raise the bar for craftsmanship at Linkedin, bringing in best practices from the industry
* You will build a culture of innovation, with bias for execution
**Qualifications**
 Basic Qualifications:
* BA/BS Degree or higher in Computer Science or related technical discipline, or equivalent practical experience
* 5\+ years of industry experience in software design, development, and algorithm related solutions.
* 5\+ years of experience programming in C/C\+\+, Rust, Go, or similar languages
* 2\+ years of experience as an architect or technical leadership position
* Hands on experience developing large\-scale distributed systems and database
* Experience in networking technologies such TCP/IP, HTTP, DNS, etc.
 Preferred Qualifications:
* MS or PhD in Computer Science or related technical discipline
* 10\+ years experience in software design, development, and algorithm related solutions with at least 5 years of experience in a technical leadership position
* 10\+ years experience in an object\-oriented programming language such as C/C\+\+, Rust, Go
* Experience in building and managing traffic infrastructure using open\-source software, such as Apache Traffic Server (ATS), HAProxy, or Envoy.
* Experience working with traffic systems from CDNs to load balancers, routings and beyond.
* Experience in seamlessly migrating large\-scale legacy critical systems working with legacy systems and codebases.
* Experience leading high\-impact, cross\-organization initiatives.
 Suggested Skills:
* Distributed Systems
* Technical Leadership
* Stakeholder Management
* Traffic Infrastructure/Platforms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9">
      <c r="A109" t="inlineStr">
        <is>
          <t>li-4365892050</t>
        </is>
      </c>
      <c r="B109" t="inlineStr">
        <is>
          <t>Software Developer- Full Stack</t>
        </is>
      </c>
      <c r="C109" t="inlineStr">
        <is>
          <t>Dominion National</t>
        </is>
      </c>
      <c r="D109" t="inlineStr">
        <is>
          <t>linkedin</t>
        </is>
      </c>
      <c r="E109">
        <f>HYPERLINK("https://www.linkedin.com/jobs/view/4365892050", "https://www.linkedin.com/jobs/view/4365892050")</f>
        <v/>
      </c>
      <c r="F109">
        <f>HYPERLINK("https://careers-dominionnational-capbluecross.icims.com/jobs/4206/software-developer\u002d\u002dfull-stack/job?mode=job&amp;iis=Job+Posting&amp;iisn=LinkedIn&amp;urlHash=jQpN", "https://careers-dominionnational-capbluecross.icims.com/jobs/4206/software-developer\u002d\u002dfull-stack/job?mode=job&amp;iis=Job+Posting&amp;iisn=LinkedIn&amp;urlHash=jQpN")</f>
        <v/>
      </c>
      <c r="G109" t="inlineStr">
        <is>
          <t>Harrisburg, PA</t>
        </is>
      </c>
      <c r="H109" t="inlineStr"/>
      <c r="I109" t="inlineStr">
        <is>
          <t>*Base pay is influenced by several factors including a candidate’s qualifications, relevant experience, and anticipated contributions to meet the needs of the business, along with internal pay equity and external market driven rates. The salary range displayed has not been adjusted for geographical location. This range has been created in good faith based on information known to Dominion National at the time of posting and may be modified in the future. Dominion National offers a comprehensive benefits packaging including Medical, Dental \&amp; Vision coverage, a Retirement Plan, generous time off including Paid Time Off, Holidays, and Volunteer time off, an Incentive Plan, Tuition Reimbursement, and more.*
 Dominion National, a rapidly growing and leading provider of dental and vision benefits, has an exciting opportunity for Full Stack Developer. The individual is responsible for developing and testing, both existing and new applications, proprietary and otherwise. Works with team of cross\-trained programmers, as well as business side colleagues to develop specifications and implement projects. Mentors and aids team members as needed. Performs additional duties as assigned.
* Design and develop front\-end and back\-end components of web applications using .NET Core 3\.1/.NET 5\.0, ASP.NET, React, JavaScript, HTML and CSS
* Collaborate closely with other developers to understand requirements, to design and deliver solutions using various technologies, taking into account critical performance characteristics, security measures and customer requirements.
* Review and document software failures and take or recommend corrective action.
* Ensures security and integrity of all systems and data.
* Identify opportunities to improve performance of existing applications/processes and implement.
* Performs additional duties as assigned.
**Knowledge**
* Knowledge of Microsoft .NET Framework and associated development technologies, particularly Visual Studio, Azure DevOps, Entity Framework and LINQ.
* Intermediate understanding of design patterns and principles, particularly Object\-Oriented Design (OOD).
**Experience**
* 3\+ years’ experience developing .NET applications in C\# or similar object\-oriented languages.
* 2\+ years of strong front\-end skills in HTML/CSS and React for building modern and responsive user interfaces.
* Experienced with SQL, RESTful APIs, good understanding of data structures and design patterns.
* Experience with Git for version control
**Education and Certifications**
* Bachelor’s degree in computer science or related field
**Work Environment**
* \*\*This role will require an onsite interview and may include future onsite meetings for team building and strategy sessions. While the majority of this role will function remotely, you will need to be available to meet onsite.
* This job operates in a professional office environment.
* This role routinely uses standard office equipment such as laptops, smart phones, photocopiers/scanners, shredders and filing cabinets.
**Physical Demands**
* The physical demands described here are representative of those that must be met by an employee to successfully perform the essential functions of this job.
* While performing the duties of this job, the employee is regularly required to talk or hear.
* The employee frequently is required to stand; walk; use hands to finger, handle or feel; and reach with hands and arms.
**Other**
* This is a full\-time position, Monday through Friday and hours of work may fall between 730 a.m. and 6 p.m.</t>
        </is>
      </c>
    </row>
    <row r="110">
      <c r="A110" t="inlineStr">
        <is>
          <t>li-4366197419</t>
        </is>
      </c>
      <c r="B110" t="inlineStr">
        <is>
          <t>Sr. Staff Software Engineer, Traffic Infrastructure</t>
        </is>
      </c>
      <c r="C110" t="inlineStr">
        <is>
          <t>LinkedIn</t>
        </is>
      </c>
      <c r="D110" t="inlineStr">
        <is>
          <t>linkedin</t>
        </is>
      </c>
      <c r="E110">
        <f>HYPERLINK("https://www.linkedin.com/jobs/view/4366197419", "https://www.linkedin.com/jobs/view/4366197419")</f>
        <v/>
      </c>
      <c r="F110" t="inlineStr"/>
      <c r="G110" t="inlineStr">
        <is>
          <t>Mountain View, CA</t>
        </is>
      </c>
      <c r="H110" t="inlineStr"/>
      <c r="I11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traffic infrastructure team, you will be at the forefront of managing every HTTP request that reaches LinkedIn. You will leverage your software engineering expertise and technical leadership skills to enhance the traffic tier’s reliability, security posture, operational rigor, and efficiency. The ideal candidate will have in\-depth expertise in DNS, traffic engineering, and routing platforms, along with hands\-on experience working with technologies like Azure Front Door (AFD), Cloudflare, IPVS, Apache Traffic Server (ATS), HAProxy, and various proxy systems. In this role, we rely on your technical leadership to elevate our traffic tier to the next level.
 Responsibilities:
* You will act as a domain expert for Traffic Infrastructure at LinkedIn and own architectural decisions
* You will design, implement, deploy, and maintain traffic routing platforms such as Apache Traffic Server (ATS), HAProxy, to optimize global traffic flow.
* You will partner with customers and leaders to create roadmaps, drive alignments and deliver products
* You will lead and mentor teams, while actively building and operating large scale systems
* You will define, enforce and continuously raise the bar for craftsmanship at Linkedin, bringing in best practices from the industry
* You will build a culture of innovation, with bias for execution
**Qualifications**
 Basic Qualifications:
* BA/BS Degree or higher in Computer Science or related technical discipline, or equivalent practical experience
* 5\+ years of industry experience in software design, development, and algorithm related solutions.
* 5\+ years of experience programming in C/C\+\+, Rust, Go, or similar languages
* 2\+ years of experience as an architect or technical leadership position
* Hands on experience developing large\-scale distributed systems and database
* Experience in networking technologies such TCP/IP, HTTP, DNS, etc.
 Preferred Qualifications:
* MS or PhD in Computer Science or related technical discipline
* 10\+ years experience in software design, development, and algorithm related solutions with at least 5 years of experience in a technical leadership position
* 10\+ years experience in an object\-oriented programming language such as C/C\+\+, Rust, Go
* Experience in building and managing traffic infrastructure using open\-source software, such as Apache Traffic Server (ATS), HAProxy, or Envoy.
* Experience working with traffic systems from CDNs to load balancers, routings and beyond.
* Experience in seamlessly migrating large\-scale legacy critical systems working with legacy systems and codebases.
* Experience leading high\-impact, cross\-organization initiatives.
 Suggested Skills:
* Distributed Systems
* Technical Leadership
* Stakeholder Management
* Traffic Infrastructure/Platforms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11">
      <c r="A111" t="inlineStr">
        <is>
          <t>li-4365880327</t>
        </is>
      </c>
      <c r="B111" t="inlineStr">
        <is>
          <t>Junior Software Developer</t>
        </is>
      </c>
      <c r="C111" t="inlineStr">
        <is>
          <t>McCalla Raymer Leibert Pierce, LLP</t>
        </is>
      </c>
      <c r="D111" t="inlineStr">
        <is>
          <t>linkedin</t>
        </is>
      </c>
      <c r="E111">
        <f>HYPERLINK("https://www.linkedin.com/jobs/view/4365880327", "https://www.linkedin.com/jobs/view/4365880327")</f>
        <v/>
      </c>
      <c r="F111" t="inlineStr"/>
      <c r="G111" t="inlineStr">
        <is>
          <t>Roswell, GA</t>
        </is>
      </c>
      <c r="H111" t="inlineStr"/>
      <c r="I111" t="inlineStr">
        <is>
          <t>Apply
 Job Type
 Full\-time
**Description**
**Job Summary**
 We’re looking for a curious, hands\-on
 **Junior Software Developer** 
 to help build and maintain line\-of\-business applications and APIs that support high\-volume legal and operations workflows. You’ll contribute code across the stack (primarily .NET and SQL Server), learn our delivery processes (Azure DevOps, CI/CD), and collaborate with senior engineers and business stakeholders to ship reliable, secure features. This role is a strong fit for someone who has solid fundamentals and wants to grow quickly through mentorship and real production impact.
**Why this role matters:** 
 Our apps and integrations underpin case processing, document workflows, and operational reporting across multiple practice areas. Reliability, data integrity, and performance are essential in our environment.
**Key Responsibilities**
* Design \&amp; Development
* Implement features and fixes in C\#/.NET (ASP.NET Core, MVC/Web API) with unit tests and clear documentation.
* Build and maintain RESTful APIs; contribute to UI enhancements using JavaScript/TypeScript, HTML, CSS (experience with jQuery/Bootstrap is helpful).
* Work within existing patterns (dependency injection, configuration, logging) and follow team coding standards.
* Data \&amp; Integrations
* Write performant T\-SQL (queries, views, stored procedures); profile and tune where needed.
* Consume and integrate third\-party services (REST, webhooks, SDKs); handle retries, timeouts, and error contracts gracefully.
* Participate in simple ETL/automation tasks (SSIS or equivalent) under guidance, with attention to data quality and idempotency.
* Quality, Security \&amp; Observability
* Contribute unit and integration tests (xUnit/NUnit), maintain test data, and improve coverage incrementally.
* Follow secure coding practices (input validation, parameterized SQL, secrets management, least privilege).
* Add useful telemetry (structured logs, metrics) and participate in incident review and remediation.
* Delivery \&amp; Collaboration
* Use Azure DevOps (Repos, Boards, Pipelines) daily; participate in PRs, standups, and sprint ceremonies.
* Break down work into right\-sized tasks, estimate reasonably, and communicate status early and often.
* Partner with analysts/PMs/QA to clarify requirements and acceptance criteria; update ADO boards to keep business comms accurate and current.
**Required Qualifications**
* Bachelor’s degree in Computer Science, Information Systems, or related; or equivalent practical experience.
* 1–3 years of relevant work experience, including hands\-on programming in C\#/.NET and SQL Server.
* Understanding of HTTP/REST, object\-oriented design, and web application architecture.
* Familiarity with source control (Git) and basic CI/CD concepts.
* Clear communicator with strong debugging/problem\-solving skills and a growth mindset.
**Preferred Qualifications**
* Experience with Entity Framework Core, LINQ, and async/await patterns.
* Front\-end familiarity (Bootstrap, jQuery; bonus: React/Blazor).
* Exposure to Azure services (App Service, Key Vault, Storage, ADF/Logic Apps) and Azure DevOps pipelines.
* Basic knowledge of SSRS/Power BI for operational reporting is a plus.
* Awareness of OWASP Top 10 and handling of PII in regulated environments.
**Working Model \&amp; Time Zones**
* This position will be onsite and/or a hybrid schedule with core collaboration hours aligned to Eastern and Pacific time as needed.
* Occasional early/late collaboration with global team members may occur, with flexibility and notice.
**Physical Demands**
 The physical demands described here are representative of those that must be met by an employee to successfully perform the essential functions of this job. While performing the duties of this job, the employee is frequently required to sit, talk, or hear. The employee is occasionally required to stand, walk, use hands to finger, handle, or feel; reach with hands and arms, and stoop, kneel, or crouch, the employee must occasionally lift and/or move up to 25 pounds. Specific vision abilities required by this job include close vision and ability to adjust focus.
**Work Environment**
 The work environment characteristics described here are representative of those an employee encounters while performing the essential functions of this job. Normal office working conditions. The noise level in the work environment is quiet to moderate.
*We offer a comprehensive compensation package, which includes a salary commensurate with experience and accomplishments.* 
*If you possess the requisite qualifications and are seeking the challenge of working in a growing firm, please submit your resume in confidence.*
*All applicants applying for U.S. job openings must be authorized to work in the United States.*
* Because of the high volume of calls received, only qualified candidates will be contacted for consideration. \*\*\*
***NOTE: This job description is not intended to be all\-inclusive. Employee may perform other related duties to meet the ongoing needs of the Firm.***</t>
        </is>
      </c>
    </row>
    <row r="112">
      <c r="A112" t="inlineStr">
        <is>
          <t>li-4366228592</t>
        </is>
      </c>
      <c r="B112" t="inlineStr">
        <is>
          <t>Sr. Software Engineer</t>
        </is>
      </c>
      <c r="C112" t="inlineStr">
        <is>
          <t>Oteemo Inc.</t>
        </is>
      </c>
      <c r="D112" t="inlineStr">
        <is>
          <t>linkedin</t>
        </is>
      </c>
      <c r="E112">
        <f>HYPERLINK("https://www.linkedin.com/jobs/view/4366228592", "https://www.linkedin.com/jobs/view/4366228592")</f>
        <v/>
      </c>
      <c r="F112" t="inlineStr"/>
      <c r="G112" t="inlineStr">
        <is>
          <t>San Antonio, TX</t>
        </is>
      </c>
      <c r="H112" t="inlineStr"/>
      <c r="I112" t="inlineStr">
        <is>
          <t>**Company Description**
 Join Oteemo and become part of a transformation powerhouse where innovation meets impact. We're not just another consulting firm—we're architects of digital evolution, blending cutting\-edge technical expertise with human\-centered design principles to create solutions that resonate. Our work spans Infrastructure, Software Development, DevSecOps, Cybersecurity, Experience and Design, Organizational Change Management, and AI\-enabled solutions, but our approach is what truly sets us apart. We measure success through tangible business outcomes, not billable hours. We foster a culture of continuous learning where your ideas can thrive and technical excellence is celebrated. Our collaborative global team works across borders and time zones, tackling complex challenges for both Commercial Enterprise and Federal Defense clients with equal passion and precision. At Oteemo, you'll have the opportunity to work with emerging technologies and develop your skills alongside industry experts who are reshaping digital landscapes. If you're seeking a place where your technical prowess can drive meaningful change and where innovation isn't just encouraged—it's expected—Oteemo is your next career destination.
**Job Description**
* Lead the design, development, and implementation of software solutions using Javascript, Python \&amp; Go.
* Architect, implement, and optimize RESTful APIs, ensuring efficiency, scalability, and adherence to best practices.
* Conduct code reviews to ensure adherence to coding standards, design patterns and best practices.
* Collaborate with cross\-functional teams, including product owners and quality assurance to understand requirements and deliver high\-quality solutions.
* Investigate and troubleshoot software defects, providing timely resolution and improvements to enhance overall software quality
* Create and maintain comprehensive documentation for software design, implementation and maintenance
* Implement strong testing practices including unit testing, mock testing and behavioral testing
* Actively participate in agile development methodologies
 Qualifications
* 5\-7 years of hands\-on experience in JavaScript, Python and Go.
* Strong knowledge of multi\-tier web application development using standard presentation layer technologies.
* Understanding of source code management principles in a team environment.
* Experience with front\-end technologies such as Angular, TypeScript or similar technologies.
* Working knowledge of Containerization and Orchestration: Docker/Kubernetes
* Mastery of Git for efficient and collaborative source code management
* Ability to develop scripts in UNIX and RHEL environments, showcasing a commitment to automation and operational efficiency.
* Proficiency with CI/CD process and tools (e.g. Jenkins, GitLab or GitHub).
* Eligible for a DOD Secret clearance.
 Additional Information
**We Value:**
* Drive: Passion and energy to implement quality technical solutions. Self\-motivation and intellectual curiosity
* Commitment to Quality: Passion to conceive and produce world\-class solutions that drive real\-world value for the customer
* Customer Focus: Consultative approach to solving problems for customers. Expectations management.
* Communication: Superior communication skills. Ability to clearly articulate problems, solutions, risks, rewards etc. (written and verbal)
* Technical Skills: Love for technology. You have to be inherently passionate about technology.
* Business Acumen: Technology ultimately is used to enable the business. We look for people who understand how the businesses can be enabled through their technical solutions
**What we offer:**
* Ability to make a noticeable difference for the organization and our customers
* Tremendous growth opportunity by becoming part of a rapidly growing organization. It’s not your tenure but what you can bring to the table that defines how your career will be shaped. You control your growth.
* Complex but interesting challenges to improve the depth and breadth of your technical and business skills. Our consultants are business technologists and understand how technology drives business.
* Competitive pay and benefits
**Work authorization requirement:** 
 US Citizen.
*Oteemo is an equal employment and affirmative action employer. We evaluate qualified applicants on merit and business needs and not on race, color, religion, creed, gender, sexual orientation, national origin, ancestry, age, disability, genetic information, marital status, veteran status or any other factor protected by law. Oteemo complies with the law regarding reasonable accommodations for handicapped and disabled employees.*</t>
        </is>
      </c>
    </row>
    <row r="113">
      <c r="A113" t="inlineStr">
        <is>
          <t>li-4366248003</t>
        </is>
      </c>
      <c r="B113" t="inlineStr">
        <is>
          <t>Staff / Senior Software Engineer</t>
        </is>
      </c>
      <c r="C113" t="inlineStr">
        <is>
          <t>Puck</t>
        </is>
      </c>
      <c r="D113" t="inlineStr">
        <is>
          <t>linkedin</t>
        </is>
      </c>
      <c r="E113">
        <f>HYPERLINK("https://www.linkedin.com/jobs/view/4366248003", "https://www.linkedin.com/jobs/view/4366248003")</f>
        <v/>
      </c>
      <c r="F113">
        <f>HYPERLINK("https://easyapply.jobs/r/DEbvLcD25NAmqDGBHIC&amp;urlHash=rFxa", "https://easyapply.jobs/r/DEbvLcD25NAmqDGBHIC&amp;urlHash=rFxa")</f>
        <v/>
      </c>
      <c r="G113" t="inlineStr">
        <is>
          <t>Denver, CO</t>
        </is>
      </c>
      <c r="H113" t="inlineStr"/>
      <c r="I113" t="inlineStr">
        <is>
          <t>**About Us**
 Puck is a company that moves beyond job descriptions to highlight the teams behind open roles. We add mini\-podcasts to job descriptions. By building better profiles of candidates and employers, we help match people to people, not just resumes to job descriptions. Choosing a job or hiring for one is up there with the most important decisions we make. We started Puck to build a better way to hire. To help people find new opportunities, start a conversation and find their people. 28% of Americans are actively searching for a new job right now. Our experienced founding team is working to make that search better.
 What is it like to be a Software Engineer at Puck?
 You will join a small, experienced team of entrepreneurs who are inspired to build products that help people find jobs \&amp; help companies find great employees.
 Like the engineer colleagues you’ll be working with, this isn’t your first time working in a startup\-like engineering environment. You’ve built applications end\-to\-end before, and you have had the opportunity to live with your early design decisions as the project matures. You’ve learned from your mistakes, dealt with outages, and redesigned \&amp; rewritten plenty of code. You’ve had entire products re\-imagined, and you are comfortable with the process of product iteration that always comes with early\-stage startups.
 You thrive in an environment that values the “maker schedule” — managing your own time effectively and professionally. You bias towards over\-communication with your team, while understanding that the goal is to minimize meeting time and maximize productive time for deep work. You are a pleasure to work with, and absolutely love collaborating with other engineers.
 As an experienced engineer, you have informed opinions about languages \&amp; tools, but you’re always willing to be convinced \&amp; to learn something new. You are language agnostic, but have worked with enough languages to understand their tradeoffs. A startup\-friendly tech\-stack like Nodejs, Typescript, React/Redux, AWS, k8s, Postgres, and Redis makes sense to you — you’ll be up\-and\-running in this environment in no time, even if you’ve been working with different tools most recently.
 You have an innate understanding of the critical balance between speed \&amp; quality that all startups face. You are comfortable with automated testing as a tool for maintaining quality and managing risk — but you are also comfortable shipping code using manual QA. As our products mature and the team grows, you’ll help the team make smart decisions about how we scale automated testing.
 Finally, you enjoy both working with other experienced engineers and mentoring people who are just starting their careers. You are a teacher — whether explaining a technology to a non\-engineer on the team, code\-reviewing a colleague’s pull\-request, or helping a recent graduate with an architecture decision.
 If this describes you — I would love to get to know you better.
**— Josh @ Puck**</t>
        </is>
      </c>
    </row>
    <row r="114">
      <c r="A114" t="inlineStr">
        <is>
          <t>li-4366212701</t>
        </is>
      </c>
      <c r="B114" t="inlineStr">
        <is>
          <t>Senior Full Stack Engineer, Calendar Platform</t>
        </is>
      </c>
      <c r="C114" t="inlineStr">
        <is>
          <t>Calendly</t>
        </is>
      </c>
      <c r="D114" t="inlineStr">
        <is>
          <t>linkedin</t>
        </is>
      </c>
      <c r="E114">
        <f>HYPERLINK("https://www.linkedin.com/jobs/view/4366212701", "https://www.linkedin.com/jobs/view/4366212701")</f>
        <v/>
      </c>
      <c r="F114" t="inlineStr"/>
      <c r="G114" t="inlineStr"/>
      <c r="H114" t="inlineStr"/>
      <c r="I114"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Mission**
 We power Calendly's products with reliable, high\-performance calendar data infrastructure. Our services provide the foundation for how users interact with their scheduling data, serving as the single source of truth across our platform.
**How You Will Contribute**
 As a Senior Engineer on Calendly's Calendar Platform team, you will build and evolve the core infrastructure our products depend on. Your work will directly shape how millions of users access and interact with their calendar data.
**You Will Focus On Critical Platform Services Including**
* Core calendar data API development, building and scaling a new unified interface and underlying data infrastructure for calendar data across all Calendly products
* Synchronization services to maintain data integrity across internal systems and external providers like Google and Microsoft
* Search infrastructure using ElasticSearch to surface relevant calendar data for users
* Novel platform services as new product needs emerge
**Why this role matters**
 Calendar data is central to the Calendly platform. As we grow, our products need fast, reliable access to this data through modern, resilient infrastructure. You will help us move beyond legacy patterns and build services designed for scale. The technical decisions you make will ripple across our entire product ecosystem.
**A day in the life of a Senior Full Stack Engineer at Calendly**
**Building Calendar Infrastructure**
 Design, develop, and maintain services our product teams depend on. You will work hands\-on with Golang, Ruby/Rails, and PostgreSQL to build resilient systems handling high data volumes and complex synchronization requirements.
**Technical Leadership and Collaboration**
 Contribute to architectural decisions for calendar platform services. Share your distributed systems expertise with engineers across the organization and help establish patterns for engineering excellence.
**Contribute To Critical Initiatives**
 Own and contribute to significant projects from concept to production. Whether you're evolving the core calendar API, improving sync reliability, or optimizing search performance, you will deliver high\-impact solutions with quality and reliability at the forefront.
**Cross\-Functional Partnership**
 Partner with product engineering teams, Data Platform, and Infrastructure to understand their needs and translate them into robust solutions. This is a highly collaborative team where your input shapes how we serve internal customers.
**Operational Excellence**
 Ensure reliability and performance through thoughtful monitoring, testing, and incident response. Participate in on\-call rotation for business\-critical systems and drive continuous improvement based on operational learnings.
**What do we need from you?**
* 7\+ years of software engineering experience at a SaaS or technology company with strong backend and distributed systems focus
* Deep experience in service\-oriented architecture, microservice patterns, and building resilient, scalable systems
* Proven experience building and operating high\-traffic, high\-availability platforms in production
* Strong proficiency building internal tools, frameworks, and SDKs other engineers use
* Experience with API design and data synchronization across multiple external providers
* Excellent problem\-solving skills with the ability to diagnose complex system issues
* Strong communication skills, able to explain technical concepts clearly to technical and non\-technical stakeholders
* Authorized to work lawfully in the United States of America as Calendly does not engage in immigration sponsorship at this time
**Bonus**
* Experience with Golang, Ruby/Rails, NodeJS/Typescript
* Background in platform engineering roles
* Experience decomposing monolithic applications into microservices
* Familiarity with Google Cloud Platform, Kubernetes, PostgreSQL, Redis, Pub/Sub
* Experience with ElasticSearch or similar search infrastructure
**What Will Make You Successful Here**
* You take deep ownership and drive initiatives with a results\-oriented mindset
* You thrive in collaborative environments, working effectively with remote and distributed teams
* You’re adaptable, comfortable with evolving requirements and new technologies
* You’re passionate about enabling others and see platform engineering as a force multiplier
* You’re available to participate in our on\-call rotation to ensure the reliability of business\-critical services
**What’s in it for you?**
 Ready to make a serious impact? Millions of people already rely on Calendly’s products, and we’re still in the midst of our growth curve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Tier 1 Salary Hiring Range: $224,400 USD \- $283,800 USD
 Tier 2 Salary Hiring Range: $205,700 USD \- $260,150 USD
 Tier 3 Salary Hiring Range: $187,000 USD \- $236,500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 Tier 1: San Francisco, CA, San Jose, CA, New York City, NY
* Tier 2: Chicago, IL, Austin, TX, Denver, CO, Boston, MA, Washington D.C., Philadelphia, PA, Portland, OR, Seattle, WA, Miami, FL, and all other cities in CA.
*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Alabama,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row>
    <row r="115">
      <c r="A115" t="inlineStr">
        <is>
          <t>li-4366216721</t>
        </is>
      </c>
      <c r="B115" t="inlineStr">
        <is>
          <t>Software Engineer, Backend</t>
        </is>
      </c>
      <c r="C115" t="inlineStr">
        <is>
          <t>Ema</t>
        </is>
      </c>
      <c r="D115" t="inlineStr">
        <is>
          <t>linkedin</t>
        </is>
      </c>
      <c r="E115">
        <f>HYPERLINK("https://www.linkedin.com/jobs/view/4366216721", "https://www.linkedin.com/jobs/view/4366216721")</f>
        <v/>
      </c>
      <c r="F115" t="inlineStr"/>
      <c r="G115" t="inlineStr">
        <is>
          <t>Mountain View, CA</t>
        </is>
      </c>
      <c r="H115" t="inlineStr"/>
      <c r="I115" t="inlineStr">
        <is>
          <t>**Who are we?** 
 Ema is building the next generation
 *AI* 
 technology to empower every employee in the enterprise to be their most creative and productive. Our proprietary tech allows enterprises to delegate most repetitive tasks to Ema, the Universal
 *AI* 
 employee. We are founded by ex\-Google, Coinbase, Okta executives, and serial entrepreneurs. We’re well\-funded by the top investors and angels in the world. Ema is based in Silicon Valley and Bangalore. This will be a hybrid role where we expect employees to work from office three days a week.
**Who are you?** 
 We are seeking a Software Engineer to join the Ema team. You are passionate about designing and developing maintainable software applications. You are a creative problem solver who thrives in ambiguity and can make abstract problems concrete. Most importantly, you are excited to be part of a mission\-oriented, fast\-paced, high\-growth startup that can create a lasting impact.
**You will:** 
* Develop and maintain enterprise software applications, including API, data, application, and service development
* Write clean, efficient, and maintainable code by employing a test\-driven development process.
* Build scalable and reliable back\-end systems using languages like Go and Python
* Develop and maintain APIs using REST and gRPC
* Build and maintain scalable and extensible data schemas using PostgreSQL, Clickhouse, etc.
* Contribute to front\-end interfaces using HTML, CSS, and JavaScript frameworks such as React or Angular
* Ensure that applications are secure and adhere to industry best practices
* Continuously improve software development processes and practices
**Ideally, you'd have:** 
* Bachelor's degree in Computer Science or related field.
* At least 4 years of relevant work experience.
* Solid background in algorithms, data structures, and object\-oriented programming
* Experience in back\-end development using languages like Python and Go
* Knowledge of database technologies like PostgreSQL, Elastic, Redis.
* Knowledge of designing and building API platforms and integration systems.
* Experience with cloud technologies like GCP, AWS and Azure
* Experience with containerization technologies like Docker and Kubernetes
* Experience with integrating multiple enterprise applications, including frameworks and authentication.
* Understanding of security best practices and protocols for enterprise software applications
* Experience deploying software in multi\-tenant
 *SaaS* 
 environments.
* Knowledge of front\-end technologies such as HTML, CSS, JavaScript, and front\-end frameworks like React or Angular
* Strong problem\-solving skills and attention to detail
* Ability to work independently and as part of a team
* Experience working with global teams
 For California based candidates:
 The standard base salary for this position is $135,000\-$300,000 annually.
*Compensation offered will be determined by factors such as location, level, job\-related knowledge, skills, and experience. Certain roles may be eligible for variable compensation, equity, and benefits.* 
 Ema Unlimited is an equal opportunity employer and is committed to providing equal employment opportunities to all employees and applicants for employment without regard to race, color, religion, sex, national origin, age, disability, sexual orientation, gender identity, or genetics.</t>
        </is>
      </c>
    </row>
    <row r="116">
      <c r="A116" t="inlineStr">
        <is>
          <t>li-4366250116</t>
        </is>
      </c>
      <c r="B116" t="inlineStr">
        <is>
          <t>Senior Full Stack Software Engineer - ClickPipes Platform</t>
        </is>
      </c>
      <c r="C116" t="inlineStr">
        <is>
          <t>ClickHouse</t>
        </is>
      </c>
      <c r="D116" t="inlineStr">
        <is>
          <t>linkedin</t>
        </is>
      </c>
      <c r="E116">
        <f>HYPERLINK("https://www.linkedin.com/jobs/view/4366250116", "https://www.linkedin.com/jobs/view/4366250116")</f>
        <v/>
      </c>
      <c r="F116" t="inlineStr"/>
      <c r="G116" t="inlineStr">
        <is>
          <t>San Francisco, CA</t>
        </is>
      </c>
      <c r="H116" t="inlineStr"/>
      <c r="I116" t="inlineStr">
        <is>
          <t>**About ClickHouse**
 Recognized on the 2025 Forbes Cloud 100 list, ClickHouse is one of the most innovative and fast\-growing private cloud companies. With over 2,000 customers and ARR that has more than quadrupled over the past year, ClickHouse leads the market in real\-time analytics, data warehousing, observability, and AI workloads. ClickHouse's incredible momentum was confirmed in its recent $400M Series D financing round. We're on a mission to transform how companies use data. Come be a part of our journey!
**About the Team**
 The
 **ClickPipes Platform** 
 plays a critical role in driving the growth of our company and ensuring the success of our clients by seamlessly onboarding and integrating data from diverse data sources into ClickHouse. Working at a petabyte scale and in high\-velocity environments, this role offers an exceptional opportunity to solve challenging technical problems, operate with significant autonomy, and make a measurable impact.
 Working on ClickPipes offers the opportunity to operate with a high degree of ownership and autonomy, tackle ambiguous problems, and deliver features that are used by some of the most data\-intensive companies in the world.
 You can find some of the teams recent work highlighted in our blog:
* Flexible Scaling and Monitoring in ClickPipes
* MySQL CDC Connector for ClickPipes
* The Evolution of ClickPipes
 As a Senior Full\-Stack Engineer, you'll design and build complex, data\-heavy user interfaces and own customer\-facing workflows end\-to\-end. While this role has a strong frontend focus, engineers are expected to work comfortably across the whole stack, collaborating on backend services, APIs, and system integrations as needed. We're looking for T\-shaped engineers who bring deep frontend expertise while remaining pragmatic and effective beyond UI tasks.
**What will you do?**
* Build scalable UI systems that handle large datasets, async operations, and real\-time state changes
* Own features end\-to\-end, from initial design through production launch and long\-term maintenance
* Collaborate closely with product, design, and other engineering teams to deliver new features
* Partner on API design and system contracts
* Participate in an on\-call rotation to support ClickPipes in production, helping diagnose incidents, and mitigate issues
* Take ownership of production quality, including monitoring, debugging, performance tuning, and reliability improvements
**What you will bring:**
* 5\+ years of experience building and shipping production full\-stack applications
* In\-depth knowledge of web fundamentals (HTML/CSS, JavaScript, DOM, HTTP)
* Solid experience in designing and building applications with React and TypeScript
* Experience writing and maintaining automated tests (unit, integration, and E2E) as part of a CI/CD workflow
* Practical knowledge of backend systems, REST and/or GraphQL APIs, and service\-oriented architecture
* Great communication skills and the ability to work effectively in a distributed, async\-friendly team
**Nice to have:**
* Familiarity with Go, Node, or other server\-side languages
* Familiarity with cloud infrastructure concepts and infrastructure\-as\-code tools such as Terraform
* Experience working on data\-intensive products or platforms at scale
**Why Join Us:**
* Opportunity to work with cutting\-edge technology at the intersection of data engineering and cloud\-native infrastructure.
* Be part of a high\-visibility team integral to the company's success.
* Operate with autonomy, ownership, and the ability to drive meaningful impact in a rapidly evolving space.
 The typical starting salary for this role in the US is
 $164,000—$214,000 USD
 The typical starting salary for this role in US Premium Markets is
 $183,000—$238,000 USD
**Compensation**
 For roles based in the
 **United States** 
 , the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**Perks**
* Flexible work environment \- ClickHouse is a globally distributed company and remote\-friendly. We currently operate in 20 countries.
* Healthcare \- Employer contributions towards your healthcare.
* Equity in the company \- Every new team member who joins our company receives stock options.
* Time off \- Flexible time off in the US, generous entitlement in other countries.
* A $500 Home office setup if you're a remote employee.
* Global Gatherings – We believe in the power of in\-person connection and offer opportunities to engage with colleagues at company\-wide offsites.
**Culture \- We All Shape It**
 As part of our first 500 employees, you will be instrumental in shaping our culture.
 Are you interested in finding out more about our culture? Learn more about our values here.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row>
    <row r="117">
      <c r="A117" t="inlineStr">
        <is>
          <t>li-4366222770</t>
        </is>
      </c>
      <c r="B117" t="inlineStr">
        <is>
          <t>Embedded Software Engineer</t>
        </is>
      </c>
      <c r="C117" t="inlineStr">
        <is>
          <t>VectorNav Technologies</t>
        </is>
      </c>
      <c r="D117" t="inlineStr">
        <is>
          <t>linkedin</t>
        </is>
      </c>
      <c r="E117">
        <f>HYPERLINK("https://www.linkedin.com/jobs/view/4366222770", "https://www.linkedin.com/jobs/view/4366222770")</f>
        <v/>
      </c>
      <c r="F117" t="inlineStr"/>
      <c r="G117" t="inlineStr">
        <is>
          <t>Dallas, TX</t>
        </is>
      </c>
      <c r="H117" t="inlineStr"/>
      <c r="I117" t="inlineStr">
        <is>
          <t>VectorNav's GPS and inertial navigation technology enables customers around the world to push the envelope in their respective fields, ranging from UAVs to gimballed cameras to missiles. To support rapid integration with our sensors, we released the VectorNav Software Development Kit (SDK) last year, providing source code in C\+\+, Python, C\#, and Matlab. Following an internal promotion, we're seeking a dedicated, intelligent and insightful engineer with experience integrating sensors into embedded systems to take the lead on future SDK development. This role serves as the primary owner of the SDK, working independently much of the time while collaborating with applications engineers who contribute based on customer needs.
 The SDK is built around a C\+\+ core library providing direct interfacing to the sensor, which is then wrapped into Python (via PyBind11\) and into C\# (via C\+\+/CLI). A suite of plugins provide advanced functionality, such as in\-field firmware updates and data logging. The SDK forms the basis for our ROS2 driver and will be used to update our autopilot drivers for Ardupilot and PX4\. With a robust CI/CD pipeline and an agile development approach, we deploy updates to customers as often as every 2\-4 weeks. Besides responding to customer\-defined issues and routine maintenance updates, the backlog is filled with several new plugins and larger\-scoped enhancements, offering opportunities for higher\-level problem solving and architecting new capabilities.
**Responsibilities:**
* Maintain and enhance the SDK core C\+\+ library and its Python and C\# wrappers
* Triage and resolve customer\-reported issues through our CI/CD pipeline
* Architect solutions for new plugins and larger enhancements
* Write and maintain automated tests for cross\-platform reliability
* Create and update documentation, examples, and integration guides
* Support ecosystem drivers (ROS2, Ardupilot, PX4\) as needed
* Collaborate with firmware and applications engineers on sensor integration
**Requirements**
* 5\+ years experience with C\+\+ in embedded environments
* Experience integrating real\-time sensors, especially GPS and inertial sensors
* Familiarity with Python and PyBind11
* Bachelor's degree in computer science
* Strong verbal, written and interpersonal communications skills
**Benefits**
* Standard Benefits Full medical, vision \&amp; dental insurance, vacation time, holidays, sick leave, 401k
* Training \&amp; Development Learn from the most innovative and talented team of engineers in the industry. Transferring the 100\+ years of combined experience from our senior engineers to our new team members is a top priority
* Perks Company\-wide catered lunch every Friday. Fully stocked break room complete with billiards, ping pong, foosball \&amp; more</t>
        </is>
      </c>
    </row>
    <row r="118">
      <c r="A118" t="inlineStr">
        <is>
          <t>li-4365887302</t>
        </is>
      </c>
      <c r="B118" t="inlineStr">
        <is>
          <t>Software Engineer</t>
        </is>
      </c>
      <c r="C118" t="inlineStr">
        <is>
          <t>recruitAbility</t>
        </is>
      </c>
      <c r="D118" t="inlineStr">
        <is>
          <t>linkedin</t>
        </is>
      </c>
      <c r="E118">
        <f>HYPERLINK("https://www.linkedin.com/jobs/view/4365887302", "https://www.linkedin.com/jobs/view/4365887302")</f>
        <v/>
      </c>
      <c r="F118" t="inlineStr"/>
      <c r="G118" t="inlineStr"/>
      <c r="H118" t="inlineStr"/>
      <c r="I118" t="inlineStr">
        <is>
          <t>**Senior Software Engineer, Product** 
**About Our Client:** 
 They are a rapidly growing start\-up on a mission to improve the lives of healthcare providers by simplifying supply ordering, providing transparent pricing, and modernizing a previously outdated process. They are targeting the $100\+ billion office\-based healthcare supply industry, starting with dental practices. Their innovative e\-commerce platform streamlines procurement for dental practices while securing the best prices for products. They are also expanding into intelligent solutions that leverage AI to further support and empower healthcare providers in their day\-to\-day operations.
 This hybrid role sits in their Flatiron office at 49 W 23rd St, Floor 3 \- a central NYC spot surrounded by great food, coffee and easy transit. It's a space designed for focused work, fast iteration, and collaboration with others
 They are a close\-knit team that enjoys collaborating to solve real\-world problems. They obsess over customer satisfaction, promote a strong bias for action, encourage team members to engage in impactful work, and foster a one\-team culture. Their goal is to create better solutions to help healthcare professionals succeed, and they are looking for people like you to help bring this vision to life.
**Your Impact:** 
 As a Tech Lead, you’ll drive the evolution of a fast\-growing commerce platform that powers millions of dollars in transactions and supports thousands of dental practices nationwide. You’ll lead end\-to\-end product initiatives, owning technical strategy, execution, and measurable business outcomes. You’ll architect systems that fuel our marketplace, streamline operations, and unlock intelligent automation—while guiding a team toward high\-impact delivery
 **.** 
 This role is designed to grow with you: engineers are encouraged to expand their responsibility, deepen technical ownership, and shape the direction of our platform based on their ambition and interests.
**You will:** 
* Drive features and improvements from ideation to delivery, collaborating with Product, Design, and Ops to define scope and success metrics \- with ownership across both frontend experience and backend systems
* Own full\-stack experiences that feel fast and intuitive to users, aligning backend architecture and frontend execution to deliver measurable impact
* Develop and optimize data pipelines that synchronize product, pricing, and order data across systems
* Identify opportunities through metrics—instrumenting key product/technical KPIs, analyzing trends, and turning insights into roadmap inputs
* Integrate intelligent automation and LLM\-based tooling to improve operational efficiency and user experience (e.g. invoice parsing, catalog maintenance, product insights)
* Contribute to frontend development as needed to ensure cohesive end\-to\-end delivery
* Partner with engineering leadership to define architecture standards, shape technical direction, and mentor engineers on best practices
 You’ll be a key driver of the next stage of growth—building scalable, intelligent systems that healthcare providers rely on every day, and ensuring we’re solving the right problems with measurable impact.
**What we are looking:** 
* 5\+ years of experience in a professional engineering environment, with a track record of delivering meaningful product outcomes
* Strong experience working across the stack with technologies such as Python, Node.js, or Java, and modern frontend frameworks (e.g. React) when needed
* Proven ability to own features end\-to\-end, from problem discovery and scoping to implementation, instrumentation, and iteration
* Familiarity with web frameworks such as Flask, Express, Rails, or similar
* A product mindset \- motivated by building impactful user\-facing experiences and solving real customer problems
* A collaborative, low\-ego attitude with a willingness to learn, mentor, and elevate team standards
**Ideal candidates will also:** 
* Experience influencing product roadmaps and helping prioritize features based on impact and feasibility
* Experience partnering closely with cross\-functional teams \- Product, Design, and Ops
* Experience shaping frontend patterns, design systems, or full\-stack product delivery
* Curiosity about how large language models (LLMs) and automation can improve real\-world workflows and backend systems
* Background in healthcare, logistics, or e\-commerce systems
**Compensation and Benefits:** 
* Salary Range: $160K \- $200K
* Comprehensive medical, dental, and wellness benefits
* 401k benefits with Empower
* Unlimited paid time off (PTO)
* Maternity and Paternity leave
* Medical and dental coverage with Aetna
* Work from home stipend
* Commuter benefits for hybrid employees
* Fully stocked pantry and fridge for hybrid employees
* An employee\-driven culture with happy hours, team events, and other initiatives to celebrate our many successes</t>
        </is>
      </c>
    </row>
    <row r="119">
      <c r="A119" t="inlineStr">
        <is>
          <t>li-4365871341</t>
        </is>
      </c>
      <c r="B119" t="inlineStr">
        <is>
          <t>Senior Software Engineer</t>
        </is>
      </c>
      <c r="C119" t="inlineStr">
        <is>
          <t>BT Pro Solutions</t>
        </is>
      </c>
      <c r="D119" t="inlineStr">
        <is>
          <t>linkedin</t>
        </is>
      </c>
      <c r="E119">
        <f>HYPERLINK("https://www.linkedin.com/jobs/view/4365871341", "https://www.linkedin.com/jobs/view/4365871341")</f>
        <v/>
      </c>
      <c r="F119" t="inlineStr"/>
      <c r="G119" t="inlineStr"/>
      <c r="H119" t="inlineStr"/>
      <c r="I119" t="inlineStr">
        <is>
          <t>**Job Title:** 
 Senior Software Engineer
**Location:** 
  Remote (Fort Wayne area)
**Pay Range:** 
 $110,000 \- $130,000 (based on experience)
 ℹ️ 
 *Exact compensation may vary based on skills, experience, and location.* 
 BT Pro Solutions is a tech consulting and product development company founded with a vision of what consulting \&amp; product development should be, not what it has been.
 We've brought together a team of technology professionals with decades of real\-world experience. We get things done, keep the process simple, and show up like an extension of your team, not an outside vendor.
**Overview:** 
 We are looking for a Senior Software Engineer to join our team at BT Pro Solutions, a tech consulting and product development company providing an alternative approach to the consulting experience and creating better software products. Join a team of motivated professionals who enjoy working together and getting things done. You'll play a pivotal role in our growth. If being part of an industry\-disrupting company from the ground up excites you, apply today!
**What the job entails:** 
* Lead the full lifecycle of software development, from concept to delivery
* Provide guidance on best practices and help build custom software solutions
* Develop software for both customer projects and our own products
* Utilize a variety of programming languages, design tools, and cloud technologies
* **Experience with C\# is preferred.**
**What we value:** 
* 🙂 Ideal Team Players: Humble, Hungry, and Smart (EQ)
* 📖 Experience: 5\+ years in at least one backend language (C\#, Java, PHP, etc.), with a strong grasp of its principles, best practices, and industry trends
* 📈 Scalability: Proven ability to build systems that integrate multiple technologies and scale effectively
* 💡 Problem\-Solving: Strong troubleshooting and debugging skills
* ♾️ Adaptability: Ability to iterate on features or problems with undefined scopes
* 🧠 Continuous Learning: Commitment to staying current with new technologies, design patterns, and best practices
**What we offer:** 
 ✅ Comprehensive benefits package, including Medical, Dental, Vision, Disability, Retirement, Paid Time Off, and 10 Paid Holidays per year
 💰 Bonuses/Profit Sharing
 🖥️ Home office expense budget in your first year
 🏃‍♂️ Flexible workday
**What we’re committed to:** 
 ✅ Building software that’s simple and effective, without unnecessary complexity
 ✅ Providing solutions that solve real business needs, designed with growth in mind
 ✅ Offering straightforward, scalable systems that we can adapt over time
 ✅ Being a local leader in a more modern, flexible way to work
 ✅ Keeping the team together for the long term
 ✅ Providing a great professional life while also respecting your time outside of work
**How we operate:** 
 We value sustainable practices for the long term over profit and growth at all costs. We believe in pulling work instead of pushing it, focusing on what truly matters, and saying no to distractions. We emphasize flexible work days and working reasonable hours, doing the work over talking about it, prioritizing quality over quantity, avoiding pseudo\-productivity (“looking busy”), and ensuring plenty of focus time for your best work. This approach allows us to stay focused on our most important outcomes while maintaining an environment that keeps our team together for the long term. Work with experts you know and trust for the long term.
 ✏️ To apply: Send an email to 
 matt@btprosolutions.com
  and 
 caleb@btprosolutions.com
 telling us about yourself.
*BT Pro Solutions is an equal opportunity (EEO) employer. We hire without regard to age, color, disability, gender (including gender identity), marital status, national origin, race, religion, sex, sexual orientation*</t>
        </is>
      </c>
    </row>
    <row r="120">
      <c r="A120" t="inlineStr">
        <is>
          <t>li-4366174381</t>
        </is>
      </c>
      <c r="B120" t="inlineStr">
        <is>
          <t>Software Engineer, AI</t>
        </is>
      </c>
      <c r="C120" t="inlineStr">
        <is>
          <t>Docker, Inc</t>
        </is>
      </c>
      <c r="D120" t="inlineStr">
        <is>
          <t>linkedin</t>
        </is>
      </c>
      <c r="E120">
        <f>HYPERLINK("https://www.linkedin.com/jobs/view/4366174381", "https://www.linkedin.com/jobs/view/4366174381")</f>
        <v/>
      </c>
      <c r="F120">
        <f>HYPERLINK("https://www.wiraa.com/job-description/us724357E6E524D5E12F032C55CD075B49?source=Linkedin&amp;urlHash=MDph", "https://www.wiraa.com/job-description/us724357E6E524D5E12F032C55CD075B49?source=Linkedin&amp;urlHash=MDph")</f>
        <v/>
      </c>
      <c r="G120" t="inlineStr"/>
      <c r="H120" t="inlineStr"/>
      <c r="I120" t="inlineStr">
        <is>
          <t>**About The Company**
 Docker is a leading platform dedicated to simplifying application development, enabling developers to focus on innovation and functionality. Our remote\-first team spans the globe, united by a passion for creating exceptional developer experiences. With over 20 million monthly users and 20 billion image pulls, Docker has established itself as the industry’s top tool for building, sharing, and running applications. Trusted by startups and Fortune 100 companies alike, Docker continues to grow rapidly and is committed to pushing the boundaries of technology. Join us for an exciting journey at the forefront of software development and AI innovation.
**About The Role**
 Docker is seeking a highly skilled Principal Engineer to lead the development and architecture of our new AI Developer Tools team. This role offers a unique opportunity to shape the technical foundation for how artificial intelligence will revolutionize developer productivity, both internally at Docker and for our global customer base. You will operate at the intersection of AI, developer experience, and platform engineering, designing advanced AI\-powered developer tools and building a scalable platform that allows teams to prototype, deploy, and scale AI solutions efficiently.
 As a Principal Engineer, you will own the strategic direction for two critical areas: the architecture of AI\-powered developer tools and the self\-service platform infrastructure. You will define technical standards, lead innovative system design, and collaborate with cross\-functional teams to transform internal AI tools into market\-ready products. Reporting to the Director of Platform Infrastructure \&amp; AI Developer Tools, you will work closely with engineering leadership, product teams, and customers to ensure the delivery of high\-quality, scalable, and impactful AI solutions.
 This is a leadership role that requires deep expertise in AI/ML, system architecture, and developer tooling. You will mentor engineers, influence technical decisions across the organization, and drive innovation in AI\-driven developer workflows. Your work will directly impact Docker’s ability to deliver cutting\-edge AI tools that accelerate development cycles, improve operational efficiency, and create new product opportunities.
**Qualifications**
* 10\+ years of software engineering experience, including 3\+ years in Staff or Principal Engineer roles
* Extensive expertise in AI/ML technologies with hands\-on experience building LLM\-powered applications, AI agents, or developer tools
* Strong understanding of LLM APIs (OpenAI, Anthropic, etc.), prompt engineering, agent orchestration frameworks, and AI applications in software workflows
* Proven experience designing and scaling distributed systems and developer\-facing platforms
* Production experience with cloud\-native infrastructure, Kubernetes, GitOps, observability systems, and CI/CD pipelines
* Proficiency in programming languages such as Go (preferred), Rust, Java, or Python
* Experience in developing developer tools, platform engineering systems, or internal automation tools
* Excellent communication skills with the ability to influence diverse stakeholders
* Strong mentorship capabilities and a track record of elevating engineering teams
* Ownership mentality with a bias for action and iterative delivery in fast\-paced environments
* Comfort working autonomously within remote, distributed teams across multiple time zones
**Responsibilities**
* Define and execute the long\-term technical vision and architecture for AI\-powered developer tools and self\-service platforms
* Establish architectural standards, best practices, and technical strategies for LLM integration, AI agent development, and production AI systems
* Lead the design and implementation of scalable, reliable infrastructure for hosting AI agents and developer tools
* Drive technical decisions related to AI technology providers, prompt engineering, agent orchestration, and operational tooling
* Architect and develop production\-ready AI agents such as code review assistants, test generators, deployment diagnostics, and incident automation tools
* Build and enhance the self\-service platform infrastructure to enable rapid prototyping and deployment of AI tools by internal teams
* Collaborate with product and engineering leadership to evaluate opportunities for productizing internal AI solutions for external customers
* Evaluate emerging AI/LLM technologies and trends to inform Docker’s strategic direction
* Mentor senior engineers, lead technical reviews, and promote best practices in AI and platform engineering
* Partner with cross\-functional teams to ensure AI tools meet security, compliance, and operational standards
* Define success metrics for AI tool adoption, effectiveness, and impact on developer productivity
**Benefits**
* Flexible work environment with remote\-first culture
* Designated quarterly Whaleness Days and an end\-of\-year Whaleness break to promote work\-life balance
* Home office setup stipend to ensure a comfortable remote workspace
* 16 weeks of paid parental leave to support family growth
* Technology stipend valued at $100 net per month to support work needs
* Generous PTO policy encouraging time off to recharge and pursue personal interests
* Training stipend for conferences, courses, and professional development
* Equity participation, offering a stake in the company's growth and success
* Access to Docker Swag and other company perks
* Comprehensive medical benefits, retirement plans, and holiday policies (varies by country)
 Equal Opportunity
 Docker is an equal opportunity employer committed to fostering an inclusive environment for all employees. We value diversity in backgrounds, perspectives, and skills and believe that an inclusive culture drives innovation and success. We do not discriminate based on race, gender, age, religion, sexual orientation, disability, or any other protected status.</t>
        </is>
      </c>
    </row>
    <row r="121">
      <c r="A121" t="inlineStr">
        <is>
          <t>li-4355788366</t>
        </is>
      </c>
      <c r="B121" t="inlineStr">
        <is>
          <t>Senior Software Engineer</t>
        </is>
      </c>
      <c r="C121" t="inlineStr">
        <is>
          <t>Commerce</t>
        </is>
      </c>
      <c r="D121" t="inlineStr">
        <is>
          <t>linkedin</t>
        </is>
      </c>
      <c r="E121">
        <f>HYPERLINK("https://www.linkedin.com/jobs/view/4355788366", "https://www.linkedin.com/jobs/view/4355788366")</f>
        <v/>
      </c>
      <c r="F121">
        <f>HYPERLINK("https://bigcommerce.wd12.myworkdayjobs.com/Commerce/job/United-States\u002d\u002d-Remote/Senior-Software-Engineer_JR102438-1?source=LinkedIn&amp;urlHash=bXFy", "https://bigcommerce.wd12.myworkdayjobs.com/Commerce/job/United-States\u002d\u002d-Remote/Senior-Software-Engineer_JR102438-1?source=LinkedIn&amp;urlHash=bXFy")</f>
        <v/>
      </c>
      <c r="G121" t="inlineStr"/>
      <c r="H121" t="inlineStr"/>
      <c r="I121" t="inlineStr">
        <is>
          <t>**Welcome to the Agentic Commerce Era**
 At Commerce, our mission is to empower businesses to innovate, grow, and thrive with our open, AI\-driven commerce ecosystem. As the parent company of BigCommerce, Feedonomics, and Makeswift,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Senior Software Engineer
 Engineering
 BigCommerce is disrupting the e\-commerce industry as the SaaS leader for fast\-growing, mid\-market businesses. We enable our customers to build intuitive and engaging stores at a fraction of the cost to support every stage of their growth.
 BigCommerce offers a dynamic, collaborative environment, helping you expand your skills and take ideas from inception to delivery.
**What You’ll Do**
* Produce bullet\-proof code that is robust, efficient, and maintainable.
* Work on challenging problems such as query optimization and performance optimization while adhering to security protocols
* Work closely with operations and infrastructure to improve the architecture while building and scaling back\-end services.
* Engage in technical discussion of new solutions and architectures
* Participate in code reviews to maintain and improve quality
* Mentor other engineers in the current domain
* Build beautiful, scalable products using modern tools
* Collaborate with our product and design teams to define feature specifications and timelines
* Build new features with a focus on testability and extensibility
* Engage in technical discussion of new solutions and architectures
* Review other engineer’s code to maintain and improve quality and security
* Support an open, positive, and energized culture
* Encourage innovation and foster an environment of continuous improvement
* Ensure that technical decisions support our goals of quality, performance, scalability, reliability, availability, and security
**Who You Are**
* 5\+ years of professional experience as a Software Engineer
* Extensive experience with principles of continuous integration and designing, implementing and taking ownership of various tasks across the development cycle
* Experienced in developing high\-performance, scalable and available web services, and applications
* A team player who works closely with stakeholders, pod leaders, and other teams to promote communication and collaboration
* Enjoy working on solving challenging problems in a fun, collaborative environment.
* Highly proactive and results\-oriented with excellent critical thinking and communications skills.
* Excited to learn about new technologies
* Experience with eCommerce and SaaS platforms is highly preferred.
 Diversity \&amp; Inclusion at BigCommerce
 We can build not only a great business but a great company with soul. Our beliefs and commitment to diversity and inclusion are central to achieving that.
 Our dedication to diversity and inclusion is grounded in two things: a moral belief in the dignity, value, and potential of every individual and a practical belief that diverse, inclusive teams will create the best outcomes for our customers, partners, employees, and company. We welcome everyone to be a part of our journey.
 The exact salary will be dependent on the successful candidate’s location, relevant knowledge, skills, and qualifications.
**Inclusion and Belonging**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122">
      <c r="A122" t="inlineStr">
        <is>
          <t>li-4366177324</t>
        </is>
      </c>
      <c r="B122" t="inlineStr">
        <is>
          <t>Full Stack Engineer</t>
        </is>
      </c>
      <c r="C122" t="inlineStr">
        <is>
          <t>Wiraa</t>
        </is>
      </c>
      <c r="D122" t="inlineStr">
        <is>
          <t>linkedin</t>
        </is>
      </c>
      <c r="E122">
        <f>HYPERLINK("https://www.linkedin.com/jobs/view/4366177324", "https://www.linkedin.com/jobs/view/4366177324")</f>
        <v/>
      </c>
      <c r="F122">
        <f>HYPERLINK("https://www.wiraa.com/job-description/us79D828252817C7E547E6C800B93088EA?source=Linkedin&amp;urlHash=Ex3F", "https://www.wiraa.com/job-description/us79D828252817C7E547E6C800B93088EA?source=Linkedin&amp;urlHash=Ex3F")</f>
        <v/>
      </c>
      <c r="G122" t="inlineStr"/>
      <c r="H122" t="inlineStr"/>
      <c r="I122" t="inlineStr">
        <is>
          <t>**About The Company**
 Stripe is a leading financial infrastructure platform dedicated to empowering businesses worldwide. Serving millions of companies, from the largest global enterprises to innovative startups, Stripe provides the tools necessary to accept payments, expand revenue streams, and accelerate business growth. Our mission is to increase the GDP of the internet by creating seamless and scalable financial solutions that facilitate commerce and economic activity globally. With a focus on innovation and reliability, Stripe is committed to building a more inclusive and accessible internet economy, offering an unprecedented opportunity for professionals to contribute to transformative projects that impact the global economy.
**About The Role**
 We are seeking experienced Full Stack Engineers to join our Developer Experience and Product Platform (DEeP) organization. In this role, you will be instrumental in building and maintaining scalable, reliable, and secure software services and platforms that serve thousands of Stripe employees, developers, partners, and end\-users. Your work will directly influence the developer experience across Stripe’s suite of products, enabling rapid delivery of high\-quality, cross\-product experiences through our UI and API surfaces. This position offers the flexibility of working either remotely or from an office location, with a focus on fostering collaboration, innovation, and technical excellence. As a key member of our team, you will shape future\-proof interfaces, make strategic technical decisions, and troubleshoot complex production issues, all while contributing to a culture of continuous improvement and technical mastery.
**Qualifications**
* 2\-12\+ years of industry software engineering experience (excluding internships and co\-ops)
* Proficiency in one or more programming languages (language\-agnostic interview process)
* Strong collaboration and communication skills
* Ability to work autonomously with a high degree of responsibility
* Interest in working across multiple technologies and stacks to solve complex problems
* Experience in building scalable, secure, and reliable platforms or services
* Familiarity with modern development practices and tools
* Desire to contribute to a fast\-paced, innovative environment
**Responsibilities**
* Ensure the reliability, scalability, security, and extensibility of our platforms
* Design and shape intuitive, future\-proof user interfaces that are easy to build with
* Make strategic tradeoffs considering business priorities, user experience, and technical sustainability
* Lead technical discussions and contribute to sound decision\-making across teams
* Debug and resolve production issues across various services and levels of the technology stack
* Collaborate with cross\-functional teams to deliver high\-quality features and improvements
* Stay current with industry trends and incorporate best practices into our development processes
**Benefits**
* Competitive salary range with potential for bonuses and equity options
* Comprehensive health, dental, and vision insurance plans
* Retirement savings plan (401(k))
* Wellness stipends and support for work\-life balance
* Opportunities for professional development and career growth
* Flexible work arrangements, including remote work options
* Participation in a culture that values diversity, inclusion, and innovation
 Equal Opportunity
 Stripe is an equal opportunity employer committed to fostering an inclusive environment for all employees. We celebrate diversity and are dedicated to creating a workplace where everyone feels valued, respected, and empowered to contribute their best. We do not discriminate based on race, ethnicity, gender, sexual orientation, age, disability, or any other protected characteristic. All qualified applicants will receive consideration for employment without regard to these factors.</t>
        </is>
      </c>
    </row>
    <row r="123">
      <c r="A123" t="inlineStr">
        <is>
          <t>li-4353886140</t>
        </is>
      </c>
      <c r="B123" t="inlineStr">
        <is>
          <t>Java Software Developer</t>
        </is>
      </c>
      <c r="C123" t="inlineStr">
        <is>
          <t>BeaconFire Inc.</t>
        </is>
      </c>
      <c r="D123" t="inlineStr">
        <is>
          <t>linkedin</t>
        </is>
      </c>
      <c r="E123">
        <f>HYPERLINK("https://www.linkedin.com/jobs/view/4353886140", "https://www.linkedin.com/jobs/view/4353886140")</f>
        <v/>
      </c>
      <c r="F123" t="inlineStr"/>
      <c r="G123" t="inlineStr">
        <is>
          <t>New Jersey, United States</t>
        </is>
      </c>
      <c r="H123" t="inlineStr"/>
      <c r="I123"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124">
      <c r="A124" t="inlineStr">
        <is>
          <t>li-4366192234</t>
        </is>
      </c>
      <c r="B124" t="inlineStr">
        <is>
          <t>Junior Software Engineer</t>
        </is>
      </c>
      <c r="C124" t="inlineStr">
        <is>
          <t>Consertus</t>
        </is>
      </c>
      <c r="D124" t="inlineStr">
        <is>
          <t>linkedin</t>
        </is>
      </c>
      <c r="E124">
        <f>HYPERLINK("https://www.linkedin.com/jobs/view/4366192234", "https://www.linkedin.com/jobs/view/4366192234")</f>
        <v/>
      </c>
      <c r="F124">
        <f>HYPERLINK("https://consertus.wd501.myworkdayjobs.com/consertuscareers/job/CA-Remote/Junior-Software-Engineer_JR1065-1?source=Linkedin&amp;urlHash=QEix", "https://consertus.wd501.myworkdayjobs.com/consertuscareers/job/CA-Remote/Junior-Software-Engineer_JR1065-1?source=Linkedin&amp;urlHash=QEix")</f>
        <v/>
      </c>
      <c r="G124" t="inlineStr">
        <is>
          <t>Orange County, CA</t>
        </is>
      </c>
      <c r="H124" t="inlineStr"/>
      <c r="I124" t="inlineStr">
        <is>
          <t>**Job Description**
 Consertus is seeking a Junior Software Engineer
 Key Responsibilities
* Develop and maintain responsive, intuitive web applications.
* Design and enhance backend services with Python.
* Manage and optimize cloud infrastructure.
* Write clean, modular, and testable code following best practices.
* Troubleshoot and resolve production issues to ensure system reliability.
* Create clear, detailed technical documentation, including system architecture and user manuals.
 Key Requirements
* Passion for software development with solid foundational coding skills.
* Strong communication and teamwork abilities.
* Quick learner with adaptability to new technologies and challenges.
**Preferred Qualifications**
* Understanding of methodologies and the software development life cycle.
 Consertus is an equal opportunity employer encouraging individuals with disabilities and veterans to apply." However, you can always go online and find ones that are more descriptive like the example below.
 We are committed to creating a diverse and inclusive workplace and are proud to be an equal opportunity employer. All qualified applicants will receive consideration for employment without regard to race, color, religion, sex (including pregnancy, childbirth, or related medical conditions), sexual orientation, gender identity or expression, national origin, age, disability, protected veteran status, genetic information, or any other characteristic protected by applicable federal, state, or local law.
 We encourage individuals from all backgrounds and experiences to apply.</t>
        </is>
      </c>
    </row>
    <row r="125">
      <c r="A125" t="inlineStr">
        <is>
          <t>li-4321419513</t>
        </is>
      </c>
      <c r="B125" t="inlineStr">
        <is>
          <t>Founding Software Engineer</t>
        </is>
      </c>
      <c r="C125" t="inlineStr">
        <is>
          <t>Xcede</t>
        </is>
      </c>
      <c r="D125" t="inlineStr">
        <is>
          <t>linkedin</t>
        </is>
      </c>
      <c r="E125">
        <f>HYPERLINK("https://www.linkedin.com/jobs/view/4321419513", "https://www.linkedin.com/jobs/view/4321419513")</f>
        <v/>
      </c>
      <c r="F125" t="inlineStr"/>
      <c r="G125" t="inlineStr"/>
      <c r="H125" t="inlineStr"/>
      <c r="I125" t="inlineStr">
        <is>
          <t>A top San Francisco based AI startup is looking for a strong full\-stack software engineer to join their founding team. This is a startup for builders who want full ownership. Engineers own the customer experience end\-to\-end—from “what should we build?” to “it’s live and customers love it.”
 As a founding software engineer you will:
**Build autonomous agents:** 
 Design and scale AI systems that can reliably automate complex, data\-intensive workflows—handling everything from quoting to tracking—so customers can fully offload their logistics.
**Automate AI evaluation loops:** 
 Own the tooling to monitor, evaluate, and retrain AI models in production—ensuring performance improves automatically as new edge cases arise.
**Own the product:** 
 You won’t get a Linear ticket—you’ll get a problem and talk to the customer directly. You’ll design the solution, write the code, and ship it.
**Preferred Experience** 
* **3\+ years** 
 of professional software development with a proven track record of building and scaling production systems \- full\-stack \- python and javascript/react
* **Startup background** 
 —you’ve thrived in fast\-paced, zero\-to\-one environments where speed and ownership matter most.
* **Agentic applications** 
 —experience designing or building AI systems that act autonomously, adapt to context, and improve through feedback loops.
 150\-230k base \+ equity</t>
        </is>
      </c>
    </row>
    <row r="126">
      <c r="A126" t="inlineStr">
        <is>
          <t>li-4355717738</t>
        </is>
      </c>
      <c r="B126" t="inlineStr">
        <is>
          <t>Software Engineer III, Full Stack, YouTube</t>
        </is>
      </c>
      <c r="C126" t="inlineStr">
        <is>
          <t>Google</t>
        </is>
      </c>
      <c r="D126" t="inlineStr">
        <is>
          <t>linkedin</t>
        </is>
      </c>
      <c r="E126">
        <f>HYPERLINK("https://www.linkedin.com/jobs/view/4355717738", "https://www.linkedin.com/jobs/view/4355717738")</f>
        <v/>
      </c>
      <c r="F126" t="inlineStr"/>
      <c r="G126" t="inlineStr">
        <is>
          <t>Mountain View, CA</t>
        </is>
      </c>
      <c r="H126" t="inlineStr"/>
      <c r="I126" t="inlineStr">
        <is>
          <t>**Minimum qualifications:**
* Bachelor’s degree or equivalent practical experience.
* 2 years of experience programming in C\+\+.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li-4366194691</t>
        </is>
      </c>
      <c r="B127" t="inlineStr">
        <is>
          <t>Frontend Engineer</t>
        </is>
      </c>
      <c r="C127" t="inlineStr">
        <is>
          <t>Doppel</t>
        </is>
      </c>
      <c r="D127" t="inlineStr">
        <is>
          <t>linkedin</t>
        </is>
      </c>
      <c r="E127">
        <f>HYPERLINK("https://www.linkedin.com/jobs/view/4366194691", "https://www.linkedin.com/jobs/view/4366194691")</f>
        <v/>
      </c>
      <c r="F127" t="inlineStr"/>
      <c r="G127" t="inlineStr">
        <is>
          <t>New York, United States</t>
        </is>
      </c>
      <c r="H127" t="inlineStr"/>
      <c r="I127" t="inlineStr">
        <is>
          <t>**Why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senior frontend engineer to elevate every aspect of UI/UX across our core product platform. You’ll work closely with our lead designer to create a cohesive, performant, and modern user experience that instills confidence and trust in enterprise customers. Your work will directly influence seven\-figure deals and how customers and internal teams interact with our product.
**What You’ll Do**
* Build a unified, componentized design system that enables rapid development and consistent visuals across the web app.
* Partner with design and product to refine UX for our most customer\-facing surfaces:
+ Core Web Application
+ Stats/Dashboards and Onboarding experiences
+ Table and Detail views handling complex data interactions such as versioning.
* Modernize UI performance and responsiveness with a focus on speed, accessibility, and reliability.
* Introduce a modern cybersecurity\-inspired aesthetic that communicates safety, precision, and sophistication.
* Integrate and scale product analytics and click tracking across the app to enable data\-driven product decisions.
* Contribute to and shape frontend architecture standards, ensuring reusability, testability, and maintainability.
**Who You Are**
* 5\+ years of professional frontend experience, with deep expertise in React, TypeScript, and modern UI frameworks.
* Proven ability to partner with design teams to translate complex workflows into elegant interfaces.
* Experience building design systems and scalable component libraries.
* Strong grasp of performance optimization, accessibility, and web security principles.
* Familiarity with analytics instrumentation (e.g., Segment, PostHog, Amplitude) and A/B testing.
* Comfortable in a fast\-moving environment where design and engineering intersect with product growth.
**Why This Role Matters**
 You’ll define how our users, customers and internal teams, experience Doppel’s core platform. Your work will directly shape the look, feel, and velocity of the company’s most visible product surface.
**What We Offer**
 🚀 A mission\-driven culture with low ego, high ownership, deep customer obsession, and exceptional talent density
 🍽️ Free lunch and dinner in the office
 🌴 Flexible PTO
 ✈️ Quarterly team offsites
 Join Doppel
 Doppel is the first platform built to dismantle digital deception at scale. We scan over 150 million entities daily and deploy continuously adaptive AI SOC agents, paired with expert human analysts, to uncover and disrupt the infrastructure behind phishing, impersonation, and online fraud before attacks can spread. Our Threat Grid turns every customer signal into shared intelligence, making each disruption smarter, faster, and more effective.
 We’re not just another cybersecurity company. We’re defining the future of social engineering defense, where trust is protected, and deception becomes unprofitable. Backed by top\-tier investors and trusted by some of the world’s most recognized brands, Doppel is growing fast. If you’re driven to solve real\-world problems with bold technology, we’d love to meet you.</t>
        </is>
      </c>
    </row>
    <row r="128">
      <c r="A128" t="inlineStr">
        <is>
          <t>li-4321529842</t>
        </is>
      </c>
      <c r="B128" t="inlineStr">
        <is>
          <t>Senior Robotics Software Engineer</t>
        </is>
      </c>
      <c r="C128" t="inlineStr">
        <is>
          <t>LUUM</t>
        </is>
      </c>
      <c r="D128" t="inlineStr">
        <is>
          <t>linkedin</t>
        </is>
      </c>
      <c r="E128">
        <f>HYPERLINK("https://www.linkedin.com/jobs/view/4321529842", "https://www.linkedin.com/jobs/view/4321529842")</f>
        <v/>
      </c>
      <c r="F128" t="inlineStr"/>
      <c r="G128" t="inlineStr">
        <is>
          <t>Oakland, CA</t>
        </is>
      </c>
      <c r="H128" t="inlineStr"/>
      <c r="I128" t="inlineStr">
        <is>
          <t>We are seeking a Senior Robotics Software Engineer who is excited about applying the physical application of robotics and AI in the beauty space. Our engineering team is lean but experienced so this opportunity will give you the chance to make significant contributions to the evolution of the company and technology.
 The LUUM Robots feature an array of highly customized actuation and machine vision – both classical and neural network based – to precisely manipulate and attach the tiny extension fibers onto natural eyelashes. In more than eight years of development, we’ve assembled many of the pieces of this difficult puzzle – enough to provide real services to thousands of paying repeat customers – and now we’re looking to expand our team to advance the technology even further. Our newly deployed fourth generation sytem includes more actuated degrees of freedom and far more autonomy than leading surgical robots, producing an array of engineering challenges unique in the field.
**Required Qualifications** 
* MS or PhD in Computer Science, EE, ME
* 8\+ years of object oriented programming in a professional team environment in C\+\+
* Strong knowledge of Python
* Experience with control and modeling of robotic manipulators and/or equivalent automation systems
* Experience in ROS and associated libraries, especially for motion planning and collision modeling, or equivalents
* Working knowledge of Linux
* Knowledge of industry standard best practices for maintainable software design
* Excellent debugging and analytical skills
* Excellent written and verbal communication skills
* Ability to work effectively on a small team of both technical and non technical stakeholders.
**Preferred Qualifications** 
* Deep experience with Linux
* Experience with motor control and servo amplifiers
* Experience with CUDA development or equivalent
* General mechatronics background
* Computer vision experience, especially stereoscopic computer vision.</t>
        </is>
      </c>
    </row>
    <row r="129">
      <c r="A129" t="inlineStr">
        <is>
          <t>li-4355738281</t>
        </is>
      </c>
      <c r="B129" t="inlineStr">
        <is>
          <t>Software Engineer (Member of the Technical Staff)</t>
        </is>
      </c>
      <c r="C129" t="inlineStr">
        <is>
          <t>Breakout Ventures</t>
        </is>
      </c>
      <c r="D129" t="inlineStr">
        <is>
          <t>linkedin</t>
        </is>
      </c>
      <c r="E129">
        <f>HYPERLINK("https://www.linkedin.com/jobs/view/4355738281", "https://www.linkedin.com/jobs/view/4355738281")</f>
        <v/>
      </c>
      <c r="F129">
        <f>HYPERLINK("https://jobs.breakout.vc/companies/transfyr-bio-2/jobs/66042263-software-engineer-member-of-the-technical-staff#content&amp;urlHash=8-l_", "https://jobs.breakout.vc/companies/transfyr-bio-2/jobs/66042263-software-engineer-member-of-the-technical-staff#content&amp;urlHash=8-l_")</f>
        <v/>
      </c>
      <c r="G129" t="inlineStr">
        <is>
          <t>Cambridge, MA</t>
        </is>
      </c>
      <c r="H129" t="inlineStr"/>
      <c r="I129" t="inlineStr">
        <is>
          <t>* Portfolio
* Team
* Jobs
* News
* Contact
* Portfolio
* Team
* Jobs
* News
* Contact
 Jobs
 Passionate about building a future powered by science?
 Check out the opportunities in our portfolio companies.
 Search
 jobs
 Explore
 companies
 Join talent network
 Talent
 My job alerts
 Software Engineer (Member of the Technical Staff)
 Transfyr Bio
 Software Engineering, IT
 Cambridge, MA, USA
 Posted on Jan 26, 2026
 Apply now
**Member of the Technical Staff \- Software Engineer**
**About Transfyr**
 Transfyr is building physical AI for science.
 Why is it that a professional athlete has dramatically more information about every play they make than a scientist has about the cause of any experimental failure? At Transfyr, we are building the infrastructure to make real\-world scientific work legible, transferable, and reproducible.
 Modern science is capable of extraordinary outcomes, but much of the most important insights never become explicit: how experiments are
 *actually* 
 executed, protocols drift, how experts make gametime decisions on the fly, why experiments fail on Tuesdays. This tacit knowledge is rarely captured, making it difficult to reliably reproduce results, much less hand off protocols to new team members or collaborators. We believe our systematic failure to capture tacit knowledge is holding back the entire industry.
 We’re building systems that operate directly in real laboratory environments to elucidate, capture, and interpret this missing information. Our platform records and analyzes multimodal data about
 *how* 
 scientific work is performed and turns it into durable, operational knowledge. In doing so, we are also building the world’s largest commercial dataset on real\-world scientific execution.
 This foundation is critical not only for driving elite human performance today, but for enabling meaningful automation tomorrow. Physical AI systems cannot learn from outcomes alone; they require rich, grounded records of how work is actually done in the real world.
 Want to learn more? You can read some of our writings here.
**The Role**
 Software engineers at Transfyr design and build the core systems that make real\-world science legible.
 You will work on end\-to\-end software systems that ingest, organize, and serve multimodal data from complex laboratory workflows. This is much deeper than just a pretty UI, your software will touch physical environments, imperfect humans, ever\-evolving protocols, and long\-tail failure modes. The work demands strong engineering fundamentals, high agency, and comfort operating where requirements emerge from reality rather than specs.
 We're building a team, and we have needs across levels:
* Hands\-on builders early in their careers who are excited to build and ship real systems quickly
* Senior engineers who enjoy shaping system boundaries, abstractions, and long\-term technical direction.
 This role is in\-person in Cambridge, MA (other locations may open in the future, feel free to reach out even if Boston is not currently an option for you).
**What You’ll Accomplish With Us**
* Build the Backbone: Develop and implement core software systems that enable reproducible, legible, and scalable science in real world laboratory environments.
* Tame the Data: Build data pipelines and services that ingest, transform, and organize multimodal data (e.g., events, metadata, media, sensor outputs) generated by scientific workflows and support both rapid experimentation and production use.
* Make It Robust: Develop reliable infrastructure that supports both rapid iteration and production\-grade robustness.
* Structure Reality: Collaborate closely with AI and ML engineers, perception engineers, scientists, and operations teams to translate evolving real world needs into robust software abstractions.
* Own the End\-to\-End: Take cross\-functional initiatives from concept to deployment, helping define system boundaries, milestones, and technical tradeoffs.
* Ship Tools People Trust: Develop internal and customer facing tools that make complex systems understandable and usable for scientists and operators.
* Enable What Comes Next: Evaluate and integrate external tools, open source software, and infrastructure components where they accelerate progress.
**Who You Are**
* High agency. You don’t wait for perfect specs, detailed tickets, or constant direction. You notice what needs to be done, anticipate downstream needs, and take ownership of pushing important work across the finish line.
* Biased toward action. You value momentum, can move quickly without being careless, and know when to trade elegance for progress.
* Successful in ambiguity. You can turn incomplete context into working software, ask the right questions when needed, and make reasonable assumptions when answers aren’t available yet.
* Thoughtful. You can balance speed, correctness, and long\-term maintainability, and you understand that the right tradeoff depends on the moment.
* Clear, direct communicator. You close loops, surface issues early, and work effectively with colleagues who may not share your technical background.
* Intense. You care deeply about the mission, are willing to work hard when it matters, and take pride in helping a small team do outsized work.
**What You Know**
* How to build things: Strong full\-stack programming skills and a track record of shipping real software systems that get used, maintained, and evolved.
* Python, et al: Fluency in Python and the ability to work productively in other languages as the system requires. Our stack spans backend services, data pipelines, and user\-facing interfaces, and may involve technologies such as JavaScript/TypeScript (HTML/CSS), and systems languages like C\+\+ or Rust in performance\- or hardware\-adjacent components. We don’t expect candidates to have experience with every part of our stack, we value strong fundamentals, curiosity, and the ability to learn quickly over familiarity with specific tools.
* Data / Infrastructure: Experience designing, building, and maintaining data intensive or backend systems.
**Other Things We Like To See**
* A passion for and experience in science
* A passion for and experience with AI
* Demonstrated experience working in fast\-moving/ambiguous environments (like startups!)
**The Basics**
* Competitive compensation (cash \+ equity)
* Full benefits (low/no\-cost health insurance options, HSA, 401K with matching, lunch subsidy, etc.)
 Apply now
 See more open positions at Transfyr Bio
 Privacy policyCookie policy
* Portfolio
* Team
* Jobs
* News
* Contact
* INVESTORS
 We’re moving fast. Sign up for our newsletter to stay updated.
 Copyright © 2022 Breakout Ventures. All rights reserved.
 Privacy Policy
 Top</t>
        </is>
      </c>
    </row>
    <row r="130">
      <c r="A130" t="inlineStr">
        <is>
          <t>li-4355918900</t>
        </is>
      </c>
      <c r="B130" t="inlineStr">
        <is>
          <t>Software Developer 2</t>
        </is>
      </c>
      <c r="C130" t="inlineStr">
        <is>
          <t>Oracle</t>
        </is>
      </c>
      <c r="D130" t="inlineStr">
        <is>
          <t>linkedin</t>
        </is>
      </c>
      <c r="E130">
        <f>HYPERLINK("https://www.linkedin.com/jobs/view/4355918900", "https://www.linkedin.com/jobs/view/4355918900")</f>
        <v/>
      </c>
      <c r="F130" t="inlineStr"/>
      <c r="G130" t="inlineStr"/>
      <c r="H130" t="inlineStr"/>
      <c r="I130" t="inlineStr">
        <is>
          <t>**Job Description**
 At Oracle Health Data Intelligence (HDI), our mission is to empower healthcare organizations with actionable insights derived from comprehensive, secure, and innovative health data solutions. By harnessing the power of advanced analytics, artificial intelligence, and cloud technologies, we strive to enhance clinical decision\-making, improve patient outcomes, and drive operational efficiency across the healthcare ecosystem.
 Values are Oracle’s foundation and how we deliver excellence. We strive for diversity, inclusion, and respect for all. We are committed to the greater good in our products and our actions. We are constantly learning and taking opportunities to grow our careers and ourselves. We challenge each other to stretch beyond our past to build our future.
 You will be part of the HDI AI Platform team. A platform for AI/ML Model development, Generative AI driven applications and ML ops. These models and applications leveraging AI/ML, are embedded as features in Oracle Health products, delivering actionable intelligence within familiar workflows to clients.
 What You’ll Do
* Design, development, and optimization of AI/ML platform/pipelines/services at scale leveraging OCI.
* Contribute to technical architecture/design for the AI platform team.
* Balance between product feature development and production operational concerns like ops documentation, ops automation, structured logging, instrumentation for metrics and events
* Participate in on\-call for the services within the team and resolve issues, when they arise.
**Qualifications**
**RESPONSIBILITIES**
* You are experienced in Java and Python
* You have prior AI/ML engineering industry experience. Experience with AI Agents or LLM or RAG a big plus.
* You have prior experience working on distributed systems at a cloud service provider
* You have prior experience working with at least one relational or a NoSQL database
* You are experienced at building highly available services, possessing knowledge of common service\-oriented design patterns and service\-to\-service communication protocols
* You are familiar with components of modern infrastructure like service discovery, secret storage, software\-defined networking, etc.
* You have experience with production operations and good practices for putting quality code in production and solve issues when they arise
* Take initiative and be responsible for delivering complex software by working effectively with the team and other partners
* You feel at home communicating technical ideas verbally and in writing (technical proposals, design specs, architecture diagrams and presentations)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1">
      <c r="A131" t="inlineStr">
        <is>
          <t>li-4366201277</t>
        </is>
      </c>
      <c r="B131" t="inlineStr">
        <is>
          <t>Software Engineer</t>
        </is>
      </c>
      <c r="C131" t="inlineStr">
        <is>
          <t>Helic &amp; Co.</t>
        </is>
      </c>
      <c r="D131" t="inlineStr">
        <is>
          <t>linkedin</t>
        </is>
      </c>
      <c r="E131">
        <f>HYPERLINK("https://www.linkedin.com/jobs/view/4366201277", "https://www.linkedin.com/jobs/view/4366201277")</f>
        <v/>
      </c>
      <c r="F131" t="inlineStr"/>
      <c r="G131" t="inlineStr"/>
      <c r="H131" t="inlineStr"/>
      <c r="I131"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32">
      <c r="A132" t="inlineStr">
        <is>
          <t>li-4366219805</t>
        </is>
      </c>
      <c r="B132" t="inlineStr">
        <is>
          <t>Software Engineer</t>
        </is>
      </c>
      <c r="C132" t="inlineStr">
        <is>
          <t>Premier Group</t>
        </is>
      </c>
      <c r="D132" t="inlineStr">
        <is>
          <t>linkedin</t>
        </is>
      </c>
      <c r="E132">
        <f>HYPERLINK("https://www.linkedin.com/jobs/view/4366219805", "https://www.linkedin.com/jobs/view/4366219805")</f>
        <v/>
      </c>
      <c r="F132" t="inlineStr"/>
      <c r="G132" t="inlineStr"/>
      <c r="H132" t="inlineStr"/>
      <c r="I132" t="inlineStr">
        <is>
          <t>**Founding Engineer** 
**$140K \- $200K \+ equity** 
**San Francisco (Onsite Role)** 
**Direct Hire** 
 A fast growing early\-stage start who recently secured a significant amount at Seed is actively hiring 3x software engineers to join their founding team. They’re looking for people who are scrappy, move fast, challenge assumptions, and are driven to win. They build quickly and expect teammates to push boundaries.
**Who You Are** 
* Make quick, reversible (“two\-way door”) decisions
* Proactively fix problems before being asked
* Comfortable working across a modern engineering stack (e.g., TypeScript, Python, containerisation, ML/LLM tooling, databases, cloud environments, mobile frameworks)
* Have built real, shipped products
* Thrive in ambiguity and fast\-moving environments
**What You’ll Do** 
* Talk directly with users to understand their workflows, pain points, and needs
* Architect systems that support large enterprise usage
* Build automated pipelines and intelligent agents that process and verify large volumes of data
* Maintain scalable, robust infrastructure
* Ship quickly — progress over perfection
**The Reality** 
* You’ll work closely with the founding team and directly with customers
* User value beats hype, trends, and “cool tech”
* Expect a demanding, high\-output culture
 If you’re a Software Engineer with 2 \+ years’ experience and want to work in a growing start\-up, please do apply now for immediate consideration.</t>
        </is>
      </c>
    </row>
    <row r="133">
      <c r="A133" t="inlineStr">
        <is>
          <t>li-4366183197</t>
        </is>
      </c>
      <c r="B133" t="inlineStr">
        <is>
          <t>Software Developer (API, SQL)</t>
        </is>
      </c>
      <c r="C133" t="inlineStr">
        <is>
          <t>Wiraa</t>
        </is>
      </c>
      <c r="D133" t="inlineStr">
        <is>
          <t>linkedin</t>
        </is>
      </c>
      <c r="E133">
        <f>HYPERLINK("https://www.linkedin.com/jobs/view/4366183197", "https://www.linkedin.com/jobs/view/4366183197")</f>
        <v/>
      </c>
      <c r="F133" t="inlineStr"/>
      <c r="G133" t="inlineStr"/>
      <c r="H133" t="inlineStr"/>
      <c r="I133" t="inlineStr">
        <is>
          <t>**About The Company** 
 At Jack Henry, we are more than just a technology provider; we are a catalyst for positive change within the financial services industry. Our mission is centered around delivering innovative, secure, and user\-centric solutions that empower community banks and credit unions to better serve their customers. We are committed to fostering a collaborative and inclusive environment where our associates can thrive and contribute to meaningful advancements in digital banking and payments. With a focus on people\-inspired innovation, we aim to redefine how financial institutions connect with their clients, ensuring seamless experiences that build trust and loyalty. Our dedication to excellence, purpose\-driven work, and community impact makes us a leader in the industry and a great place for talented professionals to grow and make a difference.
**About The Role** 
 We are seeking a Programmer to join our dynamic Banking Operations Support team. This role is vital in maintaining and enhancing our core banking products, including 20/20, SilverLake, and Core Director, primarily supporting RPG or iSeries/AS400 programming environments. The successful candidate will be responsible for providing technical support, troubleshooting, and fixing issues within our core applications to ensure optimal performance for our clients. This is a remote position, ideal for individuals residing within approximately a 70\-mile radius of our office locations in Allen, TX; Lenexa, KS; Springfield, MO; or Monett, MO. The role offers an exciting opportunity to work within small, focused teams while contributing to large\-scale projects that impact the financial industry. Candidates will engage in coding, debugging, testing, and documentation, playing a crucial role in delivering reliable and efficient solutions that support our clients’ operational needs.
**Qualifications** 
* Minimum of 18 months of programming or software development experience, either professionally or through educational projects
* Participation in an on\-call rotation, including nights and weekends
* Associate’s Degree or Bachelor’s Degree preferred
* Experience with RPG programming language
* Experience supporting or developing core banking systems
* Strong problem\-solving and debugging skills
* Excellent communication and customer support skills
* Ability to work independently and within small teams
* Proficiency in creating technical documentation and system requirements
**Responsibilities** 
* Develop programming code for new software features and enhancements based on client needs and specifications
* Design flowcharts, logic diagrams, and block diagrams to outline system processes
* Identify, troubleshoot, and resolve issues within existing codebases to maintain system stability and performance
* Conduct thorough testing of code changes to ensure quality and reliability
* Implement system conversions and deployment plans, ensuring smooth integration of new code into existing environments
* Provide ongoing programming support for various interfaces and integrations
* Maintain clear and comprehensive documentation of all programming activities and system changes
* Engage with clients to gather system requirements and provide technical guidance on system improvements
* Assist in project bidding and effort estimation as needed
* Participate in on\-call support to address urgent client issues outside regular hours
* Perform additional duties as assigned to support team and organizational goals
**Benefits** 
* Competitive salary and comprehensive benefits package
* Health, dental, and vision insurance coverage
* Retirement plans with company matching
* Paid time off and holidays
* Opportunities for professional growth and career advancement
* Remote work flexibility with potential onsite onboarding and interviews
* Supportive work environment emphasizing work\-life balance and associate wellbeing
* Participation in a culture that values inclusion, innovation, and community impact
 Equal Opportunity
 At Jack Henry, we are committed to fostering an inclusive and diverse workplace. We believe that a variety of perspectives and backgrounds enrich our culture and drive innovation. We are an equal opportunity employer and do not discriminate based on race, religion, color, national origin, gender, gender identity, sexual orientation, age, disability, veteran status, or any other protected characteristic.</t>
        </is>
      </c>
    </row>
    <row r="134">
      <c r="A134" t="inlineStr">
        <is>
          <t>li-4351315927</t>
        </is>
      </c>
      <c r="B134" t="inlineStr">
        <is>
          <t>Software Engineer in Test (SDET)</t>
        </is>
      </c>
      <c r="C134" t="inlineStr">
        <is>
          <t>BeaconFire Inc.</t>
        </is>
      </c>
      <c r="D134" t="inlineStr">
        <is>
          <t>linkedin</t>
        </is>
      </c>
      <c r="E134">
        <f>HYPERLINK("https://www.linkedin.com/jobs/view/4351315927", "https://www.linkedin.com/jobs/view/4351315927")</f>
        <v/>
      </c>
      <c r="F134" t="inlineStr"/>
      <c r="G134" t="inlineStr">
        <is>
          <t>California, United States</t>
        </is>
      </c>
      <c r="H134" t="inlineStr"/>
      <c r="I134"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135">
      <c r="A135" t="inlineStr">
        <is>
          <t>li-4366201172</t>
        </is>
      </c>
      <c r="B135" t="inlineStr">
        <is>
          <t>Software Engineer - Full Stack</t>
        </is>
      </c>
      <c r="C135" t="inlineStr">
        <is>
          <t>Tiposi</t>
        </is>
      </c>
      <c r="D135" t="inlineStr">
        <is>
          <t>linkedin</t>
        </is>
      </c>
      <c r="E135">
        <f>HYPERLINK("https://www.linkedin.com/jobs/view/4366201172", "https://www.linkedin.com/jobs/view/4366201172")</f>
        <v/>
      </c>
      <c r="F135" t="inlineStr"/>
      <c r="G135" t="inlineStr">
        <is>
          <t>Milpitas, CA</t>
        </is>
      </c>
      <c r="H135" t="inlineStr"/>
      <c r="I135" t="inlineStr">
        <is>
          <t>**About Tiposi** 
 Tiposi is a Silicon Valley medical device startup developing AI\-powered, microwave\-based brain imaging technology — built to detect strokes and expand access to brain health screening worldwide. We combine RF innovation, custom ASICs, and machine learning to make imaging faster, safer, and more accessible than ever before.
**Software Engineer \- Full Stack** 
**Responsibilities** 
* Design, develop, and maintain backend services and data pipelines for medical AI applications
* Build scalable data ingestion pipelines for hospital data and device\-generated sensor data
* Preprocess and post\-process data to support machine learning model training and inference
* Collaborate closely with machine learning engineers to deliver clean, reliable datasets for AI models
* Ensure data quality, consistency, and traceability throughout the entire data lifecycle
* Monitor, debug, and optimize pipeline performance and system reliability
* Participate in system architecture design and technical decision\-making
* Write clear technical documentation and support audits or compliance reviews when required
**Requirements** 
* At least 2 years of full stack engineering experience
* Bachelor's Degree or MS in Computer Science or related technical discipline, or equivalent practical experience
* Experience developing mobile/tablet applications
* Experience building data pipelines and distributed systems
* Strong Python and Go fundamentals
* Authentication and authorization patterns (OAuth, JWT, sessions)
* PostgreSQL expertise (query optimization, indexing, migrations)
* Experience with Celery, Redis, and asynchronous task orchestration
* Docker and containerized development workflows
* Cloud experience (AWS or equivalent)
* Solid understanding of data modeling, data validation, and ETL workflows
* Experience working with structured and unstructured data
* Familiarity with cloud\-based infrastructure and production deployments
* Experience with databases (SQL and/or NoSQL) and data storage systems
* Strong debugging, performance optimization, and system reliability skills
**Preferred Programming Language** 
* Python
* Go
* TypeScript (React.js)
* Dart (Flutter)
**Preferred Qualifications** 
* Experience in healthcare, medical devices, or health\-tech startups
* Familiarity with AI/ML workflows and production model deployment
* Experience working with hospital systems or clinical data
* Knowledge of data security best practices in cloud environments
**Compensation Structure** 
 This role begins with a 3\-6 month contract phase at $3,000\-$6,000/month to establish mutual fit. Upon conversion to full\-time employment, salary range is $80,000\-$110,000 plus equity, based on experience. Full\-time benefits include health insurance (medical, dental, vision) and performance bonuses.</t>
        </is>
      </c>
    </row>
    <row r="136">
      <c r="A136" t="inlineStr">
        <is>
          <t>li-4365868653</t>
        </is>
      </c>
      <c r="B136" t="inlineStr">
        <is>
          <t>Senior Software Engineer</t>
        </is>
      </c>
      <c r="C136" t="inlineStr">
        <is>
          <t>Skyways</t>
        </is>
      </c>
      <c r="D136" t="inlineStr">
        <is>
          <t>linkedin</t>
        </is>
      </c>
      <c r="E136">
        <f>HYPERLINK("https://www.linkedin.com/jobs/view/4365868653", "https://www.linkedin.com/jobs/view/4365868653")</f>
        <v/>
      </c>
      <c r="F136" t="inlineStr"/>
      <c r="G136" t="inlineStr">
        <is>
          <t>Austin, Texas Metropolitan Area</t>
        </is>
      </c>
      <c r="H136" t="inlineStr"/>
      <c r="I136" t="inlineStr">
        <is>
          <t>At Skyways, we are building the future of air transportation with fully autonomous unmanned aerial vehicles. Backed by significant funding, including a $37M STRATFI contract from the U.S. Air Force, we operate at the intersection of commercial and defense markets. Our aircraft are already in production and flying real missions for paying customers.
 Based in Austin, TX and backed by top investors including Y Combinator, Skyways blends rapid iteration with real world deployment. As we scale the team, we are looking for people who want to build real hardware, ship real systems, and help define a new category of aviation.
**The Opportunity** 
 We’re looking for a Senior Software Engineer to own and evolve SkyNav, our mission planning and ground control software. This role is heavily frontend\-focused and sits at the intersection of UX, real\-time data, and autonomy. You’ll be building the primary interface our operators, customers, and internal teams use to plan missions, visualize aircraft behavior, and make real\-world decisions.
 If you like turning complex systems into intuitive, fast, and reliable user experiences and want those experiences to directly control real aircraft, this role is for you.
**What You'll Do:** 
* Own the frontend development of SkyNav, our mission planner and ground control application.
* Design and implement intuitive, high performance user interfaces for mission planning, monitoring, and visualization.
* Build rich, interactive experiences for maps, timelines, telemetry, and geospatial data.
* Work closely with product and flight teams to iterate quickly based on operator feedback from live, in the field and forward deployed missions, including time spent at flight test ranges and customer sites.
* Collaborate closely with autonomy, GNC, flight operations, and backend engineers to translate real world requirements into usable operator interfaces.
* Improve frontend architecture, performance, reliability, and maintainability as SkyNav scales.
* Contribute to UX, interaction patterns, and technical direction for operator facing tools.
* Participate in code reviews and help raise the frontend engineering bar across the team.
**What You'll Bring:** 
* 5\+ years of professional software engineering experience, primarily focused on frontend development.
* Strong experience building complex, stateful user interfaces with React.
* Strong JavaScript fundamentals and experience building large scale frontend applications.
* Proven experience shipping a production desktop application using ElectronJS.
* Experience building mission planning, mapping, or visualization heavy applications, including geospatial or 3D components.
* Working proficiency in Python and experience collaborating with backend and autonomy systems.
* Experience working with real time data, operator facing tools, and reliability critical interfaces.
* Solid software engineering fundamentals, including system design, testing, and maintainable architecture.
* Ability to work cross functionally with autonomy, flight operations, and hardware teams in a fast moving environment.
**Bonus Points:** 
* Experience managing complex frontend application state using MobX.
* Experience with geospatial or 3D visualization libraries such as CesiumJS, Three.js, or similar.
* Background in mission planning, mapping, robotics, autonomy, or aviation related software.
* Familiarity with real time systems, telemetry visualization, or control interfaces.
* Experience building operator facing software where clarity and reliability matter more than visual polish.
* Startup experience shipping production software with real users and real consequences.
**Want to join our mission? Apply to learn more!** 
 Due to U.S. government contract requirements, this role is limited to U.S. citizens, U.S. permanent residents, or candidates from specific countries authorized under applicable export control regulations.
*Skyways is an Equal Opportunity employer committed to diversity in the workplace. All qualified applicants will receive consideration for employment without regard to race, color, religion, age, national origin, sex, sexual orientation, gender identity, disability, protected veteran status or any other factor protected by applicable local, state or federal laws.*</t>
        </is>
      </c>
    </row>
    <row r="137">
      <c r="A137" t="inlineStr">
        <is>
          <t>li-4365872587</t>
        </is>
      </c>
      <c r="B137" t="inlineStr">
        <is>
          <t>Full Stack Engineer</t>
        </is>
      </c>
      <c r="C137" t="inlineStr">
        <is>
          <t>DEPLOY</t>
        </is>
      </c>
      <c r="D137" t="inlineStr">
        <is>
          <t>linkedin</t>
        </is>
      </c>
      <c r="E137">
        <f>HYPERLINK("https://www.linkedin.com/jobs/view/4365872587", "https://www.linkedin.com/jobs/view/4365872587")</f>
        <v/>
      </c>
      <c r="F137" t="inlineStr"/>
      <c r="G137" t="inlineStr"/>
      <c r="H137" t="inlineStr"/>
      <c r="I137" t="inlineStr">
        <is>
          <t>Job Title: PERN/MERN Full Stack Developer
 Job Type: Full Time
 Job Location: Atlanta, GA
 Position Summary:
 Are you looking for a fast\-paced, engaging new challenge? We currently have an opportunity for a PERN/MERN Full Stack Developer on our CaseHub product, a web\-based application that provides case management services to several state governments. This is a great position for a self\-motivated, driven individual who enjoys collaborating with a talented team to build elegant business solutions.
 Desired skills and experience:
 Primary skills: React JS, Node JS and RDBMS, preferably PostgreSQL
 Bachelor's Degree in Computer Science or related technical field AND 4\+ years of experience in software engineering on large\-scale, mission\-critical enterprise applications.
 Strong proficiency in Core JavaScript and cloud platforms like AWS.
 Good understanding of JS Fundamentals (Inheritance, Object\-oriented design, ECMAScript features, promises, callbacks, event handling, etc.)
 Strong understanding of relational databases and experience with Sequelize ORM.
 Experience working in agile environments and in version control using GIT.
 Hands\-on experience with third\-party integrations and APIs (e.g., Microsoft, Zoom, payment gateways).
 Familiarity with authentication/authorization technologies like Okta and Azure MFA.
 Knowledge of RESTful APIs and asynchronous programming.
 Ability to solve complex performance problems and architectural challenges.
 Strong debugging and problem\-solving skills.
 Comfortable with a combination of application customization and maintenance support.
 Ability to communicate complex ideas effectively to both technical and non\-technical audiences, verbally and in writing.
 Nice to Have:
 Experience with Docker and containerized deployments.
 Knowledge of CI/CD pipelines and cloud services such as IaC, IaaS and PaaS.
 Responsibilities:
 Design, develop, and maintain scalable and secure, enterprise\-level web applications.
 Collaborate with the product, development and client teams to prioritize, customize and build valuable product features.
 Act as technical point of contact for state government clients.
 Implement and optimize database models using Sequelize ORM.
 Integrate and manage third\-party APIs and services, such as Microsoft Services, Zoom, Okta Authentication.
 Ensure the application's performance, scalability, and security by following industry best practices.
 Contribute to peer code reviews and management of CI/CD pipeline.
 Manage the debugging, troubleshooting, and resolution of application issues with US\-based clients.
 Coordinate and communicate effectively with an international team on task progress, evaluations, suggestions and schedules, along with technical and process issues.
 Maintain technical documentation, including the development process, architecture, and standard components.
 Required Documents:
 DEPLOY's client is an award\-winning digital design and development company with a soft spot for good food and good people. They been in the business of generating excellent products and repeat clients since 2006\. They build technologies that build business!
 DEPLOY's client's team combines creative, UI and strategy expertise in Atlanta with programming development in Mumbai to give you the perfect technology solution. Over the past decade, they've expanded their small team of developers to a group of over 50 multidisciplinary experts.
 Their specialty? User\-centered applications. Whether its a custom web application, mobile app or a website, they are passionate about using technology to simplify the connection between you and your most important stakeholders.
 Their philosophy? If its not easy to use or implement, they are not doing it right. Watching their clients succeed is why they do this every day.
 Their culture? They are one team. They are proud of their diversity and believe that they deliver a better product because of it.
 DEPLOY's client has adopted a growth mindset approach that is about learning by doing!</t>
        </is>
      </c>
    </row>
    <row r="138">
      <c r="A138" t="inlineStr">
        <is>
          <t>li-4366180299</t>
        </is>
      </c>
      <c r="B138" t="inlineStr">
        <is>
          <t>Software Developer, BI</t>
        </is>
      </c>
      <c r="C138" t="inlineStr">
        <is>
          <t>Wiraa</t>
        </is>
      </c>
      <c r="D138" t="inlineStr">
        <is>
          <t>linkedin</t>
        </is>
      </c>
      <c r="E138">
        <f>HYPERLINK("https://www.linkedin.com/jobs/view/4366180299", "https://www.linkedin.com/jobs/view/4366180299")</f>
        <v/>
      </c>
      <c r="F138" t="inlineStr"/>
      <c r="G138" t="inlineStr"/>
      <c r="H138" t="inlineStr"/>
      <c r="I138" t="inlineStr">
        <is>
          <t>**About The Company** 
 At AMD, our mission is to build exceptional products that accelerate next\-generation computing experiences, encompassing artificial intelligence, data centers, personal computers, gaming, and embedded systems. We are driven by a culture of innovation and collaboration, constantly pushing the boundaries of technology to solve some of the world's most pressing challenges. Our commitment to execution excellence is complemented by a humble, inclusive, and diverse work environment that values different perspectives. Join us as we shape the future of AI and beyond, offering opportunities to advance your career while contributing to groundbreaking developments in technology.
**About The Role** 
 We are seeking a motivated Business Intelligence Software Developer to join our team. In this role, you will support the development of data models, reports, and automation solutions that drive insights across the organization. Your responsibilities will include building and maintaining Power BI reports and dashboards, developing data models, and integrating various data sources such as SharePoint Online and SQL databases. This position offers an excellent opportunity for someone with foundational experience in Power BI, SQL, and Python to grow into a broader analytics engineering and Power Platform skillset. You will work closely with senior team members to design scalable BI solutions, optimize data structures, and support key reporting initiatives, ensuring data accuracy and adherence to governance standards.
**Qualifications** 
* Bachelor's degree in Information Management, Computer Science, Mathematics, Statistics, or equivalent experience
* Experience in BI development, data analytics, or related technical roles
* Hands\-on experience with Power BI, including DAX and Power Query
* Understanding of data modeling concepts such as star schema, relationships, and measures
* Practical experience with SharePoint Online lists, including creation and calculated columns
* Proficiency with SQL and familiarity with SQL Server
* Basic to intermediate Python scripting skills
* Strong troubleshooting skills for data issues and problem\-solving processes
* Excellent communication skills and ability to collaborate with technical and non\-technical stakeholders
* Exposure to Power Platform tools such as Power Automate or Power Apps is a plus
* Familiarity with version control tools like Git
* Knowledge of BI governance, workspace management, or deployment pipelines
* Ability to handle multiple tasks and adapt to changing priorities
* Curious, motivated, and eager to learn new tools and technologies
* Attention to detail with a focus on producing accurate and reliable outputs
**Responsibilities** 
* Build and maintain Power BI reports, dashboards, and datasets to support business needs
* Develop DAX measures, calculated columns, and optimized data models within Power BI
* Create and enhance Power Query (M) transformations and ETL logic to ensure data quality and consistency
* Assist in building and maintaining Power BI semantic models for efficient data analysis
* Create, configure, and maintain SharePoint Online lists, including calculated columns and data structures
* Integrate SharePoint Online lists and other data sources into Power BI for comprehensive reporting
* Write and maintain SQL queries, stored procedures, and functions to support reporting requirements
* Provide basic SQL Server administration and troubleshooting support as needed
* Utilize Python scripting for data manipulation, automation, or analytics tasks
* Collaborate with business stakeholders to understand reporting requirements and translate them into technical solutions
* Ensure data accuracy, documentation, and compliance with governance standards
* Participate in continuous improvement of BI solutions and workflows
**Benefits** 
* Competitive salary and comprehensive health benefits
* Opportunities for professional development and career growth
* Inclusive and collaborative work environment
* Flexible remote work options
* Access to cutting\-edge tools and technologies
* Supportive team culture that encourages innovation and learning
 Equal Opportunity
 AMD is an equal opportunity employer. We consider all applicants without regard to age, ancestry, color, marital status, medical condition, mental or physical disability, national origin, race, religion, political or third\-party affiliation, sex, pregnancy, sexual orientation, gender identity, military or veteran status, or any other characteristic protected by law.</t>
        </is>
      </c>
    </row>
    <row r="139">
      <c r="A139" t="inlineStr">
        <is>
          <t>li-4355918231</t>
        </is>
      </c>
      <c r="B139" t="inlineStr">
        <is>
          <t>Embedded Software Engineer</t>
        </is>
      </c>
      <c r="C139" t="inlineStr">
        <is>
          <t>Aeronix</t>
        </is>
      </c>
      <c r="D139" t="inlineStr">
        <is>
          <t>linkedin</t>
        </is>
      </c>
      <c r="E139">
        <f>HYPERLINK("https://www.linkedin.com/jobs/view/4355918231", "https://www.linkedin.com/jobs/view/4355918231")</f>
        <v/>
      </c>
      <c r="F139" t="inlineStr"/>
      <c r="G139" t="inlineStr">
        <is>
          <t>Greenville, SC</t>
        </is>
      </c>
      <c r="H139" t="inlineStr"/>
      <c r="I139" t="inlineStr">
        <is>
          <t>**Job Description**
**Role**
 The Embedded Software Engineer will develop, modify, and maintain customized or standardized applications using software engineering best practices and standards. They will participate in the full life\-cycle of software development, to include requirements development, modeling and design, application development, unit to CSCI testing, integration, formal system testing, release, installation, and maintenance.
**Description**
* Develop and integrate software for existing embedded systems
* Full Lifecycle design, implementation, and unit testing of software
* Develop SW products from all phases of SW life cycle.
* Review customer requirements and specification for developing software and hardware solutions
* Produce and/or review technical documents, specifications, and standards.
* Review of software requirements against specific criteria.
* Analyzing project requirements to translate into specifications and programming deliverables.
* Works under direction of technical leadership with some expected self\-direction.
* Utilizing internal processes and tools for the development of software.
* Review, develop and document software level operational concepts.
* Prepare and/or review documentation for software designs and architectures in accordance with established software development processes and procedures.
* Perform system/product integration.
* Verify and validate aspects of software designs to ensure conformance with functional specifications and customer requirements.
* Conduct design and code reviews and other defect prevention activities
* Actively participate in code reviews
* Design and promote new components and sub\-processes
* Participate in activities related to software debugging and issue resolution
* Execute code integration, configuration management, and release processes
* Candidate must be able to conduct incremental component level testing and integration of product functionality.
* Creating Test Plans and Procedures that acknowledge technical and schedule constraint. Executing Test Procedures to ensure requirements compliance.
* Performing troubleshooting as required.
* Resolve defects and perform Component to Component Integration
* Develop device drivers for embedded Linux using C Language
**Skills**
* Experience with embedded Linux
* Experience with C Linux Kernel level development and debug
* Experience with integrating software with custom processor\-based circuit card assemblies.
* Working knowledge of high\-order programming languages (C, C\+\+, Python).
* Experience with development and management of requirements.
* Experience with development of formal verification procedures.
* Experience with any of the following is a plus, but not required:
* C \- Lower\-level software development
* Embedded C
* Embedded C\+\+
* Python
* Shell
* Version Control Systems: SVN, Git, Mercurial, etc
* Linux\-based Environment
* Register\-level configuration/setup software
* Device driver software for UARTs, I2C, etc device drivers
* Tool Suite: JIRA, Confluence, BitBucket (GIT), Bamboo, Jenkins
* Proficient model\-based development with Matlab/Simulink
* Demonstrated leadership ability to lead small working groups.
* Candidates should possess strong communication skills both written and oral.
* Experience with wireless protocols a plus
* Experience with software defined radios a plus
**Qualifications**
* Bachelor’s Degree and minimum 4 years of prior relevant experience; or Graduate Degree and a minimum of 2 years of prior related experience
* 2\+ years of experience in C\+\+
* 2\+ years of experience with embedded Linux
* Software Development: 5 years (Preferred)
* Proficient programming skills with embedded C/C\+\+ and Python
* Excellent communication skills, written and verbal
* Systematic approach, attention to detail, and good problem\-solving skills
* Experience in creating required engineering documentation.
* Experience in integration and verification testing of electronic equipment via software.
* Understanding of Microcontrollers and related requirements, constraints, and capabilities
* A willingness to learn and desire to be challenged
* Experience developing software / writing code in C/C\+\+
* Experience integrating and testing software subsystems into systems
* Should be familiar with writing Test Scripts
* Experience in scripting language such as python
* Should be familiar with Atlassian tool suite with add\-ons like git and confluence
* Should be familiar with Agile SW development process
* Should be familiar with Hardware Software Compatibility matrix process
* US Person Required
* Position does not require a clearance to start however, it does require the ability to obtain and maintain a DoD Secret level clearance
* An active DoD Interim Secret or Secret level clearance is preferred
**This is not a remote position. Positions available in both Melbourne, FL and Greenville, SC.**
 9/80 Work Schedule
 Every other Friday off</t>
        </is>
      </c>
    </row>
    <row r="140">
      <c r="A140" t="inlineStr">
        <is>
          <t>li-4365875729</t>
        </is>
      </c>
      <c r="B140" t="inlineStr">
        <is>
          <t>Senior Software Engineer</t>
        </is>
      </c>
      <c r="C140" t="inlineStr">
        <is>
          <t>701x</t>
        </is>
      </c>
      <c r="D140" t="inlineStr">
        <is>
          <t>linkedin</t>
        </is>
      </c>
      <c r="E140">
        <f>HYPERLINK("https://www.linkedin.com/jobs/view/4365875729", "https://www.linkedin.com/jobs/view/4365875729")</f>
        <v/>
      </c>
      <c r="F140" t="inlineStr"/>
      <c r="G140" t="inlineStr">
        <is>
          <t>Fargo, ND</t>
        </is>
      </c>
      <c r="H140" t="inlineStr"/>
      <c r="I140" t="inlineStr">
        <is>
          <t>**About 701x** 
 701x is revolutionizing the livestock industry through cutting\-edge precision ranching technology. Our platform delivers real\-time data and actionable insights to help ranchers improve efficiency, sustainability, and animal health.
 We’re passionate about building technology that makes a real\-world impact — and we’re looking for talented engineers who share our mission to modernize ranching through innovation.
**The Role** 
 As a Senior Software Engineer at 701x, you’ll be at the forefront of building scalable, reliable, and elegant solutions for both web and mobile platforms. You’ll work closely with a cross\-functional team of engineers, designers, and product managers to bring new features to life — from concept to deployment — and help define the future of ranching technology. Salary ranging from $120k\-140k depending on experience.
**What You’ll Do** 
* Design, develop, and maintain high\-quality, scalable web applications using React.
* Build and deploy cross\-platform mobile apps with React Native.
* Design and implement RESTful APIs and backend services.
* Collaborate across teams to deliver seamless, data\-driven user experiences.
* Write and maintain unit and integration tests to ensure robust, high\-quality code.
* Participate in code reviews, mentoring, and engineering best practices.
* Troubleshoot and resolve complex software issues.
* Stay up to date with emerging tools, frameworks, and industry trends.
**What You Bring** 
* Bachelor’s degree in Computer Science, Engineering, or equivalent experience.
* 5\+ years of professional software development experience.
* Strong proficiency in JavaScript (ES6\+) and React.
* Experience with state management (Redux, Context API, etc.).
* Proficiency in REST API design and integration.
* Familiarity with mobile app development (iOS/Android).
* Experience with Git or other version control systems.
* Excellent problem\-solving, communication, and collaboration skills.
* Ability to thrive in a fast\-paced, dynamic environment.
**Bonus Points For** 
* Hands\-on experience with React Native.
* Experience with cloud infrastructure (AWS, Azure, or GCP).
* Familiarity with testing frameworks (Jest, Cypress).
* Experience building CI/CD pipelines.
* Open\-source contributions or a strong personal project portfolio.
* Background or interest in agriculture, IoT, or data visualization.
**Why Join 701x?** 
 ✅ Work on innovative technology that’s transforming a legacy industry.
 🤝 Join a mission\-driven, collaborative team that values creativity and impact.
 💰 Competitive salary and benefits package.
 🚀 Opportunities for career growth, ownership, and innovation.
 Ready to Make an Impact?
 If you’re excited to apply your skills to real\-world challenges and help modernize ranching through technology — we’d love to hear from you!
 👉 Apply now to join 701x and shape the future of precision ranching.</t>
        </is>
      </c>
    </row>
    <row r="141">
      <c r="A141" t="inlineStr">
        <is>
          <t>li-4355719030</t>
        </is>
      </c>
      <c r="B141" t="inlineStr">
        <is>
          <t>Software Engineer</t>
        </is>
      </c>
      <c r="C141" t="inlineStr">
        <is>
          <t>weavix</t>
        </is>
      </c>
      <c r="D141" t="inlineStr">
        <is>
          <t>linkedin</t>
        </is>
      </c>
      <c r="E141">
        <f>HYPERLINK("https://www.linkedin.com/jobs/view/4355719030", "https://www.linkedin.com/jobs/view/4355719030")</f>
        <v/>
      </c>
      <c r="F141">
        <f>HYPERLINK("https://grnh.se/ji7tbkta8us?source=LinkedIn&amp;urlHash=OFIv", "https://grnh.se/ji7tbkta8us?source=LinkedIn&amp;urlHash=OFIv")</f>
        <v/>
      </c>
      <c r="G141" t="inlineStr"/>
      <c r="H141" t="inlineStr"/>
      <c r="I141" t="inlineStr">
        <is>
          <t>**Position Overview:** 
 At weavix, the key to our growth is a high\-performing Engineering team creating products and solutions that the world is asking for. We are seeking a qualified Full Stack Software Engineer to develop and ensure our customers experience reliable and robust products, services, and solutions.
 As an application\-level Software Engineer, you will be experienced and passionate about customizing, optimizing, and developing our Typescript / JavaScript\-based applications. We are looking for a motivated, results\-oriented, quality\-focused engineer who understands app development at all levels and has experience developing in Typescript / JavaScript, especially React Native and Angular. This role will play a critical part in ensuring that weavix can grow as fast as possible, while keeping the product as usable and refined as possible
 **.** 
**What We’re Looking Fo** 
 r:
 We are seeking a driven and strategic individual focused on building and maintaining our Android app on our devices. Day\-to\-day responsibilities will include developing our next\-generation features, resolving customer issues, experimenting with new ideas, developing proof of concepts, and refining our app for performance and reliability. You will be proficient in using tools to develop react native/Angular apps, customize the app and features for performance and efficiency, dive into the code to resolve issues, and create reliable solutions for our mission\-critical customers.
**Objectives of This Role:** 
* Develop our next generation, in\-demand, mobile and web app features.
* Improve and maintain our existing features that our customers love and rely on.
* Dive into the code and root cause reliability issues, resolve, and improve.
* Improve the performance and efficiency of our devices and products.
**Key Responsibilities:** 
* Work on existing features to improve reliability and performance.
* Develop new features according to mission\-critical engineering specifications.
* Root cause and resolve issues in our new communication features.
* Implement SW patches, resolve bugs, investigate problems, and integrate features.
* Create scalable and reliable features that will stand the high demands of our customers.
**Required Skills and Qualifications:** 
* Strong communication skills, providing guidance, strategy, and a plan to execute.
* Proven problem\-solving approach and strong analytical skills.
* Previous experience with Typescript/JavaScript or similar languages.
* Previous experience with React Native, Angular, and responsive UI.
* Previous experience working with mobile APPS.
* Previous experience with express backend processes, including MongoDB.
**Preferred Skills and Qualifications:** 
* Bachelor’s degree (or equivalent) or at least two years of relevant work experience.
* Experience as a developer working in native Android (Java/Kotlin) and iOS (Objective\-C/Swift).
**Why weavix** 
 Being a part of the weavix team is being a part of something bigger. We value the innovators and the risk\-takers—the ones who love a challenge. Through our shared values and dedication to our miss
 **ion to Connect every Disconnected** 
 Worker, we’re reshaping the future of work to focus on this world's greatest assets:
 **people.** 
 It's truly amazing what happy, engaged team members can achieve. Our ever\-evolving list of benefits means you'll be able to achieve work/life balance, perform impactful work, grow in your role, look after yourself/your family, and invest in your future.
**Perks and Benefits** 
* Competitive Compensation
* Employee Equity Stock Program
* Competitive Benefits Package including: Medical, Dental, Vision, Life, and Disability Insurance
* 401(k) Retirement Plan \+ Company Match
* Flexible Spending \&amp; Health Savings Accounts
* Paid Holidays
* Flexible Time Off
* Employee Assistance Program (EAP)</t>
        </is>
      </c>
    </row>
    <row r="142">
      <c r="A142" t="inlineStr">
        <is>
          <t>li-4355943218</t>
        </is>
      </c>
      <c r="B142" t="inlineStr">
        <is>
          <t>Software Developer 3</t>
        </is>
      </c>
      <c r="C142" t="inlineStr">
        <is>
          <t>Oracle</t>
        </is>
      </c>
      <c r="D142" t="inlineStr">
        <is>
          <t>linkedin</t>
        </is>
      </c>
      <c r="E142">
        <f>HYPERLINK("https://www.linkedin.com/jobs/view/4355943218", "https://www.linkedin.com/jobs/view/4355943218")</f>
        <v/>
      </c>
      <c r="F142" t="inlineStr"/>
      <c r="G142" t="inlineStr">
        <is>
          <t>Redwood City, CA</t>
        </is>
      </c>
      <c r="H142" t="inlineStr"/>
      <c r="I142"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43">
      <c r="A143" t="inlineStr">
        <is>
          <t>li-4366170354</t>
        </is>
      </c>
      <c r="B143" t="inlineStr">
        <is>
          <t>Frontend Engineer (React, CSS)</t>
        </is>
      </c>
      <c r="C143" t="inlineStr">
        <is>
          <t>Circuit</t>
        </is>
      </c>
      <c r="D143" t="inlineStr">
        <is>
          <t>linkedin</t>
        </is>
      </c>
      <c r="E143">
        <f>HYPERLINK("https://www.linkedin.com/jobs/view/4366170354", "https://www.linkedin.com/jobs/view/4366170354")</f>
        <v/>
      </c>
      <c r="F143">
        <f>HYPERLINK("https://www.wiraa.com/job-description/usFD3D05F26C5A8BAC653A9167CBC5B829?source=Linkedin&amp;urlHash=Nau_", "https://www.wiraa.com/job-description/usFD3D05F26C5A8BAC653A9167CBC5B829?source=Linkedin&amp;urlHash=Nau_")</f>
        <v/>
      </c>
      <c r="G143" t="inlineStr"/>
      <c r="H143" t="inlineStr"/>
      <c r="I143" t="inlineStr">
        <is>
          <t>**About The Company**
 Circuit is pioneering the development of the world's first manufacturing\-focused AI knowledge and workflow platform. Our mission is to revolutionize how industrial and manufacturing enterprises operate by transforming complex product data and documentation into actionable, intelligent workflows. From partner enablement to configure\-price\-quote (CPQ) processes and technical support, we empower some of the most respected original equipment manufacturers (OEMs) and industrial companies to work smarter in the AI era. Our innovative platform aims to streamline sales, support, and collaboration across dealer, distributor, and customer networks, fostering efficiency and growth in the manufacturing sector.
**About The Role**
 We are seeking a Principal Frontend Engineer to join our dynamic team and play a critical role in shaping the user experience of Circuit’s core product. In this role, you will be responsible for building high\-quality, user\-facing features within our web application, ensuring they are intuitive, performant, and accessible. You will work closely with cross\-functional teams including Product, Design, and Engineering to translate product requirements into polished interfaces. As a highly collaborative and hands\-on leader, you will influence frontend architecture, establish technical standards, and mentor team members through code reviews and shared problem\-solving. Operating with a high degree of autonomy, you will navigate ambiguous situations and deliver production\-ready solutions that balance user needs, technical excellence, and business goals.
**Qualifications**
* 7\+ years of professional experience in frontend or full\-stack web application development.
* Proven track record as a staff or principal\-level individual contributor within collaborative engineering teams.
* Extensive experience working with product and design teams to develop user\-centered interfaces.
* Strong expertise in TypeScript, React, HTML, and CSS, with experience building complex, responsive, and accessible UI features.
* Proficiency with CSS Modules and component\-scoped styling techniques.
* Experience with modern state management patterns such as React Query and Zustand.
* Hands\-on experience designing and implementing responsive, accessible interfaces aligned with UX and accessibility standards.
* Familiarity with monorepo tools like Turborepo or Nx, and managing dependencies across multiple packages.
* Experience writing and maintaining unit, integration, and end\-to\-end tests using tools like Playwright, Vitest, or React Testing Library.
* Strong understanding of RESTful API integration, error handling, and API design best practices.
* Experience with CI/CD pipelines, GitHub Actions, and deployment automation.
* Knowledge of Docker, infrastructure tooling, and DevOps practices is highly desirable.
* Comfort working in Linux\-based environments and familiarity with version control systems like Git.
**Responsibilities**
* Design, develop, and maintain core user\-facing features within Circuit’s web application, ensuring high quality and performance.
* Translate product requirements and design concepts into polished, responsive, and accessible user interfaces.
* Contribute to frontend architecture decisions, establish coding standards, and implement best practices in collaboration with engineering peers.
* Own features from inception through implementation, testing, QA, and deployment, ensuring seamless delivery.
* Write and maintain comprehensive unit, integration, and end\-to\-end tests to ensure long\-term reliability and maintainability.
* Engage in technical discussions, participate in design reviews, and contribute to project planning sessions.
* Provide mentorship and conduct code reviews to support team growth and uphold quality standards.
* Collaborate closely with Product and Design teams to clarify requirements, surface tradeoffs, and enhance user experience.
* Identify opportunities for performance improvements, accessibility enhancements, and tooling optimizations.
* Manage individual priorities effectively while maintaining high standards of quality and timely delivery.
**Benefits**
* Opportunity to work with a high\-caliber team of manufacturing and AI industry leaders.
* Influence the technical backbone of our go\-to\-market strategies and product development.
* Direct collaboration with executive leadership including the CPO, CTO, and Sales leaders.
* Participation in creating a category\-defining platform that transforms manufacturing processes.
* Competitive salary package complemented by meaningful equity options.
* Employer\-paid benefits and comprehensive health coverage.
* Flexible paid time off policies to support work\-life balance.
* Access to the latest AI tools and technologies for professional growth.
* Culture that values ownership, curiosity, velocity, and diversity.
 Equal Opportunity
 We are an equal\-opportunity employer and value diversity at our company. We do not discriminate on the basis of race, religion, color, national origin, gender, sexual orientation, age, marital status, veteran status, or disability status. We are committed to creating an inclusive environment where all employees can thrive and contribute to our mission.</t>
        </is>
      </c>
    </row>
    <row r="144">
      <c r="A144" t="inlineStr">
        <is>
          <t>li-4331542294</t>
        </is>
      </c>
      <c r="B144" t="inlineStr">
        <is>
          <t>Software Engineer I (AWS, Node)</t>
        </is>
      </c>
      <c r="C144" t="inlineStr">
        <is>
          <t>Travelers</t>
        </is>
      </c>
      <c r="D144" t="inlineStr">
        <is>
          <t>linkedin</t>
        </is>
      </c>
      <c r="E144">
        <f>HYPERLINK("https://www.linkedin.com/jobs/view/4331542294", "https://www.linkedin.com/jobs/view/4331542294")</f>
        <v/>
      </c>
      <c r="F144">
        <f>HYPERLINK("https://careers.travelers.com/job/22843370/software-engineer-i-aws-node-atlanta-ga/?source=S0903&amp;urlHash=rsEv", "https://careers.travelers.com/job/22843370/software-engineer-i-aws-node-atlanta-ga/?source=S0903&amp;urlHash=rsEv")</f>
        <v/>
      </c>
      <c r="G144" t="inlineStr">
        <is>
          <t>Atlanta, GA</t>
        </is>
      </c>
      <c r="H144" t="inlineStr"/>
      <c r="I144"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$99,100\.00 \- $163,400\.00
**Target Openings**
 1
**What Is the Opportunity?**
 Travelers is seeking a Software Engineer I to join our organization as we grow and transform our Technology landscape. Individual will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Applicants must be authorized to work for ANY employer in the U.S. The company does not sponsor/support H\-1B petitions, TN, or Forms I\-983/STEM OPT, for this role.
**What Will You Do?**
* Perform analysis, design, development, and configuration functions as well as define technical requirements for assignments of intermediate complexity.
* Participate with team to perform analysis, assessment and resolution for defects and incidents of intermediate complexity and escalate appropriately.
* Work within guidelines set by team to independently tackle well\-scoped problems.
* Seek opportunities to expand technical knowledge and capabilities.
* Perform other duties as assigned.
**What Will Our Ideal Candidate Have?**
* Three years of programming/development experience.
* Experience with cloud computing (e.g., AWS (Serverless/EKS) and/or Azure)
* Proficiency with API development (e.g., REST and/or GraphQL)
* Familiarity with Infrastructure as Code (IaC) (e.g., Terraform, AWS CDK)
* Working knowledge of frameworks/libraries (e.g., React.js, Node.js, and/or .NET.)
* Proficiency with scripting languages (e.g., JavaScript, TypeScript, and/or Python)
* Experience with object\-oriented languages (e.g., C\# and/or Java)
* Understanding of eventing systems (e.g., Kafka)
* Experience with relational databases, such as DB2, MySQL, and/or PostgreSQL
* Familiarity with document databases, such as MongoDB and/or DynamoDB
* Experience with AI Enablement:
+ Understanding of AI Agent Programming (e.g., Open AI, Anthropic, and MCP)
+ Coding Assistant Usage (e.g., familiarity with Claude and GitHub Co\-Pilot)
* Knowledge of automated testing and unit testing (NUnit/XUnit, Moq, Jest, and Cypress)
* Proficiency with source control (Git/GitHub)
* CI/CD experience (CloudBees Jenkins, Jenkins Open Source, and/or Azure DevOps)
* Understanding of OAuth 2\.0 and OpenID Connect (OIDC)
* Experience with observability/monitoring platforms, such as Dynatrace, ELK stack, and OpenTelemetry
* Familiarity and experience working with Agile / Scrum methodologies and tools (Jira and Rally)
* Delivery \- Intermediate delivery skills including the ability to deliver work at a steady, predictable pace to achieve commitments, decompose work assignments into small batch releases and contribute to tradeoff and negotiation discussions.
* Domain Expertise \- Demonstrated track record of domain expertise including the ability to understand technical concepts necessary to do the job effectively, demonstrate willingness, cooperation, and concern for business issues and possess in\-depth knowledge of immediate systems worked on.
* Problem Solving \- Proven problem solving skills including debugging skills, allowing you to determine source of issues in unfamiliar code or systems and the ability to recognize and solve repetitive problems rather than working around them, recognize mistakes using them as learning opportunities and break down large problems into smaller, more manageable ones.
* Communication \- Strong communication skills with the ability to clearly and concisely interact with team members, document work in a clear, easy to follow manner, collaborate well with team members, take in well\- scoped requirements and ask the right questions to ensure clarification, seek out and receive constructive criticism well and listen when others are speaking.
* Leadership \- Intermediate leadership skills with a proven track record of self\-motivation in identifying personal growth opportunities.
**What is a Must Have?**
* Bachelor’s degree in computer science, related STEM field, or its equivalent in education and/or work experience.
* Two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45">
      <c r="A145" t="inlineStr">
        <is>
          <t>li-4365233468</t>
        </is>
      </c>
      <c r="B145" t="inlineStr">
        <is>
          <t>Software Engineer</t>
        </is>
      </c>
      <c r="C145" t="inlineStr">
        <is>
          <t>Capgemini</t>
        </is>
      </c>
      <c r="D145" t="inlineStr">
        <is>
          <t>linkedin</t>
        </is>
      </c>
      <c r="E145">
        <f>HYPERLINK("https://www.linkedin.com/jobs/view/4365233468", "https://www.linkedin.com/jobs/view/4365233468")</f>
        <v/>
      </c>
      <c r="F145" t="inlineStr"/>
      <c r="G145" t="inlineStr">
        <is>
          <t>New York, NY</t>
        </is>
      </c>
      <c r="H145" t="inlineStr"/>
      <c r="I14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Required Skills Experience
 GenAI \&amp; AI Engineering
 Experience working with LLMs
 Familiarity with LLM tool‑invocation patterns
 Hands\-on prompt engineering and iterative prompt tuning
 Ability to translate AI/ML needs into clear tool definitions
 5\+ years of strong software development experience in Python
 Strong skills in REST API design and implementation using python
 Deep experience with AWS Lambda, Step Functions, API Gateway (or Lambda Function URLs), DynamoDB/S3, and IAM.
 Familiarity with OpenAI, AWS Bedrock, or similar cloud GenAI platforms
 Desirable Nice to Have
 Infrastructure as Code Expert in SAM template AWS CDK or CloudFormation for defining and deploying AWS infrastructure
 Container Kubernetes Handson with Docker and EKS or ECS comfortable with Helm K8s manifests and cluster autoscaling
 Security Best Practices Strong understanding of VPC networking PrivateLink security groups WAF Secrets Manager and implementing leastprivilege IAM policies
 Monitoring Observability Experience with CloudWatch logs dashboards alarms Kibana or opensource tooling Prometheus Grafana
 CICD DevOps Proficient setting up pipelines GitHub Actions Azure DevOps or AWS CodePipeline for automated testing and deployments
 MCP or Agent Frameworks Familiarity with the Model Context Protocol spec or experience with Bedrock Agents or LangChain is a plus
 Experience working with Amazon Bedrock finetuning or deploying custom LLMs
 Familiarity with advanced AWS AI services Opensearch Sagemaker Kendra
 Background in building eventdriven architectures using EventBridge SNSSQS
 Knowledge of regulatory frameworks GDPR HIPAA and implementing compliant data flows
 Exposure to service mesh AWS App Mesh Istio or serverless container frameworks Fargate
 Prior role in a multiaccount AWS Organization with crossaccount IAM and billing structures
 Soft Skills
 Excellent communicator comfortable bridging technical teams AI Infra Security
 Selfstarter with strong ownership mentalityable to drive complex features endtoend
 Analytical mindset to troubleshoot distributed eventdriven systems
 Able to mentor junior engineers and evangelize best practices for secure scalable MCP deployments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Disaster Relief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$86129 to $127189/yearly.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
 Make it real \| www.capgemini.com</t>
        </is>
      </c>
    </row>
    <row r="146">
      <c r="A146" t="inlineStr">
        <is>
          <t>li-4366198712</t>
        </is>
      </c>
      <c r="B146" t="inlineStr">
        <is>
          <t>Full-Stack Software Engineer - AI/ML &amp; Midpoint Collection</t>
        </is>
      </c>
      <c r="C146" t="inlineStr">
        <is>
          <t>Lockheed Martin</t>
        </is>
      </c>
      <c r="D146" t="inlineStr">
        <is>
          <t>linkedin</t>
        </is>
      </c>
      <c r="E146">
        <f>HYPERLINK("https://www.linkedin.com/jobs/view/4366198712", "https://www.linkedin.com/jobs/view/4366198712")</f>
        <v/>
      </c>
      <c r="F146" t="inlineStr"/>
      <c r="G146" t="inlineStr">
        <is>
          <t>Hanover, MD</t>
        </is>
      </c>
      <c r="H146" t="inlineStr"/>
      <c r="I146" t="inlineStr">
        <is>
          <t>**Job Description**
**Who You Are:**
 Here, you are going to provide life\-cycle services to advance mission in support of Cybersecurity and SIGINT midpoint collection.
* You will modernize and sustain capabilities to include providing new features and enhancements to Front End Solutions systems. This will allow for products to work at\-scale with processing of target communications across multiple types of Midpoint accesses.
* You will propel the customer into the next phase of product suite modernization by leveraging advancements in technologies such as containerization, cloud capabilities, dataflows, and Artificial Intelligence/Machine Learning (AI/ML) capabilities.
**The Work**
 We are seeking professionals interested in a variety of responsibilities including;
* Software development /
* Software engineering
 For a complete list that changes weekly, use this term to search via the Lockheed Martin jobs website: \#RMSRB2025
 Come join a company with incredible breadth and depth in the nature of programs and technologies we support that will never leave you bored or looking for your next assignment. Stop having to look for a new job with every rumor and whim of contract changes.
**What We’re Doing**
 Lockheed Martin,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Are you driven by the excitement of harnessing the latest advancements in artificial intelligence, machine learning, and data analytics to revolutionize the way we approach complex challenges? Do you find satisfaction in developing innovative solutions that leverage the power of technology to stay ahead of the curve? If so, join Lockheed Martin's team, where we're pioneering the modernization of technology and pushing the boundaries of what's possible.
 Our team is dedicated to pioneering the latest advancements and we're looking for someone who shares our commitment to excellence and innovation.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Plus, you may be eligible for up to a $25K sign on bonus as an external hire!
 We are proactively recruiting for a future need, with the expectation of a 2025 or early 2026 start date. This requisition is being used for contingent offers.
 \#RMSC6ISR
 \#OneLMHotJobs
 \#RMSRB2025
**Desired Skills**
 Capabilities;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Knowledge or experience in the following;
* DevOps, Automated testing and CI/CD pipelines in Git
* Container and Container Management i.e. Ansible, Docker, Kubernetes and Rancher
* Modern software languages such as Go/Golang and micro\-service architecture development
* C\+\+20 or newer based on Boost (2 years)
* Java (4 years)
* Front End Development with Javascript and/or React or other frameworks
* Python (2 years)
* Linux Development Environment (1 year)
* Circuit Switched and Mobile Telephony (5 years)
* Reactor pattern architecture systems
* Developing event stream processing systems
* SQL (MySQL, MariaDB) and Elasticsearch
* Dataflow tools and message queues
* AI experience with regards to Human\-Language Translation tools and techniques
* RF algorithm development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47">
      <c r="A147" t="inlineStr">
        <is>
          <t>li-4366188884</t>
        </is>
      </c>
      <c r="B147" t="inlineStr">
        <is>
          <t>Software Engineer Skill Level 1</t>
        </is>
      </c>
      <c r="C147" t="inlineStr">
        <is>
          <t>Onyx Point, LLC.</t>
        </is>
      </c>
      <c r="D147" t="inlineStr">
        <is>
          <t>linkedin</t>
        </is>
      </c>
      <c r="E147">
        <f>HYPERLINK("https://www.linkedin.com/jobs/view/4366188884", "https://www.linkedin.com/jobs/view/4366188884")</f>
        <v/>
      </c>
      <c r="F147" t="inlineStr"/>
      <c r="G147" t="inlineStr">
        <is>
          <t>Augusta, GA</t>
        </is>
      </c>
      <c r="H147" t="inlineStr"/>
      <c r="I147" t="inlineStr">
        <is>
          <t>**TO BE CONSIDERED FOR THIS POSITION YOU MUST** 
**HAVE AN ACTIVE TS/SCI WITH POLYGRAPH SECURITY CLEARANCE (U.S. CITIZENSHIP REQUIRED).**
**Required**
* AWS
* Terraform
* Ansible
* Kubernetes
* Networking (calico/istio)
* GitLab CI/CD
* ELK stack, prometheus, Grafana, or other logging/monitoring tools
* This is a DevOps position
**Compensation:** 
**We are committed to providing fair and competitive compensation. The salary range for our positions vary depending on accepted contractual position skill level. These salaries fall within the range of $78,000 to $275,000 per year. This range reflects the compensation offered across the locations where we hire. The exact salary will be determined based on the candidate's work location, specific role, skill set, and level of expertise.**
**Benefits: We offer a comprehensive benefits package, including:**
* Health Coverage: Medical, dental, and vision insurance
* Additional Insurance: Basic Life/AD\&amp;D, Voluntary Life/AD\&amp;D, Short and Long\-Term Disability, Accident, Critical Illness, Hospitalization Indemnity, and Pet Insurance
* Retirement Plan: 401(k) plan with company match
* Paid Time Off: Generous PTO, paid holidays, parental leave, and more
* Wellness: Access to wellness programs and mental health support
* Professional Development: Opportunities for growth, including tuition reimbursement
**Additional Perks:**
* Flexible work arrangements, including remote work options
* Flexible Spending Accounts (FSAs)
* Employee referral programs
* Bonus opportunities
* Technology allowance
* A diverse, inclusive, and supportive workplace culture</t>
        </is>
      </c>
    </row>
    <row r="148">
      <c r="A148" t="inlineStr">
        <is>
          <t>li-4362590082</t>
        </is>
      </c>
      <c r="B148" t="inlineStr">
        <is>
          <t>Senior Backend Engineer, Java</t>
        </is>
      </c>
      <c r="C148" t="inlineStr">
        <is>
          <t>OurFamilyWizard</t>
        </is>
      </c>
      <c r="D148" t="inlineStr">
        <is>
          <t>linkedin</t>
        </is>
      </c>
      <c r="E148">
        <f>HYPERLINK("https://www.linkedin.com/jobs/view/4362590082", "https://www.linkedin.com/jobs/view/4362590082")</f>
        <v/>
      </c>
      <c r="F148">
        <f>HYPERLINK("https://careers.intandemfamilies.com/en/postings/105bb4a0-4453-4f43-9e30-529d11ac085f&amp;urlHash=Fo04", "https://careers.intandemfamilies.com/en/postings/105bb4a0-4453-4f43-9e30-529d11ac085f&amp;urlHash=Fo04")</f>
        <v/>
      </c>
      <c r="G148" t="inlineStr"/>
      <c r="H148" t="inlineStr"/>
      <c r="I148" t="inlineStr">
        <is>
          <t>At In Tandem, our tech solutions—which include OurFamilyWizard, Cozi, FamilyWall, and Custody Navigator—work in tandem with families to simplify daily life, fostering connection, organization, and peace of mind throughout key stages and milestones of family life.
 We believe technology can champion deeper connections within families, strengthen bonds, and improve communication. Our family of brands provides a range of solutions that streamline daily routines, offer resources and guidance during challenging times, and help families navigate those challenges with confidence, calm, and ease.
 As a
 **Senior Java Engineer** 
 supporting
 **OurFamilyWizard** 
 , you will directly contribute to features that make everyday life a little bit easier for families on their co\-parenting journey. You will be part of a product team, and operate alongside a collaborative group of product managers, designers, QA analysts, automation engineers, and other web and mobile engineers working together to solve meaningful problems for parents, children, and practitioners. We are looking for an individual who is experienced in creating high quality software and has a deep knowledge of Relational Databases, Hibernate, and the Spring Framework. In addition, we value individuals familiar with microservices architecture who are passionate about solving problems.
 Please note, we're only accepting applicants located in the United States and are unable to provide sponsorship at this time.
**What You Will Accomplish:** 
*Getting to know teammates, technology, and tactics* 
 .
 The first day will be spent partnering with your manager and a teammate to get your local environment set up and fixing a bug. The following 29 days will involve connecting with teammates across OurFamilyWizard and Cozi to gain a high\-level understanding of how we prioritize, plan, build, and deliver value to families on our platform. You will build deeper connections with product and platform teammates as you get more immersed in the daily and weekly agile rituals, and the API guild. In these early days, your manager will set up recurring 1:1’s and begin the ongoing discussion of personal and team goals. Technical work will focus on gaining exposure to services within your team’s domain, as well as key areas of the platform beyond team boundaries where ownership is shared. By the end of your first month, you will be acclimated to the operating rhythm and rituals of your product team and gain confidence by taking on increasingly complex tasks.
*Try, learn, ship.* 
 By day 60, you will be comfortable operating within our SDLC from planning through production releases. You will have a broad understanding of our backend architecture, and a deeper understanding of the services within your team’s area of ownership and the API’s that power our client experiences. Through weekly work that presents complex and varied challenges, you will continue becoming familiar with processes, patterns, and best practices. By releasing regularly, you will have an impact on end users.
*Solidifying the foundation.* 
 Beyond the first couple of months, you will grow into an autonomous operator, capable of architecting solutions to complex problems that are consistent with our existing patterns and best practices with minimal supervision and support from others. You will partner with cross\-functional engineering teammates, as well as your product manager, designer, and engineering manager to help build execution plans to build out new features that support our product and business strategy. The API is foundation for building delightful, value\-adding experiences in our clients, and by day 90 as Sr. Java Engineer you will have the tools and confidence, to provide that foundational support for your product team.
*Accelerate growth.* 
 With a solid foundational understanding of platform architecture, design patterns, and best practices you will have opportunities to inform and affect change at the platform level to further your ownership, impact, and growth. Through partnership with product and design you will be empowered to influence strategy and end\-user experience and impact. Complex product problems, and technical challenges related to scale and modernization will present opportunities to establish yourself as a subject matter expert, expand your impact and ownership, and continue learning and growing as an engineer.
**Who You Are:** 
* Confident craftsperson. You have the tools you need to solve most problems, are comfortable speaking to multiple approaches, and have an opinion on the best approach given the constraints.
* Scientific artist, artistic scientist. You understand that software is necessarily complex, and are capable of driving clarity in the face of complexity while valuing simplicity as the ultimate sophistication.
* Curious operator. You value the variance in challenges a cross\-functional team encounters and embrace unexpected hurdles with a mindset that seeks to understand the landscape before charting a course towards a solution.
* Pragmatic optimizer. You identify when something’s harder than it should be, articulate why change is needed, and affect change through incremental improvements towards an audacious end goal.
* Champion of Inclusion. You want everyone on the team to have a voice and are open and eager to hear everyone's thoughts, helping to guide the team to good solutions.
* Low ego, high integrity. You value doing what’s right over being right. You pivot when a better path forward arises in order to meet technical and business needs and are comfortable saying something when a course correction is needed.
**What You Bring:** 
* 5\+ years of Java development experience
* Analytical mindset and good problem\-solving skills.
* Experience in the Spring Framework
* Proven experience delivering software applications/features from inception to shipping within a cross\-functional team environment.
* Object Oriented analysis and design using common design patterns.
* Excellent knowledge of Relational Databases and ORM technologies (Spring Boot, Hibernate)
**What Would Be Great To Have:** 
* Experience with Kotlin
* Experience with Docker
* Experience with Kubernetes
* Experience with Atlassian products for CI/CD (Bamboo, Bitbucket)
* Experience with Confluent Cloud (Kafka)
* Experience with writing and maintaining tests
* Experience with iterative, agile based software delivery processes.
* Experience in legal technology or legal profession in some way
**Why Join?** 
*Great mission.* 
 Creating a safe and productive environment for families to co\-exist is extremely important for us; we’ve been doing it for 25 years and are deeply motivated by adding value to the lives of parents, children, and practitioners.
*Growing team* 
 . While we’ve been around for a while, we continue to evolve and innovate. That’s what keeps us going! You’ll have an opportunity to contribute meaningfully to our organization as we hit our second stride.
*Amazing Culture.* 
 In Tandem has a positive and supportive culture—we look for people who are curious, inventive, and work to be a little better every single day. In our work together, we aim to be smart, humble, hardworking and, above all, collaborative.
**Here’s a List Of Our Key Benefits:** 
* Medical: In Tandem pays 100% of the premium for employees AND 99% for all additional family members
* 401k: Up to a 4% match with immediate vesting
* Paid leave for all new parents
* Learning \&amp; Development stipend for employees
* Paid Time Off: 11 Holidays \+ Winter Break (3 Days) \+ Volunteer Time Off (1 Day) \+ Floating Holiday (1 Day)
* Personal Time Off:
* 15 days for 0\-1 years of employment
* 20 days 1\-3 years of employment
* Supportive and flexible working environment – work from anywhere!
**Come As You Are** 
 !
 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49">
      <c r="A149" t="inlineStr">
        <is>
          <t>li-4344038375</t>
        </is>
      </c>
      <c r="B149" t="inlineStr">
        <is>
          <t>Software Engineer Senior</t>
        </is>
      </c>
      <c r="C149" t="inlineStr">
        <is>
          <t>Lockheed Martin</t>
        </is>
      </c>
      <c r="D149" t="inlineStr">
        <is>
          <t>linkedin</t>
        </is>
      </c>
      <c r="E149">
        <f>HYPERLINK("https://www.linkedin.com/jobs/view/4344038375", "https://www.linkedin.com/jobs/view/4344038375")</f>
        <v/>
      </c>
      <c r="F149" t="inlineStr"/>
      <c r="G149" t="inlineStr">
        <is>
          <t>Littleton, CO</t>
        </is>
      </c>
      <c r="H149" t="inlineStr"/>
      <c r="I149"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Experience with full software life cycle development including SW design, architecture and integration \&amp; test
* Experience working with multiple communications protocols
 \#LMSpaceSoftwareEng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150">
      <c r="A150" t="inlineStr">
        <is>
          <t>li-4344934592</t>
        </is>
      </c>
      <c r="B150" t="inlineStr">
        <is>
          <t>Software Engineer II</t>
        </is>
      </c>
      <c r="C150" t="inlineStr">
        <is>
          <t>Kansas City National Security Campus</t>
        </is>
      </c>
      <c r="D150" t="inlineStr">
        <is>
          <t>linkedin</t>
        </is>
      </c>
      <c r="E150">
        <f>HYPERLINK("https://www.linkedin.com/jobs/view/4344934592", "https://www.linkedin.com/jobs/view/4344934592")</f>
        <v/>
      </c>
      <c r="F150">
        <f>HYPERLINK("https://career-hcm03.ns2cloud.com/career?career_ns=job_listing&amp;company=KCPHCM03&amp;navBarLevel=JOB_SEARCH&amp;rcm_site_locale=en_US&amp;career_job_req_id=3824&amp;urlHash=5hT2", "https://career-hcm03.ns2cloud.com/career?career_ns=job_listing&amp;company=KCPHCM03&amp;navBarLevel=JOB_SEARCH&amp;rcm_site_locale=en_US&amp;career_job_req_id=3824&amp;urlHash=5hT2")</f>
        <v/>
      </c>
      <c r="G150" t="inlineStr">
        <is>
          <t>Kansas City, MO</t>
        </is>
      </c>
      <c r="H150" t="inlineStr"/>
      <c r="I150" t="inlineStr">
        <is>
          <t>**Join the industry leader to design the next generation of breakthroughs.
 Innovate to solve the world's most important challenges.**
 Honeywell is a Fortune 100 company that invents and manufactures technologies to address critical challenges linked to global macrotrends such as safety, security, productivity, global urbanization and energy. With approximately 100,000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**Summary**
 Under moderate supervision, this position is responsible for a variety of intermediate level software engineering responsibilities. Uses broad knowledge of software engineering discipline, processes, and tools to complete various project subtasks. Interacts with internal customers and team members to facilitate the completion of products to customer specifications.
****Duties and Responsibilities****
* Performs software design, coding, debugging, testing, troubleshooting throughout the application development process.
* Applies standard software engineering discipline, processes, and tools to complete projects.
* Interacts with customers in all phases of software development.
* Analyzes existing information systems and applications to identify weaknesses and develop opportunities for improvements.
* Develops software development skills in a collaborative/team environment.
* Generates software documentation and performs requirements\-based verification and validation testing of software to assure all requirements are met.
* Develops application specifications, conversion, and migration designs; supports maintenance of applications, as needed.
* Conform to established systems development life cycle, computing standards, and guidelines.
* Assist in the evaluation and selection process for new application packages, as needed.
* Assists in defining development guidelines and standards to be utilized in software development /integration including developing custom integration solutions with major enhancements, interfaces, functions, and features.
****You Must Have****
* Bachelor of Science degree in Computer Science, Software Engineering, Computer Engineering, Electrical Engineering, or other equivalent ABET accredited Engineering program.
* 2\+ years of experience
* Ability to travel up to 10% of the time
* Ability to work remote, hybrid, or on\-site as directed by management and is determined by the needs of the business.
* Regular and reliable attendance is an essential function of this job.
* United States Citizenship
* Ability to obtain and maintain, if required for position, a U.S. Department of Energy (DOE) security clearance (some positions require additional DOE designations)
****We Value****
* Some positions within this classification may require unique engineering knowledge or coursework related to Electrical Engineering.
* Experience with designing and implementing automated software testing.
* Familiarity with Six Sigma tools and methodology; Six Sigma certification preferred.
 This job description/job posting is not all inclusive and other duties may be assigned.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**If you require a reasonable accommodation to submit an application, please send an**
**Additional Information**
* Job ID: 3824
* Category: Engineering
* Level of Experience:
* Posting Location: Kansas City National Security Campus 14520 Botts Road Kansas City, MO, 64147
* Remote Eligibility: On\-Site
* Travel Required: 0\-10%
* Approved Work States: MO
* Hourly/Salary: Salary
* Hiring Manager: Arpan P Patel
* Division: 800
* Department: 805
 \#FMT2021</t>
        </is>
      </c>
    </row>
    <row r="151">
      <c r="A151" t="inlineStr">
        <is>
          <t>li-4355932496</t>
        </is>
      </c>
      <c r="B151" t="inlineStr">
        <is>
          <t>Senior Software Engineer (Full-Stack, Backend-leaning)</t>
        </is>
      </c>
      <c r="C151" t="inlineStr">
        <is>
          <t>Jerry</t>
        </is>
      </c>
      <c r="D151" t="inlineStr">
        <is>
          <t>linkedin</t>
        </is>
      </c>
      <c r="E151">
        <f>HYPERLINK("https://www.linkedin.com/jobs/view/4355932496", "https://www.linkedin.com/jobs/view/4355932496")</f>
        <v/>
      </c>
      <c r="F151" t="inlineStr"/>
      <c r="G151" t="inlineStr">
        <is>
          <t>Boston, MA</t>
        </is>
      </c>
      <c r="H151" t="inlineStr"/>
      <c r="I151"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2">
      <c r="A152" t="inlineStr">
        <is>
          <t>li-4363450987</t>
        </is>
      </c>
      <c r="B152" t="inlineStr">
        <is>
          <t>Principal Software Engineer</t>
        </is>
      </c>
      <c r="C152" t="inlineStr">
        <is>
          <t>HealthEquity</t>
        </is>
      </c>
      <c r="D152" t="inlineStr">
        <is>
          <t>linkedin</t>
        </is>
      </c>
      <c r="E152">
        <f>HYPERLINK("https://www.linkedin.com/jobs/view/4363450987", "https://www.linkedin.com/jobs/view/4363450987")</f>
        <v/>
      </c>
      <c r="F152">
        <f>HYPERLINK("https://careers-healthequity.icims.com/jobs/7816/principal-software-engineer/job?in_iframe=1&amp;source=LinkedIn&amp;mode=job&amp;iis=LinkedIn&amp;iisn=LinkedIntsep&amp;urlHash=-j7P", "https://careers-healthequity.icims.com/jobs/7816/principal-software-engineer/job?in_iframe=1&amp;source=LinkedIn&amp;mode=job&amp;iis=LinkedIn&amp;iisn=LinkedIntsep&amp;urlHash=-j7P")</f>
        <v/>
      </c>
      <c r="G152" t="inlineStr"/>
      <c r="H152" t="inlineStr"/>
      <c r="I152" t="inlineStr">
        <is>
          <t>**Our Mission**
**Our mission is to SAVE AND IMPROVE LIVES BY EMPOWERING HEALTHCARE CONSUMERS.** 
**Come be part of remarkable.**
**Overview**
**How you can make a difference**
 The Principal Software Engineer is responsible for leading  the architectural design, development and deployment of cutting edge, creative and effective software solutions for our customers.  They will lead the strategic evolution of their application/domain areas, while coaching and relentlessly driving for continuous improvement and focusing on delivery \&amp; solution efficiencies.
**What You’ll Be Doing**
* Design, develop and deliver high\-quality optimally functioning software solutions anywhere within the software stack, at an expert level in one or more domains, with strong knowledge across multiple stacks.
* Analyze and select appropriate technology that meets user needs while being scalable, efficient, and secure, while following company and industry best practices. Evaluate solutions and vendors and make recommendations as necessary, including presentations to Senior Leadership. Ensure staffing, financial and contractual considerations are accounted for.
* Provide oversight to ensure all team members in their area are writing and implementing efficient clean code that meets stated requirements while adhering to company, compliance, and security standards. Drive the contual review and improvement of those standards.
* Mentor Software Engineers to allow for skill/knowledge development through advice, coaching, and training opportunities.
* Maintains the highest level of knowledge and expertise within their domain(s).
* Serve as a lead on the efforts of development teams, including complex project work that involves multiple internal and external team members, and sometimes ambiguous / conceptual requirements. Guide the technical team to provide functionality with the right amount of engineering.
* Champion and drive the utilization of Agile Technical practices, with a shift\-left testing approach, including implementing automated unit testing and various testing solutions for unit, functional, load and integration testing early and throughout the software development lifecycle, TDD, and lead pair (and mob) programming.
* Lead initiatives that result in significant process improvements, implementation of best practices and introduction of new processes with wide impact.
* Deliver solutions in an agile collaborative workplace with others including Product Owners, analysts, designers, testers, agile coaches, senior leadership and architects.
* Maintain and grow technical skills, knowledge and currency. Strive to extend the company’s recognition and sphere of influence into outside channels such as by networking, publishing and engagement in professional organizations
**What You Will Need To Be Successful**
* Bachelor’s degree in Computer Sciences/Software Engineering, advanced degree preferred 12 to 15\+ years’ experience in software development, with 5\+ years as a Lead at a senior level designing, programming and implementing large complex information systems, and with specific experience in technical innovation.
* Background in cloud\-based development environments
* Excellent leadership skills
* Excellent written and verbal communication skills, including creation and presentation of technical documentation to peers and leadership.
* Experience implementing enterprise level platforms and frameworks (IAM, nServiceBus, caching, logging, and monitoring)
* Experience with AzureDevOps for automated lifecycle management and Git source code version control system
* Experience with code productivity, quality and testing tools (ReSharper, Code Rush, NCrunch)
* Expert analytical and problem\-solving skills with the ability to provide in\-depth evaluation and analysis of unique complex technological issues.
* Expert level skills in .NET, .NET Core, C\#, SQL
* Expertise in HTML, CSS, JavaScript, Angular, WCF, SQL Server, Open API/Swagger and Entity Framework.
* Familiarity with using secure software development practices for strengthening application security and compliance.
 This is a remote position.
**Salary Range**
 $137,500\.00 To $182,000\.00 / year
**Benefits \&amp; Perks**
 The actual compensation offer is determined based on job\-related knowledge, education, skills, experience, and work location. This position will be eligible for performance\-based incentives and restricted stock units as part of the total compensation package, in addition to a full range of benefits including:
* Medical, dental, and vision
* HSA contribution and match
* Dependent c are FSA match
* Uncapped p aid t ime o ff
* Paid p arental l eave
* 401(k) match
* Personal and healthcare financial literacy programs
* Ongoing e ducation \&amp; t uition a ssistance
* Gym and f itness r eimbursement
*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 .</t>
        </is>
      </c>
    </row>
    <row r="153">
      <c r="A153" t="inlineStr">
        <is>
          <t>li-4293084661</t>
        </is>
      </c>
      <c r="B153" t="inlineStr">
        <is>
          <t>System Software Engineer</t>
        </is>
      </c>
      <c r="C153" t="inlineStr">
        <is>
          <t>Broadcom</t>
        </is>
      </c>
      <c r="D153" t="inlineStr">
        <is>
          <t>linkedin</t>
        </is>
      </c>
      <c r="E153">
        <f>HYPERLINK("https://www.linkedin.com/jobs/view/4293084661", "https://www.linkedin.com/jobs/view/4293084661")</f>
        <v/>
      </c>
      <c r="F153">
        <f>HYPERLINK("https://broadcom.wd1.myworkdayjobs.com/External_Career/job/USA-CA-San-Jose-Innovation-Drive/System-Software-Engineer_R023642?source=LinkedIn&amp;urlHash=6r05", "https://broadcom.wd1.myworkdayjobs.com/External_Career/job/USA-CA-San-Jose-Innovation-Drive/System-Software-Engineer_R023642?source=LinkedIn&amp;urlHash=6r05")</f>
        <v/>
      </c>
      <c r="G153" t="inlineStr">
        <is>
          <t>San Jose, CA</t>
        </is>
      </c>
      <c r="H153" t="inlineStr"/>
      <c r="I153"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R023642</t>
        </is>
      </c>
    </row>
    <row r="154">
      <c r="A154" t="inlineStr">
        <is>
          <t>li-4355757519</t>
        </is>
      </c>
      <c r="B154" t="inlineStr">
        <is>
          <t>Software Engineer III, AI/ML Recommendations, Rankings, Predictions, YouTube</t>
        </is>
      </c>
      <c r="C154" t="inlineStr">
        <is>
          <t>Google</t>
        </is>
      </c>
      <c r="D154" t="inlineStr">
        <is>
          <t>linkedin</t>
        </is>
      </c>
      <c r="E154">
        <f>HYPERLINK("https://www.linkedin.com/jobs/view/4355757519", "https://www.linkedin.com/jobs/view/4355757519")</f>
        <v/>
      </c>
      <c r="F154">
        <f>HYPERLINK("https://careers.google.com/jobs/results/110496342526042822-software-engineer-iii/?src=Online/LinkedIn/linkedin_us&amp;utm_source=linkedin&amp;utm_medium=jobposting&amp;utm_campaign=contract&amp;urlHash=reij", "https://careers.google.com/jobs/results/110496342526042822-software-engineer-iii/?src=Online/LinkedIn/linkedin_us&amp;utm_source=linkedin&amp;utm_medium=jobposting&amp;utm_campaign=contract&amp;urlHash=reij")</f>
        <v/>
      </c>
      <c r="G154" t="inlineStr">
        <is>
          <t>Mountain View, CA</t>
        </is>
      </c>
      <c r="H154" t="inlineStr"/>
      <c r="I154" t="inlineStr">
        <is>
          <t>Note: By applying to this position you will have an opportunity to share your preferred working location from the following:
 **San Bruno, CA, USA; Mountain View, CA, USA** 
 .
 **Minimum qualifications:**
* Bachelor’s degree or equivalent practical experience.
* 2 years of experience programming in Python and C\+\+.
* 1 year of experience building and deploying recommendation systems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5">
      <c r="A155" t="inlineStr">
        <is>
          <t>li-4366166865</t>
        </is>
      </c>
      <c r="B155" t="inlineStr">
        <is>
          <t>Senior Software Developer PHP - Data Engineer, Virtual</t>
        </is>
      </c>
      <c r="C155" t="inlineStr">
        <is>
          <t>Providence</t>
        </is>
      </c>
      <c r="D155" t="inlineStr">
        <is>
          <t>linkedin</t>
        </is>
      </c>
      <c r="E155">
        <f>HYPERLINK("https://www.linkedin.com/jobs/view/4366166865", "https://www.linkedin.com/jobs/view/4366166865")</f>
        <v/>
      </c>
      <c r="F155" t="inlineStr"/>
      <c r="G155" t="inlineStr">
        <is>
          <t>California, United States</t>
        </is>
      </c>
      <c r="H155" t="inlineStr"/>
      <c r="I155" t="inlineStr">
        <is>
          <t>**Description**
**Providence Health Plan caregivers are not simply valued – they’re invaluable. Join our team at Providence Health Plan Partners and thrive in our culture of patient\-focused, whole\-person care built on understanding, commitment, and mutual respect. Your voice matters here, because we know that to inspire and retain the best people, we must empower them.**
**The Senior Software Developer (Data Engineer) will play a pivotal role on an Agile development team (Scrum or Kanban) within the PHP Information Services (IS) Department. In this senior position, you’ll do more than write code, you’ll drive collaboration, mentor peers, and shape technical direction. You’ll bring your expertise to solve complex challenges, influence decisions, and champion Agile principles and values. This is an opportunity to lead by example, foster innovation, and deliver solutions that make a real impact.**
**Providence Health Plan supports 100% virtual work for residents located in the following States:**
* Washington
* Oregon
* California
**What You’ll Do**
* Analyze the business requirements for data file requests to design, develop, and deploy fully automated ETL jobs to produce data files
* Design, develop, and deploy ETL programs to facilitate the receipt of data from various data sources and the loading of data into destination tables within the overall data architecture framework
* Collaborate to design end\-to\-end solutions for file creation and distribution, as well as supporting ETL production processes and operations
* Utilize advanced understanding of healthcare data models to identify data sources and maps data to required file specifications
* Design and automate data quality and data validation functions as part of the overall solution
* Leverage expertise in ETL and the MS SQL platform to perform performance tuning of technologies to manage data
* Experience in analysis, data relationships, data aggregation, and summarization
* Perform technical peer reviews and code reviews
* Participate in review of potential technical architectures and solutions to improve and enhance existing systems, processes, and data services
**Required Qualifications**
* Associate’s Degree \-OR\- Bachelor’s Degree \-OR\- a combination of equivalent education/experience
* 8 or more years of demonstrated software development experience in an enterprise environment
**Preferred Qualifications**
* Microsoft SharePoint: Experience with 2010 and 2013
* Microsoft SharePoint: Experience with InfoPath and ShareGate tools
* 8 or more years of experience working in data engineering
* 1 or more years of Healthcare Care experience
* Expertise in MS SQL server (T\-SQL, SQL server)
* Experience with Snowflake or other cloud\-based data warehouse systems
* Experience in building Data Pipelines using Azure Data Factory
* Proficient with ETL tools (SSIS/Fivetran)
* Working Knowledge in job scheduling tools like Automic, Tidal
* In\-depth understanding of database structure principles and Data warehouse principles
* Knowledge of scripting languages like PowerShell
* Expertise in database architecture, storage and Query Optimizer
* Extensive background in business intelligence tools (e.g., SSIS, SSRS and SSAS)
* Architectural understanding of reporting tools (e.g., Tableau, SSRS, Crystal Reports and PowerBI)
* Experience in CI/CD pipelines using Azure Devops
* Experience with Git, Visual Studio, Visual Code are preferred
* Working knowledge in .Net 4\.5 or greater would be an added advantage
**Salary Range by Location:** 
* California: Humboldt: Min: $54\.40, Max: $85\.88
* California: All Northern California \- Except Humboldt: Min: $61\.04, Max: $96\.35
* California: Southern California: Min: $54\.40, Max: $85\.88
* Oregon: Non\-Portland Service Area: Min: $48\.65, Max: $76\.80
* Oregon: Portland Service Area: Min: $52\.19, Max: $82\.39
* Washington: Western: Min: $54\.40, Max: $85\.88
* Washington: Southwest \- Olympia, Centralia: Min: $52\.19, Max: $82\.39
* Washington: Clark County: Min: $52\.19, Max: $82\.39
* Washington: Eastern: Min: $46\.44, Max: $73\.31
* Washington: Southeastern: Min: $48\.65, Max: $76\.80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404920
**Company:** 
 Providence Jobs
**Job Category:** 
 Development/Engineering
**Job Function:** 
 Information Technology
**Job Schedule:** 
 Full time
**Job Shift:** 
 Day
**Career Track:** 
 Business Professional
**Department:** 
 5018 IT DEVELOPMENT TEAM OR REGION
**Address:** 
 OR Beaverton 3601 SW Murray Blvd
**Work Location:** 
 Murray Business Ctr Beaverton\-Beaverton
**Workplace Type:** 
 Remote
**Pay Range:** 
 $See Posting \- $See Posting
 The amounts listed are the base pay range; additional compensation may be available for this role, such as shift differentials, standby/on\-call, overtime, premiums, extra shift incentives, or bonus opportunities.</t>
        </is>
      </c>
    </row>
    <row r="156">
      <c r="A156" t="inlineStr">
        <is>
          <t>li-4279291478</t>
        </is>
      </c>
      <c r="B156" t="inlineStr">
        <is>
          <t>Senior Software Engineer - Finance</t>
        </is>
      </c>
      <c r="C156" t="inlineStr">
        <is>
          <t>AngelList</t>
        </is>
      </c>
      <c r="D156" t="inlineStr">
        <is>
          <t>linkedin</t>
        </is>
      </c>
      <c r="E156">
        <f>HYPERLINK("https://www.linkedin.com/jobs/view/4279291478", "https://www.linkedin.com/jobs/view/4279291478")</f>
        <v/>
      </c>
      <c r="F156">
        <f>HYPERLINK("https://www.angellist.com/careers/9870a63b-ac75-436b-b1a6-a2fb006afd1c&amp;urlHash=a1S_", "https://www.angellist.com/careers/9870a63b-ac75-436b-b1a6-a2fb006afd1c&amp;urlHash=a1S_")</f>
        <v/>
      </c>
      <c r="G156" t="inlineStr"/>
      <c r="H156" t="inlineStr"/>
      <c r="I156"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$124B\+ in assets and have powered investments into over 12,000 startups—over 300 of which are unicorns. Today, 57% of top\-tier U.S. VC deals involve investors on AngelList. While our scale is large, our ambition is larger.
 If you're excited to build the future of private markets, come build with us.
**About the Role:** 
 AngelList's business depends on getting money from investors into funds, which then deploy that capital into startups. We track all these money movements and investors’ legal rights in our system. Traditionally, all of this work is done manually. At AngelList, we support 171B in assets. To grow to 1 trillion, we're building software that automates the manual work of accountants.
**Our ability to automate fund administration via accounting infrastructure is the crux to pioneer new types of access to venture capital.** 
 We need to continue to automate accountant workflows, and beef up how data flows through our full system. An ideal candidate for this team will have heavy backend experience, love solving ambiguous problems, and enjoy communicating with non\-technical users. You will have a lot of autonomy and ownership – including owning data modeling, Rails APIs, and the React frontend that surfaces that data to customers.
**You will have the opportunity to:** 
* Model financial workflows—turning messy, real\-world fund data into accurate and automated financials.
* Build scalable accounting infrastructure—improving how financial data is reported on the front\-end, and build out how we read/write to the general ledger on the backend.
* Solve hard data integrity problems—ensuring our system produces reliable and audit\-ready outputs across a growing universe of funds.
* Collaborate directly with accounting stakeholders in a tight feedback loop, turning their manual processes into automated systems.
* Work with other highly talented and self\-motivated colleagues driven by the same mission.
**You are most likely:** 
* A senior back\-end engineer (Ruby on Rails or similar MVC frameworks) with 5\+ years of experience, capable of owning features end to end and venturing into the frontend (React, TypeScript).
* Understand financial workflows or eager to dive deep into fund accounting, transaction processing, and general ledger systems. You are excited about the details of how money flows through the venture system.
* Thrive on complexity—modeling ambiguous problems, messy data, and evolving business requirements in a relational database (Postgres, MySQL or similar) where every record is critical.
* Build for reliability—designing systems to produce audit\-ready financial outputs, not best\-effort calculations.
* Customer\-oriented to solve complex business problems in collaboration with users in finance and accounting.
* Execution\-focused, comfortable with balancing tradeoffs and making progress in a fast\-moving environment.
* Deeply in love with startups, having worked in at least one! You may have even founded one yourself or hope to start a company in the future.
**Working Here** 
 If you don’t meet every requirement above, we still encourage you to apply. We value complementary strengths and operators who learn by doing.
**AngelList has offices in a few cities with our engineering hub in San Francisco.** 
**For this role only, we’re open to hiring out of either our SF or New York City offices** 
 , where engineers and product teams can collaborate in the office at least twice per week (Tuesdays and choice between Wednesday or Thursday).
**Compensation:** 
 The compensation for this role consists of a competitive base salary, benefits, and equity package. The base salary for this role starts at $200,000\+ annually but will vary based on a number of factors including a candidate’s professional background, experience, level, and location. Additional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157">
      <c r="A157" t="inlineStr">
        <is>
          <t>li-4355819274</t>
        </is>
      </c>
      <c r="B157" t="inlineStr">
        <is>
          <t>Lead Software Engineer, Full Stack - Shopping (Remote)</t>
        </is>
      </c>
      <c r="C157" t="inlineStr">
        <is>
          <t>SoTalent</t>
        </is>
      </c>
      <c r="D157" t="inlineStr">
        <is>
          <t>linkedin</t>
        </is>
      </c>
      <c r="E157">
        <f>HYPERLINK("https://www.linkedin.com/jobs/view/4355819274", "https://www.linkedin.com/jobs/view/4355819274")</f>
        <v/>
      </c>
      <c r="F157" t="inlineStr"/>
      <c r="G157" t="inlineStr"/>
      <c r="H157" t="inlineStr"/>
      <c r="I157" t="inlineStr">
        <is>
          <t>Lead Full\-Stack Software Engineer — E\-Commerce Platform (Remote)
 Are you energized by building modern software at scale and tackling challenging technical problems? We’re looking for a senior\-level engineer who thrives in collaborative environments and enjoys shaping systems that power high\-impact digital products.
 In this role, you’ll help lead the evolution of a large, consumer\-facing shopping platform, working across the stack to deliver reliable, scalable, and cloud\-native solutions. You’ll partner closely with engineers and product leaders while influencing both technical direction and team growth.
 What You’ll Be Responsible For
* Provide technical leadership across multiple initiatives involving distributed services and full\-stack applications
* Guide and mentor engineers while contributing hands\-on to complex system design and implementation
* Work closely with product and business partners to translate requirements into resilient, compliant, and scalable solutions
* Drive adoption of modern engineering practices, tools, and architectural patterns
* Stay current with emerging technologies and share knowledge through internal collaboration and external communities
* Build and maintain cloud\-based services that support millions of users
 Technologies You’ll Work With
* Backend and frontend languages such as JavaScript, TypeScript, Java, Python, Go, SQL, and HTML/CSS
* Open\-source relational and non\-relational databases
* Containerization and orchestration platforms including Docker and Kubernetes
* Public cloud infrastructure and services (e.g., AWS or comparable platforms)
 Required Qualifications
* Bachelor’s degree or equivalent professional experience
* Four (4\) or more years of professional software development experience (excluding internships)
* At least one year of experience building or deploying applications in a cloud environment
 Preferred Experience
* Advanced degree in a technical field
* Seven (7\) or more years of experience with one or more modern programming languages
* Three (3\) or more years working with major cloud platforms
* Extensive experience using open\-source frameworks
* Prior experience leading or managing engineers
* Familiarity with Agile or iterative development methodologies
 Work Authorization
 Employment authorization sponsorship is not available for this position.
 Compensation
 Salary ranges vary by work location and are based on experience, skills, and market considerations.
* **Remote (U.S.):** 
 $175,800 – $200,700
* **Northern Virginia Area:** 
 $193,400 – $220,700
**Please note:** 
 This job posting is just a preview of the full scope of the position. A comprehensive job description is shared by a member of our team.</t>
        </is>
      </c>
    </row>
    <row r="158">
      <c r="A158" t="inlineStr">
        <is>
          <t>li-4358136142</t>
        </is>
      </c>
      <c r="B158" t="inlineStr">
        <is>
          <t>Senior Software Engineer, iOS</t>
        </is>
      </c>
      <c r="C158" t="inlineStr">
        <is>
          <t>Current</t>
        </is>
      </c>
      <c r="D158" t="inlineStr">
        <is>
          <t>linkedin</t>
        </is>
      </c>
      <c r="E158">
        <f>HYPERLINK("https://www.linkedin.com/jobs/view/4358136142", "https://www.linkedin.com/jobs/view/4358136142")</f>
        <v/>
      </c>
      <c r="F158" t="inlineStr"/>
      <c r="G158" t="inlineStr">
        <is>
          <t>New York, NY</t>
        </is>
      </c>
      <c r="H158" t="inlineStr"/>
      <c r="I158" t="inlineStr">
        <is>
          <t>**SENIOR SOFTWARE ENGINEER, iOS**
 Current is a leading consumer fintech platform transforming financial access for everyday Americans with over 5 million members. We provide access to financial solutions that seamlessly work together to solve the needs of our members and enable all Americans to build better financial futures. Based in NYC, our results\-driven environment drives us to build better products, grow faster and empower everyone on our team to have an impact on our business and mission to improve financial outcomes.
 Our mobile engineers are responsible for building the full suite of user experiences for our members, leveraging our proprietary backend banking core. The mobile apps are native (Kotlin/Swift) and primarily use gRPC to interface with our backend. Being the primary interface for our members to manage their finances (there isn’t a web app), the mobile experience needs to be highly performant and intuitive to use. This forces our engineers to think through foundational layers of application infrastructure, reusable UI components, and the collection of data that drive these decisions. Join us for an opportunity to work in a fast\-moving environment where your work is highly visible and has a direct impact on our members’ financial outcomes!
 We are looking for a Senior iOS Engineer to join our team in New York. This role has a salary range of $170,000 \- $240,000\. The ideal candidate should have a background in mobile development working with native mobile applications. This person should also be a motivated self\-starter who feels at ease working through ambiguous challenges in a fast\-paced environment.
**What To Expect**
* Be a part of a small and nimble mobile engineering team working closely with our product, design, and backend engineering teams to enable new end\-to\-end experiences for our users
* Owning the end\-to\-end delivery of key business initiatives from product discovery, to system design, all the way to feature launch
* Building and maintaining scalable and reusable mobile frameworks to improve code consistency and engineering velocity
* Evolving the company standards for engineering excellence by helping to improve architecture, testing, and monitoring practices
* Helping Current’s users access new decentralized financial systems for wealth creation
* A strong culture of code and architecture review
**About You**
* Expertise in Swift and familiar with its latest features including new Concurrency model
* Solid understanding of iOS fundamentals including app states, memory management, dependency injection, multi\-threading, and persistence
* Familiarity working within a modularized app architecture, following MVC, unidirectional data flows, and usage of the Coordinator design pattern
* Proficient at building complex user interfaces, animations, and screen transitions leveraging UIKit and CoreAnimation frameworks
* Have published and maintained apps on the App Store
* A genuine interest in the personal finance space!
**Bonus**
* Experience using Instruments to profile and optimize app performance
* Experience with using gRPC (Google Remote Procedure Call) and Protobuf (Protocol Buffers) schemas for networking
* Experience with building highly secure iOS apps
* Experience working on a team building platform components
**Benefits**
* Competitive salary
* Meaningful equity in the form of stock options
* 401(k) plan
* Discretionary performance bonus program
* Biannual performance reviews
* Medical, Dental and Vision premiums covered at 100% for you and your dependents
* Flexible time off and paid holidays
* Generous parental leave policy
* Commuter benefits
* Fitness benefits
* Healthcare and Dependent care FSA benefit
* Employee Assistance Programs focused on mental health
* Healthcare advocacy program for all employees
* Access to mental health apps
* Team building activities
* Our modern Chelsea\-based office with open floor plan, stocked kitchen, and catered lunches</t>
        </is>
      </c>
    </row>
    <row r="159">
      <c r="A159" t="inlineStr">
        <is>
          <t>li-4365887323</t>
        </is>
      </c>
      <c r="B159" t="inlineStr">
        <is>
          <t>Full Stack Software Engineer</t>
        </is>
      </c>
      <c r="C159" t="inlineStr">
        <is>
          <t>CoFi</t>
        </is>
      </c>
      <c r="D159" t="inlineStr">
        <is>
          <t>linkedin</t>
        </is>
      </c>
      <c r="E159">
        <f>HYPERLINK("https://www.linkedin.com/jobs/view/4365887323", "https://www.linkedin.com/jobs/view/4365887323")</f>
        <v/>
      </c>
      <c r="F159" t="inlineStr"/>
      <c r="G159" t="inlineStr">
        <is>
          <t>Pleasant Grove, UT</t>
        </is>
      </c>
      <c r="H159" t="inlineStr"/>
      <c r="I159" t="inlineStr">
        <is>
          <t>**Full\-Stack Software Developer** 
**Experience Level:** 
 Mid\-Level (2–4 years)
**About CoFi** 
 CoFi is a fintech company transforming how construction lending and payments work. We build software that helps lenders, builders, and contractors manage the complex financial workflows of construction projects—from loan origination through draw management and payments. Our platform simplifies processes that have traditionally been manual, paper\-heavy, and error\-prone.
**About the Role** 
 We're looking for a Full\-Stack Developer to help us build and scale our construction finance platform. You'll work across the stack—crafting intuitive interfaces for lenders and contractors while developing the robust backend systems that handle loan workflows, payment processing, and document management. This is an opportunity to solve real problems in an industry that's ripe for modernization.
**What You'll Do** 
* Build React interfaces that make complex lending workflows feel simple for users
* Develop and maintain backend services and APIs using C\# and .NET
* Work on features across our platform including loan origination, draw management, and payment systems
* Participate in system design discussions, helping shape how we architect solutions for financial workflows
* Integrate with third\-party services for banking, identity verification, and document processing
* Write secure, reliable code—financial software demands a high bar for quality
* Collaborate with product and design to understand the needs of lenders, builders, and contractors
**What We're Looking For** 
**Required** 
* 2–4 years of professional experience building full\-stack web applications
* Strong proficiency with React, including hooks, state management, and component design
* Solid experience with C\# and .NET for backend development
* Understanding of RESTful API design and implementation
* Experience with relational databases (SQL Server, PostgreSQL, or similar)
* Ability to reason about system design and make pragmatic architectural decisions
* Attention to detail—accuracy matters when you're building financial software
**Nice to Have** 
* Experience with Google Cloud Platform services
* Familiarity with Kubernetes and containerized deployments
* Background in fintech, lending, payments, or other regulated industries
* Experience integrating with banking or payment APIs (Plaid, Dwolla, or similar)
* Exposure to document processing or workflow automation
**What You Bring** 
* Comfort navigating complex business domains and translating requirements into software
* A collaborative mindset and clear communication skills
* Ownership over your work and pride in shipping reliable features
* Curiosity about construction finance—you don't need to be an expert, but you're eager to learn how the industry works
* Visa Sponsorship Not Available: We are unable to provide visa sponsorship for this role. Applicants must have the necessary work authorization without the need for sponsorship now or in the future.</t>
        </is>
      </c>
    </row>
    <row r="160">
      <c r="A160" t="inlineStr">
        <is>
          <t>li-4321439967</t>
        </is>
      </c>
      <c r="B160" t="inlineStr">
        <is>
          <t>Software Engineer (Java/Kotlin/AWS)</t>
        </is>
      </c>
      <c r="C160" t="inlineStr">
        <is>
          <t>Optomi</t>
        </is>
      </c>
      <c r="D160" t="inlineStr">
        <is>
          <t>linkedin</t>
        </is>
      </c>
      <c r="E160">
        <f>HYPERLINK("https://www.linkedin.com/jobs/view/4321439967", "https://www.linkedin.com/jobs/view/4321439967")</f>
        <v/>
      </c>
      <c r="F160" t="inlineStr"/>
      <c r="G160" t="inlineStr">
        <is>
          <t>Glendale, CA</t>
        </is>
      </c>
      <c r="H160" t="inlineStr"/>
      <c r="I160" t="inlineStr">
        <is>
          <t>Optomi, in partnership with a leading media and entertainment company, is looking for a Backend Software Engineer to join their Title Planning team. As a Backend Software Engineer, you will play a key role in designing, developing, and deploying scalable microservices using Java/Kotlin and Spring Boot. You will take full ownership of features, including database schema design (SQL and/or NoSQL) and API contract definition. This role involves optimizing CI/CD pipelines, implementing observability practices, and mentoring junior engineers.
 \*\*Hybrid in Glendale, CA\*\*
 \*\*W2 ONLY \- NO SPONSORSHIP AVAILABLE\*\*
**What the right candidate will enjoy:** 
* Working with a team of seasoned technologists in a creative and collaborative environment
* Opportunities to design and deploy scalable microservices
* Enhancing CI/CD pipelines to improve deployment velocity and reliability
* Mentoring junior engineers and contributing to coding standards and best practices
**What type of experience does the right candidate have:** 
* 4\+ years of professional experience in backend development
* Strong proficiency in Java/Kotlin and practical experience with Spring Boot
* Proven experience building and consuming RESTful APIs and working with microservices architecture
* Experience with Docker, Kubernetes, and a major cloud provider (e.g., AWS, Azure, or GCP)
* Expertise in SQL and one or more NoSQL databases (e.g., MongoDB, Cassandra)
* Excellent cross\-functional collaboration skills and the ability to communicate technical trade\-offs clearly
**What the responsibilities are of the right candidate:** 
* Design, develop, and deploy scalable microservices using Java/Kotlin and Spring Boot
* Take full ownership of features, including database schema design and API contract definition
* Enhance and optimize CI/CD pipelines to improve deployment velocity and reliability
* Implement observability practices (metrics, logging, tracing) to ensure high operational quality
* Mentor junior engineers and participate actively in refining team coding standards and best practices</t>
        </is>
      </c>
    </row>
    <row r="161">
      <c r="A161" t="inlineStr">
        <is>
          <t>li-4321419496</t>
        </is>
      </c>
      <c r="B161" t="inlineStr">
        <is>
          <t>Software Engineer, Cloud Spanner Graph</t>
        </is>
      </c>
      <c r="C161" t="inlineStr">
        <is>
          <t>Google</t>
        </is>
      </c>
      <c r="D161" t="inlineStr">
        <is>
          <t>linkedin</t>
        </is>
      </c>
      <c r="E161">
        <f>HYPERLINK("https://www.linkedin.com/jobs/view/4321419496", "https://www.linkedin.com/jobs/view/4321419496")</f>
        <v/>
      </c>
      <c r="F161" t="inlineStr"/>
      <c r="G161" t="inlineStr">
        <is>
          <t>Sunnyvale, CA</t>
        </is>
      </c>
      <c r="H161" t="inlineStr"/>
      <c r="I161"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2 years of experience in C\+\+, Java, or Go, with a focus on high\-performance, low\-latency code.
* Experience designing and developing relational databases, database internals, information retrieval, query planning and execution.
**Preferred qualifications:**
* Master's degree or PhD in Computer Science or related technical fields.
* 2 years of experience with data structures or algorithms.
* Experience developing accessible technologies.
* Experience with query compilers, plan generation, and execution engines with knowledge of GQL or Cypher.
* Understanding of concurrency control, consensus algorithms (Paxos), and data replication strategies.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design and build the graph query engine within Cloud Spanner, enabling seamless execution of queries alongside standard SQL on globally distributed, petabyte\-scale data. You will write high\-performance C\+\+ code to optimize graph traversals, query planning, and storage interaction, ensuring low latency and strict ACID guarantees. As an individual contributor, you are expected to drive projects such as path\-finding algorithms or query interoperability from vague requirements to production deployment with high independence. Your work will directly enhance the scalability and reliability of Google’s flagship database, solving unique tests at the intersection of relational data and graph query workload.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develop ISO GQL query language new features (DML, DQL, DDL) on Spanner Graph and design and develop query engine performance optimizations on Spanner Graph.
* Work with internal and external customers and Go\-to\-Market (GTM) team to enable deployment of production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2">
      <c r="A162" t="inlineStr">
        <is>
          <t>li-4366232406</t>
        </is>
      </c>
      <c r="B162" t="inlineStr">
        <is>
          <t>Full Stack Engineer- Technical Lead</t>
        </is>
      </c>
      <c r="C162" t="inlineStr">
        <is>
          <t>PeopleEQ</t>
        </is>
      </c>
      <c r="D162" t="inlineStr">
        <is>
          <t>linkedin</t>
        </is>
      </c>
      <c r="E162">
        <f>HYPERLINK("https://www.linkedin.com/jobs/view/4366232406", "https://www.linkedin.com/jobs/view/4366232406")</f>
        <v/>
      </c>
      <c r="F162" t="inlineStr"/>
      <c r="G162" t="inlineStr"/>
      <c r="H162" t="inlineStr"/>
      <c r="I162" t="inlineStr">
        <is>
          <t>**Senior Full\-Stack Engineer** 
 who is open\-source software (OSS) first, highly productive, and execution\-driven. This role is for an A\+ engineer who wants to build, own, and improve systems, with a high bar for quality, not wait for perfect specs or hide behind process. This is a hands\-on technical leadership role. You will write a significant amount of production code, help set technical direction, mentor a growing team, and deliver real solutions that support customer growth and platform scale.
**What You’ll Do:** 
 ● Design and implement Python or Node backend services.
 ● Build and maintain well\-designed APIs (REST required; GraphQL a plus).
 ● Build scalable data pipelines in AWS.
 ● Build front\-end TypeScript \+ React applications using modern patterns.
 ● Deliver data\-aware systems that handle real\-world complexity.
**Lead Technically (Without Managing)** 
 ● Partner with the Head of Engineering to set and evolve technical direction.
 ● Establish and uphold coding standards and engineering best practices.
 ● Review code and unblock other engineers as part of a shared team effort.
 ● Mentor engineers through pairing, design reviews, and practical feedback.
 ● Lead by example through high\-quality, production\-ready code.
 Must be in/around Boston, Ma.</t>
        </is>
      </c>
    </row>
    <row r="163">
      <c r="A163" t="inlineStr">
        <is>
          <t>li-4366213068</t>
        </is>
      </c>
      <c r="B163" t="inlineStr">
        <is>
          <t>Software Engineer (Starshield)</t>
        </is>
      </c>
      <c r="C163" t="inlineStr">
        <is>
          <t>SpaceX</t>
        </is>
      </c>
      <c r="D163" t="inlineStr">
        <is>
          <t>linkedin</t>
        </is>
      </c>
      <c r="E163">
        <f>HYPERLINK("https://www.linkedin.com/jobs/view/4366213068", "https://www.linkedin.com/jobs/view/4366213068")</f>
        <v/>
      </c>
      <c r="F163" t="inlineStr"/>
      <c r="G163" t="inlineStr">
        <is>
          <t>Hawthorne, CA</t>
        </is>
      </c>
      <c r="H163" t="inlineStr"/>
      <c r="I16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control hundreds of satellites in low earth orbit
* Leverage software design to improve satellite constellation performance, security, and availability to meet the needs of a wide range of users
* See your software through from start to finish: from figuring out the core needs to prototyping, developing, and testing; to on\-orbit rollout and beyond
* Work with interdisciplinary teams to brainstorm, design, and build the next generation of satellite capabilities, from cutting\-edge sensors and inter\-satellite lasers to space\-based cloud compute
**Responsibilities**
 There are several roles within the Starshield software team with different focus areas. Applicants will interview for specific focus areas based on hiring needs and qualifications. Specific role responsibilities may include:
* Write high quality Linux\-based C\+\+ software for common processors and micro controllers (e.g. ARM, PowerPC, x86, etc.)
* Implement networking technologies to direct data across a variety of satellites, ground operations centers, and users
* Build automated ground\-based software systems that integrate smart data processing with command and control of the satellites
* Develop models and simulations for flight\-like vehicle software testing, network performance analysis, or research \&amp; development projects
* Develop tools that allow for test execution across multiple environments: virtualized hardware, real hardware\-in\-the\-loop, and even vehicle\-in\-the\-loop testing
* Invent new systems that enable more frequent and reliable software deployment, test execution, and data analysis as part of a continuous integration and release system
**Basic Qualifications**
* Bachelor's degree in computer science, engineering, math, or scientific discipline; OR 2\+ years of professional experience in software development in lieu of a degree
* Development experience in C, C\+\+, or Python or full stack software development experience
**Preferred Skills And Experience**
* Developed and deployed software that has been used real\-world applications and projects
* Solid fundamental knowledge of computer architecture and networks
* Strong skills in debugging, performance optimization and unit testing
* Ability to work effectively and creatively in a dynamic environment with changing needs and requirements
* Ability to work independently and in a team, take initiative, and communicate effectively
* Ability to obtain and maintain a Top Secret or Top Secret SCI clearance
 Some preferred skills and experience depend on the specific team within flight software and may include:
* Experience with networking protocols (TCP, UDP, etc)
* Experience developing in the Linux kernel
* Experience in C\+\+ for high performance systems
* Experience with image data processing and machine learning
* Strong background in math and physics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64">
      <c r="A164" t="inlineStr">
        <is>
          <t>li-4365883400</t>
        </is>
      </c>
      <c r="B164" t="inlineStr">
        <is>
          <t>Software Engineer</t>
        </is>
      </c>
      <c r="C164" t="inlineStr">
        <is>
          <t>Haystack</t>
        </is>
      </c>
      <c r="D164" t="inlineStr">
        <is>
          <t>linkedin</t>
        </is>
      </c>
      <c r="E164">
        <f>HYPERLINK("https://www.linkedin.com/jobs/view/4365883400", "https://www.linkedin.com/jobs/view/4365883400")</f>
        <v/>
      </c>
      <c r="F164">
        <f>HYPERLINK("https://us.haystackapp.io/roles/696e9d9549b60748f9051afa?src=linkedin&amp;urlHash=mnop", "https://us.haystackapp.io/roles/696e9d9549b60748f9051afa?src=linkedin&amp;urlHash=mnop")</f>
        <v/>
      </c>
      <c r="G164" t="inlineStr"/>
      <c r="H164" t="inlineStr"/>
      <c r="I164" t="inlineStr">
        <is>
          <t>**Senior Associate, Full\-Stack Engineer \| Lake Mary, FL \| Hybrid** 
 We're working with BNY on this exciting opportunity.
 Join BNY, a global financial services leader, and contribute to cutting\-edge AI and breakthrough technologies that redefine industries. As a Senior Associate, Full\-Stack Engineer, you'll be instrumental in developing innovative solutions that impact nearly 20% of the world's investible assets, powering the future of finance with your expertise in C\#, Java, HTML, Node.js, and Angular.
**The Role** 
 • Design, develop, and document technically detailed applications using existing and emerging technology platforms.
 • Write new complex systems, design and code programs, and create test transactions, ensuring high\-quality, testable, and efficient code.
 • Analyze, design, and develop tests and test\-automation suites, and actively participate in code reviews to maintain software functionality and currency.
 • Execute full lifecycle software development, troubleshooting, debugging, and upgrading existing systems while applying security and privacy principles.
 • Collaborate cross\-functionally with data engineers, business users, and project managers to deliver elegant solutions and provide mentorship to junior engineers.
**What You'll Need** 
 • Bachelor's degree in Computer Science Engineering or a related discipline, or equivalent work experience.
 • 2\-6 years of experience in software development, with a thorough understanding of the Software Development Life Cycle.
 • Proven experience in developing both Front\-End and Back\-End applications.
 • Knowledge of front\-end and back\-end development coding languages such as C\#, Java, HTML, Node.js, CSS, JSON, Angular, and JavaScript.
 • Familiarity with application frameworks, containerization, and cross\-platform interoperability.
**What's On Offer** 
 • Opportunity to work with cutting\-edge AI and breakthrough technologies in a leading global financial services company.
 • A culture that fosters employee growth, success, and continuous learning with access to tools like Pluralsight.
 • Competitive compensation, benefits, and wellbeing programs, reflecting a pay\-for\-performance philosophy.
 • Generous paid leaves, including paid volunteer time, supporting work\-life balance and personal development.
**Apply via Haystack today!**</t>
        </is>
      </c>
    </row>
    <row r="165">
      <c r="A165" t="inlineStr">
        <is>
          <t>li-4366228628</t>
        </is>
      </c>
      <c r="B165" t="inlineStr">
        <is>
          <t>Software Engineer</t>
        </is>
      </c>
      <c r="C165" t="inlineStr">
        <is>
          <t>The Depository Trust &amp; Clearing Corporation (DTCC)</t>
        </is>
      </c>
      <c r="D165" t="inlineStr">
        <is>
          <t>linkedin</t>
        </is>
      </c>
      <c r="E165">
        <f>HYPERLINK("https://www.linkedin.com/jobs/view/4366228628", "https://www.linkedin.com/jobs/view/4366228628")</f>
        <v/>
      </c>
      <c r="F165" t="inlineStr"/>
      <c r="G165" t="inlineStr">
        <is>
          <t>Jersey City, NJ</t>
        </is>
      </c>
      <c r="H165" t="inlineStr"/>
      <c r="I165"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DTCC Digital Assets is at the forefront of driving institutional adoption of digital assets technology with a steadfast commitment to innovation anchored in security and stability. As the financial services industry’s trusted technology partner, we pride ourselves on empowering a globally interconnected and efficient ecosystem. Our mission is to provide secure and compliant infrastructure for digital assets, enabling financial institutions to unlock the full potential of blockchain technology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We're looking for an experienced Frontend Engineer to join our team, specializing in developing cutting\-edge web3 applications. This position is ideal for someone with a strong passion for blockchain and decentralized technology. Your main responsibilities will include designing user\-friendly and responsive web3 interfaces, and working closely with designers and blockchain developers to bring our applications to fruition.
**Your Primary Responsibilities**
* Collaborate with our team to create user\-friendly web3 applications.
* Develop responsive and intuitive UIs with React, Next.js, HTML, CSS, and JavaScript/TypeScript.
* Work with WAGMI, Viem to interact with smart contracts
* Work with Redux and/or MobX for smooth state management.
* Work with REST APIs and GraphQL for backend communication.
* Integrate smart contracts with blockchain developers.
* Help maintain a design system for consistent UI.
* Stay updated on web3 trends and tech
**Qualifications**
* Minimum of 4 years of related experience
* Bachelor's degree preferred or equivalent experience
**Talents Needed For Success**
* 4 or more years of Frontend development experience
* 1 or more years of web3 Dapp Frontend development experience
* Proven UI development experience in React, Next.js, HTML, CSS, and JavaScript/TypeScript.
* Familiarity with smart contracts
* Hands\-on experience with WAGMI and Viem
* Hands\-on with REST APIs and GraphQL.
* Strong understanding of responsive design principles.
* Experience with Redux and/or MobX for state management.
* Proficiency in functional and reactive programming techniques.
* Experience with rendering techniques, including server\-side rendering (SSR) and client\-side rendering (CSR).
* Proficiency with Progressive Web Apps (PWAs) for improved web app functionality.
* Experience working with large modular codebases and Mono repos for scalable code.
* Familiarity with deploying front\-end applications, preferably using Docker.
* Preferred experience with Node.js and React Native for broader application development capabilities.
* Proficient communication skills.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66">
      <c r="A166" t="inlineStr">
        <is>
          <t>li-4366220712</t>
        </is>
      </c>
      <c r="B166" t="inlineStr">
        <is>
          <t>Lead Software Engineer</t>
        </is>
      </c>
      <c r="C166" t="inlineStr">
        <is>
          <t>Trovee</t>
        </is>
      </c>
      <c r="D166" t="inlineStr">
        <is>
          <t>linkedin</t>
        </is>
      </c>
      <c r="E166">
        <f>HYPERLINK("https://www.linkedin.com/jobs/view/4366220712", "https://www.linkedin.com/jobs/view/4366220712")</f>
        <v/>
      </c>
      <c r="F166" t="inlineStr"/>
      <c r="G166" t="inlineStr">
        <is>
          <t>Miami, FL</t>
        </is>
      </c>
      <c r="H166" t="inlineStr"/>
      <c r="I166" t="inlineStr">
        <is>
          <t>**Company Description** 
 We are an early\-stage AI startup building a platform that bridges the physical and digital worlds. Our technology allows users to instantly digitize their physical environments/assets, creating a smart inventory that unlocks layers of utility.
**Role Description** 
 This is a full\-time on\-site role for a Lead Software Engineer, which could potentially turn into a larger role, preferably located in Miami, FL. We are looking for an engineer to help build and expand this system. You won't just be building a CRUD app; you will be building a complex engine that ingests visual data, understands what it is seeing down to the granular SKU level, and deploys AI agents to perform real\-world tasks based on that data.
**Ideal profile** 
**A strong seasoned engineer who is also AI native** 
* **No "Old School" Rigidity:** 
 We don't want someone who writes every line of boilerplate by hand. You must be an expert at using tools like Cursor and LLMs to code at 10x speed, letting AI handle the heavy lifting while you provide the architectural wisdom and safety checks.
* **No "Vibe Coding":** 
 We don't want someone who blindly pastes code from ChatGPT. You need 4\-5\+ years of experience in system architecture, security, and scalability. You need to know
 *why* 
 code works.
**Qualifications** 
* **Experience:** 
 4\-5\+ years as a Senior Software Engineer. You have shipped production\-grade, scalable applications. Familiar with Agile development methodologies.
* **Computer Vision \&amp; LLMs:** 
 Experience integrating vision models and LLMs into production workflows. You know how to "filter the garbage" to ensure high\-accuracy results.
* **Full\-Stack Mastery:** 
 Strong command of backend architecture, database design, and API integrations.
* **AI\-Assisted Workflow:** 
 You use tools like Cursor proficiently. You can demonstrate how you use AI to accelerate development without compromising code quality.
* **Algorithmic Mindset (ML):** 
 You understand how to build recommendation engines that improve over time based on user data.
* Product\-sense and UI/UX understanding is a plus
* Located in USA (Miami) or ability to relocate without company sponsorship required</t>
        </is>
      </c>
    </row>
    <row r="167">
      <c r="A167" t="inlineStr">
        <is>
          <t>li-4363444562</t>
        </is>
      </c>
      <c r="B167" t="inlineStr">
        <is>
          <t>Principal Software Engineer</t>
        </is>
      </c>
      <c r="C167" t="inlineStr">
        <is>
          <t>Lime</t>
        </is>
      </c>
      <c r="D167" t="inlineStr">
        <is>
          <t>linkedin</t>
        </is>
      </c>
      <c r="E167">
        <f>HYPERLINK("https://www.linkedin.com/jobs/view/4363444562", "https://www.linkedin.com/jobs/view/4363444562")</f>
        <v/>
      </c>
      <c r="F167" t="inlineStr"/>
      <c r="G167" t="inlineStr"/>
      <c r="H167" t="inlineStr"/>
      <c r="I167"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We are looking for an experienced Principal Systems Engineer to join our organization and help us revolutionize the way people move around cities. As a key member of our organization, you’ll have the opportunity to design and build the core technology that powers our fleet of connected vehicles. With our rapid global expansion, you’ll play a vital role in crafting backend systems that can process boatloads of requests from our IoT devices and consumer\-facing apps. You will also have the chance to improve our suite of operational tools that enable our distributed workforce to charge, deploy, and maintain our electric vehicles. And the best part? You get an opportunity to mentor and grow a talented group of engineers, data scientists, designers and PMs who are passionate about creating innovative solutions for urban transportation!
 This is a remote position with a requirement for candidates residing in The United States or Canada to maintain effective collaboration across teams.
**What You'll Do**
* Identify, define, and solve strategically essential technical problems, including architecting and building highly scalable foundational platforms, leading new product initiatives, and revamping core application experiences.
* Scrutinize and reason clearly about the technology and architecture choices we make. In many cases, you will be the decider of these decisions.
* Lead the cross\-functional collaboration with PMs, Engineers, Design, Data Scientists, Research, and Operations teams.
* Mentor and support other engineers on the team. Identify and develop future leaders.
* Advise Lime’s leadership team on key technology adoption and process improvements.
* Define technical strategy and future technical directions Lime should take.
**About You**
* 10\+ years of industry professional software/hardware development experience, and a track record of building impactful products or systems.
* Customer obsessed. You put customers first.
* Technically fearless; Breadth of knowledge. You can work anywhere in Lime’s technology. From devices to backend data.
* Data driven. You have a strong data insight and rely on data to make decisions.
* Owner’s mindset. You're a self\-starter and get things across the finish line.
* Outcomes oriented. You focus on impact.
* Strong influencer. You motivate and empower your team to go above and beyond.
* Strong collaborator. You understand cross\-functional strategies and involve key stakeholders in decision making.
* Passionate. You’re passionate about Lime's mission and micromobility; you want to see cities transform to become people\-centric and less polluted.
**U.S. Based Position \-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$220K \- $303K</t>
        </is>
      </c>
    </row>
    <row r="168">
      <c r="A168" t="inlineStr">
        <is>
          <t>li-4366199908</t>
        </is>
      </c>
      <c r="B168" t="inlineStr">
        <is>
          <t>Staff Software Engineer (Mobile)</t>
        </is>
      </c>
      <c r="C168" t="inlineStr">
        <is>
          <t>NinjaTrader</t>
        </is>
      </c>
      <c r="D168" t="inlineStr">
        <is>
          <t>linkedin</t>
        </is>
      </c>
      <c r="E168">
        <f>HYPERLINK("https://www.linkedin.com/jobs/view/4366199908", "https://www.linkedin.com/jobs/view/4366199908")</f>
        <v/>
      </c>
      <c r="F168">
        <f>HYPERLINK("https://grnh.se/o9qiro146us?gh_src=2dc205461&amp;gh_src=ec0eddf03us&amp;gh_src=1ev8671&amp;gh_src=6930f6eb2&amp;gh_src=61bee8d12us&amp;__jvsd=LinkedIn&amp;gh_src=1f90d4ae3us&amp;gh_src=509adb6f3us&amp;source=LinkedIn&amp;urlHash=b3HW", "https://grnh.se/o9qiro146us?gh_src=2dc205461&amp;gh_src=ec0eddf03us&amp;gh_src=1ev8671&amp;gh_src=6930f6eb2&amp;gh_src=61bee8d12us&amp;__jvsd=LinkedIn&amp;gh_src=1f90d4ae3us&amp;gh_src=509adb6f3us&amp;source=LinkedIn&amp;urlHash=b3HW")</f>
        <v/>
      </c>
      <c r="G168" t="inlineStr"/>
      <c r="H168" t="inlineStr"/>
      <c r="I168"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We are seeking a highly skilled and experienced Staff Engineer (Mobile) specializing in Flutter to join our Mobile Engineering Team. As a Staff Engineer, you will lead mobile architecture, mentor engineers, and deliver scalable, high\-performance applications that power a seamless cross\-platform experience. You will influence technical direction across teams, set a high standard for engineering excellence, and drive end\-to\-end quality and reliability in our mobile products.
**In this role you will:**
* Define and drive the technical roadmap for mobile architecture, frameworks, and tooling
* Architect robust, maintainable Flutter solutions and guide best practices for state management, dependency injection, and reactive programming
* Lead design reviews, architecture discussions, and performance optimization efforts across iOS and Android
* Collaborate with product, design, and backend teams to deliver cohesive, high\-quality user experiences
* Partner with backend and API teams to ensure efficient data integration and scalable mobile communication patterns
* Establish and evolve testing, CI/CD, and release processes to improve developer productivity and delivery reliability
* Drive observability, monitoring, and crash analytics to ensure product stability and quality
* Mentor engineers across teams and foster a culture of technical excellence, innovation, and collaboration
* Continuously evaluate and introduce emerging technologies that enhance performance, security, and developer efficiency
**What you'll need:**
* 10\+ years of professional software engineering experience
* 3\+ years in a technical leadership or staff\-level role leading mobile development at scale
* 4\+ years of hands\-on Flutter and Dart experience in production environments
* Deep understanding of mobile architecture, state management, and design patterns (BLoC, MVVM, Clean Architecture)
* Experience architecting and maintaining robust testing strategies for Flutter applications, spanning unit, widget, integration, and end\-to\-end levels
* Experience building CI/CD automation for mobile delivery
* Strong understanding of RESTful APIs, WebSockets, and offline data handling
* Proven success optimizing performance, reliability, and user experience across diverse devices
* Excellent communication skills and ability to influence technical direction across cross\-functional teams
**Bonus points for:**
* Experience creating custom Render Objects in Flutter to support advanced layouts or charting
* Strong knowledge of native iOS (Swift) and Android (Kotlin/Java) integration
* Experience with fintech or trading platforms
* Contributions to open\-source Flutter frameworks or SDKs
* Experience leading migration from native mobile stacks to Flutter
**Compensation:**
 The salary range for this role will be $160,000\.00 \- $200,000\.00 USD. In addition, this position will also receive an annual target bonus of 15%. Bonus pay at NinjaTrader is based on individual performance (50%) as well as company/team performance (50%).
 Salary and bonus earnings are only two components of the total compensation package offered by NinjaTrader.
**Our Core Benefits Include:**
* Generous PTO
* 7 Paid Holidays Annually \+ 5 Conditional Holidays Annually
* 1 Service Day Annually
* 401k with 3\.5% Company Match
* Paid Parental Bonding Leave
* Health, Vision, Dental Coverage
*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row>
    <row r="169">
      <c r="A169" t="inlineStr">
        <is>
          <t>li-4355942342</t>
        </is>
      </c>
      <c r="B169" t="inlineStr">
        <is>
          <t>Staff Software Engineer (Full-Stack, Backend-leaning)</t>
        </is>
      </c>
      <c r="C169" t="inlineStr">
        <is>
          <t>Jerry</t>
        </is>
      </c>
      <c r="D169" t="inlineStr">
        <is>
          <t>linkedin</t>
        </is>
      </c>
      <c r="E169">
        <f>HYPERLINK("https://www.linkedin.com/jobs/view/4355942342", "https://www.linkedin.com/jobs/view/4355942342")</f>
        <v/>
      </c>
      <c r="F169" t="inlineStr"/>
      <c r="G169" t="inlineStr">
        <is>
          <t>Austin, TX</t>
        </is>
      </c>
      <c r="H169" t="inlineStr"/>
      <c r="I169" t="inlineStr">
        <is>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7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0">
      <c r="A170" t="inlineStr">
        <is>
          <t>li-4280731608</t>
        </is>
      </c>
      <c r="B170" t="inlineStr">
        <is>
          <t>C++ Software Engineer - Options Execution / Delta One - Fourier Ltd</t>
        </is>
      </c>
      <c r="C170" t="inlineStr">
        <is>
          <t>Jobs via eFinancialCareers</t>
        </is>
      </c>
      <c r="D170" t="inlineStr">
        <is>
          <t>linkedin</t>
        </is>
      </c>
      <c r="E170">
        <f>HYPERLINK("https://www.linkedin.com/jobs/view/4280731608", "https://www.linkedin.com/jobs/view/4280731608")</f>
        <v/>
      </c>
      <c r="F170" t="inlineStr"/>
      <c r="G170" t="inlineStr">
        <is>
          <t>New York, NY</t>
        </is>
      </c>
      <c r="H170" t="inlineStr"/>
      <c r="I170" t="inlineStr">
        <is>
          <t>As a C\+\+ Software Engineer, you will:
* Design and develop software for the firm's delta\-one trading platform.
* Collaborate with traders and quantitative researchers to achieve commercial goals.
* Build trading capabilities in highly competitive electronic markets.
* Enhance research capabilities using Python and distributed computation.
* Work on integrated research and execution workflows to support flows in futures and equities markets.
**Key Responsibilities:**
* Develop and maintain software in C\+\+ for the delta\-one trading platform.
* Utilize Python and distributed computation for enhancing research capabilities.
* Collaborate closely with traders and quantitative researchers to achieve commercial objectives.
* Design and implement integrated research and execution workflows.
* Ensure high performance and low latency in trading operations.
**Location:**
* This role is available in either Chicago (CHI) or New York (NY).
**Qualifications and Qualities:**
* Proficiency in C\+\+ programming.
* Experience with Python and distributed computation.
* Strong understanding of electronic markets and trading systems.
* Ability to work effectively in a fast\-paced, collaborative environment.
* Excellent communication and problem\-solving skills.
**What We Offer:**
* A challenging and rewarding work environment at the forefront of electronic trading.
* Opportunities to work on high\-impact projects and collaborate with industry experts.
* Competitive compensation package, including a competitive salary and comprehensive benefits.
 If you are passionate about electronic trading and have the skills to excel in a dynamic environment, apply now for immediate consideration.</t>
        </is>
      </c>
    </row>
    <row r="171">
      <c r="A171" t="inlineStr">
        <is>
          <t>li-4321499722</t>
        </is>
      </c>
      <c r="B171" t="inlineStr">
        <is>
          <t>Software Engineer 3</t>
        </is>
      </c>
      <c r="C171" t="inlineStr">
        <is>
          <t>Jobs via Dice</t>
        </is>
      </c>
      <c r="D171" t="inlineStr">
        <is>
          <t>linkedin</t>
        </is>
      </c>
      <c r="E171">
        <f>HYPERLINK("https://www.linkedin.com/jobs/view/4321499722", "https://www.linkedin.com/jobs/view/4321499722")</f>
        <v/>
      </c>
      <c r="F171" t="inlineStr"/>
      <c r="G171" t="inlineStr"/>
      <c r="H171" t="inlineStr"/>
      <c r="I171" t="inlineStr">
        <is>
          <t>Dice is the leading career destination for tech experts at every stage of their careers. Our client, Sunrise Systems, Inc., is seeking the following. Apply via Dice today!
**Technical Skills**
**Must Have**
* Advanced SQL
* ASP.NET SQL Server
* C\# Software Development
* Debugging
**Nice To Have**
* C\+\+ Programming Language
* Pharmacy Automation
**Job Description**
* Responsible for developing, enhancing, and sustaining software systems in a cross\-functional team environment through adherence to established design control processes and good engineering practices.
* Demonstrates working knowledge of software engineering practices, techniques and processes and basic knowledge of technology trends and domain expertise.
* Understands and analyzes requirements for a single component.
* Translates the results of analysis into design by Designing solutions to address a specific requirement.
* Develop modules with moderate guidance. Has developed knowledge and skills in own job family; still acquiring / expanding fundamental knowledge and higher\-level skills.
* Applies knowledge and skills to a variety of standard activities.
* Works with moderate guidance in own area of knowledge.
* Requires a BS degree preferably Computer Science, Computer Engineering, Mathematics, Physics or a related Engineering discipline and 5\+ years' experience.
* Demonstrated understanding of multi\-threaded software design and development.
* Excellent written and oral communication and interpersonal skills are essential.
* Demonstrated understanding of development in a agile process oriented/regulated environment and adhering to a quality management system.</t>
        </is>
      </c>
    </row>
    <row r="172">
      <c r="A172" t="inlineStr">
        <is>
          <t>li-4355942343</t>
        </is>
      </c>
      <c r="B172" t="inlineStr">
        <is>
          <t>Sr. Software Engineer, Infra</t>
        </is>
      </c>
      <c r="C172" t="inlineStr">
        <is>
          <t>Jerry</t>
        </is>
      </c>
      <c r="D172" t="inlineStr">
        <is>
          <t>linkedin</t>
        </is>
      </c>
      <c r="E172">
        <f>HYPERLINK("https://www.linkedin.com/jobs/view/4355942343", "https://www.linkedin.com/jobs/view/4355942343")</f>
        <v/>
      </c>
      <c r="F172">
        <f>HYPERLINK("https://jobs.ashbyhq.com/Jerry.ai/27a13aea-cc32-44fb-a26e-b25c31e1c0a0?utm_source=6Vdva5VPyD&amp;urlHash=wvf2", "https://jobs.ashbyhq.com/Jerry.ai/27a13aea-cc32-44fb-a26e-b25c31e1c0a0?utm_source=6Vdva5VPyD&amp;urlHash=wvf2")</f>
        <v/>
      </c>
      <c r="G172" t="inlineStr">
        <is>
          <t>Boston, MA</t>
        </is>
      </c>
      <c r="H172" t="inlineStr"/>
      <c r="I172" t="inlineStr">
        <is>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seeking a
 **Sr.** 
**Software Engineer**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
 In this role, you'll be the key driver of
 **automation, scalability, and reliability**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
**Why you’ll love working here**
* Real business impact: Your work supports the entire engineering org at Jerry.ai \- the work you do means engineers have a seamless experience and Jerry is secure, fast, and reliable
* Meaningful work: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Take full ownership of Jerry’s infrastructure including managing our cloud accounts end to end, ensuring robustness and security
* Develop systems / components to improve operational simplicity and reliability of Jerry’s product systems, for example, monitoring system, deployment automation, and diagnostic tools etc;
* Develop systems and tools to manage the security access and capacity planning of cloud resources;
* Work with various product teams to guide systems architecture and offer suggestions for reliability and optimization of production systems;
* Be the shepherd to coordinate Jerry’s production incident handling across teams
**What We're Looking For**
* Experience building infrastructure for a scaling company
* B.S. degree in Computer Science or related discipline;
* 5\+ years of experience working with Amazon AWS services and tools, such as ECS, EKS, RDS, S3, ElasticCache, ELB, ECR, cdk etc;
* Deep experience with Kubernetes; familiarity with Terraform
* Meticulous attention to detail to ensure systems are always up
* Solid coding skills preferably in Python or Golang, familiarity with NodeJS and Typescript, and strong system analysis and problem solving skills;
* Excellent teammate with strong communication, collaboration, and technical writing skills;
* Highly motivated and thrive in dynamic and fast\-paced environments with a real passion for ensuring scalable and highly available systems in the cloud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3">
      <c r="A173" t="inlineStr">
        <is>
          <t>li-4365858972</t>
        </is>
      </c>
      <c r="B173" t="inlineStr">
        <is>
          <t>Senior C++ Software Engineer - HealthTech</t>
        </is>
      </c>
      <c r="C173" t="inlineStr">
        <is>
          <t>Kismet Search</t>
        </is>
      </c>
      <c r="D173" t="inlineStr">
        <is>
          <t>linkedin</t>
        </is>
      </c>
      <c r="E173">
        <f>HYPERLINK("https://www.linkedin.com/jobs/view/4365858972", "https://www.linkedin.com/jobs/view/4365858972")</f>
        <v/>
      </c>
      <c r="F173" t="inlineStr"/>
      <c r="G173" t="inlineStr">
        <is>
          <t>San Diego County, CA</t>
        </is>
      </c>
      <c r="H173" t="inlineStr"/>
      <c r="I173" t="inlineStr">
        <is>
          <t>**THE CLIENT:** 
 Established, privately held Medical Diagnostics Software Company with over 25 years in business and headquartered in sunny San Diego County, CA. Their applications are used in Top 50 major hospital systems in the United States, so you’ll have a chance to help save lives and improve outcomes for millions of people!
**THE ROLE:** 
 We’re looking for a strong
 **Senior Software Engineer** 
 to join a highly technical engineering team building and evolving complex, life\-saving software products leveraging ML and Computer Vision. This role is ideal for someone who enjoys ownership, thoughtful problem solving, and contributing across the full development lifecycle and wants to apply their skills to a mission\-driven company in the healthcare space.
 You’ll work on new features, new products, and meaningful enhancements to existing systems. You will be designing and developing Windows\-based desktop applications that can read and analyze complex medical device data in entirely new ways. This is a hands\-on engineering position for someone who likes digging into challenging problems, writing clean and maintainable code, and collaborating with other smart engineers who care about quality.
 If you’re a bright and mathematically oriented Senior Software Engineer who would love the ability to work in a company that is nimble and innovative, but also offers the stability of a stable organization, this is it!
**What You’ll Do:** 
* Design, develop, and maintain software primarily in C\+\+ for production applications
* Contribute to applications built in C\#.NET (if that is your skillset)
* Contribute to new product development as well as enhancements to existing platforms
* Participate in technical design discussions and help shape solutions from concept through release
* Collaborate with peers through code reviews, offering constructive feedback and ideas
* Perform root cause analysis and implement well\-reasoned corrective actions
* Use modern software engineering tools including source control, build systems, debuggers, and issue tracking
* Document requirements, designs, and technical specifications clearly and thoughtfully
**REQUIREMENTS:** 
* 5\+ years of relevant software engineering experience
* Strong proficiency in C\+\+ and experience developing moderately complex software systems
* Solid understanding of software development methodologies and release processes
* Ability to work independently while being a collaborative, team\-oriented engineer
* Comfortable operating under deadlines and solving problems with focus and composure
* **Education:** 
 Bachelor’s degree required. Major in Computer Science, Engineering, Math, Physics, or a related technical field; Graduate degrees preferred.
* Must be authorized to work in the United States without sponsorship.
* Must be open to working onsite 2\+ days per week in North County San Diego.
* Must reside in San Diego County, CA or plan to relocate within 1 month of accepted offer.
**Preferred Experience:** 
* Experience with Windows desktop development using Microsoft Visual Studio is a plus
* Experience with C\# and .NET is a plus
**COMPENSATION:** 
 $140K \- $180K base (depending on experience level) \+ 15% annual performance bonus
**Benefits:** 
* 100% medical, dental, and vision coverage for both employees AND dependents.
* 3 weeks of vacation, 1 week of sick time (4 weeks total PTO)
* 401K program starting after 6 months of employment, up to 5% match of salary
* Annual bonuses between at 10\-20%</t>
        </is>
      </c>
    </row>
    <row r="174">
      <c r="A174" t="inlineStr">
        <is>
          <t>li-4365870154</t>
        </is>
      </c>
      <c r="B174" t="inlineStr">
        <is>
          <t>Software Engineer</t>
        </is>
      </c>
      <c r="C174" t="inlineStr">
        <is>
          <t>Jobs via Dice</t>
        </is>
      </c>
      <c r="D174" t="inlineStr">
        <is>
          <t>linkedin</t>
        </is>
      </c>
      <c r="E174">
        <f>HYPERLINK("https://www.linkedin.com/jobs/view/4365870154", "https://www.linkedin.com/jobs/view/4365870154")</f>
        <v/>
      </c>
      <c r="F174">
        <f>HYPERLINK("https://click.appcast.io/t/O9F_W8jyFzckVdpWViwP5b-kCWLMP__MNJhA4_t-48k=&amp;urlHash=kSA0", "https://click.appcast.io/t/O9F_W8jyFzckVdpWViwP5b-kCWLMP__MNJhA4_t-48k=&amp;urlHash=kSA0")</f>
        <v/>
      </c>
      <c r="G174" t="inlineStr"/>
      <c r="H174" t="inlineStr"/>
      <c r="I174" t="inlineStr">
        <is>
          <t>Dice is the leading career destination for tech experts at every stage of their careers. Our client, Aroghia, is seeking the following. Apply via Dice today!
 Bachelor s degree in Computer Science or related field (Master s preferred but not required).
 5\+ years of professional software development experience.
**Strong Programming Skills In Python (additional Languages a Plus).**
 Hands\-on experience with AWS Cloud Platform and large\-scale application development on cloud platforms.
 Knowledge and experience in agentic workflows, AI/LLM\-powered enterprise applications, and interoperability standards such as A2A and MCP protocol.
 Knowledge and experience in operationalizing LLMs, including evaluation pipelines (automated and human\-in\-the\-loop), guardrails for safety and compliance, and continuous improvement strategies for model performance.
 Familiarity with LLM tooling and frameworks such as LangChain, Guardrails AI, OpenAI Evals, or similar for monitoring, observability, and governance.
 Proficiency in object\-oriented, multi\-tier architectures within complex environments.
 Experience with Infrastructure\-as\-Code (IaC) and GitOps workflows.
 Familiarity with containerization (Docker), CI/CD pipelines, and dependency management tools (e.g., Poetry, uv).
 Experience working in Agile development environments and mentoring junior engineers.
 Strong problem\-solving and analytical skills, with a focus on delivering well\-tested, well documented code.
 Ability to communicate technical concepts in business terms, translating insights into actionable recommendations.
**Preferred**
 Experience working on Databricks platform
 Knowledge of Atomic Design principles for scalable component organization.
 Experience in Test\-Driven Development (TDD) or willingness to adopt TDD practices.
 Familiarity with instrumentation and monitoring tools (e.g., New Relic, Splunk).
 Understanding of API documentation standards (OpenAPI/Swagger).
 Knowledge of enterprise authentication/authorization protocols (OAuth, OIDC, Okta, or similar SSO Platforms).</t>
        </is>
      </c>
    </row>
    <row r="175">
      <c r="A175" t="inlineStr">
        <is>
          <t>li-4366228753</t>
        </is>
      </c>
      <c r="B175" t="inlineStr">
        <is>
          <t>Lead Software Engineer – Cloud Operations (US Gov Cloud)</t>
        </is>
      </c>
      <c r="C175" t="inlineStr">
        <is>
          <t>Icertis</t>
        </is>
      </c>
      <c r="D175" t="inlineStr">
        <is>
          <t>linkedin</t>
        </is>
      </c>
      <c r="E175">
        <f>HYPERLINK("https://www.linkedin.com/jobs/view/4366228753", "https://www.linkedin.com/jobs/view/4366228753")</f>
        <v/>
      </c>
      <c r="F175" t="inlineStr"/>
      <c r="G175" t="inlineStr">
        <is>
          <t>Virginia, United States</t>
        </is>
      </c>
      <c r="H175" t="inlineStr"/>
      <c r="I175" t="inlineStr">
        <is>
          <t>**Job Description**
 At Icertis, we power the contract intelligence platform that transforms how federal agencies and government organizations manage their most critical missions — from defense and national security to public safety and aerospace. We go beyond traditional contract systems by embedding AI\-driven automation, compliance, and real\-time insights into every phase of the contract lifecycle — enabling agencies to accelerate procurement, reduce risk, and operate with greater transparency and control.
 Discover how Icertis is modernizing public sector contract management and driving impact across federal agencies here.
 Icertis is seeking a Lead Software Engineer – Cloud Operations to support and scale its US Government Cloud Operations (USGov CloudOps) platform within Microsoft Azure Government. This role is critical to ensuring the availability, security, resiliency, and compliance of mission\-critical SaaS services supporting U.S. public\-sector customers.
 The ideal candidate brings strong expertise in cloud automation, DevOps, Infrastructure as Code (IaC), and secure software development, with hands\-on experience operating in regulated, compliance\-driven environments such as FedRAMP and IL3–IL5\.
**Responsibilities**
* Design, build, and maintain secure, scalable cloud automation and internal tooling.
* Support mission\-critical production systems, including participation in a 24x7 on\-call rotation.
* Develop and manage DevOps pipelines and Infrastructure as Code using Terraform, Ansible, ARM, and Azure DevOps.
* Troubleshoot and resolve complex application and Azure PaaS issues (C\#/ASP.NET).
* Implement and continuously improve cloud security controls aligned with federal compliance requirements.
* Execute Identity \&amp; Access Management (IAM), deployments, upgrades, and change management activities.
* Collaborate with cross\-functional teams to deliver time\-sensitive public\-sector outcomes.
* Support audits and compliance activities, including evidence collection and documentation.
* Maintain clear, accurate technical documentation for systems and processes.
**Qualifications**
 This position will be working on US government contracts which require either US Citizens or US Persons (Permanent Residents) depending on the project. Additionally, this role may require the ability to obtain and maintain a US government Top Secret security clearance.
**Required Skills / Qualifications**
* Strong experience developing secure, maintainable, and scalable software.
* Proficiency in C\#, ASP.NET, Java, JavaScript, Python, Web APIs, and Microsoft SQL.
* Hands\-on automation experience using PowerShell, Bash, Ansible, Terraform, JSON/YAML.
* Experience operating cloud\-first, mission\-critical systems (Azure preferred).
* Working knowledge of Azure Functions, AKS, Docker, and PaaS services.
* Strong Windows and Linux systems administration skills.
* Ability to work independently in fast\-paced environments and take ownership of issues through resolution.
* Excellent written and verbal communication skills, including the ability to explain technical concepts to non\-technical stakeholders.
**Preferred / Federal Environment Experience**
* Familiarity with federal compliance frameworks: FedRAMP, NIST, CMMC, IL3–IL5, HIPAA, PCI, ISO 27001\.
* Experience with Azure security services such as WAF, Microsoft Sentinel (SIEM), and threat protection.
* Knowledge of ITSM / ITIL processes and operational best practices.
* Experience with Azure DevOps (ADO) and collaboration tools (Microsoft Teams, SharePoint).
* Familiar to Elastic Search, Kibana, Azure Redis Cache.
* Interest in AI/ML or GenAI solutions in regulated cloud environments.
**Salary Range**
 Min $130,000 \- Max $195,000 USD per year
 Pay offered will vary based on job\-related factors such as location, experience, training, skills, and abilities. In addition to base salary and an annual target incentive bonus, an equity component is included.
 Our Commitments
**Icertis Is Committed To**
* Supporting employees’ and their families’ physical, mental, and financial well\-being.
* Accelerating Icertians’ careers.
* Making a social and environmental impact in our communities.
* Cultivating and advancing a culture of diversity, equity, inclusion, and belonging (DEIB) across our company, customers, and suppliers.
* Generous holidays, including the 4th of July week off (paid).
* Free professional and leadership coaching.
* Annual personal development allowance.
**What We Offer**
* Robust medical, dental, vision, and mental health benefits.
* Employee Assistance Program (EAP).
* Equity (RSUs) and shared ownership in the company.
* Generous 401(k) match.
* Flexible work environment.
* Paid maternity and paternity leave.
* Generous holiday and PTO program.
* CaaS (Coaching as a Service).
* Annual personal development allowance.
* 7 Days for Humanity – seven paid volunteer days annually.
* Global and regional DEIB steering committees and employee resource groups (ERGs).
* Global DEIB training programs and guest speakers throughout the year.
**About Us**
 Icertis is the global leader in AI\-powered contract intelligence. The Icertis platform revolutionizes contract management, equipping customers with powerful insights and automation to grow revenue, control costs, mitigate risk, and ensure compliance \- the pillars of business success. Today, more than one third of the Fortune 100 trust Icertis to realize the full intent of millions of commercial agreements in 90\+ countries.
**About The Team**
 Who we a re: Icertis is the only contract intelligence platform companies trust to keep them out in front, now and in the future. Our unwavering commitment to contract intelligence is grounded in our FORTE values—Fairness, Openness, Respect, Teamwork and Execution—which guide all our interactions with employees, customers, partners, and stakeholders. Because in our mission to be the contract intelligence platform of the world, we believe how we get there is as important as the destination.
 Icertis, Inc. provides Equal Employment Opportunity to all employees and applicants for employment without regard to race, color, religion, gender identity or expression, sex, sexual orientation, national origin, age, disability, genetic information, marital status, amnesty, or status as a covered veteran in accordance with applicable federal, state and local laws. Icertis, Inc. complies with applicable state and local laws governing non\-discrimination in employment in every location in which the company has facilities. If you are in need of accommodation or special assistance to navigate our website or to complete your application, please send an e\-mail with your request to careers@icertis.com or get in touch with your recruiter.</t>
        </is>
      </c>
    </row>
    <row r="176">
      <c r="A176" t="inlineStr">
        <is>
          <t>li-4365866297</t>
        </is>
      </c>
      <c r="B176" t="inlineStr">
        <is>
          <t>Senior Staff Software Engineer SONiC / C++ / Python / SPyTest</t>
        </is>
      </c>
      <c r="C176" t="inlineStr">
        <is>
          <t>Jobs via Dice</t>
        </is>
      </c>
      <c r="D176" t="inlineStr">
        <is>
          <t>linkedin</t>
        </is>
      </c>
      <c r="E176">
        <f>HYPERLINK("https://www.linkedin.com/jobs/view/4365866297", "https://www.linkedin.com/jobs/view/4365866297")</f>
        <v/>
      </c>
      <c r="F176" t="inlineStr"/>
      <c r="G176" t="inlineStr">
        <is>
          <t>Sunnyvale, CA</t>
        </is>
      </c>
      <c r="H176" t="inlineStr"/>
      <c r="I176" t="inlineStr">
        <is>
          <t>Dice is the leading career destination for tech experts at every stage of their careers. Our client, NMK Global Inc., is seeking the following. Apply via Dice today!
**Job Title: Senior Staff Software Engineer SONiC / C\+\+ / Python / SPyTest**
**Location: Sunnyvale CA \- Onsite**
**Duration: 06 Months (Contact to HIRE)**
**Mandatory skills** 
 \-
 **Sr Staff software engineer with Experience on C\+\+, Python, SONiC SPyTest and SPyTest**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Design, develop, and maintain features and enhancements for the SONiC NOS platform.
* Develop and execute test plans using PTF and SPyTest for infrastructure
**Basic Qualifications:**
* Bachelor s or Master s degree in Computer Science, Electrical Engineering, or a related field.
* Minimum of 12 years of work experience is required, with at least 2 years of hands\-on SONiC development experience preferred.
* Strong experience with SONiC network operating system.
* Proficient in Python, C/C\+\+.
* Experience with PTF (Packet Test Framework) and SPyTest for network validation.
* Familiarity with Linux internals, docker containers.
* Excellent problem\-solving skills and ability to work in a fast\-paced, collaborative environment.
* Knowledge of network ASICs and switch hardware architecture.
* Debug, troubleshoot, and resolve issues on SONiC platforms.
* Collaborate closely with cross\-functional teams including hardware engineers and Test teams.
* Participate in code reviews, architecture discussions, and documentation efforts.
* Contribute to SONiC open\-source communities and stay current with the evolving SONiC ecosystem
**Additional Skills:**
 Cloud Architectures, Cross Domain Knowledge, Design Thinking, Development Fundamentals, DevOps, Distributed Computing, Microservices Fluency, Full Stack Development, Security\-First Mindset, Solutions Design, Testing \&amp; Automation, User Experience (UX)</t>
        </is>
      </c>
    </row>
    <row r="177">
      <c r="A177" t="inlineStr">
        <is>
          <t>li-4365871039</t>
        </is>
      </c>
      <c r="B177" t="inlineStr">
        <is>
          <t>Sr. Embedded Software Engineer - Bluetooth Development &amp; Testing</t>
        </is>
      </c>
      <c r="C177" t="inlineStr">
        <is>
          <t>Jobs via Dice</t>
        </is>
      </c>
      <c r="D177" t="inlineStr">
        <is>
          <t>linkedin</t>
        </is>
      </c>
      <c r="E177">
        <f>HYPERLINK("https://www.linkedin.com/jobs/view/4365871039", "https://www.linkedin.com/jobs/view/4365871039")</f>
        <v/>
      </c>
      <c r="F177" t="inlineStr"/>
      <c r="G177" t="inlineStr">
        <is>
          <t>San Diego, CA</t>
        </is>
      </c>
      <c r="H177" t="inlineStr"/>
      <c r="I177" t="inlineStr">
        <is>
          <t>Dice is the leading career destination for tech experts at every stage of their careers. Our client, Clover Solutions LLC, is seeking the following. Apply via Dice today!
**Sr. Embedded Software Engineer \- Bluetooth Development \&amp; Testing\***
 Location: San Diego, CA
* Skills\*: Ear buds, Wi\-Fi/BLE, C, C\+\+, Bluetooth Controller firmware,
* Proven experience of Classic Bluetooth (BR\-EDR) and Bluetooth Low Energy (BLE) and excellent knowledge of Audio, SPP, HID profiles, GATT based profiles, L2CAP, HCI, LMP, LC and LLC layers.
* Experience in Bluetooth stack design and Android software components. (e.g. Profile stack, HCI interface, Transport driver, Bluetooth SCO etc.)
 Strong expertise in at least one programming language (C, C\+\+, Python Java) along with working knowledge
**Embedded Product Development \&amp; Testing** 
 Ear buds, Wi\-Fi/BLE, C, C\+\+, Bluetooth Controller firmware
* Proven experience of Classic Bluetooth (BR\-EDR) and Bluetooth Low Energy (BLE) and excellent knowledge of Audio, SPP, HID profiles, GATT based profiles, L2CAP, HCI, LMP, LC and LLC layers.
* Experience in Bluetooth stack design and Android software components. (e.g. Profile stack, HCI interface, Transport driver, Bluetooth SCO etc.)
 Strong expertise in at least one programming language (C, C\+\+, Python Java) along with working knowledge
* 6\+ years of relevant experience
* Knowledge of Bluetooth classic and BLE profiles such as HFP, A2DP SRC/SINK, AVRCP, PBAP, MAP, HID and GATT.
* Good understanding of Bluetooth profile protocol and Bluetooth SIG specifications.
* Exposure and proficiency in utilizing tools such as Wireshark, Ethereal, and various sniffers for analysis and diagnostics. development experience in BT stack profile development, knowledge of RFCOMM, L2CAP HFP, AVRCP, and other BT profiles and exposure of various Bluetooth profile development.
* Proven experience of Classic Bluetooth (BR\-EDR) and Bluetooth Low Energy (BLE) and excellent knowledge of Audio, SPP, HID profiles, GATT based profiles, L2CAP, HCI, LMP. Understanding BT stack Exposure to BT stack, worked on enhancements to Bluetooth stacks and profiles like A2DP, AVRCP, HFP, HSP, PBAP and MAP.
* Thorough understanding of Bluetooth core and profile specifications. Experience in Bluetooth stack design and Android software components. (e.g., Profile stack, HCI interface, Transport driver, Bluetooth SCO etc.) Exposure to at least one of the stacks like BlueZ Bluedroid. Bluetooth engineer with good coding and debugging skills should be able to independently fix bugs Should be capable of working on embedded hardware and understand concepts in debugging it if any issues.
* Bluetooth classic/LE protocol stack, A2DP, HFP, AVRCP, BTLE, PBAP, SPP, HCI, OPP, SDP, RFCOMM Experience in Bluetooth stack design and Android software components. (e.g. Profile stack, HCI interface, Transport driver, Bluetooth SCO etc.)
* Experience on Bluetooth Audio module along with Audio Codec Exposure to development and debugging tools including (HCI snoop log, Air sniffer like Frontline and Ellisys, Klocwork)
* Experience on Bluetooth profile stack and core stack development skills for Qualcomm, Broadcom, Marvel or MediaTek Bluetooth stack or same level of experience with transport kernel development exp, Linux development
* Good interpersonal, communication (Written and Verbal), interest to learn and excel and positive approach in work are mandatory.
* Self\-motivated and self\-starter with high degree of work ethic with ability to thrive in a fast\-paced, results\-oriented, high\-energy environment that requires multi\-tasking capabilities and implement high priority initiative.</t>
        </is>
      </c>
    </row>
    <row r="178">
      <c r="A178" t="inlineStr">
        <is>
          <t>li-4365864635</t>
        </is>
      </c>
      <c r="B178" t="inlineStr">
        <is>
          <t>Software Engineer - Redmond WA</t>
        </is>
      </c>
      <c r="C178" t="inlineStr">
        <is>
          <t>Jobs via Dice</t>
        </is>
      </c>
      <c r="D178" t="inlineStr">
        <is>
          <t>linkedin</t>
        </is>
      </c>
      <c r="E178">
        <f>HYPERLINK("https://www.linkedin.com/jobs/view/4365864635", "https://www.linkedin.com/jobs/view/4365864635")</f>
        <v/>
      </c>
      <c r="F178" t="inlineStr"/>
      <c r="G178" t="inlineStr">
        <is>
          <t>Redmond, WA</t>
        </is>
      </c>
      <c r="H178" t="inlineStr"/>
      <c r="I178" t="inlineStr">
        <is>
          <t>Dice is the leading career destination for tech experts at every stage of their careers. Our client, Wallero, is seeking the following. Apply via Dice today!
**Title:** 
**Software Engineer**
**Location:** 
**Redmond WA**
**Long Term Contract**
**Overview:**
 We are looking for a Software Engineer Design, build, and maintain integration services in C\#
 **.**
**Key Skills \&amp; Qualifications**
* Strong communication skills to collaborate with cross\-functional and geographically distributed teams
* Hands\-on backend development experience using C\# / .NET
* Experience building and supporting services hosted in Microsoft Azure Cloud
* Strong working knowledge of Oracle Database.
* Experience working with data hosted in Oracle Cloud Infrastructure (OCI)
* Familiarity with Control\-M or similar enterprise job scheduling and batch processing tools
* Experience supporting enterprise integrations across multiple systems and platforms
* Ability to troubleshoot and resolve end\-to\-end data and integration issues
* Full\-stack development experience is a plus but not mandatory</t>
        </is>
      </c>
    </row>
    <row r="179">
      <c r="A179" t="inlineStr">
        <is>
          <t>li-4321459626</t>
        </is>
      </c>
      <c r="B179" t="inlineStr">
        <is>
          <t>Full Stack Engineer React Python NYC NY Local &amp; In person Interview</t>
        </is>
      </c>
      <c r="C179" t="inlineStr">
        <is>
          <t>Jobs via Dice</t>
        </is>
      </c>
      <c r="D179" t="inlineStr">
        <is>
          <t>linkedin</t>
        </is>
      </c>
      <c r="E179">
        <f>HYPERLINK("https://www.linkedin.com/jobs/view/4321459626", "https://www.linkedin.com/jobs/view/4321459626")</f>
        <v/>
      </c>
      <c r="F179">
        <f>HYPERLINK("https://click.appcast.io/t/pb3hWANJXxftZqnjg9I2td9eYhSQ321Pz0_iI5znKMs=&amp;urlHash=KcuX", "https://click.appcast.io/t/pb3hWANJXxftZqnjg9I2td9eYhSQ321Pz0_iI5znKMs=&amp;urlHash=KcuX")</f>
        <v/>
      </c>
      <c r="G179" t="inlineStr">
        <is>
          <t>New York, NY</t>
        </is>
      </c>
      <c r="H179" t="inlineStr"/>
      <c r="I179" t="inlineStr">
        <is>
          <t>Dice is the leading career destination for tech experts at every stage of their careers. Our client, Cyber Sphere LLC, is seeking the following. Apply via Dice today!
 Full Stack Engineer React Python
**NYC NY Local \&amp; In person Interview**
 Long Term
 Contract
**Skills Needed: \+10 years React, \+5 years Python, \+5 years RESTful APIs, SQL, Typescript, AWS, Dockers, Kubernetes, Apache Kafka, etc.**
 \+10 Years React (hooks, component lifecycle, state management)
 \+10 Years Python (FastAPI, Flask, or Django)
 Hands\-on experience with Apache Kafka
 \+10 Years building RESTful APIs
 Proficiency with SQL and relational databases
 Familiarity with Git\-based version control workflows.
 Event\-driven and microservices architectures
 Asynchronous processing and messaging patterns
 API design and versioning
 Performance tuning and scalability
 Experience with TypeScript
 Knowledge of Docker and Kubernetes
 Cloud experience (AWS)
 Experience with schema registries and stream processing (Kafka Streams)
 Familiarity with monitoring tools (Grafana)
 Exposure to security best practices (OAuth, JWT)
 Strong communication and collaboration skills, with the ability to work across engineering and business teams.
 Experience working in Agile/Scrum environments and managing work using Jira.
 Education \&amp; Experience
 Bachelor s degree in computer science or related field.
 A strong sense of ownership, documentation habits, and attention to data quality and performance.
 Munesh
 ,
 CYBER SPHERE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2026-01-26T23:29:22Z</dcterms:created>
  <dcterms:modified xsi:type="dcterms:W3CDTF">2026-01-26T23:29:22Z</dcterms:modified>
</cp:coreProperties>
</file>