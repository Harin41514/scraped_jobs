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in-aacc037dc34a49a7</t>
        </is>
      </c>
      <c r="B2" t="inlineStr">
        <is>
          <t>Data Engineer – Palantir Foundry - Dublin OH</t>
        </is>
      </c>
      <c r="C2" t="inlineStr">
        <is>
          <t>Cystems Logic Inc</t>
        </is>
      </c>
      <c r="D2" t="inlineStr">
        <is>
          <t>indeed</t>
        </is>
      </c>
      <c r="E2" t="inlineStr"/>
      <c r="F2" t="inlineStr"/>
      <c r="G2" t="inlineStr">
        <is>
          <t>Dublin, OH, US</t>
        </is>
      </c>
      <c r="H2" s="2" t="n">
        <v>46048</v>
      </c>
      <c r="I2" t="inlineStr">
        <is>
          <t>**Job Description**  
Hi,
Job Title: Senior Data Engineer – Palantir Foundry
Location: Dublin OH
Duration: 6 months Contract
 If you are interested, Please send your below submission details with your DL , visa and i94 copy.
Expected rate all inc on 1099 /C2C( Net 60 and 6% VMS) :
Visa status:
Current Location:
Availability:
Bachelor degree and years of passing :
Master degree and years of passing :
Passport Number:
Interview Availability:
Job Summary:
Senior\-level data or software engineer responsible for application development and data transformation using Palantir Foundry.
The role focuses on building data pipelines semantic models and interactive application dashboards while working independently within a senior team environment and contributing to high\-impact data initiatives.
 Transform data and build application dashboards using Palantir Foundry low\-code tools.
Job Description
Work on an application development and data engineering team
Transform data and build application dashboards using Palantir Foundry low\-code tools
Use Ontology Manager as the semantic layer
Use Pipeline Builder comparable to Alteryx for data transformation
Use Workshop comparable to Tableau or Power BI with enhanced application development capabilities
Receive knowledge transfer on data definitions team best practices expected outcomes and acceptance criteria
Operate independently while proactively asking clarifying questions during discovery and delivery
Contribute as a senior\-level L3 engineer on high\-level data initiatives
 **Additional Information**  
All your information will be kept confidential according to EEO guidelines.</t>
        </is>
      </c>
    </row>
    <row r="3">
      <c r="A3" t="inlineStr">
        <is>
          <t>in-3d7e44300a68ad9d</t>
        </is>
      </c>
      <c r="B3" t="inlineStr">
        <is>
          <t>Data Engineer</t>
        </is>
      </c>
      <c r="C3" t="inlineStr">
        <is>
          <t>Convey Health Solutions</t>
        </is>
      </c>
      <c r="D3" t="inlineStr">
        <is>
          <t>indeed</t>
        </is>
      </c>
      <c r="E3" t="inlineStr"/>
      <c r="F3" t="inlineStr"/>
      <c r="G3" t="inlineStr">
        <is>
          <t>Fort Lauderdale, FL, US</t>
        </is>
      </c>
      <c r="H3" s="2" t="n">
        <v>46047</v>
      </c>
      <c r="I3" t="inlineStr">
        <is>
          <t>**Job Title: Data Engineer**
**Position Summary:**
The Data Engineer must have expertise in SQL, Python and PySpark, with extensive knowledge and practical experience in utilizing AWS services. The Senior Data Engineer has a strong background in data engineering, with a focus on building scalable and efficient data pipelines. They will work with a wide array of healthcare data for ingestion, processing and consumption including but not limited to eligibility, claims, payments and risk adjustment. The Senior Data Engineer supports Pareto Operations.  
**Key Duties and Responsibilities:** â€‹
* Design, develop, and maintain robust data pipelines using Python and PySpark to process large volumes of healthcare data efficiently in a multitenant analytics platform.
* Collaborate with cross\-functional teams to understand data requirements, implement data models, and ensure data integrity throughout the pipeline.
* Optimize data workflows for performance and scalability, considering factors such as data volume, velocity, and variety.
* Implement best practices for data ingestion, transformation, and storage in AWS services such as S3, Glue, EMR, Athena, and Redshift.
* Model data in relational databases (e.g., PostgreSQL, MySQL) and file\-based databases to support data processing requirements.
* Design and implement ETL processes using Python and PySpark to extract, transform, and load data from various sources into target databases.
* Troubleshoot and enhance existing ETLs and processing scripts to improve efficiency and reliability of data pipelines.
Develop monitoring and alerting mechanisms to proactively identify and address data quality issues and performance bottlenecks.  
* 
**Education and Experience:**
* Bachelor's or Master's degree in Computer Science, Data Engineering, or a related field.
* Minimum of 5 years of experience in data engineering, with a focus on building and optimizing data pipelines.
* Expertise in Python programming and hands\-on experience with SQL and PySpark for data processing and analysis.
* Proficiency in Python frameworks and libraries for scientific computing (e.g. Numpy, Pandas, SciPy, Pytorch, Pyarrow).
* Strong understanding of AWS services and experience in deploying data solutions on cloud platforms.
* Experience working with healthcare data, including but not limited to eligibility, claims, payments, and risk adjustment datasets.
* Expertise in modeling data in relational databases (e.g., PostgreSQL, MySQL) and file\-based databases, ETL processes and data warehousing concepts.
* Proven track record of designing, implementing, and troubleshooting ETL processes and processing scripts using Python and PySpark.
* Excellent problem\-solving skills and the ability to work independently as well as part of a team.
Relevant certifications in AWS or data engineering would be a plus.  
* 
**Knowledge, Skills, and Abilities:**
* Expertise in Python programming language for data processing and analysis.
* Expertise in PySpark for building scalable data pipelines.
* Hands\-on experience with SQL query authoring for data analyses and validation
* In\-depth knowledge of AWS services such as S3, Glue, EMR, Athena, and Redshift for data storage and processing.
* Familiarity with relational databases (e.g., PostgreSQL, MySQL) and file\-based databases for data modeling and storage.
* Understanding of data modeling, ETL processes, and data warehousing concepts.
* Knowledge of best practices in data engineering and experience in optimizing data workflows for performance and scalability.
* Experience in healthcare data domains, including eligibility, claims, payments, and risk adjustment datasets.
* Up\-to\-date knowledge of emerging technologies and trends in data engineering.
* Strong problem\-solving skills and the ability to troubleshoot and optimize data pipelines and ETL processes.
* Excellent communication and collaboration skills to work effectively with cross\-functional teams.
* Proficient in designing, implementing, and maintaining data pipelines for processing large volumes of data.
* Ability to model data in relational and file\-based databases to support data processing requirements.
* Skill in developing monitoring and alerting mechanisms to ensure data quality and pipeline reliability.
* Experience in deploying data solutions on cloud platforms and utilizing AWS services for data processing.
* Proficiency in writing efficient and maintainable code for data processing tasks.
* Ability to stay organized, prioritize tasks, and meet project deadlines effectively.
* Ability to work independently and in a team\-oriented, collaborative environment.
* Strong analytical skills to identify and address data quality issues and performance bottlenecks.
* Capability to innovate and recommend solutions for continuous improvement in data engineering processes.
* Ability to communicate complex technical concepts to non\-technical stakeholders effectively.
* Strong attention to detail and commitment to delivering high\-quality work.
* Ability to deal with problems involving several concrete variables in standardized situations.
* Ability to interact politely, tactfully and firmly with a wide range of people and personalities.
* Ability to work in an environment with potential interruptions.
Ability to manage multiple simultaneous tasks with individual timeframes and priorities.  
* 
The expected base salary for this position ranges from $90,000 – 110,000 with a bonus target of up to 5% of the base salary. We do consider a wide range of factors when making offer decisions, including (but not limited to) the scope and responsibilities of the position, a candidate’s relevant skills, training, experience, education and where applicable, licensure and certifications obtained. We also consider organizational and market factors when making offer decisions.  
Equal Employment Opportunity Statement:
Convey Health Solutions is an Equal Opportunity Employer committed to fostering an inclusive and diverse workforce. All qualified applicants will receive consideration for employment without regard to race, color, religion, sex (including pregnancy, sexual orientation, or gender identity), national origin, age, disability, genetic information, veteran status, or any other characteristic protected by applicable federal, state, or local laws.
Convey Health Solutions also provides reasonable accommodations to qualified individuals with disabilities in accordance with applicable laws. Applicants requiring accommodation during the application or interview process should contact the Human Resources department.  
The Convey Health Solutions family of companies, including Pareto Intelligence™, delivers a powerful combination of purpose\-built technology, advanced analytics, and expert services to help health plans thrive in a complex, post, Affordable Care Act environment.
As a trusted partner to Medicare and commercial payers, we provide scalable, compliant solutions that span the entire member lifecycle, 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 especially seniors and vulnerable populations.
Together, we help health plans scale smarter, grow stronger, and make healthcare work better for the people who need it most.
Learn more at www.ConveyHealthSolutions.com.
**About Us**  
Convey Health Solutions, together with Pareto Intelligence™, delivers a powerful combination of purpose\-built technology, advanced analytics, and expert services to help health plans thrive in a complex, post\-Affordable Care Act environment.
As a trusted partner to Medicare and commercial payers, we provide scalable, compliant solutions that span the entire member lifecycle\-from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Americans\-especially seniors and vulnerable populations.
Together, we help health plans scale smarter, grow stronger, and make healthcare work better for the people who need it most. Learn more at http://www.ConveyHealthSolutions.com</t>
        </is>
      </c>
    </row>
    <row r="4">
      <c r="A4" t="inlineStr">
        <is>
          <t>in-0dbd139fa4212f02</t>
        </is>
      </c>
      <c r="B4" t="inlineStr">
        <is>
          <t>Google Senior Data Engineer</t>
        </is>
      </c>
      <c r="C4" t="inlineStr">
        <is>
          <t>Accenture</t>
        </is>
      </c>
      <c r="D4" t="inlineStr">
        <is>
          <t>indeed</t>
        </is>
      </c>
      <c r="E4" t="inlineStr"/>
      <c r="F4" t="inlineStr"/>
      <c r="G4" t="inlineStr">
        <is>
          <t>Arlington, VA, US</t>
        </is>
      </c>
      <c r="H4" s="2" t="n">
        <v>46047</v>
      </c>
      <c r="I4"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
      <c r="A5" t="inlineStr">
        <is>
          <t>in-45a70d8790948934</t>
        </is>
      </c>
      <c r="B5" t="inlineStr">
        <is>
          <t>Google Senior Data Engineer</t>
        </is>
      </c>
      <c r="C5" t="inlineStr">
        <is>
          <t>Accenture</t>
        </is>
      </c>
      <c r="D5" t="inlineStr">
        <is>
          <t>indeed</t>
        </is>
      </c>
      <c r="E5" t="inlineStr"/>
      <c r="F5" t="inlineStr"/>
      <c r="G5" t="inlineStr">
        <is>
          <t>Cleveland, OH, US</t>
        </is>
      </c>
      <c r="H5" s="2" t="n">
        <v>46047</v>
      </c>
      <c r="I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
      <c r="A6" t="inlineStr">
        <is>
          <t>in-17fed0761ab018c0</t>
        </is>
      </c>
      <c r="B6" t="inlineStr">
        <is>
          <t>Google Senior Data Engineer</t>
        </is>
      </c>
      <c r="C6" t="inlineStr">
        <is>
          <t>Accenture</t>
        </is>
      </c>
      <c r="D6" t="inlineStr">
        <is>
          <t>indeed</t>
        </is>
      </c>
      <c r="E6" t="inlineStr"/>
      <c r="F6" t="inlineStr"/>
      <c r="G6" t="inlineStr">
        <is>
          <t>Pittsburgh, PA, US</t>
        </is>
      </c>
      <c r="H6" s="2" t="n">
        <v>46047</v>
      </c>
      <c r="I6"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
      <c r="A7" t="inlineStr">
        <is>
          <t>in-79b1be8aae706b69</t>
        </is>
      </c>
      <c r="B7" t="inlineStr">
        <is>
          <t>Google Senior Data Engineer</t>
        </is>
      </c>
      <c r="C7" t="inlineStr">
        <is>
          <t>Accenture</t>
        </is>
      </c>
      <c r="D7" t="inlineStr">
        <is>
          <t>indeed</t>
        </is>
      </c>
      <c r="E7" t="inlineStr"/>
      <c r="F7" t="inlineStr"/>
      <c r="G7" t="inlineStr">
        <is>
          <t>Seattle, WA, US</t>
        </is>
      </c>
      <c r="H7" s="2" t="n">
        <v>46047</v>
      </c>
      <c r="I7"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
      <c r="A8" t="inlineStr">
        <is>
          <t>in-cc992a49ebb3063b</t>
        </is>
      </c>
      <c r="B8" t="inlineStr">
        <is>
          <t>Google Senior Data Engineer</t>
        </is>
      </c>
      <c r="C8" t="inlineStr">
        <is>
          <t>Accenture</t>
        </is>
      </c>
      <c r="D8" t="inlineStr">
        <is>
          <t>indeed</t>
        </is>
      </c>
      <c r="E8" t="inlineStr"/>
      <c r="F8" t="inlineStr"/>
      <c r="G8" t="inlineStr">
        <is>
          <t>Kirkland, WA, US</t>
        </is>
      </c>
      <c r="H8" s="2" t="n">
        <v>46047</v>
      </c>
      <c r="I8"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
      <c r="A9" t="inlineStr">
        <is>
          <t>in-a9f759170452499a</t>
        </is>
      </c>
      <c r="B9" t="inlineStr">
        <is>
          <t>Google Senior Data Engineer</t>
        </is>
      </c>
      <c r="C9" t="inlineStr">
        <is>
          <t>Accenture</t>
        </is>
      </c>
      <c r="D9" t="inlineStr">
        <is>
          <t>indeed</t>
        </is>
      </c>
      <c r="E9" t="inlineStr"/>
      <c r="F9" t="inlineStr"/>
      <c r="G9" t="inlineStr">
        <is>
          <t>Beaverton, OR, US</t>
        </is>
      </c>
      <c r="H9" s="2" t="n">
        <v>46047</v>
      </c>
      <c r="I9"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
      <c r="A10" t="inlineStr">
        <is>
          <t>in-936ea9d0b9243f39</t>
        </is>
      </c>
      <c r="B10" t="inlineStr">
        <is>
          <t>Google Senior Data Engineer</t>
        </is>
      </c>
      <c r="C10" t="inlineStr">
        <is>
          <t>Accenture</t>
        </is>
      </c>
      <c r="D10" t="inlineStr">
        <is>
          <t>indeed</t>
        </is>
      </c>
      <c r="E10" t="inlineStr"/>
      <c r="F10" t="inlineStr"/>
      <c r="G10" t="inlineStr">
        <is>
          <t>Nashville, TN, US</t>
        </is>
      </c>
      <c r="H10" s="2" t="n">
        <v>46047</v>
      </c>
      <c r="I10"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
      <c r="A11" t="inlineStr">
        <is>
          <t>in-d5b6599f384b2d3c</t>
        </is>
      </c>
      <c r="B11" t="inlineStr">
        <is>
          <t>Google Senior Data Engineer</t>
        </is>
      </c>
      <c r="C11" t="inlineStr">
        <is>
          <t>Accenture</t>
        </is>
      </c>
      <c r="D11" t="inlineStr">
        <is>
          <t>indeed</t>
        </is>
      </c>
      <c r="E11" t="inlineStr"/>
      <c r="F11" t="inlineStr"/>
      <c r="G11" t="inlineStr">
        <is>
          <t>Houston, TX, US</t>
        </is>
      </c>
      <c r="H11" s="2" t="n">
        <v>46047</v>
      </c>
      <c r="I11"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
      <c r="A12" t="inlineStr">
        <is>
          <t>in-4047aeac5a9900c8</t>
        </is>
      </c>
      <c r="B12" t="inlineStr">
        <is>
          <t>Google Senior Data Engineer</t>
        </is>
      </c>
      <c r="C12" t="inlineStr">
        <is>
          <t>Accenture</t>
        </is>
      </c>
      <c r="D12" t="inlineStr">
        <is>
          <t>indeed</t>
        </is>
      </c>
      <c r="E12" t="inlineStr"/>
      <c r="F12" t="inlineStr"/>
      <c r="G12" t="inlineStr">
        <is>
          <t>Philadelphia, PA, US</t>
        </is>
      </c>
      <c r="H12" s="2" t="n">
        <v>46047</v>
      </c>
      <c r="I12"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3">
      <c r="A13" t="inlineStr">
        <is>
          <t>in-7b237920ba11fc01</t>
        </is>
      </c>
      <c r="B13" t="inlineStr">
        <is>
          <t>Google Senior Data Engineer</t>
        </is>
      </c>
      <c r="C13" t="inlineStr">
        <is>
          <t>Accenture</t>
        </is>
      </c>
      <c r="D13" t="inlineStr">
        <is>
          <t>indeed</t>
        </is>
      </c>
      <c r="E13" t="inlineStr"/>
      <c r="F13" t="inlineStr"/>
      <c r="G13" t="inlineStr">
        <is>
          <t>Austin, TX, US</t>
        </is>
      </c>
      <c r="H13" s="2" t="n">
        <v>46047</v>
      </c>
      <c r="I13"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4">
      <c r="A14" t="inlineStr">
        <is>
          <t>in-e849594ced630958</t>
        </is>
      </c>
      <c r="B14" t="inlineStr">
        <is>
          <t>Google Senior Data Engineer</t>
        </is>
      </c>
      <c r="C14" t="inlineStr">
        <is>
          <t>Accenture</t>
        </is>
      </c>
      <c r="D14" t="inlineStr">
        <is>
          <t>indeed</t>
        </is>
      </c>
      <c r="E14" t="inlineStr"/>
      <c r="F14" t="inlineStr"/>
      <c r="G14" t="inlineStr">
        <is>
          <t>Redmond, WA, US</t>
        </is>
      </c>
      <c r="H14" s="2" t="n">
        <v>46047</v>
      </c>
      <c r="I14"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
      <c r="A15" t="inlineStr">
        <is>
          <t>in-953fbb70097fe03f</t>
        </is>
      </c>
      <c r="B15" t="inlineStr">
        <is>
          <t>Google Senior Data Engineer</t>
        </is>
      </c>
      <c r="C15" t="inlineStr">
        <is>
          <t>Accenture</t>
        </is>
      </c>
      <c r="D15" t="inlineStr">
        <is>
          <t>indeed</t>
        </is>
      </c>
      <c r="E15" t="inlineStr"/>
      <c r="F15" t="inlineStr"/>
      <c r="G15" t="inlineStr">
        <is>
          <t>Irving, TX, US</t>
        </is>
      </c>
      <c r="H15" s="2" t="n">
        <v>46047</v>
      </c>
      <c r="I1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
      <c r="A16" t="inlineStr">
        <is>
          <t>in-616fcdfe4ddfc279</t>
        </is>
      </c>
      <c r="B16" t="inlineStr">
        <is>
          <t>Google Senior Data Engineer</t>
        </is>
      </c>
      <c r="C16" t="inlineStr">
        <is>
          <t>Accenture</t>
        </is>
      </c>
      <c r="D16" t="inlineStr">
        <is>
          <t>indeed</t>
        </is>
      </c>
      <c r="E16" t="inlineStr"/>
      <c r="F16" t="inlineStr"/>
      <c r="G16" t="inlineStr">
        <is>
          <t>Milwaukee, WI, US</t>
        </is>
      </c>
      <c r="H16" s="2" t="n">
        <v>46047</v>
      </c>
      <c r="I16"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
      <c r="A17" t="inlineStr">
        <is>
          <t>in-6ca2afad2d2b9eaa</t>
        </is>
      </c>
      <c r="B17" t="inlineStr">
        <is>
          <t>Google Senior Data Engineer</t>
        </is>
      </c>
      <c r="C17" t="inlineStr">
        <is>
          <t>Accenture</t>
        </is>
      </c>
      <c r="D17" t="inlineStr">
        <is>
          <t>indeed</t>
        </is>
      </c>
      <c r="E17" t="inlineStr"/>
      <c r="F17" t="inlineStr"/>
      <c r="G17" t="inlineStr">
        <is>
          <t>Columbus, OH, US</t>
        </is>
      </c>
      <c r="H17" s="2" t="n">
        <v>46047</v>
      </c>
      <c r="I17"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
      <c r="A18" t="inlineStr">
        <is>
          <t>in-2563c793a8582673</t>
        </is>
      </c>
      <c r="B18" t="inlineStr">
        <is>
          <t>Google Senior Data Engineer</t>
        </is>
      </c>
      <c r="C18" t="inlineStr">
        <is>
          <t>Accenture</t>
        </is>
      </c>
      <c r="D18" t="inlineStr">
        <is>
          <t>indeed</t>
        </is>
      </c>
      <c r="E18" t="inlineStr"/>
      <c r="F18" t="inlineStr"/>
      <c r="G18" t="inlineStr">
        <is>
          <t>New York, NY, US</t>
        </is>
      </c>
      <c r="H18" s="2" t="n">
        <v>46047</v>
      </c>
      <c r="I18"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9">
      <c r="A19" t="inlineStr">
        <is>
          <t>in-8ad6b7f531c10df2</t>
        </is>
      </c>
      <c r="B19" t="inlineStr">
        <is>
          <t>Google Senior Data Engineer</t>
        </is>
      </c>
      <c r="C19" t="inlineStr">
        <is>
          <t>Accenture</t>
        </is>
      </c>
      <c r="D19" t="inlineStr">
        <is>
          <t>indeed</t>
        </is>
      </c>
      <c r="E19" t="inlineStr"/>
      <c r="F19" t="inlineStr"/>
      <c r="G19" t="inlineStr">
        <is>
          <t>Oklahoma City, OK, US</t>
        </is>
      </c>
      <c r="H19" s="2" t="n">
        <v>46047</v>
      </c>
      <c r="I19"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
      <c r="A20" t="inlineStr">
        <is>
          <t>in-e08bd37a2ca19038</t>
        </is>
      </c>
      <c r="B20" t="inlineStr">
        <is>
          <t>Google Senior Data Engineer</t>
        </is>
      </c>
      <c r="C20" t="inlineStr">
        <is>
          <t>Accenture</t>
        </is>
      </c>
      <c r="D20" t="inlineStr">
        <is>
          <t>indeed</t>
        </is>
      </c>
      <c r="E20" t="inlineStr"/>
      <c r="F20" t="inlineStr"/>
      <c r="G20" t="inlineStr">
        <is>
          <t>Raleigh, NC, US</t>
        </is>
      </c>
      <c r="H20" s="2" t="n">
        <v>46047</v>
      </c>
      <c r="I20"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
      <c r="A21" t="inlineStr">
        <is>
          <t>in-6d5fc72659b90f09</t>
        </is>
      </c>
      <c r="B21" t="inlineStr">
        <is>
          <t>Google Senior Data Engineer</t>
        </is>
      </c>
      <c r="C21" t="inlineStr">
        <is>
          <t>Accenture</t>
        </is>
      </c>
      <c r="D21" t="inlineStr">
        <is>
          <t>indeed</t>
        </is>
      </c>
      <c r="E21" t="inlineStr"/>
      <c r="F21" t="inlineStr"/>
      <c r="G21" t="inlineStr">
        <is>
          <t>Cincinnati, OH, US</t>
        </is>
      </c>
      <c r="H21" s="2" t="n">
        <v>46047</v>
      </c>
      <c r="I21"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
      <c r="A22" t="inlineStr">
        <is>
          <t>in-3b76a3c4099d87e7</t>
        </is>
      </c>
      <c r="B22" t="inlineStr">
        <is>
          <t>Google Senior Data Engineer</t>
        </is>
      </c>
      <c r="C22" t="inlineStr">
        <is>
          <t>Accenture</t>
        </is>
      </c>
      <c r="D22" t="inlineStr">
        <is>
          <t>indeed</t>
        </is>
      </c>
      <c r="E22" t="inlineStr"/>
      <c r="F22" t="inlineStr"/>
      <c r="G22" t="inlineStr">
        <is>
          <t>Minneapolis, MN, US</t>
        </is>
      </c>
      <c r="H22" s="2" t="n">
        <v>46047</v>
      </c>
      <c r="I22"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3">
      <c r="A23" t="inlineStr">
        <is>
          <t>in-69137bbb10fead5b</t>
        </is>
      </c>
      <c r="B23" t="inlineStr">
        <is>
          <t>Google Senior Data Engineer</t>
        </is>
      </c>
      <c r="C23" t="inlineStr">
        <is>
          <t>Accenture</t>
        </is>
      </c>
      <c r="D23" t="inlineStr">
        <is>
          <t>indeed</t>
        </is>
      </c>
      <c r="E23" t="inlineStr"/>
      <c r="F23" t="inlineStr"/>
      <c r="G23" t="inlineStr">
        <is>
          <t>Charlotte, NC, US</t>
        </is>
      </c>
      <c r="H23" s="2" t="n">
        <v>46047</v>
      </c>
      <c r="I23"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4">
      <c r="A24" t="inlineStr">
        <is>
          <t>in-8b614bdd6fd8dab9</t>
        </is>
      </c>
      <c r="B24" t="inlineStr">
        <is>
          <t>Google Senior Data Engineer</t>
        </is>
      </c>
      <c r="C24" t="inlineStr">
        <is>
          <t>Accenture</t>
        </is>
      </c>
      <c r="D24" t="inlineStr">
        <is>
          <t>indeed</t>
        </is>
      </c>
      <c r="E24" t="inlineStr"/>
      <c r="F24" t="inlineStr"/>
      <c r="G24" t="inlineStr">
        <is>
          <t>Hartford, CT, US</t>
        </is>
      </c>
      <c r="H24" s="2" t="n">
        <v>46047</v>
      </c>
      <c r="I24"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5">
      <c r="A25" t="inlineStr">
        <is>
          <t>in-d5f23a25bdf2b638</t>
        </is>
      </c>
      <c r="B25" t="inlineStr">
        <is>
          <t>Google Senior Data Engineer</t>
        </is>
      </c>
      <c r="C25" t="inlineStr">
        <is>
          <t>Accenture</t>
        </is>
      </c>
      <c r="D25" t="inlineStr">
        <is>
          <t>indeed</t>
        </is>
      </c>
      <c r="E25" t="inlineStr"/>
      <c r="F25" t="inlineStr"/>
      <c r="G25" t="inlineStr">
        <is>
          <t>Detroit, MI, US</t>
        </is>
      </c>
      <c r="H25" s="2" t="n">
        <v>46047</v>
      </c>
      <c r="I2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6">
      <c r="A26" t="inlineStr">
        <is>
          <t>in-8fde742af59a3fd9</t>
        </is>
      </c>
      <c r="B26" t="inlineStr">
        <is>
          <t>Google Senior Data Engineer</t>
        </is>
      </c>
      <c r="C26" t="inlineStr">
        <is>
          <t>Accenture</t>
        </is>
      </c>
      <c r="D26" t="inlineStr">
        <is>
          <t>indeed</t>
        </is>
      </c>
      <c r="E26" t="inlineStr"/>
      <c r="F26" t="inlineStr"/>
      <c r="G26" t="inlineStr">
        <is>
          <t>St. Louis, MO, US</t>
        </is>
      </c>
      <c r="H26" s="2" t="n">
        <v>46047</v>
      </c>
      <c r="I26"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7">
      <c r="A27" t="inlineStr">
        <is>
          <t>in-c2e30870526ad75a</t>
        </is>
      </c>
      <c r="B27" t="inlineStr">
        <is>
          <t>Google Senior Data Engineer</t>
        </is>
      </c>
      <c r="C27" t="inlineStr">
        <is>
          <t>Accenture</t>
        </is>
      </c>
      <c r="D27" t="inlineStr">
        <is>
          <t>indeed</t>
        </is>
      </c>
      <c r="E27" t="inlineStr"/>
      <c r="F27" t="inlineStr"/>
      <c r="G27" t="inlineStr">
        <is>
          <t>Saint Petersburg, FL, US</t>
        </is>
      </c>
      <c r="H27" s="2" t="n">
        <v>46047</v>
      </c>
      <c r="I27"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8">
      <c r="A28" t="inlineStr">
        <is>
          <t>in-2db804778dd779cc</t>
        </is>
      </c>
      <c r="B28" t="inlineStr">
        <is>
          <t>Google Senior Data Engineer</t>
        </is>
      </c>
      <c r="C28" t="inlineStr">
        <is>
          <t>Accenture</t>
        </is>
      </c>
      <c r="D28" t="inlineStr">
        <is>
          <t>indeed</t>
        </is>
      </c>
      <c r="E28" t="inlineStr"/>
      <c r="F28" t="inlineStr"/>
      <c r="G28" t="inlineStr">
        <is>
          <t>Overland Park, KS, US</t>
        </is>
      </c>
      <c r="H28" s="2" t="n">
        <v>46047</v>
      </c>
      <c r="I28"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9">
      <c r="A29" t="inlineStr">
        <is>
          <t>in-7c3164c628d1ca35</t>
        </is>
      </c>
      <c r="B29" t="inlineStr">
        <is>
          <t>Google Senior Data Engineer</t>
        </is>
      </c>
      <c r="C29" t="inlineStr">
        <is>
          <t>Accenture</t>
        </is>
      </c>
      <c r="D29" t="inlineStr">
        <is>
          <t>indeed</t>
        </is>
      </c>
      <c r="E29" t="inlineStr"/>
      <c r="F29" t="inlineStr"/>
      <c r="G29" t="inlineStr">
        <is>
          <t>Albany, NY, US</t>
        </is>
      </c>
      <c r="H29" s="2" t="n">
        <v>46047</v>
      </c>
      <c r="I29"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0">
      <c r="A30" t="inlineStr">
        <is>
          <t>in-aad7c9e4839a3e20</t>
        </is>
      </c>
      <c r="B30" t="inlineStr">
        <is>
          <t>Google Senior Data Engineer</t>
        </is>
      </c>
      <c r="C30" t="inlineStr">
        <is>
          <t>Accenture</t>
        </is>
      </c>
      <c r="D30" t="inlineStr">
        <is>
          <t>indeed</t>
        </is>
      </c>
      <c r="E30" t="inlineStr"/>
      <c r="F30" t="inlineStr"/>
      <c r="G30" t="inlineStr">
        <is>
          <t>Atlanta, GA, US</t>
        </is>
      </c>
      <c r="H30" s="2" t="n">
        <v>46047</v>
      </c>
      <c r="I30"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1">
      <c r="A31" t="inlineStr">
        <is>
          <t>in-5098b918b8f755f0</t>
        </is>
      </c>
      <c r="B31" t="inlineStr">
        <is>
          <t>Google Senior Data Engineer</t>
        </is>
      </c>
      <c r="C31" t="inlineStr">
        <is>
          <t>Accenture</t>
        </is>
      </c>
      <c r="D31" t="inlineStr">
        <is>
          <t>indeed</t>
        </is>
      </c>
      <c r="E31" t="inlineStr"/>
      <c r="F31" t="inlineStr"/>
      <c r="G31" t="inlineStr">
        <is>
          <t>Boston, MA, US</t>
        </is>
      </c>
      <c r="H31" s="2" t="n">
        <v>46047</v>
      </c>
      <c r="I31"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2">
      <c r="A32" t="inlineStr">
        <is>
          <t>in-4c3120335b39401f</t>
        </is>
      </c>
      <c r="B32" t="inlineStr">
        <is>
          <t>Google Senior Data Engineer</t>
        </is>
      </c>
      <c r="C32" t="inlineStr">
        <is>
          <t>Accenture</t>
        </is>
      </c>
      <c r="D32" t="inlineStr">
        <is>
          <t>indeed</t>
        </is>
      </c>
      <c r="E32" t="inlineStr"/>
      <c r="F32" t="inlineStr"/>
      <c r="G32" t="inlineStr">
        <is>
          <t>Morristown, NJ, US</t>
        </is>
      </c>
      <c r="H32" s="2" t="n">
        <v>46047</v>
      </c>
      <c r="I32"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3">
      <c r="A33" t="inlineStr">
        <is>
          <t>in-c2bb07f073b5212d</t>
        </is>
      </c>
      <c r="B33" t="inlineStr">
        <is>
          <t>Google Senior Data Engineer</t>
        </is>
      </c>
      <c r="C33" t="inlineStr">
        <is>
          <t>Accenture</t>
        </is>
      </c>
      <c r="D33" t="inlineStr">
        <is>
          <t>indeed</t>
        </is>
      </c>
      <c r="E33" t="inlineStr"/>
      <c r="F33" t="inlineStr"/>
      <c r="G33" t="inlineStr">
        <is>
          <t>Chicago, IL, US</t>
        </is>
      </c>
      <c r="H33" s="2" t="n">
        <v>46047</v>
      </c>
      <c r="I33"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4">
      <c r="A34" t="inlineStr">
        <is>
          <t>in-d0cfa531291f45ec</t>
        </is>
      </c>
      <c r="B34" t="inlineStr">
        <is>
          <t>Google Senior Data Engineer</t>
        </is>
      </c>
      <c r="C34" t="inlineStr">
        <is>
          <t>Accenture</t>
        </is>
      </c>
      <c r="D34" t="inlineStr">
        <is>
          <t>indeed</t>
        </is>
      </c>
      <c r="E34" t="inlineStr"/>
      <c r="F34" t="inlineStr"/>
      <c r="G34" t="inlineStr">
        <is>
          <t>Carmel, IN, US</t>
        </is>
      </c>
      <c r="H34" s="2" t="n">
        <v>46047</v>
      </c>
      <c r="I34"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5">
      <c r="A35" t="inlineStr">
        <is>
          <t>in-06946a6b1b441475</t>
        </is>
      </c>
      <c r="B35" t="inlineStr">
        <is>
          <t>Google Senior Data Engineer</t>
        </is>
      </c>
      <c r="C35" t="inlineStr">
        <is>
          <t>Accenture</t>
        </is>
      </c>
      <c r="D35" t="inlineStr">
        <is>
          <t>indeed</t>
        </is>
      </c>
      <c r="E35" t="inlineStr"/>
      <c r="F35" t="inlineStr"/>
      <c r="G35" t="inlineStr">
        <is>
          <t>Des Moines, IA, US</t>
        </is>
      </c>
      <c r="H35" s="2" t="n">
        <v>46047</v>
      </c>
      <c r="I3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6">
      <c r="A36" t="inlineStr">
        <is>
          <t>in-0f99eda2ed5abbed</t>
        </is>
      </c>
      <c r="B36" t="inlineStr">
        <is>
          <t>Google Senior Data Engineer</t>
        </is>
      </c>
      <c r="C36" t="inlineStr">
        <is>
          <t>Accenture</t>
        </is>
      </c>
      <c r="D36" t="inlineStr">
        <is>
          <t>indeed</t>
        </is>
      </c>
      <c r="E36" t="inlineStr"/>
      <c r="F36" t="inlineStr"/>
      <c r="G36" t="inlineStr">
        <is>
          <t>Denver, CO, US</t>
        </is>
      </c>
      <c r="H36" s="2" t="n">
        <v>46047</v>
      </c>
      <c r="I36"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7">
      <c r="A37" t="inlineStr">
        <is>
          <t>in-81097c9c7ad9edc7</t>
        </is>
      </c>
      <c r="B37" t="inlineStr">
        <is>
          <t>Google Senior Data Engineer</t>
        </is>
      </c>
      <c r="C37" t="inlineStr">
        <is>
          <t>Accenture</t>
        </is>
      </c>
      <c r="D37" t="inlineStr">
        <is>
          <t>indeed</t>
        </is>
      </c>
      <c r="E37" t="inlineStr"/>
      <c r="F37" t="inlineStr"/>
      <c r="G37" t="inlineStr">
        <is>
          <t>Walnut Creek, CA, US</t>
        </is>
      </c>
      <c r="H37" s="2" t="n">
        <v>46047</v>
      </c>
      <c r="I37"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8">
      <c r="A38" t="inlineStr">
        <is>
          <t>in-02860486c2e74db7</t>
        </is>
      </c>
      <c r="B38" t="inlineStr">
        <is>
          <t>Google Senior Data Engineer</t>
        </is>
      </c>
      <c r="C38" t="inlineStr">
        <is>
          <t>Accenture</t>
        </is>
      </c>
      <c r="D38" t="inlineStr">
        <is>
          <t>indeed</t>
        </is>
      </c>
      <c r="E38" t="inlineStr"/>
      <c r="F38" t="inlineStr"/>
      <c r="G38" t="inlineStr">
        <is>
          <t>Miami, FL, US</t>
        </is>
      </c>
      <c r="H38" s="2" t="n">
        <v>46047</v>
      </c>
      <c r="I38"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9">
      <c r="A39" t="inlineStr">
        <is>
          <t>in-582ed39308d467d6</t>
        </is>
      </c>
      <c r="B39" t="inlineStr">
        <is>
          <t>Google Senior Data Engineer</t>
        </is>
      </c>
      <c r="C39" t="inlineStr">
        <is>
          <t>Accenture</t>
        </is>
      </c>
      <c r="D39" t="inlineStr">
        <is>
          <t>indeed</t>
        </is>
      </c>
      <c r="E39" t="inlineStr"/>
      <c r="F39" t="inlineStr"/>
      <c r="G39" t="inlineStr">
        <is>
          <t>Mountain View, CA, US</t>
        </is>
      </c>
      <c r="H39" s="2" t="n">
        <v>46047</v>
      </c>
      <c r="I39"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0">
      <c r="A40" t="inlineStr">
        <is>
          <t>in-5bbb26f63eb0c0d9</t>
        </is>
      </c>
      <c r="B40" t="inlineStr">
        <is>
          <t>Google Senior Data Engineer</t>
        </is>
      </c>
      <c r="C40" t="inlineStr">
        <is>
          <t>Accenture</t>
        </is>
      </c>
      <c r="D40" t="inlineStr">
        <is>
          <t>indeed</t>
        </is>
      </c>
      <c r="E40" t="inlineStr"/>
      <c r="F40" t="inlineStr"/>
      <c r="G40" t="inlineStr">
        <is>
          <t>San Francisco, CA, US</t>
        </is>
      </c>
      <c r="H40" s="2" t="n">
        <v>46047</v>
      </c>
      <c r="I40"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1">
      <c r="A41" t="inlineStr">
        <is>
          <t>in-2529b1cf5c4efbf7</t>
        </is>
      </c>
      <c r="B41" t="inlineStr">
        <is>
          <t>Google Senior Data Engineer</t>
        </is>
      </c>
      <c r="C41" t="inlineStr">
        <is>
          <t>Accenture</t>
        </is>
      </c>
      <c r="D41" t="inlineStr">
        <is>
          <t>indeed</t>
        </is>
      </c>
      <c r="E41" t="inlineStr"/>
      <c r="F41" t="inlineStr"/>
      <c r="G41" t="inlineStr">
        <is>
          <t>Sacramento, CA, US</t>
        </is>
      </c>
      <c r="H41" s="2" t="n">
        <v>46047</v>
      </c>
      <c r="I41"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2">
      <c r="A42" t="inlineStr">
        <is>
          <t>in-d4ea6f971a276c8f</t>
        </is>
      </c>
      <c r="B42" t="inlineStr">
        <is>
          <t>Google Senior Data Engineer</t>
        </is>
      </c>
      <c r="C42" t="inlineStr">
        <is>
          <t>Accenture</t>
        </is>
      </c>
      <c r="D42" t="inlineStr">
        <is>
          <t>indeed</t>
        </is>
      </c>
      <c r="E42" t="inlineStr"/>
      <c r="F42" t="inlineStr"/>
      <c r="G42" t="inlineStr">
        <is>
          <t>Culver City, CA, US</t>
        </is>
      </c>
      <c r="H42" s="2" t="n">
        <v>46047</v>
      </c>
      <c r="I42"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3">
      <c r="A43" t="inlineStr">
        <is>
          <t>in-8f1a1e1a865dec5d</t>
        </is>
      </c>
      <c r="B43" t="inlineStr">
        <is>
          <t>Google Senior Data Engineer</t>
        </is>
      </c>
      <c r="C43" t="inlineStr">
        <is>
          <t>Accenture</t>
        </is>
      </c>
      <c r="D43" t="inlineStr">
        <is>
          <t>indeed</t>
        </is>
      </c>
      <c r="E43" t="inlineStr"/>
      <c r="F43" t="inlineStr"/>
      <c r="G43" t="inlineStr">
        <is>
          <t>Scottsdale, AZ, US</t>
        </is>
      </c>
      <c r="H43" s="2" t="n">
        <v>46047</v>
      </c>
      <c r="I43"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4">
      <c r="A44" t="inlineStr">
        <is>
          <t>in-fdea5da6a7afe05c</t>
        </is>
      </c>
      <c r="B44" t="inlineStr">
        <is>
          <t>Google Senior Data Engineer</t>
        </is>
      </c>
      <c r="C44" t="inlineStr">
        <is>
          <t>Accenture</t>
        </is>
      </c>
      <c r="D44" t="inlineStr">
        <is>
          <t>indeed</t>
        </is>
      </c>
      <c r="E44" t="inlineStr"/>
      <c r="F44" t="inlineStr"/>
      <c r="G44" t="inlineStr">
        <is>
          <t>Los Angeles, CA, US</t>
        </is>
      </c>
      <c r="H44" s="2" t="n">
        <v>46047</v>
      </c>
      <c r="I44"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5">
      <c r="A45" t="inlineStr">
        <is>
          <t>in-80d1f0497625dbeb</t>
        </is>
      </c>
      <c r="B45" t="inlineStr">
        <is>
          <t>Google Senior Data Engineer</t>
        </is>
      </c>
      <c r="C45" t="inlineStr">
        <is>
          <t>Accenture</t>
        </is>
      </c>
      <c r="D45" t="inlineStr">
        <is>
          <t>indeed</t>
        </is>
      </c>
      <c r="E45" t="inlineStr"/>
      <c r="F45" t="inlineStr"/>
      <c r="G45" t="inlineStr">
        <is>
          <t>San Diego, CA, US</t>
        </is>
      </c>
      <c r="H45" s="2" t="n">
        <v>46047</v>
      </c>
      <c r="I4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6">
      <c r="A46" t="inlineStr">
        <is>
          <t>in-9a2be13941e6b049</t>
        </is>
      </c>
      <c r="B46" t="inlineStr">
        <is>
          <t>Google Senior Data Engineer</t>
        </is>
      </c>
      <c r="C46" t="inlineStr">
        <is>
          <t>Accenture</t>
        </is>
      </c>
      <c r="D46" t="inlineStr">
        <is>
          <t>indeed</t>
        </is>
      </c>
      <c r="E46" t="inlineStr"/>
      <c r="F46" t="inlineStr"/>
      <c r="G46" t="inlineStr">
        <is>
          <t>Bentonville, AR, US</t>
        </is>
      </c>
      <c r="H46" s="2" t="n">
        <v>46047</v>
      </c>
      <c r="I46"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7">
      <c r="A47" t="inlineStr">
        <is>
          <t>in-1563eca2f1e287eb</t>
        </is>
      </c>
      <c r="B47" t="inlineStr">
        <is>
          <t>Data Engineer</t>
        </is>
      </c>
      <c r="C47" t="inlineStr">
        <is>
          <t>Amazon.com</t>
        </is>
      </c>
      <c r="D47" t="inlineStr">
        <is>
          <t>indeed</t>
        </is>
      </c>
      <c r="E47" t="inlineStr"/>
      <c r="F47" t="inlineStr"/>
      <c r="G47" t="inlineStr">
        <is>
          <t>Seattle, WA, US</t>
        </is>
      </c>
      <c r="H47" s="2" t="n">
        <v>46001</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in-7de81a57de5a1765</t>
        </is>
      </c>
      <c r="B48" t="inlineStr">
        <is>
          <t>Data Engineer</t>
        </is>
      </c>
      <c r="C48" t="inlineStr">
        <is>
          <t>Amazon.com</t>
        </is>
      </c>
      <c r="D48" t="inlineStr">
        <is>
          <t>indeed</t>
        </is>
      </c>
      <c r="E48" t="inlineStr"/>
      <c r="F48" t="inlineStr"/>
      <c r="G48" t="inlineStr">
        <is>
          <t>San Francisco, CA, US</t>
        </is>
      </c>
      <c r="H48" s="2" t="n">
        <v>46001</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in-9e26c181fc7306ef</t>
        </is>
      </c>
      <c r="B49" t="inlineStr">
        <is>
          <t>Delivery Consultant - Data Engineer, Data and Machine Learning, WWPS US Federal</t>
        </is>
      </c>
      <c r="C49" t="inlineStr">
        <is>
          <t>Amazon Web Services</t>
        </is>
      </c>
      <c r="D49" t="inlineStr">
        <is>
          <t>indeed</t>
        </is>
      </c>
      <c r="E49" t="inlineStr"/>
      <c r="F49" t="inlineStr"/>
      <c r="G49" t="inlineStr">
        <is>
          <t>Herndon, VA, US</t>
        </is>
      </c>
      <c r="H49" s="2" t="n">
        <v>45991</v>
      </c>
      <c r="I4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in-5ea470bd79371071</t>
        </is>
      </c>
      <c r="B50" t="inlineStr">
        <is>
          <t>Delivery Consultant - Data Engineer, Data and Machine Learning, WWPS US Federal</t>
        </is>
      </c>
      <c r="C50" t="inlineStr">
        <is>
          <t>Amazon Web Services</t>
        </is>
      </c>
      <c r="D50" t="inlineStr">
        <is>
          <t>indeed</t>
        </is>
      </c>
      <c r="E50" t="inlineStr"/>
      <c r="F50" t="inlineStr"/>
      <c r="G50" t="inlineStr">
        <is>
          <t>Arlington, VA, US</t>
        </is>
      </c>
      <c r="H50" s="2" t="n">
        <v>45991</v>
      </c>
      <c r="I5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in-de7aed7254e45bcf</t>
        </is>
      </c>
      <c r="B51" t="inlineStr">
        <is>
          <t>Data Engineer – Experience Platform (Snr. Dev, Snowflake)| Dallas, TX /Bothell, WA| Any Visa</t>
        </is>
      </c>
      <c r="C51" t="inlineStr">
        <is>
          <t>Tech-assist</t>
        </is>
      </c>
      <c r="D51" t="inlineStr">
        <is>
          <t>indeed</t>
        </is>
      </c>
      <c r="E51">
        <f>HYPERLINK("https://www.indeed.com/viewjob?jk=de7aed7254e45bcf", "https://www.indeed.com/viewjob?jk=de7aed7254e45bcf")</f>
        <v/>
      </c>
      <c r="F51">
        <f>HYPERLINK("http://www.indeed.com/job/data-engineer-experience-platform-snr-dev-snowflake-dallas-tx-bothell-wa-any-visa-de7aed7254e45bcf", "http://www.indeed.com/job/data-engineer-experience-platform-snr-dev-snowflake-dallas-tx-bothell-wa-any-visa-de7aed7254e45bcf")</f>
        <v/>
      </c>
      <c r="G51" t="inlineStr">
        <is>
          <t>Dallas, TX, US</t>
        </is>
      </c>
      <c r="H51" s="3" t="n">
        <v>46048</v>
      </c>
      <c r="I51" t="inlineStr">
        <is>
          <t>**Experience Platform (Snr. Dev, Snowflake)**
Location: Dallas, TX or Bothell, WA (Onsite / Hybrid)
Visa: Any visa accepted
Experience: 5\+ years preferred
Hiring for: W2 / C2C
**Job Description:** We are urgently looking for a Senior Data Engineer for the Experience Platform to join our team in Dallas, TX or Bothell, WA. The candidate must be willing to attend an onsite client interview if required.We are seeking a highly skilled Data Engineer with strong experience in Snowflake, ETL pipelines, and data warehousing solutions.
**Responsibilities:**
* Design, build, and maintain ETL pipelines and data warehouses
* Work with Snowflake, SQL, and cloud\-bbased data platforms
* Optimize data storage, retrieval, and processing performance
* Collaborate with data scientists and business stakeholders
* Participate in Agile ceremonies and code reviews
**Required Skills:**
* Expertise in Snowflake, SQL, and ETL tools
* Knowledge of data modeling, warehousing, and cloud platforms (AWS/Azure/GCP)
* Experience with Python or Scala for data engineering
* Strong problem\-solving and communication skills
**Interview Process:**
* Round 1: Online technical interview
* Round 2: Client round – onsite interview (mandatory)
To Apply: Apply or drop your resume at **team\_hr@tech\-asst.com**
Job Type: Contract
Pay: $55\.00 \- $65\.00 per hour
Benefits:
* Health insurance
* Vision insurance
Application Question(s):
* Are you available to attend an onsite interview in Dallas, TX or Bothell, WA?
Education:
* Bachelor's (Preferred)
Work Location: On the road</t>
        </is>
      </c>
    </row>
    <row r="52">
      <c r="A52" t="inlineStr">
        <is>
          <t>in-90208dfdc2645bef</t>
        </is>
      </c>
      <c r="B52" t="inlineStr">
        <is>
          <t>Senoir Data Engineer</t>
        </is>
      </c>
      <c r="C52" t="inlineStr">
        <is>
          <t>Lamar Advertising</t>
        </is>
      </c>
      <c r="D52" t="inlineStr">
        <is>
          <t>indeed</t>
        </is>
      </c>
      <c r="E52">
        <f>HYPERLINK("https://www.indeed.com/viewjob?jk=90208dfdc2645bef", "https://www.indeed.com/viewjob?jk=90208dfdc2645bef")</f>
        <v/>
      </c>
      <c r="F52">
        <f>HYPERLINK("https://recruiting2.ultipro.com/LAM1000LAC/JobBoard/82898216-ca7a-4621-b01b-bf3410c919b2/OpportunityDetail?opportunityId=d2c5718d-f529-4026-95d0-da4be44c4c12&amp;postingId=69598b47-d2c2-476e-8163-5584eef65b6c", "https://recruiting2.ultipro.com/LAM1000LAC/JobBoard/82898216-ca7a-4621-b01b-bf3410c919b2/OpportunityDetail?opportunityId=d2c5718d-f529-4026-95d0-da4be44c4c12&amp;postingId=69598b47-d2c2-476e-8163-5584eef65b6c")</f>
        <v/>
      </c>
      <c r="G52" t="inlineStr">
        <is>
          <t>Baton Rouge, LA, US</t>
        </is>
      </c>
      <c r="H52" s="3" t="n">
        <v>46048</v>
      </c>
      <c r="I52" t="inlineStr">
        <is>
          <t>**We are looking for a new Senior Data Engineer to join our IT team in the Corporate Office in Baton Rouge, LA.** The Senior Data Engineer will architect, develop, and support enterprise\-grade data platforms and advanced analytics capabilities. This role focuses on integrating diverse data sources such as Oracle Fusion, Salesforce, audience data, impression logs, campaign performance data, location intelligence, financial systems, and legacy platforms to enable data\-driven decisions across revenue, operations, ad delivery, and customer insights. This role will play a critical role in building resilient data pipelines, supporting advanced analytics, enabling AI/ML use cases, ensuring high data quality, and supporting a rapidly scaling advertising network.
Lamar’s Corporate Office in Baton Rouge, LA is home to over 250 professionals from every walk of corporate life. We enjoy a beautifully renovated office building with a modern design, a beverage refreshment station, a relaxing dining area, amazing holiday parties, and a quaint outdoor patio to enjoy the good weather days! We partnered up with Major Menus so you can order online for free delivery from a different restaurant every day!
**Why Lamar?**
**Lamar is a certified Great Place to Work, with 86% of employees in agreement.** Lamar Advertising has also been named as a “Best Company to Work For” in U.S. News \&amp; World Report’s annual ranking.
* **Learn more about us on our official** **YouTube channel****.**
* **Check reviews and company updates on our** **Glassdoor page****.**
* **Learn more about our** **Great Place to Work certification.**
**What you can expect from us:**
* A **Monday \- Friday 8a \- 5p** work schedule
* A salary range of **$112,000 \- $125,000 / year** , dependent on relevant experience and qualifications
* 120 hours of paid time off (PTO) that increases with tenure
* 12 paid company holidays, including President's Day and Juneteenth
* Career advancement opportunities
* Ongoing professional development and internal leadership programs to maximize your career potential
* Multiple medical plan options and health savings account
* Hospital, Critical Illness, and Accident coverage
* Short \&amp; long\-term disability and paid parental leave
* Employee Stock Purchase Plan
* 401k plan with company match
* Wellness program incentives such as medical plan premiums, holidays, and HSA contributions
**What we're looking for in you:**
* Strong expertise in SQL development, query optimization, and performance tuning.
* Hands\-on management of SQL Server high availability clusters with Availability Groups.
* Proven experience developing ETL/ELT pipelines and data integrations across Oracle Fusion, Salesforce, and diverse enterprise systems.
* Strong proficiency with Python for data engineering.
* Strong knowledge of Medallion Architecture, data warehouses, and scalable data platforms.
* Experience with REST APIs, automation frameworks, and integration solutions.
* Demonstrated experience with DevOps, CI/CD, environment automation, and monitoring.
* Experience working with financial data, advanced analytics, statistics, and supporting AI/ML initiatives.
* Proficiency with Tableau or similar BI platforms.
* Strong foundation in data hygiene, data governance, security, and compliance best practices.
* Hands\-on experience with version control systems, specifically SVN, including code promotion strategies.
* Exposure to MLOps, feature stores, or model lifecycle management.
* Knowledge of enterprise architecture, microservices, and modern data platform frameworks.
* Excellent communication, problem\-solving, and stakeholder collaboration skills.
* Knowledge of enterprise architecture, microservices, and modern data platform frameworks.
**Education and Experience:**
* Bachelor’s or Master’s degree in Computer Science, Information Systems, Data Engineering, or related technical field; or an equivalent combination of education and relevant experience required.
* 7 years of experience in Data, data platform development, or analytics engineering within complex, enterprise environments required.
**A day in the life:**
* Design, implement, and maintain robust data orchestration and ETL pipelines to extract and transform data from multiple external sources including Oracle Fusion, Salesforce, and legacy in\-house systems.
* Manage data warehouse environments using Medallion Architecture (Bronze–Silver–Gold) to enable scalable, trusted, and high\-quality data assets.
* Build, optimize, and maintain SQL and Python\-based transformations, automation scripts, workflows, and reusable frameworks.
* Implement and enforce data hygiene, data quality, governance, lineage, and metadata management best practices across data environments.
* Anticipate business growth and ensure the platforms scale efficiently, including performance tuning, storage planning, workload optimization, and architectural evolution.
* Enable and support enterprise BI analytics, ensuring availability of high\-performance curated datasets for business users.
* Support and implement DevOps and CI/CD practices for data engineering, including deployment automation, environment management, and monitoring.
* Manage code repositories, branching strategies, and version control using SVN and Git\-based practices as applicable.
* Develop solutions involving REST APIs and integration frameworks for ingestion and data exchange.
* Partner with analytics, finance, and data teams to support advanced analytics, financial data modeling, statistics, AI, NLP, and machine learning use cases.
* Ensure platform security, governance enforcement, compliance, and best practices for enterprise data handling.
* Provide mentorship, technical leadership, architectural guidance, and participate in design/code reviews.
* Continuously evaluate new tools, technologies, and best practices to enhance the data engineering ecosystem.
* Collaborate with cross\-functional teams to align data strategies with organizational objectives.
* Create technical documents and manage Jira tasks.
**Physical Demands and Work Environment**
* The primary work environment for this position is an office.
* The physical demands for this position include light lifting, seeing (with a focus on reading, color distinction, acuity, and depth perception), sitting more than 50% of the time, talking, and turning.
* Nights spent away from home traveling are less than 10%.
**Who we are:**
Founded in 1902, Lamar Advertising Company is one of the largest outdoor advertising companies in the world. With over 351,000 displays across the United States and Canada, Lamar is dedicated to helping both local businesses and national brands reach broad audiences every day.
We provide ad space through:
* Billboards
* Interstate logos
* Hand\-painted murals
* Transportation and airports
* The largest network of digital billboards in the United States
We live by the Golden Rule, and we operate with honesty and integrity in every aspect of our business. We are open with our employees, transparent with our customers, and loyal to the communities in which we serve. While Lamar is a large company, each office has its own culture and family atmosphere, making employees feel connected both locally and nationally.
We are committed to sustainable and environmentally friendly business practices and use a number of innovative strategies to reduce our environmental impact. We are actively working to reduce our annual greenhouse gas emissions and are projecting a 70% decrease by 2026 as a result of our efforts.
**Lamar is an EEO/AA employer including Individuals with Disabilities, Protected Veterans, and any other State or Federally Protected characteristic.**
**Please note:** Lamar Advertising does not sponsor or take over sponsorship of a work visa. Only candidates with U.S. work authorization not requiring sponsorship will be considered for employment.
**SMS and Email Communications:** By providing your contact information and submitting this form, you agree to receive email and SMS communications from Lamar Advertising Company regarding job opportunities, hiring events, and career\-related updates. Message and data rates may apply. You can opt out at any time by emailing recruiting@lamar.com or replying 'STOP' to text messages. Your information will be processed in accordance with our privacy policy.
**Disability Self\-Identification:** When applying for a job with Lamar, you will be asked to voluntarily self\-identify whether you have a disability. Please take a moment to watch this video for clarification on why we're asking for this information!
**California Residents \-** Lamar collects personal information in the ordinary course of considering job applicants. This information may include, for example, name, address, phone number, and other contact information, employment history and reference contact information, and any other information provided by an applicant to Lamar. By submitting an application, you consent to the use or sharing of this personal information solely for the purpose of consideration for employment by Lamar. Lamar will not sell this information.
\#CorpID</t>
        </is>
      </c>
    </row>
    <row r="53">
      <c r="A53" t="inlineStr">
        <is>
          <t>in-4422a1fc97f62c96</t>
        </is>
      </c>
      <c r="B53" t="inlineStr">
        <is>
          <t>Senior Data &amp; Analytics Engineer</t>
        </is>
      </c>
      <c r="C53" t="inlineStr">
        <is>
          <t>BizzyCar</t>
        </is>
      </c>
      <c r="D53" t="inlineStr">
        <is>
          <t>indeed</t>
        </is>
      </c>
      <c r="E53">
        <f>HYPERLINK("https://www.indeed.com/viewjob?jk=4422a1fc97f62c96", "https://www.indeed.com/viewjob?jk=4422a1fc97f62c96")</f>
        <v/>
      </c>
      <c r="F53">
        <f>HYPERLINK("https://ats.rippling.com/bizzycar/jobs/7b9a18c4-9a9a-467a-93e0-f47e3dd9da28?jobSite=Indeed", "https://ats.rippling.com/bizzycar/jobs/7b9a18c4-9a9a-467a-93e0-f47e3dd9da28?jobSite=Indeed")</f>
        <v/>
      </c>
      <c r="G53" t="inlineStr">
        <is>
          <t>Remote, US</t>
        </is>
      </c>
      <c r="H53" s="3" t="n">
        <v>46048</v>
      </c>
      <c r="I53" t="inlineStr">
        <is>
          <t>**About BizzyCar**
BizzyCar is a B2B SaaS company transforming the automotive care experience for consumers, dealerships, and manufacturers. Our mission is to simplify car repairs, enabling consumers to resolve issues like recalls without leaving home or work. Through our automated platform, we streamline the process from manufacturers to dealers to customers, significantly reducing notification times and making repair scheduling seamless. Dealers benefit from increased repair revenue and strengthened customer relationships, while OEMs avoid costly fines.
We are solving a $22B industry challenge, with over 70 million cars on the road having unresolved recalls. BizzyCar is a fast\-paced, results\-driven company with an experienced leadership team skilled in building high\-value businesses. Employees enjoy competitive pay, equity opportunities, and medical benefits. While we’re a dispersed team, we prioritize collaboration and meet quarterly to maintain our strong culture.
 **About the role**
This is a **build \+ lead** role with real influence.
As a **Senior Data \&amp; Analytics Engineer**, you’ll own BizzyCar’s data foundation
and help shape how data drives decisions across the company. You’ll lead
execution across data initiatives, manage and mentor a growing data team, and
ensure our analytics, pipelines, and insights scale with the business.
This role is ideal for someone who loves being hands\-on technically, enjoys
leading people, and wants their work to directly influence product strategy,
customer experience, and company direction. If you’re excited by turning messy
data into trusted insights—and helping others do the same—you’ll thrive here.
 **What you'll do**
**Own delivery and execution**
* Lead delivery across data initiatives, ensuring roadmaps are executed on time, at high quality, and aligned to business goals
**Lead and grow the data organization**
* Manage and mentor data analysts and data engineers
* Set technical direction and raise the bar for analytics, data modeling, and insights
**Turn data into decisions**
* Drive advanced analysis using Python and SQL to uncover trends and influence product, customer experience, and strategy
**Build and scale data infrastructure**
* Own data pipelines and analytics architecture using dbt and Amazon Redshift
* Ensure performance, reliability, and scalability as the company grows
**Ensure data trust and quality**
* Define and enforce data quality, validation, and governance standards
* Build confidence in analytics and reporting across the organization
**Partner cross\-functionally**
* Work closely with Product, Marketing, Customer Support, and Engineering to align data efforts with real business needs
**Set culture and best practices**
* Promote modern data engineering practices
* Foster a culture of learning, continuous improvement, and innovation
 **What We're Looking For**
**A proven people leader**
* Experience leading, mentoring, and scaling technical teams in fast\-paced environments
**Strong hands\-on technical foundation**
* Deep expertise in:
* + Python (data analysis, automation)
	+ SQL (complex queries, optimization)
	+ dbt (data modeling and transformations)
	+ Amazon Redshift (analytics and warehousing)
**Data platform mindset**
* Strong understanding of ETL/ELT pipelines, data modeling, and scalable system design
**Execution\-focused**
* Comfortable leading initiatives using agile methodologies
* Able to balance speed, quality, and long\-term maintainability
**High\-impact problem solver**
* Confident navigating ambiguity and driving complex technical and organizational challenges to resolution
**Clear communicator**
* Able to translate technical concepts into actionable insights for non\-technical stakeholders
 **Why You’ll Love This Role**
* You’ll own BizzyCar’s data foundation and see the impact of your work across the company
* You’ll lead a growing team and help shape how data is used at scale
* You’ll have real influence on product, strategy, and decision\-making
* You’ll work on meaningful problems that directly affect customers and revenue
 **Benefits**
We value our employees’ time and efforts. Our commitment to your success is enhanced by our competitive compensation and benefits package including paid time off, medical, dental, 401k, vision and equity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To learn more about our company please visit: www.BizzyCar.com.
What We Offer:
* Competitive salary and benefits package
* Opportunities for growth and professional development
* Collaborative, innovative work environment with a passionate team
* The chance to make an impact in a high\-growth, cutting\-edge company at the forefront of automotive technology
BizzyCar, Inc. does not discriminate on the basis of race, sex, color, religion, age, national origin, marital status, disability, veteran status, genetic information, sexual orientation, gender identity, or any other reason prohibited by law in provision of employment opportunities and benefits.
At this time, the company does not provide sponsorship for U.S. visas or immigration benefits. To that end, the company does not provide financial, legal or administrative support for employment\-based U.S. immigration benefits. In compliance with the Immigration Reform and Control Act of 1986, and as a condition of employment, all employees must complete the Form I\-9 and present unexpired documents showing that the employee is legally authorized to work for any employer in the United States.</t>
        </is>
      </c>
    </row>
    <row r="54">
      <c r="A54" t="inlineStr">
        <is>
          <t>in-53f3af695d83963b</t>
        </is>
      </c>
      <c r="B54" t="inlineStr">
        <is>
          <t>Senior Data Engineer</t>
        </is>
      </c>
      <c r="C54" t="inlineStr">
        <is>
          <t>Eventus WholeHealth</t>
        </is>
      </c>
      <c r="D54" t="inlineStr">
        <is>
          <t>indeed</t>
        </is>
      </c>
      <c r="E54">
        <f>HYPERLINK("https://www.indeed.com/viewjob?jk=53f3af695d83963b", "https://www.indeed.com/viewjob?jk=53f3af695d83963b")</f>
        <v/>
      </c>
      <c r="F54">
        <f>HYPERLINK("https://eventus.rec.pro.ukg.net/EVE1500EVEW/JobBoard/477175d5-314e-4f47-9310-11848f9cd31b/OpportunityDetail?opportunityId=65044355-5779-47b3-ab94-5c96da577af2&amp;postingId=852a96e7-5723-46a8-8728-3dd7f79de96a", "https://eventus.rec.pro.ukg.net/EVE1500EVEW/JobBoard/477175d5-314e-4f47-9310-11848f9cd31b/OpportunityDetail?opportunityId=65044355-5779-47b3-ab94-5c96da577af2&amp;postingId=852a96e7-5723-46a8-8728-3dd7f79de96a")</f>
        <v/>
      </c>
      <c r="G54" t="inlineStr">
        <is>
          <t>US</t>
        </is>
      </c>
      <c r="H54" s="3" t="n">
        <v>46048</v>
      </c>
      <c r="I54" t="inlineStr">
        <is>
          <t>***Position*** ***Summary:***
We seek an exceptional Senior Data Engineer to lead the greenfield design, development, and optimization of new healthcare data infrastructure that underpins operations, analytics, and reporting solutions in a high growth environment
**Responsibilities**
* Design the strategy, development, and maintenance of a scalable healthcare data platform and deliver high\-impact data solutions that generate actionable business and clinical insights.
* Influence data strategy and infrastructure by understanding business goals, defining project scope, planned milestones, success criteria and change management considerations.
* Architect and orchestrate robust data pipelines (ETL/ELT) sourced via API FHIR, HL7 from CMS, HIEs, EHRs, payers, labs, etc.
* Optimize data models, storage, and query performance using cloud technologies (Snowflake, Azure).
* Establish robust frameworks and mindset around data governance, code standardization/documentation, testing/alerting, as well as adherence to industry regulations for security/privacy.
* Manage and mentor junior engineers, fostering technical growth, conduct code reviews, and establish best practices in data engineering.
***Quali******fications:*** **Education, Licensure and Certifications, Related Work Experience**
* Degree in computer science, engineering, or related field.
* 4\+ years of experience designing, architecting, and implementing data warehouses.
* Hands\-on experience using Snowflake, SQL, Python, dbt with healthcare data systems (e.g., HL7, FHIR, EHRs, claims, risk adjustment) and common EHR and medical claim / administrative workflows.
* Strong understanding of healthcare regulatory requirements (HIPAA, PHI handling).
* Strong critical thinking and problem solving abilities and prior exposure to a high\-growth or startup healthcare environment.
* Works collaboratively in a fast\-paced, unstructured environment, managing competing deadlines, and adapts to evolving responsibilities.
About Eventus WholeHealth:
Eventus WholeHealth was founded in 2012 to provide physician\-led healthcare services for residents and patients of skilled nursing and assisted living facilities. With our highly\-trained team of physicians, psychiatrists, nurse practitioners, physician assistants, psychotherapists, podiatrists, and support staff, our comprehensive, evidence\-based model provides collaborative interdisciplinary care with the seamless and vital integration of a wide range of specialties. Our differentiated approach not only empowers the facilities to reach their own goals and objectives but also ensures better patient outcomes. For more information, please visit www.eventuswholehealth.com</t>
        </is>
      </c>
    </row>
    <row r="55">
      <c r="A55" t="inlineStr">
        <is>
          <t>in-c6526b30a45ebfc0</t>
        </is>
      </c>
      <c r="B55" t="inlineStr">
        <is>
          <t>Lead Analytics Engineer</t>
        </is>
      </c>
      <c r="C55" t="inlineStr">
        <is>
          <t>Eventus WholeHealth</t>
        </is>
      </c>
      <c r="D55" t="inlineStr">
        <is>
          <t>indeed</t>
        </is>
      </c>
      <c r="E55">
        <f>HYPERLINK("https://www.indeed.com/viewjob?jk=c6526b30a45ebfc0", "https://www.indeed.com/viewjob?jk=c6526b30a45ebfc0")</f>
        <v/>
      </c>
      <c r="F55">
        <f>HYPERLINK("https://eventus.rec.pro.ukg.net/EVE1500EVEW/JobBoard/477175d5-314e-4f47-9310-11848f9cd31b/OpportunityDetail?opportunityId=93859d18-f0ee-4b34-89b3-ff5d4f53eceb&amp;postingId=00c406c6-dc09-407c-99cf-162db6b5b618", "https://eventus.rec.pro.ukg.net/EVE1500EVEW/JobBoard/477175d5-314e-4f47-9310-11848f9cd31b/OpportunityDetail?opportunityId=93859d18-f0ee-4b34-89b3-ff5d4f53eceb&amp;postingId=00c406c6-dc09-407c-99cf-162db6b5b618")</f>
        <v/>
      </c>
      <c r="G55" t="inlineStr">
        <is>
          <t>US</t>
        </is>
      </c>
      <c r="H55" s="3" t="n">
        <v>46048</v>
      </c>
      <c r="I55" t="inlineStr">
        <is>
          <t>***Position*** ***Summary:***
The Lead Analytics Engineer develops data and analytic tools, strategies, and insights to improve healthcare outcomes, reduce costs, and enhance overall value.
***Quali******fications:*** **Education, Licensure and Certifications, Related Work Experience**
* Bachelor's degree in analytics, statistics, healthcare administration, computer science, finance, or a related field
* Previous experience in value\-based care programs supporting large physician groups and demonstrated proficiency with data analysis tools and software
***Other specialized skills and knowledge necessary to perform this job. (e.g., basic accounting principles, computer skills and software, specific healthcare processes, interpersonal, communication, etc.***
1\.
Strong understanding of value\-based care models, claims and EHR data, HCC RAF, MA Stars, quality and surveys and predictive
modeling
3\.
Use of common software and computer/technology
2\.
Strategic thinker who takes initiative through excellent communication, collaboration, and
leadership
4\.
***Essential Job Duties/Responsibilities***
1\.
Leverage data infrastructure, utilize data mining, statistical, and machine learning techniques to understand patient populations, care pathways, and the impact of VBC initiatives
2\.
Collaborate with physicians, facilities, and health plans to align VBC goals and strategies
3\.
Ensure data integrity to support operational and clinical initiatives.
4\.
Analyzes data to identify discrepancies and patterns.
5\.
Prepare accurate reports on trends and cost evaluation.
6\.
Provides recommendations on ways to improve quality and minimize costs.
7\.
Effectively communicate complex findings and recommendations to a diverse audience, including technical and non\-technical audiences in a clear and concise manner
8\.
Other related duties as assigned.
***Compliance Requirements***
**Adherence to Laws, Rules, Regulations, Standards, Guidelines, Policies and Procedures:**
* Ensure compliance with all federal, state, and local laws, regulations, standards, guidelines, and Eventus WholeHealth policies and procedures pertaining to the job.
* Remain informed of any changes to federal, state, and local laws, regulations, standards,guidelines, and Eventus WholeHealth policies and procedures that impact the job and the company.
* Promptly report any non\-compliant conduct and/or practices to Eventus WholeHealth’s Chief
Compliance and Risk Officer.
**Ethical Conduct:**
* Ensure adherence to Eventus WholeHealth's Code of Ethics and Business Conduct.
* Perform the job duties with integrity and professionalism.
* Promptly report any unethical conduct and/or practices to Eventus WholeHealth’s Chief Compliance and Risk Officer.
**Patient Privacy and Confidentiality:**
* Strictly protect patient information in accordance with all federal and state privacy laws and Eventus WholeHealth policies and procedures.
* Promptly report any violations of federal and state privacy laws and Eventus WholeHealth
* policies and procedures to Eventus WholeHealth’s Chief Compliance and Risk Officer.
**Documentation and Record Keeping:**
* Maintain accurate and complete documentation when performing the job duties.
* Ensure that all Eventus WholeHealth information, data, documentation, and records are always safeguarded and maintained confidentially.
**Training and Education:**
* Participate in all assigned training.
* Complete all assigned training by the deadline for completion.
**Risk Management and Incident Reporting:**
* Engage in regular risk assessments to identify potential risks and work proactively with a supervisor
and Eventus WholeHealth’s Chief Compliance and Risk Officer to mitigate any identified risks.
* Promptly report any incidents (as defined in the “Incident Report Policy”) to the Chief Compliance
and Risk Officer.
About Eventus WholeHealth:
Eventus WholeHealth was founded in 2012 to provide physician\-led healthcare services for residents and patients of skilled nursing and assisted living facilities. With our highly\-trained team of physicians, psychiatrists, nurse practitioners, physician assistants, psychotherapists, podiatrists, and support staff, our comprehensive, evidence\-based model provides collaborative interdisciplinary care with the seamless and vital integration of a wide range of specialties. Our differentiated approach not only empowers the facilities to reach their own goals and objectives but also ensures better patient outcomes. For more information, please visit www.eventuswholehealth.com</t>
        </is>
      </c>
    </row>
    <row r="56">
      <c r="A56" t="inlineStr">
        <is>
          <t>in-aacc037dc34a49a7</t>
        </is>
      </c>
      <c r="B56" t="inlineStr">
        <is>
          <t>Data Engineer – Palantir Foundry - Dublin OH</t>
        </is>
      </c>
      <c r="C56" t="inlineStr">
        <is>
          <t>Cystems Logic Inc</t>
        </is>
      </c>
      <c r="D56" t="inlineStr">
        <is>
          <t>indeed</t>
        </is>
      </c>
      <c r="E56">
        <f>HYPERLINK("https://www.indeed.com/viewjob?jk=aacc037dc34a49a7", "https://www.indeed.com/viewjob?jk=aacc037dc34a49a7")</f>
        <v/>
      </c>
      <c r="F56">
        <f>HYPERLINK("https://jobs.smartrecruiters.com/CystemsLogicInc1/744000105690104-data-engineer-palantir-foundry-dublin-oh", "https://jobs.smartrecruiters.com/CystemsLogicInc1/744000105690104-data-engineer-palantir-foundry-dublin-oh")</f>
        <v/>
      </c>
      <c r="G56" t="inlineStr">
        <is>
          <t>Dublin, OH, US</t>
        </is>
      </c>
      <c r="H56" s="3" t="n">
        <v>46048</v>
      </c>
      <c r="I56" t="inlineStr">
        <is>
          <t>**Job Description**  
Hi,
Job Title: Senior Data Engineer – Palantir Foundry
Location: Dublin OH
Duration: 6 months Contract
 If you are interested, Please send your below submission details with your DL , visa and i94 copy.
Expected rate all inc on 1099 /C2C( Net 60 and 6% VMS) :
Visa status:
Current Location:
Availability:
Bachelor degree and years of passing :
Master degree and years of passing :
Passport Number:
Interview Availability:
Job Summary:
Senior\-level data or software engineer responsible for application development and data transformation using Palantir Foundry.
The role focuses on building data pipelines semantic models and interactive application dashboards while working independently within a senior team environment and contributing to high\-impact data initiatives.
 Transform data and build application dashboards using Palantir Foundry low\-code tools.
Job Description
Work on an application development and data engineering team
Transform data and build application dashboards using Palantir Foundry low\-code tools
Use Ontology Manager as the semantic layer
Use Pipeline Builder comparable to Alteryx for data transformation
Use Workshop comparable to Tableau or Power BI with enhanced application development capabilities
Receive knowledge transfer on data definitions team best practices expected outcomes and acceptance criteria
Operate independently while proactively asking clarifying questions during discovery and delivery
Contribute as a senior\-level L3 engineer on high\-level data initiatives
 **Additional Information**  
All your information will be kept confidential according to EEO guidelines.</t>
        </is>
      </c>
    </row>
    <row r="57">
      <c r="A57" t="inlineStr">
        <is>
          <t>in-e135ec9264503e5f</t>
        </is>
      </c>
      <c r="B57" t="inlineStr">
        <is>
          <t>Senior Data Engineer</t>
        </is>
      </c>
      <c r="C57" t="inlineStr">
        <is>
          <t>ZoomInfo</t>
        </is>
      </c>
      <c r="D57" t="inlineStr">
        <is>
          <t>indeed</t>
        </is>
      </c>
      <c r="E57">
        <f>HYPERLINK("https://www.indeed.com/viewjob?jk=e135ec9264503e5f", "https://www.indeed.com/viewjob?jk=e135ec9264503e5f")</f>
        <v/>
      </c>
      <c r="F57">
        <f>HYPERLINK("https://grnh.se/r6a5rt2u2us", "https://grnh.se/r6a5rt2u2us")</f>
        <v/>
      </c>
      <c r="G57" t="inlineStr">
        <is>
          <t>Waltham, MA, US</t>
        </is>
      </c>
      <c r="H57" s="3" t="n">
        <v>46047</v>
      </c>
      <c r="I57"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We are looking for a highly skilled Senior Data Engineer to become part of our Enterprise Operations team. This role is ideal for someone who can seamlessly blend technical skills with business acumen \- someone who can get the data, shape the data, and build tools to tell the story. Who proactively drives continuous improvement.
The ideal candidate has a strong background in big data processing, pipeline orchestration, and data modeling, with a proven track record of delivering scalable and high\-quality data solutions in fast\-paced, data\-centric product environments. Given the dynamic nature of emerging technologies, this role requires an individual who excels at exploration and embraces continuous learning as core responsibilities. You'll constantly research and implement innovative solutions while integrating vast, diverse data sources into our AI\-powered applications, including our industry\-leading LLM\-powered systems.
#### **What you'll do:**
* Partner with cross\-functional teams to gather, validate, and translate business requirements into high\-quality data solutions.
* **Design, develop, and maintain high\-performance, product\-centric data pipelines** using Airflow, DBT, and Python.
* Build and maintain semantic data layers optimized for consumption by LLM\-powered applications.
* Define, monitor, and enforce data quality SLAs across all data pipelines and products, ensuring accuracy, reliability, and lineage.
* Influence Technical Decisions: Apply your experience with data architecture to improve pipelines, table design, and reporting structure in collaboration with engineering.
* Design and develop analytical tools to assess data quality, recommend remediation strategies, implement testing frameworks, and drive continuous improvement.
* Mentor and coach junior engineers, promoting best practices in code quality, data architecture, and operational excellence.
#### **What you bring:**
* Bachelor's or Master's degree in Computer Science, Engineering, or a related field.
* 6\+ years of progressive experience in data engineering and data analytics.
* Expert\-level SQL skills for building performant, scalable queries and transformations on large\-scale datasets.
* Strong Python programming experience.
* Hands\-on experience with dbt (Data Build Tool) for advanced data modeling and transformations in a modern data stack.
* Deep expertise in Snowflake, including data warehouse design, performance optimization, and cost modeling.
* Strong understanding of data architecture concepts such as data lakes, ETL/ELT, event\-driven architectures (e.g., Kafka), and data mesh.
* Proven analytical skills focused on translating business requirements into innovative, scalable solutions; experience with Tableau.
* Proficiency with cloud platforms (GCP and/or AWS) and infrastructure\-as\-code tools (e.g., Terraform).
#### **Nice to Have**
* Familiarity with LLMOps, LangChain, or RAG (Retrieval Augmented Generation) pipelines.
* Experience implementing **Model Context Protocol (MCP)** or similar architectures to feed structured and unstructured data into LLM\-powered systems.
* Familiarity with other distributed systems and databases (e.g., Databricks).
* Production experience with large\-scale batch and streaming data processing, including exposure to data science modeling.
* Hands\-on experience with front\-end and back\-end application development.
\#LI\-VC1
\#LI\-Hybrid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58">
      <c r="A58" t="inlineStr">
        <is>
          <t>in-6c93b7511c4618e6</t>
        </is>
      </c>
      <c r="B58" t="inlineStr">
        <is>
          <t>Senior Big Data Engineer</t>
        </is>
      </c>
      <c r="C58" t="inlineStr">
        <is>
          <t>Blueprint Technologies</t>
        </is>
      </c>
      <c r="D58" t="inlineStr">
        <is>
          <t>indeed</t>
        </is>
      </c>
      <c r="E58">
        <f>HYPERLINK("https://www.indeed.com/viewjob?jk=6c93b7511c4618e6", "https://www.indeed.com/viewjob?jk=6c93b7511c4618e6")</f>
        <v/>
      </c>
      <c r="F58">
        <f>HYPERLINK("https://grnh.se/8ew6nzus1us", "https://grnh.se/8ew6nzus1us")</f>
        <v/>
      </c>
      <c r="G58" t="inlineStr">
        <is>
          <t>Bellevue, WA, US</t>
        </is>
      </c>
      <c r="H58" s="3" t="n">
        <v>46047</v>
      </c>
      <c r="I58"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work closely with senior engineers and an engineering manager to design, develop, validate, and deploy features across large\-scale data platforms. You will be responsible for executing high\-priority engineering tasks, addressing security and governance requirements, and maintaining reliable data pipelines. The work is highly execution\-focused, with an emphasis on fast ramp\-up, independent ownership, and delivering production\-ready solutions that meet strict security, compliance, and reliability standards. You will operate within established engineering practices, follow deployment rules, and collaborate with full\-time engineers who will support onboarding and accelerate your ramp\-up. Access to secure environments (pre\-production and production) will be required as part of this role.
**Responsibilities**
* Design, develop, test, and deploy features across distributed data platforms.
* Maintain and enhance data pipelines running on big data and cloud data technologies.
* Perform security\-related engineering work, including fixing code vulnerabilities, updating secrets and identities, and ensuring secure endpoints.
* Implement governance and compliance updates, including data partitioning, access controls, and physical access restrictions.
* Write, modify, debug, and troubleshoot production code and services.
* Follow standard engineering lifecycle practices, including CI/CD, monitoring, and deployment workflows.
* Execute tasks independently with minimal oversight and deliver high\-priority items on aggressive timelines.
* Collaborate with engineers to ramp up quickly and take ownership of execution work.
* Operate within secure environments and follow all access, security, and compliance requirements.
**Qualifications**
* Minimum 5 years of experience working with large\-scale big data platforms and distributed systems.
* Strong experience with cloud data technologies such as Cosmos (MapReducer), Spark, HDI, and ADLS Gen2\.
* Minimum 5 years of hands\-on experience with SQL and at least one high\-level programming language (C\#, Scala, Java, or Python).
* Minimum 5 years of experience with CI/CD pipelines, debugging, monitoring, and engineering lifecycle practices.
* Proven ability to troubleshoot complex production issues and deliver reliable solutions.
* Experience working in high\-reliability data engineering environments.
* Ability to work independently in a high\-execution, fast\-paced environment.
* Experience following security, governance, and compliance standards in production systems.
**Preferred Qualifications**
* Experience working on large\-scale telemetry or data processing platforms.
* Prior experience in security remediation, secret rotation, endpoint hardening, and compliance\-driven engineering.
* Hands\-on experience with data governance, access control, and data partitioning strategies.
* Experience maintaining and improving production pipelines across cloud data platforms.
* Background in high\-volume, high\-throughput distributed systems.
* Familiarity with enterprise engineering processes, internal tooling, and secure deployment environments.
* Ability to ramp up quickly and immediately contribute to independent execution work.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**$100,000 to $110,000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t>
        </is>
      </c>
    </row>
    <row r="59">
      <c r="A59" t="inlineStr">
        <is>
          <t>in-4ee5df5135ebdfa4</t>
        </is>
      </c>
      <c r="B59" t="inlineStr">
        <is>
          <t>Senior Data Engineer/US Citizen/Minnesota- Hybrid</t>
        </is>
      </c>
      <c r="C59" t="inlineStr">
        <is>
          <t>Enable Data</t>
        </is>
      </c>
      <c r="D59" t="inlineStr">
        <is>
          <t>indeed</t>
        </is>
      </c>
      <c r="E59">
        <f>HYPERLINK("https://www.indeed.com/viewjob?jk=4ee5df5135ebdfa4", "https://www.indeed.com/viewjob?jk=4ee5df5135ebdfa4")</f>
        <v/>
      </c>
      <c r="F59">
        <f>HYPERLINK("https://apply.workable.com/j/E597D3678C", "https://apply.workable.com/j/E597D3678C")</f>
        <v/>
      </c>
      <c r="G59" t="inlineStr">
        <is>
          <t>Eagan, MN, US</t>
        </is>
      </c>
      <c r="H59" s="3" t="n">
        <v>46047</v>
      </c>
      <c r="I59" t="inlineStr">
        <is>
          <t>Description
At Enable Data Incorporated, we are excited to welcome a talented Senior Data Engineer to join our dynamic team! With our extensive knowledge in application, data, and cloud engineering services, we strive to create groundbreaking solutions that provide real value to our clients.
Key Responsibilities
Design, develop, and maintain scalable data pipelines using Apache Spark (PySpark and/or Scala)
Build and optimize data workflows on Databricks, including Delta Lake, notebooks, and scheduled jobs
Ingest, transform, and curate large\-scale structured and semi\-structured datasets
Perform performance tuning and cost optimization of Spark workloads and Databricks clusters
Implement data quality checks, monitoring, and error handling
Collaborate with analytics and business stakeholders to deliver well\-modeled, analytics\-ready data
Support batch processing and, where applicable, streaming data pipelines
Follow best practices for testing, documentation, security, and version control
Requirements
Required Qualifications
5\+ years of experience in Data Engineering or related roles
Strong hands\-on experience with Apache Spark (PySpark or Scala)
Proven experience working in Databricks environments
Strong SQL skills and experience with relational and analytical databases
Experience building and maintaining ETL/ELT pipelines at scale
Familiarity with modern data lake architectures (Delta Lake preferred)
Experience with Git\-based version control
Additional Requirements
Must be a U.S. Citizen
Must be currently located in Minnesota (MN), or willing to relocate</t>
        </is>
      </c>
    </row>
    <row r="60">
      <c r="A60" t="inlineStr">
        <is>
          <t>in-245fcab75e16781a</t>
        </is>
      </c>
      <c r="B60" t="inlineStr">
        <is>
          <t>Aviation Data Engineer</t>
        </is>
      </c>
      <c r="C60" t="inlineStr">
        <is>
          <t>Booz Allen Hamilton</t>
        </is>
      </c>
      <c r="D60" t="inlineStr">
        <is>
          <t>indeed</t>
        </is>
      </c>
      <c r="E60">
        <f>HYPERLINK("https://www.indeed.com/viewjob?jk=245fcab75e16781a", "https://www.indeed.com/viewjob?jk=245fcab75e16781a")</f>
        <v/>
      </c>
      <c r="F60">
        <f>HYPERLINK("https://careers.boozallen.com/careers/JobDetail?jobId=119965", "https://careers.boozallen.com/careers/JobDetail?jobId=119965")</f>
        <v/>
      </c>
      <c r="G60" t="inlineStr">
        <is>
          <t>McLean, VA, US</t>
        </is>
      </c>
      <c r="H60" s="3" t="n">
        <v>46047</v>
      </c>
      <c r="I60" t="inlineStr">
        <is>
          <t>Aviation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developing scalable ETL or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with the Federal Aviation Administration (FAA) and National Airspace System (NAS)
* Experience in application development utilizing SQL or Scala
* Experience with a public cloud, including AWS, Microsoft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1">
      <c r="A61" t="inlineStr">
        <is>
          <t>in-e96e92ee70a495e8</t>
        </is>
      </c>
      <c r="B61" t="inlineStr">
        <is>
          <t>Sr. Data Engineer</t>
        </is>
      </c>
      <c r="C61" t="inlineStr">
        <is>
          <t>UniFirst</t>
        </is>
      </c>
      <c r="D61" t="inlineStr">
        <is>
          <t>indeed</t>
        </is>
      </c>
      <c r="E61">
        <f>HYPERLINK("https://www.indeed.com/viewjob?jk=e96e92ee70a495e8", "https://www.indeed.com/viewjob?jk=e96e92ee70a495e8")</f>
        <v/>
      </c>
      <c r="F61">
        <f>HYPERLINK("https://click.appcast.io/t/LwCY40NeGZdAK7N8BauTiite7985zSoesdjTiZaOUzA=", "https://click.appcast.io/t/LwCY40NeGZdAK7N8BauTiite7985zSoesdjTiZaOUzA=")</f>
        <v/>
      </c>
      <c r="G61" t="inlineStr">
        <is>
          <t>Wilmington, MA, US</t>
        </is>
      </c>
      <c r="H61" s="3" t="n">
        <v>46047</v>
      </c>
      <c r="I61" t="inlineStr">
        <is>
          <t>This is a hybrid role with 50% on\-site requirement in Wilmington, MA .
We are seeking a highly skilled Senior Developer for On\-Prem and Azure/ Fabric DW to design, develop, and optimize enterprise\-grade database solutions across both cloud (Azure) and on\-premises environments. The ideal candidate will have extensive experience with SQL Server, Azure Data Services, ETL pipelines, and performance tuning in large\-scale, high\-volume data ecosystems. You will work closely with data engineers, architects, and business stakeholders to deliver robust, scalable, and secure data solutions that drive strategic decision\-making.
**Responsibilities:****Database Development:**  
Design, develop, and maintain complex stored procedures, functions, views, and queries for both on\-premises SQL Server and Azure SQL Database/Fabric DW.
Create and manage tables, indexes, and database objects to ensure optimal performance.
**Cloud Data Integration:**  
Develop and optimize Azure Data Factory pipelines, Synapse Analytics data flows, and Azure Databricks integrations.
Implement secure and efficient data movement between on\-prem SQL Server, Azure Data Lake, and other cloud services.
**ETL \&amp; Automation:**  
Develop and schedule ETL/ELT workflows using SSIS, Azure Data Factory, or other automation frameworks.
Leverage PowerShell, Python, or other scripting languages for process automation.
**Performance Tuning \&amp; Optimization:**  
Conduct query performance analysis and apply indexing, partitioning, and caching strategies.
Diagnose and resolve performance bottlenecks in large datasets and complex ETL processes.
**Data Modeling \&amp; Architecture:**  
Collaborate with architects to design logical and physical database models.
Implement best practices for data governance, quality, and lineage tracking.
**Collaboration:**  
Partner with BI teams, application developers, and analysts to deliver end\-to\-end solutions.
Provide mentorship and guidance to junior developers and data engineers.
Qualifications
**Education:**  
Bachelor’s degree in Computer Science, Information Systems, or related field (Master’s preferred).
**Requirements:**  
7\+ years of experience with SQL Server development and database administration concepts.
3\+ years of experience in Azure data services, including Azure SQL Database, Synapse Analytics, Data Lake, and Data Factory.
**Technical Skills:**  
Advanced proficiency in T\-SQL, query tuning, and database design.
Strong experience with ETL tools (SSIS, Azure Data Factory) and data integration best practices.
Hands\-on experience with hybrid (on\-prem \+ cloud) data architectures.
Familiarity with Azure DevOps CI/CD pipelines for database deployments.
Knowledge of scripting languages such as PowerShell or Python.
**Soft Skills:**  
Strong analytical and problem\-solving abilities.
Excellent communication skills with both technical and non\-technical stakeholders.
Proven ability to work in fast\-paced, agile environments.
**Additional Requirements:**  
Experience with Azure Databricks, Spark, or other big data processing tools.
Exposure to data warehousing solutions and dimensional modeling.
**Certifications such as Microsoft Certified:** Azure Data Engineer Associate or Microsoft Certified: Azure Solutions Architect.
Familiarity with data visualization platforms such as Power BI or Tableau.
Knowledge of ETL tools or data integration frameworks (e.g., SSIS, Azure Data Factory).
Exposure to data governance, data quality, and master data management concepts.
The estimated annual salary for this position ranges from $104,099 to $160,000\. Actual compensation will vary based on factors including but not limited to the candidate’s skills, experience, and qualifications. Geographic differentials may also apply depending on the position’s location. There is no application deadline for this role; recruitment will remain open until the position is filled.
**Benefits \&amp; Perks:**  
401K with Company Match, Profit Sharing, Health Insurance, Employee Assistance Program, Life Insurance, Paid Time Off, Tuition Reimbursement, 30% Employee Discount, Employee Referral Bonuses.
UniFirst is an international leader in garment \&amp; Uniform services industry. We currently employ over 14,000 team partners who serve 300,000 business customer locations throughout the U.S., Canada, and Europe.
We were included in the top 10 of Selling Power magazine’s “Best Companies to Sell For” list and recognized on Forbes magazine’s “Platinum 400 – Best Big Companies” list. As an 80\-year old company focused on annual growth, there’s never been a better time to join our team.
UniFirst is an equal opportunity employer. We do not discriminate in hiring or employment against any individual on the basis of race, color, gender, national origin, ancestry, religion, physical or mental disability, age, veteran status, sexual orientation, gender identity or expression, marital status, pregnancy, citizenship, or any other factor protected by anti\-discrimination laws</t>
        </is>
      </c>
    </row>
    <row r="62">
      <c r="A62" t="inlineStr">
        <is>
          <t>in-79a9440b3e60d369</t>
        </is>
      </c>
      <c r="B62" t="inlineStr">
        <is>
          <t>Geospatial Data Engineer</t>
        </is>
      </c>
      <c r="C62" t="inlineStr">
        <is>
          <t>BAE Systems USA</t>
        </is>
      </c>
      <c r="D62" t="inlineStr">
        <is>
          <t>indeed</t>
        </is>
      </c>
      <c r="E62">
        <f>HYPERLINK("https://www.indeed.com/viewjob?jk=79a9440b3e60d369", "https://www.indeed.com/viewjob?jk=79a9440b3e60d369")</f>
        <v/>
      </c>
      <c r="F62">
        <f>HYPERLINK("https://jobs.baesystems.com/global/en/job/120578BR", "https://jobs.baesystems.com/global/en/job/120578BR")</f>
        <v/>
      </c>
      <c r="G62" t="inlineStr">
        <is>
          <t>Fort Gordon, GA, US</t>
        </is>
      </c>
      <c r="H62" s="3" t="n">
        <v>46047</v>
      </c>
      <c r="I62" t="inlineStr">
        <is>
          <t>**Job Description**  
BAE Systems, Inc. has a contingent opening for a Geospatial Data Engineer supporting US Army INSCOM primarily on Ft. Gordon, GA. The candidate’s role will be to work with GEOINT analysts to determine, create, and populate optimal data architectures, structures, systems, process automation, and models to support customer intelligence requirements. The Geospatial Data Engineer will be expected to assist in efforts such as, but not limited to:* design, implementation, and operate data driven approaches to client’s intelligence requirements;
* design how data will be stored, accessed, used, integrated, and managed by different data regimes and digital systems;
* developing, adapting, and integrating algorithms, software tools, and tradecraft to satisfy customer requirements.
These efforts will be to directly support GEOINT exploitation, analysis and reporting of all Advanced GEOINT and Full Spectrum GEOINT (FSG) related disciplines, tradecraft, and products produced by INSCOM MIB\-Theater Integrated GEOINT Divisions (IGD). Sub\-disciplines include but are not limited to Synthetic Aperture RADAR (SAR), Electro\-Optical (EO), Moving Target Indicator (MTI), Light Detection and Ranging (LiDAR), Overhead Persistent Infrared (OPIR), Geospatial Information and Services (GI\&amp;S), Wide Area Persistent Surveillance (WAPS), geospatial data processing, and general intelligence analysis. The candidate must possess familiarity in GEOINT operations and extensive knowledge in data analytics/engineering to be considered.  
**Required Education, Experience, \&amp; Skills**  
MA/MS degree from Data Science, Data Analytics, Informatics, Statistics, or related field AND 5 years CURRENT Intelligence Analysis experience;  
**OR**  
BA/BS degree in Data Science, Data Analytics, Informatics, Statistics, or related field AND 10 years CURRENT Intelligence Analysis experience;  
**OR**  
HS diploma/GED AND Specialized Training with 15 years of Intelligence Analysis experience to include 10 years of CURRENT GEOINT Analysis experience AND 5 years of Data Analytics, Informatics, and/or Statistics experience.  
Excellent written \&amp; oral communication, research, and analytic skills.  
Expert ability to manage personnel, requirements, and coordination of projects.  
Expert capabilities to research, create, develop, and deliver professional briefings, multimedia presentations, and written reports.  
Experience utilizing programming languages such as SAS, R, Java, C, MATLAB, ScaLa, or Python; experience accelerating large data transactions across industry\- leading GPU architectures to answer analytic questions.  
Experience with assessments, enterprise data integration, governance, and metrics, including the application of metadata management techniques and ability to interrogate databases efficiently using SQL.  
Experience with tradecraft and publication; ability to coordinate and support cross\-community meetings and working groups; assimilate large volumes of information and independently produce reports using data science focused libraries such as Pandas, Scikit, TensorFlow and Gensim to answer analytical questions.  
Ability to work non\-traditional hours or days if mission requirements emerge.  
**Preferred Education, Experience, \&amp; Skills**  
Knowledge of Army structure and Department of War (DoW)\-level intelligence operations: intelligence collection, fusion, analysis, production, and dissemination for intelligence databases and products.  
Knowledge and experience with intelligence operations and in assisting with drafting expert assessments across operations priorities on behalf of the stakeholder.  
Specialized training from any intelligence collection and analysis school or certification to include GEOINT Professional Certification (GPC\-F, GPC\_IA\-II, GPC\_GA\-II, GPC\_IS\-II, etc.).  
Knowledge and understanding of the National System for GEOINT (NSG), Intelligence Community (IC), private sector data science/analytics, machine learning, and data visualization communities.  
**Pay Information**  
Full\-Time Salary Range: $107359 \- $182510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63">
      <c r="A63" t="inlineStr">
        <is>
          <t>in-25ba30fdb20ac799</t>
        </is>
      </c>
      <c r="B63" t="inlineStr">
        <is>
          <t>Senior Analytics Engineer</t>
        </is>
      </c>
      <c r="C63" t="inlineStr">
        <is>
          <t>Upstart</t>
        </is>
      </c>
      <c r="D63" t="inlineStr">
        <is>
          <t>indeed</t>
        </is>
      </c>
      <c r="E63">
        <f>HYPERLINK("https://www.indeed.com/viewjob?jk=25ba30fdb20ac799", "https://www.indeed.com/viewjob?jk=25ba30fdb20ac799")</f>
        <v/>
      </c>
      <c r="F63">
        <f>HYPERLINK("https://careers.upstart.com/jobs/senior-analytics-engineer-273e6b8a-d061-4713-8ac0-395be7ee79ea", "https://careers.upstart.com/jobs/senior-analytics-engineer-273e6b8a-d061-4713-8ac0-395be7ee79ea")</f>
        <v/>
      </c>
      <c r="G63" t="inlineStr">
        <is>
          <t>Remote, US</t>
        </is>
      </c>
      <c r="H63" s="3" t="n">
        <v>46047</v>
      </c>
      <c r="I63"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As a Senior Analytics Engineer at Upstart, you will design and develop robust and scalable data models for analytical stakeholders to empower them to retrieve meaningful insights. Our analytics engineering team is centralized within the company and partners closely with data engineering, data platform, software engineers, ML engineers and cross functional analytics squads to stitch together datasets to create data models that are ready for consumption.
In addition to architecting data models, we implement Analytics Engineering best practices around Data Governance, Data Quality, Data Orchestration and pipeline optimization. We enable analysts to think like software engineers by defining, documenting and ensuring adoption of best practices when making contributions to the analytical code\-base.
***Position Location \-*** This role is available in the following locations: Remote, San Mateo, Columbus
***Time Zone Requirements \-*** The team operates in all US time zones.
***Travel Requirements \-*** This team has regular on\-site collaboration sessions. These occur 3 days per quarter at an Upstart office. If you need to travel to make these meetups, Upstart will cover all travel related expenses.
**How you’ll make an impact:**
* Understand how data is produced and consumed at a deep level \- you will need to be extremely collaborative with the teams that produce and consume the data to create an end\-to\-end solution that maximizes the value of our data
* Lead efforts to design data models and build curated data sets that are the foundation of reporting and analytics at Upstart
* Collaborate with data engineers and data platform teams to create analytics pipelines
* Meet consumers of data where they are by wearing an educator’s hat and training them on how to use BI tools and dashboards
* Be a close strategic partner to analytics squads to participate in decision making on the analytics road map for Upstart
**What we’re looking for:**
* Minimum requirements:
	+ 5\+ year(s) of experience as a Data Engineer / Analytics Engineer / BI Engineer
	+ Strong understanding of data modeling concepts in both transactional and analytical databases
	+ Proven ability to lead cross\-team projects to create data models for analytics/reporting purposes
	+ Excellent communication and collaboration skills, particularly when explaining technical or complex matters to less technical co\-workers
	+ Expertise in SQL, Python, and ETL optimization techniques
* Preferred qualifications:
	+ Familiarity with business intelligence visualization tools such as Mode, Looker, Tableau, Power BI, etc.
	+ Experience creating curated data models using a data mesh architecture
	+ Experience with cloud computing platforms such as Amazon Web Services (AWS), Azure and/or Google Cloud
	+ Experience with building Looker data models (LookML), analytics engineering frameworks like dbt, orchestration tools like Airflow, schema design, and dimensional data modeling
	+ Thorough understanding of data lake/warehouse architectures (BigQuery, Databricks, Redshift)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64">
      <c r="A64" t="inlineStr">
        <is>
          <t>in-a479326dda3890e3</t>
        </is>
      </c>
      <c r="B64" t="inlineStr">
        <is>
          <t>Senior AI Data Engineer</t>
        </is>
      </c>
      <c r="C64" t="inlineStr">
        <is>
          <t>OPPO</t>
        </is>
      </c>
      <c r="D64" t="inlineStr">
        <is>
          <t>indeed</t>
        </is>
      </c>
      <c r="E64">
        <f>HYPERLINK("https://www.indeed.com/viewjob?jk=a479326dda3890e3", "https://www.indeed.com/viewjob?jk=a479326dda3890e3")</f>
        <v/>
      </c>
      <c r="F64">
        <f>HYPERLINK("https://apply.workable.com/j/39DB65CFAF", "https://apply.workable.com/j/39DB65CFAF")</f>
        <v/>
      </c>
      <c r="G64" t="inlineStr">
        <is>
          <t>Palo Alto, CA, US</t>
        </is>
      </c>
      <c r="H64" s="3" t="n">
        <v>46047</v>
      </c>
      <c r="I64" t="inlineStr">
        <is>
          <t>We are seeking a forward\-thinking AI Data Engineer to bridge the gap between our user data assets and advanced AI capabilities. In this role, you will be the architect of our user data foundation, building a robust data warehouse and a dynamic tagging system. Crucially, you will leverage this data to integrate with third\-party Large Language Models (LLMs), enabling intelligent, data\-driven interactions and next\-generation user experiences.
**Key Responsibilities**
* **User Data Warehouse Construction \&amp; Architecture**
* Design, build, and maintain a scalable User Data Warehouse to consolidate data from fragmented sources.
* Design efficient data models to support high\-performance querying and analytics.
* Implement ETL/ELT pipelines to ensure real\-time or near\-real\-time data availability and quality.
* **Data Tagging \&amp; Profile System (User 360\)**
* Establish a comprehensive User Tagging/Labeling System (User Portrait).
* Develop algorithms to generate static, behavioral, and predictive tags to accurately segment users.
* Ensure the tagging system is dynamic and can update in real\-time to reflect the latest user interactions.
* **LLM Integration \&amp; Data Intelligence**
* Lead the integration of Large Language Models with our internal data.
* Design and implement RAG (Retrieval\-Augmented Generation) pipelines to feed structured user profile data and tags into LLMs for personalized outputs.
* **Intelligent Interaction Development**
* Develop APIs and middleware that allow downstream applications to interact with data using natural language.
* Optimize the "Data\-to\-AI" loop: ensure the LLM understands the context of the user data to provide accurate, hallucination\-free responses.
* Monitor token usage, latency, and response quality of the AI interactions.
**Requirements**
* **Education:** Master’s degree in Computer Science, Data Engineering, Artificial Intelligence, or a related field.
* **Experience:** 3\-5\+ years of experience in Data Engineering or Backend Development with a focus on data.
* **Data Stack:**
* Proficiency in SQL and Python/Java/Scala.
* Hands\-on experience with Data Warehouses (e.g. Snowflake, BigQuery, ClickHouse) and Big Data frameworks (Spark, Flink).
* Familiar with message middleware (Kafka) and containerization (Docker).
* User Data Experience: Proven experience in building CDP (Customer Data Platform), DMP, or User Profile/Tagging systems.
* **AI/LLM Skills:**
* Experience interacting with LLM APIs (OpenAI, etc.) and inference optimization (vLLM).
* Familiarity with frameworks like LangChain, LlamaIndex, or Haystack.
* Understanding of Embedding, vector databases (FAISS, Milvus), and RAG architecture.
* **Soft Skills:** Strong problem\-solving abilities and the ability to translate business needs into technical data requirements.
**Preferred Skills (Nice to Haves)**
* Experience with Prompt Engineering and optimizing context windows for efficient data feeding.
* Knowledge of Knowledge Graphs (Neo4j, NebulaGraph) and how to combine them with LLMs.
* Experience in model fine\-tuning (SFT, RLHF).
* Familiarity with privacy regulations (GDPR/CCPA) regarding user data and AI.
* Experience with mature launched projects serving a large user base on cloud platforms (AWS, etc.).
**Benefits**
OPPO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The US base salary range for this full\-time position is $100,000\-$300,000 \+ bonus \+ long term incentives benefits. Our salary ranges are determined by role, level, and location.</t>
        </is>
      </c>
    </row>
    <row r="65">
      <c r="A65" t="inlineStr">
        <is>
          <t>in-b7b0b8fcdcc0fd44</t>
        </is>
      </c>
      <c r="B65" t="inlineStr">
        <is>
          <t>Power BI Engineer</t>
        </is>
      </c>
      <c r="C65" t="inlineStr">
        <is>
          <t>NTT DATA</t>
        </is>
      </c>
      <c r="D65" t="inlineStr">
        <is>
          <t>indeed</t>
        </is>
      </c>
      <c r="E65">
        <f>HYPERLINK("https://www.indeed.com/viewjob?jk=b7b0b8fcdcc0fd44", "https://www.indeed.com/viewjob?jk=b7b0b8fcdcc0fd44")</f>
        <v/>
      </c>
      <c r="F65">
        <f>HYPERLINK("https://click.appcast.io/t/TPx4dOmDqxc8hfqmD-LpzU6m1QC0qKTedd0H3JS8-RI=", "https://click.appcast.io/t/TPx4dOmDqxc8hfqmD-LpzU6m1QC0qKTedd0H3JS8-RI=")</f>
        <v/>
      </c>
      <c r="G65" t="inlineStr">
        <is>
          <t>Nashville, TN, US</t>
        </is>
      </c>
      <c r="H65" s="3" t="n">
        <v>46047</v>
      </c>
      <c r="I65" t="inlineStr">
        <is>
          <t>**Req ID:** 355524
NTT DATA strives to hire exceptional, innovative and passionate individuals who want to grow with us. If you want to be part of an inclusive, adaptable, and forward\-thinking organization, apply now.  
We are currently seeking a Power BI Engineer to join our team in Nashville, Tennessee (US\-TN), United States (US).  
Position Description/Justification: We are seeking an experienced team member to join NTT DATA's Data Village team as a Data Village Player. This role requires a senior, hands\-on professional with deep experience in data engineering and the Power BI platform. The ideal candidate will design, build, and troubleshoot scalable analytics and data engineering workloads while operating in large, regulated environments.  
Career Arch Job Code Overview/Internal Job Description/Job Description:  
Key Responsibilities  
Support and manage the Power BI platform at the enterprise level, enabling analytics across multiple business units.  
Serve as a technical escalation point for complex Power BI issues, including report performance, semantic models, gateways, and data connectivity.  
Design, build, and maintain semantic data models optimized for performance, reusability, and governed access.  
Perform performance troubleshooting across Power BI reports, datasets, gateways, and underlying data sources.  
Maintain and enhance enterprise Power BI frameworks supporting automation, version upgrades, and visualization standards.  
Design, implement, and troubleshoot data engineering workloads, including batch and streaming pipelines.  
Build and maintain data pipelines and automation using Python, PowerShell, and Power Automate.  
Manage and automate Power BI Gateway deployments across large hybrid environments.  
Troubleshoot and optimize data connectivity across relational, cloud, and analytical data sources (including Snowflake).  
Ensure secure handling of sensitive and confidential data using established encryption, access control, and compliance practices.  
Apply architecture\-aligned design principles to ensure solutions are scalable, maintainable, and adaptable over time.  
Work effectively in large\-scale, multi\-team environments, translating business requirements into practical technical implementations.  
Leverage familiarity with major cloud platforms to design and support hybrid and cloud\-based analytics solutions.  
Basic Requirements  
Bachelor's or Master's degree in Computer Science, Engineering, or a related field.  
7\+ years of experience in data engineering and analytics platforms.  
5\+ years of hands\-on experience across the Power BI platform, including datasets, semantic modeling, gateways, performance tuning, and platform operations.  
3\+ years of scripting and automation experience using Python, PowerShell, and/or Power Automate.  
2\+ years of experience with Snowflake as a cloud analytics platform.  
Experience designing and troubleshooting data engineering workloads in enterprise environments.  
Familiarity working with major cloud platforms (Azure, AWS, or GCP) in hybrid or cloud\-native architectures.  
Experience operating in regulated or security\-conscious environments is preferred.  
Must be a U.S. Citizen or Green Card holder.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66">
      <c r="A66" t="inlineStr">
        <is>
          <t>in-9cfdef660d24bf4c</t>
        </is>
      </c>
      <c r="B66" t="inlineStr">
        <is>
          <t>ETL Data Engineer</t>
        </is>
      </c>
      <c r="C66" t="inlineStr">
        <is>
          <t>Intellibee Inc</t>
        </is>
      </c>
      <c r="D66" t="inlineStr">
        <is>
          <t>indeed</t>
        </is>
      </c>
      <c r="E66">
        <f>HYPERLINK("https://www.indeed.com/viewjob?jk=9cfdef660d24bf4c", "https://www.indeed.com/viewjob?jk=9cfdef660d24bf4c")</f>
        <v/>
      </c>
      <c r="F66">
        <f>HYPERLINK("https://intellibee.my.salesforce-sites.com/apps/jobs?id=a0AUU000005RKRB2A4", "https://intellibee.my.salesforce-sites.com/apps/jobs?id=a0AUU000005RKRB2A4")</f>
        <v/>
      </c>
      <c r="G66" t="inlineStr">
        <is>
          <t>Durham, NC, US</t>
        </is>
      </c>
      <c r="H66" s="3" t="n">
        <v>46047</v>
      </c>
      <c r="I66" t="inlineStr">
        <is>
          <t>The Department of Health and Human Services (DHHS) requires the assistance of a contract resource to serve as a Data Engineer for the development and optimization of data pipelines, analytics solutions, and cloud\-based data platforms. This role will be instrumental in designing and implementing end\-to\-end data engineering solutions using Microsoft Azure Synapse Analytics to meet child welfare business needs.
**Key Responsibilities:**
* **Synapse**
	+ Design, Develop and maintain data models in Synapse to support reporting and analytics
	+ Develop ETL solutions using Azure Synapse Analytics Pipelines and dedicated SQL pools for extraction, transformation and aggregation from Salesforce objects.
	+ Analyze the source system and design the ETL data load.
	+ Ability to create and configure Azure Synapse Analytics workspace.
	+ Create pipelines in Azure Synapse using Linked Services/Datasets/Pipeline to Extract, Transform and Load data from different sources like Salesforce.
	+ Perform needed monitoring, troubleshooting, and maintenance of the data architecture and pipelines.
* **Power BI Tools**
	+ Collaborate with data engineers, analysts, and stakeholders to gather requirements, design visualizations, and provide training to use self\-service BI Tools.
**Skill Matrix:**
* Experience in designing and optimizing scalable data pipelines using modern platforms like Azure Synapse, Snowflake or Databricks workflows Required 3 Years
* Programming Languages: Strong proficiency in Python or Scala for data processing. Required 3 Years
* SQL Mastery: Advanced query writing, performance tuning, and optimization. Required 5 Years
* Hands\-on experience in developing efficient PL/SQL procedures Required 5 Years
* Experience with Programming and Scripting (SQL, T\-SQL, and data query optimization) Required 1 Years
* Experience with Azure Data Platform (Azure Data Factory, Azure Data Lake, and Azure SQL Database) Highly desired 1 Years
* Experience with cloud platforms (e.g. AWS and Azure) and associated services for data processing and storage Highly desired 1 Years
* Experience with Power BI Nice to have 1 Years</t>
        </is>
      </c>
    </row>
    <row r="67">
      <c r="A67" t="inlineStr">
        <is>
          <t>in-0b7b8f0063f4f245</t>
        </is>
      </c>
      <c r="B67" t="inlineStr">
        <is>
          <t>Principal Data Engineer</t>
        </is>
      </c>
      <c r="C67" t="inlineStr">
        <is>
          <t>Keurig Dr Pepper</t>
        </is>
      </c>
      <c r="D67" t="inlineStr">
        <is>
          <t>indeed</t>
        </is>
      </c>
      <c r="E67">
        <f>HYPERLINK("https://www.indeed.com/viewjob?jk=0b7b8f0063f4f245", "https://www.indeed.com/viewjob?jk=0b7b8f0063f4f245")</f>
        <v/>
      </c>
      <c r="F67">
        <f>HYPERLINK("https://careers.keurigdrpepper.com/job/-/-/42849/91055669040", "https://careers.keurigdrpepper.com/job/-/-/42849/91055669040")</f>
        <v/>
      </c>
      <c r="G67" t="inlineStr">
        <is>
          <t>Frisco, TX, US</t>
        </is>
      </c>
      <c r="H67" s="3" t="n">
        <v>46047</v>
      </c>
      <c r="I67" t="inlineStr">
        <is>
          <t>**Job Overview:**  
Are you passionate about harnessing data to unlock business insights and drive strategic growth? At Keurig Dr Pepper, we’re seeking a Principal Data Engineer to lead the development and optimization of our modern data ecosystem. You’ll play a pivotal role in designing scalable data solutions, enabling advanced analytics, and mentoring teams across disciplines to maximize the value of data.
Join our innovative team and help shape the future of enterprise data at one of North America’s leading beverage companies.
As a Principal Data Engineer, you will…  
Data Engineering \&amp; Architecture:  
* Architect and implement scalable data pipelines and transformation workflows using dbt, SnowSQL, and cloud\-native technologies.
* Design, build, and maintain enterprise\-grade data lakes, data warehouses, and transformation layers leveraging modern architectural patterns such as the Medallion (Bronze, Silver, Gold) architecture to support analytics and machine learning.
* Implement best practices for data ingestion, modeling, quality assurance, and lineage to ensure trusted and consistent data delivery.
* Create reusable frameworks and tools for automated deployment, monitoring, and lifecycle management of data assets.
* Optimize data platforms to deliver reliable, performant, and cost\-effective analytics infrastructure.
AI\-Ready Data Ecosystems  
* Collaborate with Data Scientists to support AI/ML pipelines—enabling efficient feature engineering, model training, and real\-time inferencing.
* Integrate AI\-driven capabilities such as anomaly detection, intelligent alerting, and natural language enrichment into data workflows.
Leadership \&amp; Collaboration:  
* Collaborate with cross\-functional teams—including Solution Architects, Product Managers, Data Scientists, and Analysts—to align on data strategy and business outcomes.
* Technically lead product teams involving external partners, ensuring timely delivery of high\-quality data solutions.
* Provide technical thought leadership, guiding project teams and business units through architectural decisions and best practices.
* Facilitate cross\-functional alignment to ensure scalable and sustainable data engineering practices.
Governance \&amp; Optimization:  
* Define and enforce engineering standards and best practices across the analytics ecosystem.
* Lead architectural design reviews, ensuring technical rigor and adherence to change control processes.
* Continuously assess and optimize the performance, reliability, and scalability of the data platform.
* Contribute to roadmap development and long\-term strategy for the enterprise analytics platform.
Who you are:
You're a strategic, hands\-on engineering leader who combines deep technical expertise with strong business acumen. You're passionate about solving complex data challenges, enabling AI, and mentoring teams to deliver enterprise\-grade data solutions.
Key Skills \&amp; Expertise:
Technical Mastery (Deep, hands\-on expertise expected)  
* Expert\-level knowledge of Snowflake architecture, SnowSQL, and data transformation workflows.
* Advanced proficiency with dbt for modeling, testing, versioning, and orchestrating ELT pipelines.
* Hands\-on experience with Databricks, including Spark\-based data processing, Delta Lake, and integration with cloud\-native data platforms.
* Strong command of SQL, Python, and scalable data pipeline development.
* Proven experience designing and managing enterprise data warehouses and cloud\-native data platforms.
* Deep understanding of modern data modeling techniques (e.g., dimensional, data vault, star/snowflake schemas).
* Experience delivering platforms that support advanced analytics and machine learning solutions.
* Solid grasp of data architecture frameworks such as Data Warehouses, Data Lakes, and Data Hubs.
* Experience with commercial data science tools like KNIME, Alteryx, or similar platforms.
Some Experience / Familiarity With (Preferred, but not required at expert level)
* AI/ML platforms such as SageMaker, AutoML, or TensorFlow.
* Data integration and ELT tools like Informatica Cloud, Fivetran, or Azure Data Factory.
* BI tools: Power BI, Tableau, or MicroStrategy.
* Working with SAP ERP as a data source.
* Cloud platforms such as Azure, AWS, or GCP—especially storage, compute, and orchestration services.
* DevOps practices including Git workflows, CI/CD, and automation.
* UNIX/Linux environments and shell scripting.
Leadership \&amp; Communication:  
* Ability to lead cross\-functional teams and manage complex data initiatives from design through delivery.
* Excellent communicator—able to convey complex technical concepts to both technical and non\-technical audiences.
* Proven track record of influencing architectural direction, mentoring team members, and driving business\-aligned outcomes.
* Skilled at deriving insights from data and translating them into clear, actionable recommendations.
Problem Solving \&amp; Optimization:  
* Demonstrated success in building and optimizing data pipelines to maximize performance and maintainability.
* Strong analytical and troubleshooting skills with a focus on root cause analysis and long\-term solutions.
**Total Rewards:**  
* Salary Range: $110,000 \- $168,000
* Actual placement within the compensation range may vary depending on experience, skills, and other factors
* Benefits, subject to election and eligibility: Medical, Dental, Vision, Disability, Paid Time Off (including paid parental leave, vacation, and sick time), 401k with company match, Tuition Reimbursement, and Mileage Reimbursement
* Annual bonus based on performance and eligibility
**Requirements:**  
Education:  
* Bachelor’s or Master’s degree in Computer Science, Data Science, Information Systems, or a related field.
Experience:  
* 10\+ years in data management, including integration, modeling, and optimization.
* Hands\-on experience with Analytics tools and platforms like Snowflake or Informatica Cloud.
* Expert in SQL, SnowSql coding, ETL, and data warehousing.
Core Skills:  
* Expertise in conceptual architecture, data integration design, and wireframing.
* Familiarity with DevOps and Agile technology environments (preferred).
* Strong presentation and change management skills.
Nice to have / Cross trained In:
* Exposure to SAP ERP and SAP\-based data integration.
* Experience with DevOps, CI/CD pipelines, and Git\-based workflows.
* Familiarity with AI/ML use cases in data operations (e.g., intelligent data quality, anomaly detection).
* Snowflake, dbt, or cloud platform certifications.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If you prefer not to have your application processed using artificial intelligence, you may opt out by emailing your resume and qualifications directly to kdpjobs@kdrp.com.
**Total Rewards** **Requirements** **Company Overview**</t>
        </is>
      </c>
    </row>
    <row r="68">
      <c r="A68" t="inlineStr">
        <is>
          <t>in-937fc9732fe4c347</t>
        </is>
      </c>
      <c r="B68" t="inlineStr">
        <is>
          <t>Data Platform Engineer</t>
        </is>
      </c>
      <c r="C68" t="inlineStr">
        <is>
          <t>First Bank &amp; Trust</t>
        </is>
      </c>
      <c r="D68" t="inlineStr">
        <is>
          <t>indeed</t>
        </is>
      </c>
      <c r="E68">
        <f>HYPERLINK("https://www.indeed.com/viewjob?jk=937fc9732fe4c347", "https://www.indeed.com/viewjob?jk=937fc9732fe4c347")</f>
        <v/>
      </c>
      <c r="F68">
        <f>HYPERLINK("https://bankeasy.wd5.myworkdayjobs.com/en-US/bank-easy-job-openings/job/Sioux-Falls-SD-I-229/Data-Platform-Engineer_R-100642", "https://bankeasy.wd5.myworkdayjobs.com/en-US/bank-easy-job-openings/job/Sioux-Falls-SD-I-229/Data-Platform-Engineer_R-100642")</f>
        <v/>
      </c>
      <c r="G68" t="inlineStr">
        <is>
          <t>Sioux Falls, SD, US</t>
        </is>
      </c>
      <c r="H68" s="3" t="n">
        <v>46047</v>
      </c>
      <c r="I68" t="inlineStr">
        <is>
          <t>Job Description:
The primary responsibility for this position is to design, develop, and optimize data pipelines using Microsoft Fabric, ensuring high standards of data quality, governance, and scalability across the enterprise data platform.
Qualifications: This person should have a bachelor’s degree in computer science, information systems, or a related field, and a minimum of 7 years’ experience in data engineering or platform development. Experience with Microsoft Fabric, data pipeline orchestration, and cloud\-based data solutions is preferred. The candidate must possess strong analytical and problem\-solving skills, excellent communication abilities, and a collaborative mindset. Special skill sets: Microsoft Fabric, MS SQL Server, Python, AI, machine learning, data pipeline design, data cleansing and transformation, data quality frameworks, metadata management, data cataloging, governance policy implementation, and platform scalability strategies.
Principal Responsibilities:* Design, build, and maintain robust data pipelines in Microsoft Fabric to support enterprise analytics and operational needs.
* Develop, implement, and maintain data management standards and best practices to ensure data integrity, quality, and security across the organization.
* Establish and monitor data quality metrics, proactively identifying and resolving data issues.
* Manage metadata and data cataloging processes to ensure data assets are discoverable, well\-documented, and compliant with organizational standards.
* Implement and enforce data governance policies, including data security, privacy, and compliance requirements.
* Collaborate with stakeholders to define and execute data strategy, focusing on platform scalability and future growth.
* Provide guidance and mentorship to team members on best practices in data engineering, quality, and governance.
* Stay current with emerging technologies, industry trends, and best practices in data platform engineering and Microsoft Fabric.
* Maintain comprehensive documentation for data pipelines, processes, and governance frameworks.
* Act in accordance with organizational policy and procedures as established and set forth in the employee handbook.
* Adhere to compliance procedures and participate in required compliance training.
Compensation Grade
Salary Grade 7*First Bank \&amp; Trust is an Equal Opportunity, Affirmative Action employer. All qualified applicants will receive consideration for employment without regard to race, color, religion, sex, sexual orientation, gender identity or expression, national origin, disability, or status as a protected veteran. Read our complete* Equal Employment Opportunity Policy Statement*. Applicants who would like to request reasonable accommodation to the application or interview process should call Human Resources at 800\.843\.1552 or email* *hr@bankeasy.com**.*</t>
        </is>
      </c>
    </row>
    <row r="69">
      <c r="A69" t="inlineStr">
        <is>
          <t>in-176083e68cfbe022</t>
        </is>
      </c>
      <c r="B69" t="inlineStr">
        <is>
          <t>Senior Consultant - Data Engineer and Business Intelligence</t>
        </is>
      </c>
      <c r="C69" t="inlineStr">
        <is>
          <t>Black &amp; Veatch</t>
        </is>
      </c>
      <c r="D69" t="inlineStr">
        <is>
          <t>indeed</t>
        </is>
      </c>
      <c r="E69">
        <f>HYPERLINK("https://www.indeed.com/viewjob?jk=176083e68cfbe022", "https://www.indeed.com/viewjob?jk=176083e68cfbe022")</f>
        <v/>
      </c>
      <c r="F69">
        <f>HYPERLINK("https://careers.bv.com/job/Denver-Senior-Consultant-Data-Engineer-and-Business-Intelligence-CO-80002/1287360201/", "https://careers.bv.com/job/Denver-Senior-Consultant-Data-Engineer-and-Business-Intelligence-CO-80002/1287360201/")</f>
        <v/>
      </c>
      <c r="G69" t="inlineStr">
        <is>
          <t>Denver, CO, US</t>
        </is>
      </c>
      <c r="H69" s="3" t="n">
        <v>46047</v>
      </c>
      <c r="I69" t="inlineStr">
        <is>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113090
**Opportunity Type :** Staff
**Relocation eligible :** No
**Full time/Part time :** Full\-Time
**Project Only Hire :** No
**Visa Sponsorship Available:** No
**Why Black and Veatch**
------------------------
Black \&amp; Veatch allows you to lend your talent and perspective to humanity’s biggest challenges in a flexible environment where you are empowered to grow and explore new possibilities. We offer competitive compensation; 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**The Team**
------------
Black \&amp; Veatch’s Digital Delivery team is a dynamic, cross\-functional group of experts in data, technology, GIS, and asset management systems. We deliver innovative, data\-driven solutions that help clients navigate complex infrastructure challenges across diverse industries.
We partner with clients to align their people, processes, technologies, and data in response to rapid industry transformation. Our work enables organizations to modernize infrastructure, optimize asset performance, enhance resilience, and achieve long\-term sustainability goals.
By joining this team, you’ll be part of a collaborative environment that values innovation, continuous improvement, and client success. You’ll contribute to mission\-critical projects that make a meaningful impact on communities and industries around the world.
**The Opportunity**
-------------------
We are seeking a Senior Consultant in Black \&amp; Veatch’s Infrastructure Advisory Business to support our Digital and Asset Management Systems Solutions provide digital technical solutions to clients for application and dashboard development, data engineering and data analytics. This is a growing area of our business and is a great opportunity for an early\-career professional to join a dynamic and innovative team.
Compiling analysis and preparation of deliverables to contribute to the completion of multiple engagement phases of a project. Demonstrate capabilities with moderate to high level of supervision, depending on complexity and scope of the project.
**Key Responsibilities**
------------------------
Performs analytical, technical, and/or developmental tasks as assigned, including:
* Clearly articulates methodologies, rationale, and outcomes through both written and oral communication.
* Identifies and applies suitable technical approaches for diagnosing issues and devising solutions, leveraging subject matter experts as necessary to address knowledge gaps.
* Assists clients in implementing modern data platforms and advanced analytics capabilities.
* Contributes to business development by preparing proposals and participating in client strategy meetings.
* Advises clients on best practices in data governance, security, and compliance.
* Designs and delivers data warehousing and cloud\-based solutions tailored to specific client requirements.
* Leads and oversees the comprehensive delivery of complex digital consulting and data management projects, including requirements gathering, scope definition, scheduling, budgeting, and quality assurance.
* Acts as the primary point of contact for clients, translating business objectives into technical strategies, presenting findings and recommendations, and supporting business development initiatives.
* Architects, implements, and maintains scalable data pipelines and infrastructures using technologies such as SQL, Python, and Power BI, building and sustaining ETL/ELT processes for data ingestion, transformation, and integration.
* Develops applications, dashboards, and reports to address client needs, delivering actionable insights and effectively communicating technical information through compelling visualizations to nontechnical stakeholders.
* Designs and automates quality control and data governance frameworks, validates and integrates diverse data sources, and ensures adherence to best practices in data warehousing, ETL/ELT processes, and security.
* Provides technical leadership and mentorship to both client and internal teams, proactively expanding subject matter expertise, keeping abreast of emerging technologies, and contributing to organizational knowledge sharing with a focus on data architecture and engineering.
**Preferred Qualifications**
----------------------------
* + Master’s degree in data science or engineering
	+ 2\+ years’ experience in an analytical / data\- centric role
	+ Familiarity with Infrastructure Design / Construction Projects
	+ Basic programming skills (VBA, Python, R, JavaScript)
	+ Basic to intermediate knowledge of SQL
	+ Basic knowledge of data integration (/ETL) (APIs, PowerShell)
	+ Familiarity with Microsoft Power Platform (Power Bl, Power Apps, Power Automate)
	+ Familiarity with cloud computing services (Azure, AWS, Google Cloud)
	+ Bachelor’s degree in GIS, Data Science, Engineering, or a related field (Maters Preferred)
	+ 8\+ years of experience in data architecture, analytics, or digital project management.
	+ Proficiency in tools such as ArcGIS Pro/Enterprise, SQL Python, Power BI, and cloud\-based platforms.
	+ Experience managing large\-scale geospatial or data\-driven projects in government, utilities, or industrial sectors.
	+ Strong communication and presentation skills, with experience engaging executive level stakeholders.
	+ Demonstrated ability to lead cross\-functional teams and deliver high quality client outcomes.
	+ Industry certifications are a plus (e.g. GISP, PMP, ESRI Technical certifications)
	+ Knowledge of modern data warehousing solutions (Snowflake, Redshift, BigQuery).
	+ Proficiency in programming languages (Python, Java, or Scala).
	+ Familiarity with containerization and orchestration (Docker, Kubernetes).
	+ Experience in scoping, estimating, and managing data projects for multiple clients.
**Minimum Qualifications**
--------------------------
Bachelor's Degree or relevant work experience.
7\+ years experience in a business/consulting environment.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 and Schedule**
---------------------------------
* Hybrid or flexible work options may be offered after the first 90 days of employment.
* Position location is Denver, Colorado.
* Comprehensive benefits portfolio including medical, dental, vision, disability, wellness programs, paid vacation, holiday time, and more.
* Tuition reimbursement, vendor discounts, and performance\-based bonus program.
* Commitment to diversity, equity, and inclusion, with a 100% ESOP\-owned structure.
**Salary Plan**
---------------
CST: Consulting**Job Grade**
-------------
017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This job posting will remain open until a suitable candidate(s) has been identified.
Black \&amp; Veatch is committed to being an employer of choice by creating a valuable work experience that keeps our people engaged, productive, safe and healthy.
Our comprehensive benefits portfolio is a key component of this commitment and offers and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that success through stock ownership.
By valuing diverse voices and perspectives, we cultivate an authentically inclusive environment for professionals and are able to provide innovative and effective solutions for clients.
BVH, Inc., its subsidiaries and its affiliated companies, complies with all Equal Employment Opportunity (EEO)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
In accordance with local law, the following Annual compensation range is applicable for the job and location associated with this requisition: $131,010\.00 \- $218,790\.00</t>
        </is>
      </c>
    </row>
    <row r="70">
      <c r="A70" t="inlineStr">
        <is>
          <t>in-1957b6755450d0cb</t>
        </is>
      </c>
      <c r="B70" t="inlineStr">
        <is>
          <t>Associate Data Engineer</t>
        </is>
      </c>
      <c r="C70" t="inlineStr">
        <is>
          <t>Infoblox</t>
        </is>
      </c>
      <c r="D70" t="inlineStr">
        <is>
          <t>indeed</t>
        </is>
      </c>
      <c r="E70">
        <f>HYPERLINK("https://www.indeed.com/viewjob?jk=1957b6755450d0cb", "https://www.indeed.com/viewjob?jk=1957b6755450d0cb")</f>
        <v/>
      </c>
      <c r="F70">
        <f>HYPERLINK("https://efpv.fa.us6.oraclecloud.com/hcmUI/CandidateExperience/en/sites/CX_1/requisitions/preview/7243", "https://efpv.fa.us6.oraclecloud.com/hcmUI/CandidateExperience/en/sites/CX_1/requisitions/preview/7243")</f>
        <v/>
      </c>
      <c r="G70" t="inlineStr">
        <is>
          <t>Tacoma, WA, US</t>
        </is>
      </c>
      <c r="H70" s="3" t="n">
        <v>46047</v>
      </c>
      <c r="I70" t="inlineStr">
        <is>
          <t>At Infoblox, every breakthrough begins with a bold “what if.” What if your ideas could ignite global innovation? What if your curiosity could redefine the future?
We invite you to step into the next exciting chapter of your career journey. Bring your creativity, drive, your daring spirit, and feel what it’s like to thrive on a team big enough to make an impact, yet small enough to make a difference. Our cloud\-first networking and security solutions already protect 70% of the Fortune 500, and we’re looking for creative thinkers ready to push that influence even further. Join us and discover how far your bold “what if” can take the world, your community, and your career.
How we empower our people is extraordinary: we’re recognized as a Glassdoor Best Place to Work 2025, Great Place to Work\-Certified in five countries, and honored by Cigna as a Healthy Workforce honors for three consecutive years; And what we build is world class: named CybersecAsia’s Best in Critical Infrastructure 2024 — clear evidence that when first\-class technology meets empowered talent, remarkable careers take shape. So, what if the next big idea, and the next great career story, comes from you? Become the force that turns every “what if” into “what’s next”.
In a world where you can be anything, Be Infoblox.
**Associate Data Engineer**
We have an opportunity for an Associate Data Engineer to join our Data Engineering Team in Tacoma, reporting to the Director, Engineering. In this pivotal role, you will be at the heart of enabling data\-driven insights across customer networks. Collaborating closely with data scientists and analysts, you will work to curate and deliver high\-quality data that powers key business and product decisions.
**Be a Contributor — What You’ll Do**
* Curate and manage large\-scale data from multiple sources to support data science and threat analytics research and development.
* Design and implement data source monitoring using summarization, statistical methods, and anomaly detection.
* Apply computer science algorithms, including probabilistic data structures, to extract insights from large datasets.
* Productionize prototypes into scalable data engineering solutions using Spark optimizations and modern CI/CD pipelines.
* Build and maintain a robust research cloud environment with a focus on reliability, monitoring, and architecture improvements.
* Collaborate with software engineers on the design, implementation, and deployment of data\-driven applications.
* Enable data scientists and analysts by supporting Spark application development, debugging, and deployment.
* Establish and maintain consistent schemas and workflows to reduce onboarding time and tribal knowledge.
* Build and maintain tooling for automation, deployment, monitoring, and operational excellence.
* Investigate, debug, and resolve issues across development, test, and production environments.
**Be Prepared — What You Bring**
* Experience with Python3 and Spark. Scala experience is helpful.
* Exposure to data engineering, data science, and related data\-centric fields using large\-scale data environments.
* Proficient in Object Oriented Design and S.O.L.I.D principles.
* Strong emphasis on unit testing and code quality.
* Experience with bash shell script on Linux or MacOS.
* Experience with async, threading, parallel programming.
* BS in Computer Science or a related field, or equivalent work experience required.
**Be Successful — Your Path**
**First 90 Days** : Immerse in our culture, connect with mentors (Blox Buddies), and map the systems and meet with key stakeholders that rely on your work. Discuss and create short/long term goals.
**Six Months** : Focus on mastering the tech stack (Python, Spark, Databricks) and understanding data sources, workflows, and pipelines. Contribute to production\-ready code by submitting PRs, adding unit tests, and refactoring or porting legacy scripts. Assist data scientists and analysts in curating large datasets and converting prototypes into production\-ready solutions. Develop basic data quality monitoring scripts and demonstrate the ability to handle well\-scoped tasks independently while actively participating in design discussions and sprint ceremonies.
**One Year** : Own and deliver at least one end\-to\-end data pipeline, driving improvements in performance, reliability, or cost\-efficiency. Implement advanced monitoring, automation, and schema management strategies for critical data sources. Consistently contribute high\-quality, tested code while reviewing peers’ work and providing constructive feedback. Act as a go\-to engineer for specific data domains, mentor new hires, and propose innovative approaches to data modeling or summarization that enhance analytics capabilities and long\-term platform scalability.
**Belong— Your Community**
Our culture thrives on inclusion, rewarding the bold ideas, curiosity, and creativity that move us forward. In a community where every voice counts, continuous learning is the norm. So, whether you code, create, sell, or care for customers, you’ll grow and belong here.
**Be Rewarded — Benefits That Help You Grow, Thrive, Belong**
* Comprehensive health coverage, generous PTO, and flexible work options
* Learning opportunities, career\-mobility programs, and leadership workshops
* Sixteen paid volunteer hours each year, global employee resource groups, and a “No Jerks” policy that keeps collaboration healthy
* Modern offices with EV charging, healthy snacks (and the occasional cupcake), plus hackathons, game nights, and culture celebrations
* Charitable Giving Program supported by Company Match
* We practice pay transparency and reward performance. Offers reflect role location, internal equity, experience, skills, education, and certifications. Base salary for this position: $81,500 \- $117,370 plus annual bonus.
**Ready to Be the Difference?**
Infoblox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\#LI\-ME1
\#LI\-Hybrid</t>
        </is>
      </c>
    </row>
    <row r="71">
      <c r="A71" t="inlineStr">
        <is>
          <t>in-0afba6e1ac7e41b0</t>
        </is>
      </c>
      <c r="B71" t="inlineStr">
        <is>
          <t>Data and Analytics Engineer</t>
        </is>
      </c>
      <c r="C71" t="inlineStr">
        <is>
          <t>Rahr Corporation</t>
        </is>
      </c>
      <c r="D71" t="inlineStr">
        <is>
          <t>indeed</t>
        </is>
      </c>
      <c r="E71">
        <f>HYPERLINK("https://www.indeed.com/viewjob?jk=0afba6e1ac7e41b0", "https://www.indeed.com/viewjob?jk=0afba6e1ac7e41b0")</f>
        <v/>
      </c>
      <c r="F71">
        <f>HYPERLINK("https://workforcenow.adp.com/mascsr/default/mdf/recruitment/recruitment.html?cid=d34aa1a5-4704-45f8-a729-411e6b7e23a4&amp;ccId=19000101_000003&amp;jobId=573012&amp;jwId=SYS:JW:001&amp;source=IN&amp;lang=en_US", "https://workforcenow.adp.com/mascsr/default/mdf/recruitment/recruitment.html?cid=d34aa1a5-4704-45f8-a729-411e6b7e23a4&amp;ccId=19000101_000003&amp;jobId=573012&amp;jwId=SYS:JW:001&amp;source=IN&amp;lang=en_US")</f>
        <v/>
      </c>
      <c r="G71" t="inlineStr">
        <is>
          <t>Shakopee, MN, US</t>
        </is>
      </c>
      <c r="H71" s="3" t="n">
        <v>46047</v>
      </c>
      <c r="I71" t="inlineStr">
        <is>
          <t>RahrBSG is looking for a Data and Analytics Engineer to join our team in Shakopee, MN. The Data and Analytics Engineer is responsible for managing and maintaining SQL Server data platforms, optimizing and troubleshooting advanced SQL queries and stored procedures, and providing business\-oriented analytics solutions using Power BI. This role enables transformation and modernization to scalable cloud\-based data platforms such as Microsoft Fabric and Azure Synapse Link. The Data and Analytics Engineer, a key member of a small, high\-performing data team, serves as a data expert and collaborates with both business stakeholders and IT colleagues to provide reliable, innovative, and user\-friendly data solutions that support and empower decision\-makers.
This is a hybrid role with a minimum of three days a week onsite at our Shakopee Minnesota Campus.
BENEFITS \&amp; PERKS:
* Competitive Starting Base Salary Between $100k \- $140k per year
* Annual Bonus
* Medical benefits with coverage paid for at 90%
* Dental and Vison Programs
* Generous Annual 401(k) Company Contribution of 15%
* Employee Assistance Program
* Paid Life Insurance
* Short Term Disability
* Long Term Disability
* Tuition Reimbursement
* Generous PTO
* Sick Time
* 12 Paid Company Holidays
* Parental Leave
* Career Growth and Progression Paths
 **ROLES AND RESPONSIBILITIES:**
**Data Engineering**
* Support analytics, reporting, and data initiatives that collect and process data according to company needs and goals.
* Manage and support data platforms and solutions to enable the business, ensuring efficiency, scalability, and alignment with data architecture best practices.
* Plan and support data migrations, upgrades, and platform enhancements.
**Data Infrastructure and Architecture**
* Fulfill data\-related requests, perform necessary data housekeeping, data cleansing, and data model changes.
* Work with the team to maintain data models, schemas, and storage structures that optimize performance and usability.
* Contribute to the design of data governance, data quality, and metadata standards.
**Analytics Enablement**
* Collaborate with internal and external stakeholders to translate business and technical needs into data solutions.
* Support the development of analytics solutions through efficient data preparation and transformation.
* Provide guidance, assistance, and training to Power BI developers and users.
**Quality, Monitoring, and Documentation**
* Analyze data to spot anomalies, trends, and correlate similar data sets.
* Investigate and resolve data and analytics support issues, identify root causes, and proactively recommend activities to reduce risk of future issues.
* Implement data validation, monitoring, and alerting to ensure high data quality.
* Monitor platform performance and implement tools and processes to improve availability and reliability.
* Create and maintain technical documentation for data platforms and solutions.
* Manage work items, code, and release pipelines using Azure DevOps.
**Continuous Improvement**
* Contribute to a culture of teamwork, collaboration, and continuous improvement.
* Partner with enterprise architecture, infrastructure, business analysts, and cybersecurity to ensure reliable, secure, and scalable data solutions.
* Perform additional duties as needed to support evolving business needs.
 **MINIMUM EDUCATION \&amp; WORK REQUIREMENTS:**
* Bachelor’s degree in IT, Computer Science, Engineering, or related field.
* 5\+ years of experience in data and analytics.
* Strong technical proficiency in:
	+ Microsoft SQL Server, SQL queries, and stored procedures.
	+ ETL/ELT tools, such as Microsoft SSIS/SSRS or a comparable tool.
	+ Power BI.
* Solid enterprise data warehouse experience, including data modeling and data schemas.
* Familiarity with cloud data platforms (Microsoft Fabric, Synapse Link, Azure Data Lake, or other cloud data platforms).
* Data integration experience with Microsoft Dynamics 365 Finance \&amp; Operations ERP is preferred.
* Knowledge of data governance and data quality platforms (e.g., Microsoft Purview) is preferred.
* Working experience with Azure DevOps or comparable SDLC management tools is preferred.
 **KNOWLEDGE, SKILLS, AND ABILITIES:**
* An initiative\-taker with strong collaboration skills to partner effectively across diverse cross\-functional teams.
* Ability to manage multiple priorities with attention to detail.
* Ability to meet deadlines and solve problems in a fast\-paced environment with shifting priorities, demands, and timelines.
* Proven intellectual curiosity to dig into data, understand root cause and implications, and challenge assumptions to ensure the best outcome.
* Excellent written and oral communication skills with the ability to convey complex technical concepts and findings in a clear, concise, and credible manner.
* Proven ability to learn and understand business data and become a data expert.
* Demonstrated technical expertise in SQL database, SQL queries, stored procedures and data warehousing.
* Demonstrated technical expertise in ETL tools and Microsoft Power BI platform.
* Familiarity with managing work, code, and deployments using Azure DevOps.
* Ability to leverage Microsoft Fabric (OneLake, Lakehouse/Warehouse, Data Pipelines) to standardize data architecture and improve scalability.
* Demonstrated experience applying data governance practices, including maintaining data catalogs, documenting end to‑ ‑end data lineage, and performing data quality checks to ensure accuracy and reliability of enterprise data.
* Recognizes quickly when progress is stalling and takes immediate action to get back on track.
* Demonstrates responsiveness and reacts with appropriate urgency to situations that require quick action or turnaround.
A curious mindset with an enthusiasm for trying new tools and techniques.  
* 
Rahr is a family\-owned global leader and trusted partner to the craft beverage industry, proudly supporting breweries, wineries, distilleries, cideries, and storefronts with premium supplies and ingredients since 1847\. With over 175 years of expertise, Rahr combines tradition with innovation to meet the evolving needs of our customers and the craft beverage community.  
Headquartered in Shakopee, MN, Rahr Corporation is a fifth\-generation family business. We are committed to providing the highest quality products and services to our customers, ensuring they can create beverages that inspire and delight. Our offerings include an extensive range of barley malts, hops, adjuncts, and other brewing essentials, designed to support beverage makers of all sizes and styles.  
At Rahr, we value quality, innovation, and collaboration. We’re passionate about crafting excellence and fostering the growth of the craft beverage industry while upholding our family\-owned values and commitment to sustainability. Join us and become part of a legacy dedicated to supporting the artistry and success of beverage makers worldwide.</t>
        </is>
      </c>
    </row>
    <row r="72">
      <c r="A72" t="inlineStr">
        <is>
          <t>in-5a801ddfe09a303b</t>
        </is>
      </c>
      <c r="B72" t="inlineStr">
        <is>
          <t>Fabric Data Engineer</t>
        </is>
      </c>
      <c r="C72" t="inlineStr">
        <is>
          <t>Medline Industries</t>
        </is>
      </c>
      <c r="D72" t="inlineStr">
        <is>
          <t>indeed</t>
        </is>
      </c>
      <c r="E72">
        <f>HYPERLINK("https://www.indeed.com/viewjob?jk=5a801ddfe09a303b", "https://www.indeed.com/viewjob?jk=5a801ddfe09a303b")</f>
        <v/>
      </c>
      <c r="F72">
        <f>HYPERLINK("https://medline.wd5.myworkdayjobs.com/en-US/Medline/job/Northbrook-Illinois/Fabric-Data-Engineer_R2601623", "https://medline.wd5.myworkdayjobs.com/en-US/Medline/job/Northbrook-Illinois/Fabric-Data-Engineer_R2601623")</f>
        <v/>
      </c>
      <c r="G72" t="inlineStr">
        <is>
          <t>Northbrook, IL, US</t>
        </is>
      </c>
      <c r="H72" s="3" t="n">
        <v>46047</v>
      </c>
      <c r="I72" t="inlineStr">
        <is>
          <t>**Job Summary**
**Job Description**
Great opportunity to show off your passion for data, reporting, analytics, and data warehousing. Medline's BI team may have the perfect fit for you!
This person will be responsible for project planning, execution, and implementation of changes to reporting solutions for BI – Marketing \&amp; Ecommerce portfolio as well as ensuring accurate and timely data solutions delivery to business partners.
To be successful in the role, you need strong analytical skills, excellent communication skills and will be responsible for developing and maintaining enterprise and departmental business intelligence, data warehousing and reporting solutions.
Required Skills:
* 8\+ years of experience in Business Intelligence, Data Engineering, or related fields, with strong expertise in modern cloud\-based analytics platforms.
* Hands‑on experience with Microsoft Fabric, including Lakehouse, Data Warehouses, Pipelines, Dataflows Gen2, and Real\-Time Analytics.
* Ability to design and implement scalable data solutions using Fabric OneLake architecture, Delta Lake tables, and Fabric pipelines.
* Expertise in data engineering best practices, including data modeling, data integration, and building high‑performing analytical data stores.
* Good working knowledge of SAP systems and underlying data structures, with ability to integrate SAP data into Fabric pipelines.
* Strong proficiency in SQL, including performance tuning, optimization, and development of complex queries for Fabric Lakehouse and Warehouses.
* Excellent oral and written communication skills, with ability to collaborate independently with business partners, onshore and offshore teams.
* Good analytical skills to translate business requirements into scalable Fabric data models and data products.
* Strong task management, prioritization, and problem‑solving capabilities, driving work from conception to completion.
* Experience with SDLC, Agile/Scrum, and project management tools such as Jira.
* Certifications in Azure or Fabric technologies are a plus.
* Data modeling (Native HANA) and TDV (Good to Have).
* Experience of ETL tools, preferably Talend.
Responsibilities
* Engage with business users to gather requirements and understand functional needs for data products and reporting.
* Develop scalable data ingestion and transformation pipelines using Fabric pipelines, notebooks, and SQL
* Gather, process, and model raw data at scale to support analytical and operational use cases, including scripts, REST calls, and SQL queries.
* Perform cost optimization and governance over Fabric capacities and workspaces to ensure efficient resource usage.
* Partner with software developers and analysts to ensure reliable, performant data delivery across Fabric workloads.
* Build analytics\-ready data sets and tools using Fabric Lakehouse/Warehouse to drive insights around customer acquisition, operations, and business KPIs
* Develop optimized SQL for Fabric Warehouse and Lakehouse engines
* Mentor junior engineers and contribute to best practices for Fabric\-based data modeling and engineering.
* Own end‑to‑end project delivery includes communication, development, testing, migration, support, and documentation.
* Perform pipeline and query performance tuning across Fabric workloads
* Analyze trends and patterns in data and transform them into actionable recommendations for the business.
* Participate in defining best practices around Data models development and deliverables.
Medline Industries, LP, and its subsidiaries, offer a competitive total rewards package, continuing education \&amp; training, and tremendous potential with a growing worldwide organization.
The anticipated salary range for this position:
$101,000\.00 \- $152,000\.00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73">
      <c r="A73" t="inlineStr">
        <is>
          <t>in-aa0645cb7e505485</t>
        </is>
      </c>
      <c r="B73" t="inlineStr">
        <is>
          <t>Senior Data Platform Engineer</t>
        </is>
      </c>
      <c r="C73" t="inlineStr">
        <is>
          <t>Sherwin-Williams</t>
        </is>
      </c>
      <c r="D73" t="inlineStr">
        <is>
          <t>indeed</t>
        </is>
      </c>
      <c r="E73">
        <f>HYPERLINK("https://www.indeed.com/viewjob?jk=aa0645cb7e505485", "https://www.indeed.com/viewjob?jk=aa0645cb7e505485")</f>
        <v/>
      </c>
      <c r="F73">
        <f>HYPERLINK("https://click.appcast.io/t/wLmhqocznUKPDfgjj9sdt3uxbLy6aM05993ln14cZfA=", "https://click.appcast.io/t/wLmhqocznUKPDfgjj9sdt3uxbLy6aM05993ln14cZfA=")</f>
        <v/>
      </c>
      <c r="G73" t="inlineStr">
        <is>
          <t>Cleveland, OH, US</t>
        </is>
      </c>
      <c r="H73" s="3" t="n">
        <v>46047</v>
      </c>
      <c r="I73" t="inlineStr">
        <is>
          <t>The Senior Data Platform Engineer role is responsible for designing, building, problem\-solving, troubleshooting, and maintaining business intelligence platforms within the current technology environment. The role involves analyzing complex technical problems, developing appropriate solutions to maintain the overall integrity of the platform, including operating systems, hardware and software infrastructure that are critical to the company's user populace and application environments. They collaborate with other IT professionals such as Data Analysis, Application, Architect, and Database Engineers to ensure that all components of the platform are working efficiently, securely, and resiliently. The Senior Data Platform Engineer uses their extensive knowledge of both traditional and modern platforms to ensure high performance and reliability of the company's infrastructure, including both cloud and on\-premises systems, in support of DevOps efforts and general business and IT objectives.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
* Maintain the platform hardware, software, and network requirements in alignment with business needs and organizational standards defined
* Monitor system performance and troubleshoot issues as they arise to continuously improve platforms in alignment with application goals
* Manage and configure DevOps tools (such as API Gateway, Teraform) to support processes as per organizational needs
* Collaborate with DevOps engineering and production team to update, troubleshoot and maintain platforms and environments to bring new features and services into production
* Identify, prioritize, implement and maintain automated and orchestrated fulfillment mechanisms to optimize delivery of key platform services
* Coordinate the tasks of other teams that work within the target platform to ensure smooth operations
* Identify and mitigate security threats to comply with a strict security compliance
* Develop and implement security and resiliency policies, standards, and procedures to protect the infrastructure and ensure compliance with regulations
* Produce high\-level design documentation where required
* Conduct technical research regarding user requests for new/modified systems or problem resolution
* Manage vendor relationships and discussions related to design docs, platform changes, and other modifications, as needed
*This role is not remote/ hybrid. This role will report to our office in Cleveland, OH.*
*This position is not eligible for sponsorship for work authorization now or in the future, including conversion to H1\-B visa. Must be legally authorized to work in the country of employment without needing sponsorship for employment work visa status now or in the future.*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*Must be eighteen years or older*
**Education**
* **Required**
Bachelor's Degree in Computer Science or a related field. In lieu of a degree, at least 7 years of experience in the role of Platform Engineer or related position
* **Preferred**
Azure Solutions Architect, Certified Kubernetes Administrator (CKA), or AWS Certified DevOps Engineer preferred
**Skills and Experience**
* 4\-6\+ years of experience in platform engineering and infrastructure components
* Experience in automated interaction with physical, virtual, or cloud infrastructure
* Experience in managing and maintaining cloud\-based environments such as AWS, GCP, or Azure
* Experience with monitoring and log management tools such as Nagios, Splunk, and ELK
* Experience in developing and implementing backup and disaster recovery strategies
* Excellent scripting experience in languages such as Python, PowerShell, and Bash
* Experience with Infrastructure as Code (IaC) and configuration management tools such as Ansible, Chef, and Terraform
	+ **Technical Skills**
		- Programming Languages
		- Cloud Technologies \&amp; Platforms
		- Continuous Integration and Continuous Deployment (CI/CD)
		- DevOps Methodology
		- Software Packaging and Deployment Procedures Operating Systems
		- Network Operations, Configuration, \&amp; Services Containerization
		- Monitoring and Logging
		- Integration Technology
**Preferred**
* Experience with enterprise business intelligence and data platforms such as PowerBI, Tableau, Business Objects, MicroStrategy, Snowflake, and Fivetran.
* Familiar with networking fundamentals such as load balancers, firewalls, application proxies, and security brokers.
* Familiar with security fundamentals such as principle of least privilege, data encryption, data classification and tagging, and secrets management.
* Working knowledge of RESTful development practices.</t>
        </is>
      </c>
    </row>
    <row r="74">
      <c r="A74" t="inlineStr">
        <is>
          <t>in-0f9e0a916fd2094e</t>
        </is>
      </c>
      <c r="B74" t="inlineStr">
        <is>
          <t>Sr. Azure Data Engineer - Databricks</t>
        </is>
      </c>
      <c r="C74" t="inlineStr">
        <is>
          <t>Core BTS</t>
        </is>
      </c>
      <c r="D74" t="inlineStr">
        <is>
          <t>indeed</t>
        </is>
      </c>
      <c r="E74">
        <f>HYPERLINK("https://www.indeed.com/viewjob?jk=0f9e0a916fd2094e", "https://www.indeed.com/viewjob?jk=0f9e0a916fd2094e")</f>
        <v/>
      </c>
      <c r="F74">
        <f>HYPERLINK("https://app.loxo.co/job/MTQzMTYtbmxnYzg3cWQwZGtwaXU3Nw==?source_type=indeed&amp;t=1769451693", "https://app.loxo.co/job/MTQzMTYtbmxnYzg3cWQwZGtwaXU3Nw==?source_type=indeed&amp;t=1769451693")</f>
        <v/>
      </c>
      <c r="G74" t="inlineStr">
        <is>
          <t>Charlotte, NC, US</t>
        </is>
      </c>
      <c r="H74" s="3" t="n">
        <v>46047</v>
      </c>
      <c r="I74" t="inlineStr">
        <is>
          <t>**Through NRI Resource Management Services (RMS), we offer custom talent solutions to help our clients meet their evolving technology and business needs. We help effectively match the right technology professional to their organization, recruiting for contract, contract\-to\-hire, and direct roles. Our client in (area/region) has an immediate need for a (job title). Please note that this is a (contract/contract to hire/direct hire) opportunity with our client and NOT with NRI.** **Job Description: Senior Data Engineer**  
The Senior Data Engineer / Data Platform Engineer will take ownership of the architecture, infrastructure, and operational maturity of our data environment. This role is ideal for someone who thrives in a Medallion Architecture based Python DLT/ DBT environment hosted in Azure, enjoys maturing foundational systems, and is comfortable operating at the intersection of engineering, operations, and business stakeholders. The candidate must have exceptional communication skills, with ability to interact with key business stakeholders in delivering critical reporting \&amp; other data insights. ***Key Responsibilities*** **Data Architecture \&amp; Platform Ownership**  
* Own the **end\-to\-end architecture and infrastructure** of the Azure\-based data platform
* Design and implement a **modern lakehouse architecture** to support analytics and reporting
* Establish best practices for **data engineering, reliability, and operational excellence**
**Data Ingestion \&amp; Pipelines**  
* Design, build, and maintain **API\-driven and batch data pipelines**
* Ingest data from multiple source systems across acquired entities
* Orchestrate workflows using **Dagster**
* Ensure pipelines are **scalable, resilient, and well\-monitored**
**Data Transformation \&amp; Analytics Enablement**  
* Transform raw, disparate data into **clean, trusted, analytics\-ready datasets**
* Model data for consumption in **Power BI (PBI)**
* Partner with finance and business teams to align data structures with reporting needs
**Operations \&amp; Troubleshooting**  
* Own **data platform operations**, including monitoring, alerting, and incident response
* Troubleshoot complex data and pipeline issues across ingestion, transformation, and reporting layers
* Continuously improve performance, reliability, and cost efficiency
**Stakeholder Collaboration**  
* Work closely with the **CFO and other senior stakeholders** to understand reporting and analytics requirements
* Translate business needs into technical solutions
* Act as a trusted data engineering partner across the organization
***Qualifications and Skills*** **Education and Experience*** Bachelor's degree in information systems, informatics, data science or a related field
* 5\+ years of experience in data engineering, data platform engineering, or data operations
* Certifications including **Microsoft Azure Data Engineer Associate**, **Databricks Certified Data Engineer,** **Python Institute** **Certifications (PCAP, PCPP) or DataCamp Certifications** are highly desirable
**Technical Knowledge**  
* Strong experience in **Microsoft Azure** data services (greenfield experience strongly preferred)
* Hands\-on expertise with:
* **Python (including DLT and DBT)**
* **Azure DataBricks**
* **APIs, data pipelines, and ingestion frameworks**
* **Workflow orchestration** (Dagster or similar tools)
* Experience building and operating **Medallion Architected environments**
* Strong experience supporting **Power BI** or similar BI tools
* Experience using GitHUB or similar version control tools
 **Leadership and Communication**  
* Collaborate with the **CFO and other senior stakeholders** to understand reporting and analytics requirements, then accurately translate business needs into technical solutions
* Act as a trusted data engineering partner across the organization
* Communicate health and status of environment to leadership regularly
**Problem\-Solving and Decision\-Making**  
* Excellent **troubleshooting and problem\-solving skills** across data pipelines and platforms
* Influence prioritization of work to **minimize technical debt** and **maintain performance**
* Ability to work at a detailed level while maintaining the ‘big picture’ of the overall business vision
 ***Key Performance Indicators***  
To measure the success the Senior Data Engineer is responsible for the following KPIs:  
* Cloud and PaaS resource utilization in Data Environment
* Compliance with IT Data Security and IT general controls
* Time to fix pipeline failures and data environment defects and outages
* Increase usage of published PowerBI Reports</t>
        </is>
      </c>
    </row>
    <row r="75">
      <c r="A75" t="inlineStr">
        <is>
          <t>in-d12f73451fdb14cd</t>
        </is>
      </c>
      <c r="B75" t="inlineStr">
        <is>
          <t>Data Engineer</t>
        </is>
      </c>
      <c r="C75" t="inlineStr">
        <is>
          <t>Ford Motor Company</t>
        </is>
      </c>
      <c r="D75" t="inlineStr">
        <is>
          <t>indeed</t>
        </is>
      </c>
      <c r="E75">
        <f>HYPERLINK("https://www.indeed.com/viewjob?jk=d12f73451fdb14cd", "https://www.indeed.com/viewjob?jk=d12f73451fdb14cd")</f>
        <v/>
      </c>
      <c r="F75">
        <f>HYPERLINK("https://efds.fa.em5.oraclecloud.com/hcmUI/CandidateExperience/en/sites/CX_1/requisitions/preview/56897", "https://efds.fa.em5.oraclecloud.com/hcmUI/CandidateExperience/en/sites/CX_1/requisitions/preview/56897")</f>
        <v/>
      </c>
      <c r="G75" t="inlineStr">
        <is>
          <t>Dearborn, MI, US</t>
        </is>
      </c>
      <c r="H75" s="3" t="n">
        <v>46047</v>
      </c>
      <c r="I75" t="inlineStr">
        <is>
          <t>Senior Data Engineer – GCP Platform We’re seeking a hands\-on Senior Data Engineer with 7\+ years in data engineering and 10\+ years in IT to design, build, and operate scalable, enterprise\-grade data platforms on Google Cloud Platform. You will own end\-to\-end data pipelines (ETL/ELT) delivering analytics\-ready data in BigQuery, implement and drive data governance, quality, and observability. You’ll lead cross\-functional teams, collaborate with analytics and product stakeholders, and optimize cost and reliability through IaC (Terraform) and CI/CD, using orchestration (Airflow/Astronomer or Schedule Query) and modern BI/observability tools to deliver actionable insights from telemetry and other enterprise data.
**You'll have...**
* Bachelor's Degree and/or equivalent education and experience
* 7\+ years of experience in data engineering, data platforms, or a similar role.
* 4\+ years of hands\-on experience with Google Cloud Platform (BigQuery, Cloud Storage, Dataflow, Dataproc; Schedule Query or equivalent scheduling/orchestration).
* 4\+ years experience in Python and SQL; strong experience with PySpark is a plus.
* 4\+ years experience with ETL/ELT design, data modeling, data warehousing, and data governance.
**Even better, you may have...**
* Practical experience building and operating data pipelines with orchestration tools (Airflow/Astronomer; Schedule Query).
* Experience with infrastructure\-as\-code and CI/CD (Terraform, Git, and related tooling).
* Demonstrated ability to design and implement analytics\-ready data assets and dashboards; familiarity with BI tools (Looker, Tableau, Power BI, Grafana) for monitoring and reporting.
Strong communication skills and ability to work effectively with cross\-functional teams (engineering, analytics, product, security).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6 and ranges from $83,280\-139,680\. This position is a salary grade 7 and ranges from $97,140\-162,540\.
For more information on salary and benefits, click here: https://fordcareers.co/GSR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will be required to be onsite four or more days per week.
\#LI\-Hybrid
\#LI\-CH2
Key Responsibilities
* Design and implement end\-to\-end data pipelines (ETL/ELT) that ingest, process, and curate large\-scale enterprise data, including telemetry/vehicle data and other structured/unstructured sources.
* Migrate and modernize data assets to a centralized data platform (e.g., BigQuery) using principled data lake/warehouse architectures (Bronze/Silver/Gold or Medallion architecture) to power analytics and reporting.
* Architect scalable data models and data warehouses, optimizing for query performance, maintainability, and cost efficiency.
* Develop and operate robust orchestration pipelines using Airflow/Astronomer or Schedule Query, with secure, reproducible CI/CD workflows (Terraform \+ Git).
* Build and maintain reliable data quality checks, lineage, and monitoring with observability tools (e.g., Splunk, Looker/Grafana/Tableau/Power BI dashboards) to rapidly detect and resolve data issues.
* Implement data governance, security, and compliance controls (data lineage, access controls, PII/PHI protection) in collaboration with security and privacy teams.
* Lead the design and delivery of analytics\-ready data assets for cross\-functional teams, including dashboards, alerts, and self\-service analytics.
* Mentor and coach junior engineers, review code, and drive best practices in data engineering, testing, and documentation.
* Collaborate with data scientists, product managers, and business stakeholders to translate requirements into scalable data solutions and timely insights.
* Monitor cost and capacity planning for cloud resources; optimize storage and compute usage across GCP services (BigQuery, Dataflow, Dataproc, GCS).
* Participate in on\-call rotations and incident response to maintain high availability of data services.</t>
        </is>
      </c>
    </row>
    <row r="76">
      <c r="A76" t="inlineStr">
        <is>
          <t>in-1e6d7f5f5bfb3e0b</t>
        </is>
      </c>
      <c r="B76" t="inlineStr">
        <is>
          <t>Senior Data Engineer</t>
        </is>
      </c>
      <c r="C76" t="inlineStr">
        <is>
          <t>via</t>
        </is>
      </c>
      <c r="D76" t="inlineStr">
        <is>
          <t>indeed</t>
        </is>
      </c>
      <c r="E76">
        <f>HYPERLINK("https://www.indeed.com/viewjob?jk=1e6d7f5f5bfb3e0b", "https://www.indeed.com/viewjob?jk=1e6d7f5f5bfb3e0b")</f>
        <v/>
      </c>
      <c r="F76">
        <f>HYPERLINK("https://apply.workable.com/j/EE5B538394", "https://apply.workable.com/j/EE5B538394")</f>
        <v/>
      </c>
      <c r="G76" t="inlineStr">
        <is>
          <t>Somerville, MA, US</t>
        </is>
      </c>
      <c r="H76" s="3" t="n">
        <v>46047</v>
      </c>
      <c r="I76" t="inlineStr">
        <is>
          <t>### **Title: Senior Data Engineer**
Location: Somerville, Massachusetts
VIA is making an impact, and so can you.  
At VIA, our mission is to make communities cleaner, safer, and more equitable. We believe that by working across organizational boundaries, we can achieve greater collective good than we can individually. VIA overcomes digital barriers to collective action by providing the world’s most secure and simple data and identity protection solutions.
VIA is trusted by the U.S. Department of Defense and Fortune 100 companies around the globe to solve their toughest data and identity protection challenges. Using our Web3, quantum\-resistant, passwordless technologies (19 issued patents), VIA protects data against theft, manipulation, and misuse.  
An impressive mission requires an equally impressive Senior Data Engineer.
As a Senior Data Engineer at VIA, you will play a pivotal role in the growth of our solutions.
You will build the foundation that empowers our customers to harness AI for human\-centric, data\-driven decision\-making. You will work cross\-functionally with a high\-performing team of data professionals, developers, DevOps, and Client Delivery specialists who are already pushing the boundaries of what’s possible with AI.
Individuals who excel in this role are motivated by solving complex data accessibility challenges, holding a high bar for data quality and availability, and improving performance. Are you ready to join us?  
In this role, you will:
* Architect secure solutions: Design and implement robust, cloud\-based data storage solutions, optimizing schemas for multi\-tenant environments while ensuring data accessibility and security and a high standard of trust and transparency
* Engineer data pipelines: Develop, deploy, and maintain resilient ETL/ELT pipelines for both real\-time streaming and batch processing, ensuring seamless data flow from raw ingestion to production\-ready applications
* Facilitate data accessibility: Build and manage data access layers, including REST APIs and streaming services, to empower downstream users
* Drive data governance and best practices: Contribute across teams to recommend tools, processes, and best practices for maintaining data health, integrity, and security
* Operationalize AI models: Support AI operations (MLOps) by managing versioning, containerization, and deployment of AI models
* Monitor and optimize infrastructure: Build monitoring and alerting systems to track data health and system performance, proactively identifying and remediating bottlenecks
What you will bring to this role:
* Education: Bachelor’s degree or higher in Computer Science, Engineering, or Data Science
* Experience: 5\+ years of professional experience in data engineering or a related role
* Core engineering: A strong foundation in Python (or equivalent), including testing frameworks (e.g., pytest) and ORMs (e.g., SQLAlchemy)
* + You understand modularity and how to define clear scopes and responsibilities within a large codebase
* Data architecture: Proven experience architecting scalable relational and non\-relational (SQL/noSQL) schemas
* + You manage the end\-to\-end database lifecycle, from initial design to production maintenance
* Performance engineering: Expertise in maximizing system performance through advanced query tuning, strategic indexing, and execution plan analysis to eliminate technical bottlenecks
* Cloud infrastructure: Experience with one or more cloud\-based databases (e.g., AWS RDS, Azure Database)
* + You are comfortable configuring compute resources, backups, and geolocation requirements
* Data orchestration: Experience building resilient pipelines using frameworks such as Dagster or Apache Airflow
* + You have a track record of maintaining data health for both real\-time streaming and batch processing
* Systems thinking: A strong understanding of how data infrastructure integrates into the broader application architecture
* Professional standards: Experience with modern software development practices, including version control (Git), CI/CD pipelines, and a commitment to high\-quality, maintainable code
One or more of the following would be a plus:
* Streaming and edge tech: Experience working with streaming data (e.g., Kafka) or running data models on the edge (e.g., Raspberry Pi, IoT devices)
* DevOps tools: Familiarity with containerization and orchestration tools such as Docker and Kubernetes
* API design: Experience architecting and consuming scalable RESTful APIs using standardized design principles and robust authentication protocols
* Web3 and privacy: Familiarity with blockchain data indexing or privacy\-preserving data processing techniques
* Leadership: Experience mentoring junior engineers or leading technical projects within a high\-performing team
What does it take to be a successful VIAneer? Let’s break it down, our VIAneers are:
* Self\-motivated and passionate about leaving everything they touch better than how they found it
* Firm believers that people should love what they do and are eager to build a culture that enables them to do their best work
* Creative problem solvers who respectfully challenge the status quo in the pursuit of excellence
* People who lead discussions with curiosity and value diverse perspectives
* Eager to explore new ideas, understand the power of feedback, and constantly seek opportunities to grow and develop their skills
* Strong team players who thrive in collaborative environments and celebrate the success of others
What can VIA do for you?
VIA offers competitive rewards and benefits, flexible work options, and individualized mentoring and growth opportunities. Here are just a few of our VIAneers’ favorite perks:
* A salary range of $120,000 \- $160,000
* A fully funded, top\-tier health benefits plan, fully covered from day one, including vision and dental coverage for your whole family
* Flexible Vacation Policy with no set annual limit or accrual period, Summer Fridays, and an extended holiday period in December
* 401(k) plan with up to 5% employer contribution
* Paid parental leave, supporting new parents and families
* A dedicated wellness advisor to help you navigate the programs and opportunities available at VIA
* Ability to enjoy the best of both worlds with flexibility to work from home as needed, as well as access to four well\-located offices, designed for collaboration and stocked with everything you could need
* Opportunities to work remotely from eligible locations for up to 2 months per year
* Individualized growth opportunities, including internal and external mentorship panels, custom goals and feedback sessions, and/or access to learning and development programs, including VIA’s unrivaled leadership program
* Transit benefits to support commuting costs
* In\-person events to foster team bonding and collaboration across different teams
Read more about our benefits and perks here.
VIA is committed to the importance of belonging.
VIA is an equal opportunity employer. When you apply for a role at VIA, your application will be considered without regard to race, color, religion, national origin, age, sex, marital status, ancestry, physical or mental disability, veteran status, gender identity, or sexual orientation. If you would like to request a specific accommodation, please notify us with your submission.  
You can learn more about our mission, values, and team on our careers page.</t>
        </is>
      </c>
    </row>
    <row r="77">
      <c r="A77" t="inlineStr">
        <is>
          <t>in-521c040db19dde6e</t>
        </is>
      </c>
      <c r="B77" t="inlineStr">
        <is>
          <t>AI and Data Engineer</t>
        </is>
      </c>
      <c r="C77" t="inlineStr">
        <is>
          <t>Proterial</t>
        </is>
      </c>
      <c r="D77" t="inlineStr">
        <is>
          <t>indeed</t>
        </is>
      </c>
      <c r="E77">
        <f>HYPERLINK("https://www.indeed.com/viewjob?jk=521c040db19dde6e", "https://www.indeed.com/viewjob?jk=521c040db19dde6e")</f>
        <v/>
      </c>
      <c r="F77">
        <f>HYPERLINK("https://hitachi.wd1.myworkdayjobs.com/en-US/hitachi/job/Santa-Clara-California-United-States/AI-and-Data-Engineer_R0117105-2", "https://hitachi.wd1.myworkdayjobs.com/en-US/hitachi/job/Santa-Clara-California-United-States/AI-and-Data-Engineer_R0117105-2")</f>
        <v/>
      </c>
      <c r="G77" t="inlineStr">
        <is>
          <t>Santa Clara, CA, US</t>
        </is>
      </c>
      <c r="H77" s="3" t="n">
        <v>46047</v>
      </c>
      <c r="I77" t="inlineStr">
        <is>
          <t>**Location:**
Santa Clara, California, United States
**Job ID:**
R0117105
**Date Posted:**
2026\-01\-26
**Company Name:**
HITACHI AMERICA, LTD.
**Profession (Job Category):**
IT, Telecom \&amp; Internet
**Job Schedule:**
Full time
**Remote:**
No
**Job Description:**
**AI and Data Engineer**
**Company:** Hitachi America, Ltd.
**Division:** Information Technology Group (ITG)
**Location:** Santa Clara, CA
**Status:** Temp to Perm
**Duration:** 6 months\+ (February 2026 – July 2026\)
**About Hitachi, Ltd.**
Through its Social Innovation Business (SIB) that brings together IT, OT (Operational Technology) and products, Hitachi contributes to a harmonized society where the environment, wellbeing, and economic growth are in balance. Hitachi operates globally in four sectors – Digital Systems \&amp; Services, Energy, Mobility, and Connective Industries – and the Strategic SIB Business Unit for new growth businesses. With Lumada at its core, Hitachi generates value from integrating data, technology and domain knowledge to solve customer and social challenges. Revenues for FY2024 (ended March 31, 2025\) totaled 9,783\.3 billion yen, with 618 consolidated subsidiaries and approximately 280,000 employees worldwide. Visit us at **www.hitachi.com.**
**Summary**
Hitachi America, Ltd. ( http://www.hitachi\-america.us/ ) has openings for an AI and Data Engineer in the IT Innovation and AI Solutions located in Silicon Valley. The mission of this team is to help create new and innovative solutions that utilize artificial intelligence and advanced analytics of the Industrial Internet of Things (IIoT). The IT innovation team focuses on research, technology innovation, proof\-of\-concept activities, technical marketing and business development for novel AI solutions, leveraging Hitachi’s technologies, reinforcing Hitachi’s messaging around big data, and establishing Hitachi as a leader in Industrial AI.
**Role Overview**
We are seeking a talented and experienced AI and Data Engineer to join our team and play a crucial role in the development and enhancement of our cutting\-edge Generative AI Platform. As an AI and Data Engineer, you will be responsible for designing, testing, and optimizing prompts that enable our AI models to generate high\-quality, contextual, and engaging content across a wide range of applications.
**Responsibilities**
* Collaborate with cross\-functional teams, including data scientists, machine learning engineers, and product managers, to understand the specific use cases and requirements for the Generative AI Platform.
* Research and analyze the capabilities, limitations, and best practices of leading Generative AI models, such as Perplexity, ChatGPT / Azure AI/ , and NVIDIA's language models.
* Develop and refine prompts that effectively leverage the strengths of these AI models to generate content that is accurate, coherent, and aligned with the desired tone, style, and purpose.
* Conduct extensive testing and evaluation of prompts, iterating on the design to optimize for performance, safety, and ethical considerations.
* Maintain a comprehensive prompt library and documentation, ensuring prompt reusability and consistency across the platform.
* Develop tools and frameworks to streamline the prompt engineering process, including prompt templates, prompt scoring metrics, and automated prompt generation capabilities.
* Stay up\-to\-date with the latest advancements in Generative AI, natural language processing, and prompt engineering best practices, and continuously incorporate new techniques and insights into the platform.
* Collaborate with the product and engineering teams to integrate prompt engineering capabilities into the Generative AI Platform, ensuring seamless user experience and scalability.
* Provide training and support to platform users, educating them on effective prompt design and usage.
**Qualifications**
* Master's degree in Computer Science, Linguistics, or a related field. (PhD preferred)
* Extensive experience in natural language processing, text generation, and prompt engineering, with a deep understanding of the underlying principles and techniques.
* Proficiency in programming languages such as Python, Jupyter Notebooks, and Markdown, with the ability to write clean, maintainable, and efficient code.
* Strong analytical and problem\-solving skills, with the ability to think critically and creatively to address complex challenges.
* Excellent communication and collaboration skills, with the ability to work effectively in a cross\-functional team.
* Familiarity with leading Generative AI models, such as Perplexity, Azure GPT, and NVIDIA's language models, and their respective capabilities and limitations.
* Understanding of ethical considerations in AI development, including bias, fairness, and safety.
* Experience in developing and deploying AI\-powered applications in a production environment is a plus.
**Benefits**
* Opportunity to work on cutting\-edge Generative AI technology and contribute to the development of innovative solutions.
* Exposure to a diverse range of Generative AI use cases and the chance to learn from industry experts.
* Competitive compensation and the potential for career growth within a dynamic and fast\-paced environment.
* Collaborative and supportive team culture that encourages continuous learning and professional development.
If you are passionate about Generative AI, have a strong background in prompt engineering, and are eager to join a team that is pushing the boundaries of what's possible with AI, we encourage you to apply for this exciting role.
**Our Values**
We are proud to say we are an equal opportunity employer and welcome all applicants for employment without attention to any factor that doesn’t impact your ability to do the job, including race, color, religion, sex, sexual orientation, gender identity, national origin, veteran or disability status. We are proud of Japanese heritage, with our values expressed through the Hitachi Spirit:
Wa – Harmony, Trust, Respect
Makoto – Sincerity, Fairness, Honesty, Integrity
Kaitakusha\-Seishin – Pioneering Spirit, Challenge
For California only (as required by California’s Pay Transparency for Pay Equity Act ( SB 1162 ): The expected hourly rate for this position in our California office is $29 per hour. Pay is determined based on a variety of factors including, but not limited to, depth of experience in the practice area. Employees are eligible to participate in Hitachi America’s variable pay program, subject to the program’s conditions and restrictions.
***Equal Opportunity Employer*** ***(EOE)\-Females/Minorities/Protected*** ***Veterans/Individuals with Disabilities***
***If you need a reasonable accommodation to apply for a job at Hitachi, please send the nature of request and contact information to*** ***accommodation@hal.hitachi.com.*** ***Queries other than accommodation requests will not be responded to.***</t>
        </is>
      </c>
    </row>
    <row r="78">
      <c r="A78" t="inlineStr">
        <is>
          <t>in-f6151dcf5f8dea7e</t>
        </is>
      </c>
      <c r="B78" t="inlineStr">
        <is>
          <t>Data Engineer</t>
        </is>
      </c>
      <c r="C78" t="inlineStr">
        <is>
          <t>Webster University</t>
        </is>
      </c>
      <c r="D78" t="inlineStr">
        <is>
          <t>indeed</t>
        </is>
      </c>
      <c r="E78">
        <f>HYPERLINK("https://www.indeed.com/viewjob?jk=f6151dcf5f8dea7e", "https://www.indeed.com/viewjob?jk=f6151dcf5f8dea7e")</f>
        <v/>
      </c>
      <c r="F78">
        <f>HYPERLINK("https://myjobs.adp.com/conveyhsjobs/cx/job-details?reqId=5001174952300", "https://myjobs.adp.com/conveyhsjobs/cx/job-details?reqId=5001174952300")</f>
        <v/>
      </c>
      <c r="G78" t="inlineStr">
        <is>
          <t>Fort Lauderdale, FL, US</t>
        </is>
      </c>
      <c r="H78" s="3" t="n">
        <v>46047</v>
      </c>
      <c r="I78" t="inlineStr">
        <is>
          <t>**Job Title: Data Engineer**
**Position Summary:**
The Data Engineer must have expertise in SQL, Python and PySpark, with extensive knowledge and practical experience in utilizing AWS services. The Senior Data Engineer has a strong background in data engineering, with a focus on building scalable and efficient data pipelines. They will work with a wide array of healthcare data for ingestion, processing and consumption including but not limited to eligibility, claims, payments and risk adjustment. The Senior Data Engineer supports Pareto Operations.  
**Key Duties and Responsibilities:** â€‹
* Design, develop, and maintain robust data pipelines using Python and PySpark to process large volumes of healthcare data efficiently in a multitenant analytics platform.
* Collaborate with cross\-functional teams to understand data requirements, implement data models, and ensure data integrity throughout the pipeline.
* Optimize data workflows for performance and scalability, considering factors such as data volume, velocity, and variety.
* Implement best practices for data ingestion, transformation, and storage in AWS services such as S3, Glue, EMR, Athena, and Redshift.
* Model data in relational databases (e.g., PostgreSQL, MySQL) and file\-based databases to support data processing requirements.
* Design and implement ETL processes using Python and PySpark to extract, transform, and load data from various sources into target databases.
* Troubleshoot and enhance existing ETLs and processing scripts to improve efficiency and reliability of data pipelines.
Develop monitoring and alerting mechanisms to proactively identify and address data quality issues and performance bottlenecks.  
* 
**Education and Experience:**
* Bachelor's or Master's degree in Computer Science, Data Engineering, or a related field.
* Minimum of 5 years of experience in data engineering, with a focus on building and optimizing data pipelines.
* Expertise in Python programming and hands\-on experience with SQL and PySpark for data processing and analysis.
* Proficiency in Python frameworks and libraries for scientific computing (e.g. Numpy, Pandas, SciPy, Pytorch, Pyarrow).
* Strong understanding of AWS services and experience in deploying data solutions on cloud platforms.
* Experience working with healthcare data, including but not limited to eligibility, claims, payments, and risk adjustment datasets.
* Expertise in modeling data in relational databases (e.g., PostgreSQL, MySQL) and file\-based databases, ETL processes and data warehousing concepts.
* Proven track record of designing, implementing, and troubleshooting ETL processes and processing scripts using Python and PySpark.
* Excellent problem\-solving skills and the ability to work independently as well as part of a team.
Relevant certifications in AWS or data engineering would be a plus.  
* 
**Knowledge, Skills, and Abilities:**
* Expertise in Python programming language for data processing and analysis.
* Expertise in PySpark for building scalable data pipelines.
* Hands\-on experience with SQL query authoring for data analyses and validation
* In\-depth knowledge of AWS services such as S3, Glue, EMR, Athena, and Redshift for data storage and processing.
* Familiarity with relational databases (e.g., PostgreSQL, MySQL) and file\-based databases for data modeling and storage.
* Understanding of data modeling, ETL processes, and data warehousing concepts.
* Knowledge of best practices in data engineering and experience in optimizing data workflows for performance and scalability.
* Experience in healthcare data domains, including eligibility, claims, payments, and risk adjustment datasets.
* Up\-to\-date knowledge of emerging technologies and trends in data engineering.
* Strong problem\-solving skills and the ability to troubleshoot and optimize data pipelines and ETL processes.
* Excellent communication and collaboration skills to work effectively with cross\-functional teams.
* Proficient in designing, implementing, and maintaining data pipelines for processing large volumes of data.
* Ability to model data in relational and file\-based databases to support data processing requirements.
* Skill in developing monitoring and alerting mechanisms to ensure data quality and pipeline reliability.
* Experience in deploying data solutions on cloud platforms and utilizing AWS services for data processing.
* Proficiency in writing efficient and maintainable code for data processing tasks.
* Ability to stay organized, prioritize tasks, and meet project deadlines effectively.
* Ability to work independently and in a team\-oriented, collaborative environment.
* Strong analytical skills to identify and address data quality issues and performance bottlenecks.
* Capability to innovate and recommend solutions for continuous improvement in data engineering processes.
* Ability to communicate complex technical concepts to non\-technical stakeholders effectively.
* Strong attention to detail and commitment to delivering high\-quality work.
* Ability to deal with problems involving several concrete variables in standardized situations.
* Ability to interact politely, tactfully and firmly with a wide range of people and personalities.
* Ability to work in an environment with potential interruptions.
Ability to manage multiple simultaneous tasks with individual timeframes and priorities.  
* 
The expected base salary for this position ranges from $90,000 – 110,000 with a bonus target of up to 5% of the base salary. We do consider a wide range of factors when making offer decisions, including (but not limited to) the scope and responsibilities of the position, a candidate’s relevant skills, training, experience, education and where applicable, licensure and certifications obtained. We also consider organizational and market factors when making offer decisions.  
Equal Employment Opportunity Statement:
Convey Health Solutions is an Equal Opportunity Employer committed to fostering an inclusive and diverse workforce. All qualified applicants will receive consideration for employment without regard to race, color, religion, sex (including pregnancy, sexual orientation, or gender identity), national origin, age, disability, genetic information, veteran status, or any other characteristic protected by applicable federal, state, or local laws.
Convey Health Solutions also provides reasonable accommodations to qualified individuals with disabilities in accordance with applicable laws. Applicants requiring accommodation during the application or interview process should contact the Human Resources department.  
The Convey Health Solutions family of companies, including Pareto Intelligence™, delivers a powerful combination of purpose\-built technology, advanced analytics, and expert services to help health plans thrive in a complex, post, Affordable Care Act environment.
As a trusted partner to Medicare and commercial payers, we provide scalable, compliant solutions that span the entire member lifecycle, 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 especially seniors and vulnerable populations.
Together, we help health plans scale smarter, grow stronger, and make healthcare work better for the people who need it most.
Learn more at www.ConveyHealthSolutions.com.
**About Us**  
Convey Health Solutions, together with Pareto Intelligence™, delivers a powerful combination of purpose\-built technology, advanced analytics, and expert services to help health plans thrive in a complex, post\-Affordable Care Act environment.
As a trusted partner to Medicare and commercial payers, we provide scalable, compliant solutions that span the entire member lifecycle\-from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Americans\-especially seniors and vulnerable populations.
Together, we help health plans scale smarter, grow stronger, and make healthcare work better for the people who need it most. Learn more at http://www.ConveyHealthSolutions.com</t>
        </is>
      </c>
    </row>
    <row r="79">
      <c r="A79" t="inlineStr">
        <is>
          <t>in-3d7e44300a68ad9d</t>
        </is>
      </c>
      <c r="B79" t="inlineStr">
        <is>
          <t>Data Engineer</t>
        </is>
      </c>
      <c r="C79" t="inlineStr">
        <is>
          <t>Convey Health Solutions</t>
        </is>
      </c>
      <c r="D79" t="inlineStr">
        <is>
          <t>indeed</t>
        </is>
      </c>
      <c r="E79">
        <f>HYPERLINK("https://www.indeed.com/viewjob?jk=3d7e44300a68ad9d", "https://www.indeed.com/viewjob?jk=3d7e44300a68ad9d")</f>
        <v/>
      </c>
      <c r="F79">
        <f>HYPERLINK("https://myjobs.adp.com/conveyhsjobs/cx/job-details?reqId=5001174952300", "https://myjobs.adp.com/conveyhsjobs/cx/job-details?reqId=5001174952300")</f>
        <v/>
      </c>
      <c r="G79" t="inlineStr">
        <is>
          <t>Fort Lauderdale, FL, US</t>
        </is>
      </c>
      <c r="H79" s="3" t="n">
        <v>46047</v>
      </c>
      <c r="I79" t="inlineStr">
        <is>
          <t>**Job Title: Data Engineer**
**Position Summary:**
The Data Engineer must have expertise in SQL, Python and PySpark, with extensive knowledge and practical experience in utilizing AWS services. The Senior Data Engineer has a strong background in data engineering, with a focus on building scalable and efficient data pipelines. They will work with a wide array of healthcare data for ingestion, processing and consumption including but not limited to eligibility, claims, payments and risk adjustment. The Senior Data Engineer supports Pareto Operations.  
**Key Duties and Responsibilities:** â€‹
* Design, develop, and maintain robust data pipelines using Python and PySpark to process large volumes of healthcare data efficiently in a multitenant analytics platform.
* Collaborate with cross\-functional teams to understand data requirements, implement data models, and ensure data integrity throughout the pipeline.
* Optimize data workflows for performance and scalability, considering factors such as data volume, velocity, and variety.
* Implement best practices for data ingestion, transformation, and storage in AWS services such as S3, Glue, EMR, Athena, and Redshift.
* Model data in relational databases (e.g., PostgreSQL, MySQL) and file\-based databases to support data processing requirements.
* Design and implement ETL processes using Python and PySpark to extract, transform, and load data from various sources into target databases.
* Troubleshoot and enhance existing ETLs and processing scripts to improve efficiency and reliability of data pipelines.
Develop monitoring and alerting mechanisms to proactively identify and address data quality issues and performance bottlenecks.  
* 
**Education and Experience:**
* Bachelor's or Master's degree in Computer Science, Data Engineering, or a related field.
* Minimum of 5 years of experience in data engineering, with a focus on building and optimizing data pipelines.
* Expertise in Python programming and hands\-on experience with SQL and PySpark for data processing and analysis.
* Proficiency in Python frameworks and libraries for scientific computing (e.g. Numpy, Pandas, SciPy, Pytorch, Pyarrow).
* Strong understanding of AWS services and experience in deploying data solutions on cloud platforms.
* Experience working with healthcare data, including but not limited to eligibility, claims, payments, and risk adjustment datasets.
* Expertise in modeling data in relational databases (e.g., PostgreSQL, MySQL) and file\-based databases, ETL processes and data warehousing concepts.
* Proven track record of designing, implementing, and troubleshooting ETL processes and processing scripts using Python and PySpark.
* Excellent problem\-solving skills and the ability to work independently as well as part of a team.
Relevant certifications in AWS or data engineering would be a plus.  
* 
**Knowledge, Skills, and Abilities:**
* Expertise in Python programming language for data processing and analysis.
* Expertise in PySpark for building scalable data pipelines.
* Hands\-on experience with SQL query authoring for data analyses and validation
* In\-depth knowledge of AWS services such as S3, Glue, EMR, Athena, and Redshift for data storage and processing.
* Familiarity with relational databases (e.g., PostgreSQL, MySQL) and file\-based databases for data modeling and storage.
* Understanding of data modeling, ETL processes, and data warehousing concepts.
* Knowledge of best practices in data engineering and experience in optimizing data workflows for performance and scalability.
* Experience in healthcare data domains, including eligibility, claims, payments, and risk adjustment datasets.
* Up\-to\-date knowledge of emerging technologies and trends in data engineering.
* Strong problem\-solving skills and the ability to troubleshoot and optimize data pipelines and ETL processes.
* Excellent communication and collaboration skills to work effectively with cross\-functional teams.
* Proficient in designing, implementing, and maintaining data pipelines for processing large volumes of data.
* Ability to model data in relational and file\-based databases to support data processing requirements.
* Skill in developing monitoring and alerting mechanisms to ensure data quality and pipeline reliability.
* Experience in deploying data solutions on cloud platforms and utilizing AWS services for data processing.
* Proficiency in writing efficient and maintainable code for data processing tasks.
* Ability to stay organized, prioritize tasks, and meet project deadlines effectively.
* Ability to work independently and in a team\-oriented, collaborative environment.
* Strong analytical skills to identify and address data quality issues and performance bottlenecks.
* Capability to innovate and recommend solutions for continuous improvement in data engineering processes.
* Ability to communicate complex technical concepts to non\-technical stakeholders effectively.
* Strong attention to detail and commitment to delivering high\-quality work.
* Ability to deal with problems involving several concrete variables in standardized situations.
* Ability to interact politely, tactfully and firmly with a wide range of people and personalities.
* Ability to work in an environment with potential interruptions.
Ability to manage multiple simultaneous tasks with individual timeframes and priorities.  
* 
The expected base salary for this position ranges from $90,000 – 110,000 with a bonus target of up to 5% of the base salary. We do consider a wide range of factors when making offer decisions, including (but not limited to) the scope and responsibilities of the position, a candidate’s relevant skills, training, experience, education and where applicable, licensure and certifications obtained. We also consider organizational and market factors when making offer decisions.  
Equal Employment Opportunity Statement:
Convey Health Solutions is an Equal Opportunity Employer committed to fostering an inclusive and diverse workforce. All qualified applicants will receive consideration for employment without regard to race, color, religion, sex (including pregnancy, sexual orientation, or gender identity), national origin, age, disability, genetic information, veteran status, or any other characteristic protected by applicable federal, state, or local laws.
Convey Health Solutions also provides reasonable accommodations to qualified individuals with disabilities in accordance with applicable laws. Applicants requiring accommodation during the application or interview process should contact the Human Resources department.  
The Convey Health Solutions family of companies, including Pareto Intelligence™, delivers a powerful combination of purpose\-built technology, advanced analytics, and expert services to help health plans thrive in a complex, post, Affordable Care Act environment.
As a trusted partner to Medicare and commercial payers, we provide scalable, compliant solutions that span the entire member lifecycle, 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 especially seniors and vulnerable populations.
Together, we help health plans scale smarter, grow stronger, and make healthcare work better for the people who need it most.
Learn more at www.ConveyHealthSolutions.com.
**About Us**  
Convey Health Solutions, together with Pareto Intelligence™, delivers a powerful combination of purpose\-built technology, advanced analytics, and expert services to help health plans thrive in a complex, post\-Affordable Care Act environment.
As a trusted partner to Medicare and commercial payers, we provide scalable, compliant solutions that span the entire member lifecycle\-from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Americans\-especially seniors and vulnerable populations.
Together, we help health plans scale smarter, grow stronger, and make healthcare work better for the people who need it most. Learn more at http://www.ConveyHealthSolutions.com</t>
        </is>
      </c>
    </row>
    <row r="80">
      <c r="A80" t="inlineStr">
        <is>
          <t>in-0dbd139fa4212f02</t>
        </is>
      </c>
      <c r="B80" t="inlineStr">
        <is>
          <t>Google Senior Data Engineer</t>
        </is>
      </c>
      <c r="C80" t="inlineStr">
        <is>
          <t>Accenture</t>
        </is>
      </c>
      <c r="D80" t="inlineStr">
        <is>
          <t>indeed</t>
        </is>
      </c>
      <c r="E80">
        <f>HYPERLINK("https://www.indeed.com/viewjob?jk=0dbd139fa4212f02", "https://www.indeed.com/viewjob?jk=0dbd139fa4212f02")</f>
        <v/>
      </c>
      <c r="F80">
        <f>HYPERLINK("https://accenture.com/us-en/careers/jobdetails?id=R00306799_en", "https://accenture.com/us-en/careers/jobdetails?id=R00306799_en")</f>
        <v/>
      </c>
      <c r="G80" t="inlineStr">
        <is>
          <t>Arlington, VA, US</t>
        </is>
      </c>
      <c r="H80" s="3" t="n">
        <v>46047</v>
      </c>
      <c r="I80"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1">
      <c r="A81" t="inlineStr">
        <is>
          <t>in-45a70d8790948934</t>
        </is>
      </c>
      <c r="B81" t="inlineStr">
        <is>
          <t>Google Senior Data Engineer</t>
        </is>
      </c>
      <c r="C81" t="inlineStr">
        <is>
          <t>Accenture</t>
        </is>
      </c>
      <c r="D81" t="inlineStr">
        <is>
          <t>indeed</t>
        </is>
      </c>
      <c r="E81">
        <f>HYPERLINK("https://www.indeed.com/viewjob?jk=45a70d8790948934", "https://www.indeed.com/viewjob?jk=45a70d8790948934")</f>
        <v/>
      </c>
      <c r="F81">
        <f>HYPERLINK("https://accenture.com/us-en/careers/jobdetails?id=R00306799_en", "https://accenture.com/us-en/careers/jobdetails?id=R00306799_en")</f>
        <v/>
      </c>
      <c r="G81" t="inlineStr">
        <is>
          <t>Cleveland, OH, US</t>
        </is>
      </c>
      <c r="H81" s="3" t="n">
        <v>46047</v>
      </c>
      <c r="I81"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2">
      <c r="A82" t="inlineStr">
        <is>
          <t>in-17fed0761ab018c0</t>
        </is>
      </c>
      <c r="B82" t="inlineStr">
        <is>
          <t>Google Senior Data Engineer</t>
        </is>
      </c>
      <c r="C82" t="inlineStr">
        <is>
          <t>Accenture</t>
        </is>
      </c>
      <c r="D82" t="inlineStr">
        <is>
          <t>indeed</t>
        </is>
      </c>
      <c r="E82">
        <f>HYPERLINK("https://www.indeed.com/viewjob?jk=17fed0761ab018c0", "https://www.indeed.com/viewjob?jk=17fed0761ab018c0")</f>
        <v/>
      </c>
      <c r="F82">
        <f>HYPERLINK("https://accenture.com/us-en/careers/jobdetails?id=R00306799_en", "https://accenture.com/us-en/careers/jobdetails?id=R00306799_en")</f>
        <v/>
      </c>
      <c r="G82" t="inlineStr">
        <is>
          <t>Pittsburgh, PA, US</t>
        </is>
      </c>
      <c r="H82" s="3" t="n">
        <v>46047</v>
      </c>
      <c r="I82"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3">
      <c r="A83" t="inlineStr">
        <is>
          <t>in-79b1be8aae706b69</t>
        </is>
      </c>
      <c r="B83" t="inlineStr">
        <is>
          <t>Google Senior Data Engineer</t>
        </is>
      </c>
      <c r="C83" t="inlineStr">
        <is>
          <t>Accenture</t>
        </is>
      </c>
      <c r="D83" t="inlineStr">
        <is>
          <t>indeed</t>
        </is>
      </c>
      <c r="E83">
        <f>HYPERLINK("https://www.indeed.com/viewjob?jk=79b1be8aae706b69", "https://www.indeed.com/viewjob?jk=79b1be8aae706b69")</f>
        <v/>
      </c>
      <c r="F83">
        <f>HYPERLINK("https://accenture.com/us-en/careers/jobdetails?id=R00306799_en", "https://accenture.com/us-en/careers/jobdetails?id=R00306799_en")</f>
        <v/>
      </c>
      <c r="G83" t="inlineStr">
        <is>
          <t>Seattle, WA, US</t>
        </is>
      </c>
      <c r="H83" s="3" t="n">
        <v>46047</v>
      </c>
      <c r="I83"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4">
      <c r="A84" t="inlineStr">
        <is>
          <t>in-cc992a49ebb3063b</t>
        </is>
      </c>
      <c r="B84" t="inlineStr">
        <is>
          <t>Google Senior Data Engineer</t>
        </is>
      </c>
      <c r="C84" t="inlineStr">
        <is>
          <t>Accenture</t>
        </is>
      </c>
      <c r="D84" t="inlineStr">
        <is>
          <t>indeed</t>
        </is>
      </c>
      <c r="E84">
        <f>HYPERLINK("https://www.indeed.com/viewjob?jk=cc992a49ebb3063b", "https://www.indeed.com/viewjob?jk=cc992a49ebb3063b")</f>
        <v/>
      </c>
      <c r="F84">
        <f>HYPERLINK("https://accenture.com/us-en/careers/jobdetails?id=R00306799_en", "https://accenture.com/us-en/careers/jobdetails?id=R00306799_en")</f>
        <v/>
      </c>
      <c r="G84" t="inlineStr">
        <is>
          <t>Kirkland, WA, US</t>
        </is>
      </c>
      <c r="H84" s="3" t="n">
        <v>46047</v>
      </c>
      <c r="I84"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5">
      <c r="A85" t="inlineStr">
        <is>
          <t>in-a9f759170452499a</t>
        </is>
      </c>
      <c r="B85" t="inlineStr">
        <is>
          <t>Google Senior Data Engineer</t>
        </is>
      </c>
      <c r="C85" t="inlineStr">
        <is>
          <t>Accenture</t>
        </is>
      </c>
      <c r="D85" t="inlineStr">
        <is>
          <t>indeed</t>
        </is>
      </c>
      <c r="E85">
        <f>HYPERLINK("https://www.indeed.com/viewjob?jk=a9f759170452499a", "https://www.indeed.com/viewjob?jk=a9f759170452499a")</f>
        <v/>
      </c>
      <c r="F85">
        <f>HYPERLINK("https://accenture.com/us-en/careers/jobdetails?id=R00306799_en", "https://accenture.com/us-en/careers/jobdetails?id=R00306799_en")</f>
        <v/>
      </c>
      <c r="G85" t="inlineStr">
        <is>
          <t>Beaverton, OR, US</t>
        </is>
      </c>
      <c r="H85" s="3" t="n">
        <v>46047</v>
      </c>
      <c r="I8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6">
      <c r="A86" t="inlineStr">
        <is>
          <t>in-936ea9d0b9243f39</t>
        </is>
      </c>
      <c r="B86" t="inlineStr">
        <is>
          <t>Google Senior Data Engineer</t>
        </is>
      </c>
      <c r="C86" t="inlineStr">
        <is>
          <t>Accenture</t>
        </is>
      </c>
      <c r="D86" t="inlineStr">
        <is>
          <t>indeed</t>
        </is>
      </c>
      <c r="E86">
        <f>HYPERLINK("https://www.indeed.com/viewjob?jk=936ea9d0b9243f39", "https://www.indeed.com/viewjob?jk=936ea9d0b9243f39")</f>
        <v/>
      </c>
      <c r="F86">
        <f>HYPERLINK("https://accenture.com/us-en/careers/jobdetails?id=R00306799_en", "https://accenture.com/us-en/careers/jobdetails?id=R00306799_en")</f>
        <v/>
      </c>
      <c r="G86" t="inlineStr">
        <is>
          <t>Nashville, TN, US</t>
        </is>
      </c>
      <c r="H86" s="3" t="n">
        <v>46047</v>
      </c>
      <c r="I86"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7">
      <c r="A87" t="inlineStr">
        <is>
          <t>in-d5b6599f384b2d3c</t>
        </is>
      </c>
      <c r="B87" t="inlineStr">
        <is>
          <t>Google Senior Data Engineer</t>
        </is>
      </c>
      <c r="C87" t="inlineStr">
        <is>
          <t>Accenture</t>
        </is>
      </c>
      <c r="D87" t="inlineStr">
        <is>
          <t>indeed</t>
        </is>
      </c>
      <c r="E87">
        <f>HYPERLINK("https://www.indeed.com/viewjob?jk=d5b6599f384b2d3c", "https://www.indeed.com/viewjob?jk=d5b6599f384b2d3c")</f>
        <v/>
      </c>
      <c r="F87">
        <f>HYPERLINK("https://accenture.com/us-en/careers/jobdetails?id=R00306799_en", "https://accenture.com/us-en/careers/jobdetails?id=R00306799_en")</f>
        <v/>
      </c>
      <c r="G87" t="inlineStr">
        <is>
          <t>Houston, TX, US</t>
        </is>
      </c>
      <c r="H87" s="3" t="n">
        <v>46047</v>
      </c>
      <c r="I87"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8">
      <c r="A88" t="inlineStr">
        <is>
          <t>in-4047aeac5a9900c8</t>
        </is>
      </c>
      <c r="B88" t="inlineStr">
        <is>
          <t>Google Senior Data Engineer</t>
        </is>
      </c>
      <c r="C88" t="inlineStr">
        <is>
          <t>Accenture</t>
        </is>
      </c>
      <c r="D88" t="inlineStr">
        <is>
          <t>indeed</t>
        </is>
      </c>
      <c r="E88">
        <f>HYPERLINK("https://www.indeed.com/viewjob?jk=4047aeac5a9900c8", "https://www.indeed.com/viewjob?jk=4047aeac5a9900c8")</f>
        <v/>
      </c>
      <c r="F88">
        <f>HYPERLINK("https://accenture.com/us-en/careers/jobdetails?id=R00306799_en", "https://accenture.com/us-en/careers/jobdetails?id=R00306799_en")</f>
        <v/>
      </c>
      <c r="G88" t="inlineStr">
        <is>
          <t>Philadelphia, PA, US</t>
        </is>
      </c>
      <c r="H88" s="3" t="n">
        <v>46047</v>
      </c>
      <c r="I88"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9">
      <c r="A89" t="inlineStr">
        <is>
          <t>in-7b237920ba11fc01</t>
        </is>
      </c>
      <c r="B89" t="inlineStr">
        <is>
          <t>Google Senior Data Engineer</t>
        </is>
      </c>
      <c r="C89" t="inlineStr">
        <is>
          <t>Accenture</t>
        </is>
      </c>
      <c r="D89" t="inlineStr">
        <is>
          <t>indeed</t>
        </is>
      </c>
      <c r="E89">
        <f>HYPERLINK("https://www.indeed.com/viewjob?jk=7b237920ba11fc01", "https://www.indeed.com/viewjob?jk=7b237920ba11fc01")</f>
        <v/>
      </c>
      <c r="F89">
        <f>HYPERLINK("https://accenture.com/us-en/careers/jobdetails?id=R00306799_en", "https://accenture.com/us-en/careers/jobdetails?id=R00306799_en")</f>
        <v/>
      </c>
      <c r="G89" t="inlineStr">
        <is>
          <t>Austin, TX, US</t>
        </is>
      </c>
      <c r="H89" s="3" t="n">
        <v>46047</v>
      </c>
      <c r="I89"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0">
      <c r="A90" t="inlineStr">
        <is>
          <t>in-e849594ced630958</t>
        </is>
      </c>
      <c r="B90" t="inlineStr">
        <is>
          <t>Google Senior Data Engineer</t>
        </is>
      </c>
      <c r="C90" t="inlineStr">
        <is>
          <t>Accenture</t>
        </is>
      </c>
      <c r="D90" t="inlineStr">
        <is>
          <t>indeed</t>
        </is>
      </c>
      <c r="E90">
        <f>HYPERLINK("https://www.indeed.com/viewjob?jk=e849594ced630958", "https://www.indeed.com/viewjob?jk=e849594ced630958")</f>
        <v/>
      </c>
      <c r="F90">
        <f>HYPERLINK("https://accenture.com/us-en/careers/jobdetails?id=R00306799_en", "https://accenture.com/us-en/careers/jobdetails?id=R00306799_en")</f>
        <v/>
      </c>
      <c r="G90" t="inlineStr">
        <is>
          <t>Redmond, WA, US</t>
        </is>
      </c>
      <c r="H90" s="3" t="n">
        <v>46047</v>
      </c>
      <c r="I90"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1">
      <c r="A91" t="inlineStr">
        <is>
          <t>in-953fbb70097fe03f</t>
        </is>
      </c>
      <c r="B91" t="inlineStr">
        <is>
          <t>Google Senior Data Engineer</t>
        </is>
      </c>
      <c r="C91" t="inlineStr">
        <is>
          <t>Accenture</t>
        </is>
      </c>
      <c r="D91" t="inlineStr">
        <is>
          <t>indeed</t>
        </is>
      </c>
      <c r="E91">
        <f>HYPERLINK("https://www.indeed.com/viewjob?jk=953fbb70097fe03f", "https://www.indeed.com/viewjob?jk=953fbb70097fe03f")</f>
        <v/>
      </c>
      <c r="F91">
        <f>HYPERLINK("https://accenture.com/us-en/careers/jobdetails?id=R00306799_en", "https://accenture.com/us-en/careers/jobdetails?id=R00306799_en")</f>
        <v/>
      </c>
      <c r="G91" t="inlineStr">
        <is>
          <t>Irving, TX, US</t>
        </is>
      </c>
      <c r="H91" s="3" t="n">
        <v>46047</v>
      </c>
      <c r="I91"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2">
      <c r="A92" t="inlineStr">
        <is>
          <t>in-616fcdfe4ddfc279</t>
        </is>
      </c>
      <c r="B92" t="inlineStr">
        <is>
          <t>Google Senior Data Engineer</t>
        </is>
      </c>
      <c r="C92" t="inlineStr">
        <is>
          <t>Accenture</t>
        </is>
      </c>
      <c r="D92" t="inlineStr">
        <is>
          <t>indeed</t>
        </is>
      </c>
      <c r="E92">
        <f>HYPERLINK("https://www.indeed.com/viewjob?jk=616fcdfe4ddfc279", "https://www.indeed.com/viewjob?jk=616fcdfe4ddfc279")</f>
        <v/>
      </c>
      <c r="F92">
        <f>HYPERLINK("https://accenture.com/us-en/careers/jobdetails?id=R00306799_en", "https://accenture.com/us-en/careers/jobdetails?id=R00306799_en")</f>
        <v/>
      </c>
      <c r="G92" t="inlineStr">
        <is>
          <t>Milwaukee, WI, US</t>
        </is>
      </c>
      <c r="H92" s="3" t="n">
        <v>46047</v>
      </c>
      <c r="I92"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3">
      <c r="A93" t="inlineStr">
        <is>
          <t>in-6ca2afad2d2b9eaa</t>
        </is>
      </c>
      <c r="B93" t="inlineStr">
        <is>
          <t>Google Senior Data Engineer</t>
        </is>
      </c>
      <c r="C93" t="inlineStr">
        <is>
          <t>Accenture</t>
        </is>
      </c>
      <c r="D93" t="inlineStr">
        <is>
          <t>indeed</t>
        </is>
      </c>
      <c r="E93">
        <f>HYPERLINK("https://www.indeed.com/viewjob?jk=6ca2afad2d2b9eaa", "https://www.indeed.com/viewjob?jk=6ca2afad2d2b9eaa")</f>
        <v/>
      </c>
      <c r="F93">
        <f>HYPERLINK("https://accenture.com/us-en/careers/jobdetails?id=R00306799_en", "https://accenture.com/us-en/careers/jobdetails?id=R00306799_en")</f>
        <v/>
      </c>
      <c r="G93" t="inlineStr">
        <is>
          <t>Columbus, OH, US</t>
        </is>
      </c>
      <c r="H93" s="3" t="n">
        <v>46047</v>
      </c>
      <c r="I93"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4">
      <c r="A94" t="inlineStr">
        <is>
          <t>in-2563c793a8582673</t>
        </is>
      </c>
      <c r="B94" t="inlineStr">
        <is>
          <t>Google Senior Data Engineer</t>
        </is>
      </c>
      <c r="C94" t="inlineStr">
        <is>
          <t>Accenture</t>
        </is>
      </c>
      <c r="D94" t="inlineStr">
        <is>
          <t>indeed</t>
        </is>
      </c>
      <c r="E94">
        <f>HYPERLINK("https://www.indeed.com/viewjob?jk=2563c793a8582673", "https://www.indeed.com/viewjob?jk=2563c793a8582673")</f>
        <v/>
      </c>
      <c r="F94">
        <f>HYPERLINK("https://accenture.com/us-en/careers/jobdetails?id=R00306799_en", "https://accenture.com/us-en/careers/jobdetails?id=R00306799_en")</f>
        <v/>
      </c>
      <c r="G94" t="inlineStr">
        <is>
          <t>New York, NY, US</t>
        </is>
      </c>
      <c r="H94" s="3" t="n">
        <v>46047</v>
      </c>
      <c r="I94"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5">
      <c r="A95" t="inlineStr">
        <is>
          <t>in-8ad6b7f531c10df2</t>
        </is>
      </c>
      <c r="B95" t="inlineStr">
        <is>
          <t>Google Senior Data Engineer</t>
        </is>
      </c>
      <c r="C95" t="inlineStr">
        <is>
          <t>Accenture</t>
        </is>
      </c>
      <c r="D95" t="inlineStr">
        <is>
          <t>indeed</t>
        </is>
      </c>
      <c r="E95">
        <f>HYPERLINK("https://www.indeed.com/viewjob?jk=8ad6b7f531c10df2", "https://www.indeed.com/viewjob?jk=8ad6b7f531c10df2")</f>
        <v/>
      </c>
      <c r="F95">
        <f>HYPERLINK("https://accenture.com/us-en/careers/jobdetails?id=R00306799_en", "https://accenture.com/us-en/careers/jobdetails?id=R00306799_en")</f>
        <v/>
      </c>
      <c r="G95" t="inlineStr">
        <is>
          <t>Oklahoma City, OK, US</t>
        </is>
      </c>
      <c r="H95" s="3" t="n">
        <v>46047</v>
      </c>
      <c r="I9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**1\.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**2\.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**3\.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**4\.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**5\.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6">
      <c r="A96" t="inlineStr">
        <is>
          <t>in-4d19362edccb3d21</t>
        </is>
      </c>
      <c r="B96" t="inlineStr">
        <is>
          <t>Data Engineer</t>
        </is>
      </c>
      <c r="C96" t="inlineStr">
        <is>
          <t>Amazon.com</t>
        </is>
      </c>
      <c r="D96" t="inlineStr">
        <is>
          <t>indeed</t>
        </is>
      </c>
      <c r="E96">
        <f>HYPERLINK("https://www.indeed.com/viewjob?jk=4d19362edccb3d21", "https://www.indeed.com/viewjob?jk=4d19362edccb3d21")</f>
        <v/>
      </c>
      <c r="F96">
        <f>HYPERLINK("https://www.amazon.jobs/jobs/3141339/data-engineer?cmpid=DA_INAD200785B", "https://www.amazon.jobs/jobs/3141339/data-engineer?cmpid=DA_INAD200785B")</f>
        <v/>
      </c>
      <c r="G96" t="inlineStr">
        <is>
          <t>San Francisco, CA, US</t>
        </is>
      </c>
      <c r="H96" s="3" t="n">
        <v>46001</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in-721213c9ff61c11d</t>
        </is>
      </c>
      <c r="B97" t="inlineStr">
        <is>
          <t>Data Engineer</t>
        </is>
      </c>
      <c r="C97" t="inlineStr">
        <is>
          <t>Amazon.com</t>
        </is>
      </c>
      <c r="D97" t="inlineStr">
        <is>
          <t>indeed</t>
        </is>
      </c>
      <c r="E97">
        <f>HYPERLINK("https://www.indeed.com/viewjob?jk=721213c9ff61c11d", "https://www.indeed.com/viewjob?jk=721213c9ff61c11d")</f>
        <v/>
      </c>
      <c r="F97">
        <f>HYPERLINK("https://www.amazon.jobs/jobs/3141339/data-engineer?cmpid=DA_INAD200785B", "https://www.amazon.jobs/jobs/3141339/data-engineer?cmpid=DA_INAD200785B")</f>
        <v/>
      </c>
      <c r="G97" t="inlineStr">
        <is>
          <t>Seattle, WA, US</t>
        </is>
      </c>
      <c r="H97" s="3" t="n">
        <v>46001</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in-c57e1657641d3748</t>
        </is>
      </c>
      <c r="B98" t="inlineStr">
        <is>
          <t>Delivery Consultant - Data Engineer, Data and Machine Learning, WWPS US Federal</t>
        </is>
      </c>
      <c r="C98" t="inlineStr">
        <is>
          <t>Amazon Web Services</t>
        </is>
      </c>
      <c r="D98" t="inlineStr">
        <is>
          <t>indeed</t>
        </is>
      </c>
      <c r="E98">
        <f>HYPERLINK("https://www.indeed.com/viewjob?jk=c57e1657641d3748", "https://www.indeed.com/viewjob?jk=c57e1657641d3748")</f>
        <v/>
      </c>
      <c r="F98">
        <f>HYPERLINK("https://www.amazon.jobs/jobs/3134583/delivery-consultant--data-engineer-data-and-machine-learning-wwps-us-federal?cmpid=DA_INAD200785B", "https://www.amazon.jobs/jobs/3134583/delivery-consultant--data-engineer-data-and-machine-learning-wwps-us-federal?cmpid=DA_INAD200785B")</f>
        <v/>
      </c>
      <c r="G98" t="inlineStr">
        <is>
          <t>Herndon, VA, US</t>
        </is>
      </c>
      <c r="H98" s="3" t="n">
        <v>45991</v>
      </c>
      <c r="I9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in-9fd5ad87651fd452</t>
        </is>
      </c>
      <c r="B99" t="inlineStr">
        <is>
          <t>Delivery Consultant - Data Engineer, Data and Machine Learning, WWPS US Federal</t>
        </is>
      </c>
      <c r="C99" t="inlineStr">
        <is>
          <t>Amazon Web Services</t>
        </is>
      </c>
      <c r="D99" t="inlineStr">
        <is>
          <t>indeed</t>
        </is>
      </c>
      <c r="E99">
        <f>HYPERLINK("https://www.indeed.com/viewjob?jk=9fd5ad87651fd452", "https://www.indeed.com/viewjob?jk=9fd5ad87651fd452")</f>
        <v/>
      </c>
      <c r="F99">
        <f>HYPERLINK("https://www.amazon.jobs/jobs/3134583/delivery-consultant--data-engineer-data-and-machine-learning-wwps-us-federal?cmpid=DA_INAD200785B", "https://www.amazon.jobs/jobs/3134583/delivery-consultant--data-engineer-data-and-machine-learning-wwps-us-federal?cmpid=DA_INAD200785B")</f>
        <v/>
      </c>
      <c r="G99" t="inlineStr">
        <is>
          <t>Arlington, VA, US</t>
        </is>
      </c>
      <c r="H99" s="3" t="n">
        <v>45991</v>
      </c>
      <c r="I9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li-4366183194</t>
        </is>
      </c>
      <c r="B2" t="inlineStr">
        <is>
          <t>Data Engineer</t>
        </is>
      </c>
      <c r="C2" t="inlineStr">
        <is>
          <t>Fusemachines</t>
        </is>
      </c>
      <c r="D2" t="inlineStr">
        <is>
          <t>linkedin</t>
        </is>
      </c>
      <c r="E2" t="inlineStr"/>
      <c r="F2" t="inlineStr"/>
      <c r="G2" t="inlineStr"/>
      <c r="H2" t="inlineStr"/>
      <c r="I2" t="inlineStr">
        <is>
          <t>**About The Company**
 Fusemachines is a leading provider of AI strategy, talent, and education services dedicated to democratizing artificial intelligence worldwide. Founded by Sameer Maskey Ph.D., an esteemed academic and adjunct associate professor at Columbia University, Fusemachines has established a strong global presence with operations in Nepal, the United States, Canada, the Dominican Republic, and other regions. With a team of over 450 employees, the company leverages its extensive expertise in AI to help organizations across various industries transform their operations through innovative technology solutions. Fusemachines is committed to fostering a diverse and inclusive environment, promoting continuous learning, and delivering impactful AI\-driven results to its clients.
**About The Role**
 This is a remote, full\-time position designed for a highly skilled Senior Data Engineer/Technical Lead. The successful candidate will be responsible for designing, developing, testing, and maintaining robust data infrastructure and pipelines that support data integration, storage, processing, and analytics. The role involves managing data flow controls, ensuring high data quality, and facilitating accessibility for business intelligence and advanced analytics initiatives. The ideal candidate will possess a strong programming foundation, particularly in Python, SQL, and PySpark, and have substantial experience working with AWS cloud\-based large\-scale data solutions. Additionally, familiarity with GCP and experience in migrating data systems from AWS to GCP will be highly valued. This position offers an excellent opportunity for a proactive leader to contribute immediately, guide technical teams, and influence architecture decisions within an Agile environment. The role emphasizes a focus on data quality, performance optimization, and cost efficiency, supporting the company's strategic goals through innovative data engineering practices.
**Qualifications**
* Bachelor’s degree in Computer Science, Information Systems, Engineering, or a related field.
* Minimum of 5 years of experience in data engineering within AWS and GCP environments, with relevant certifications preferred.
* Proficiency in Python, SQL, and PySpark for large\-scale data processing and pipeline development.
* Experience designing and optimizing data architectures, data lakes, and data warehouses, including batch and real\-time processing.
* Strong knowledge of AWS services such as Lambda, Kinesis, Redshift, S3, EMR, EC2, IAM, and CloudWatch.
* Hands\-on experience with orchestration tools like Airflow or Composer, and DevOps practices including GitHub, CI/CD pipelines, and Terraform.
* Expertise in data modeling, database design, and familiarity with relational and NoSQL databases such as MySQL, Postgres, Cassandra, and MongoDB.
* Excellent problem\-solving, leadership, and project management skills, with the ability to collaborate across teams and communicate effectively with technical and non\-technical stakeholders.
* Experience with data governance, cataloging, lineage, and quality frameworks.
* Knowledge of GCP services and experience in cloud migration projects are highly desirable.
**Responsibilities**
* Design, implement, deploy, test, and maintain scalable and efficient data architectures, establishing standards and best practices for data management.
* Ensure the reliability, performance, and quality of data systems, proactively addressing bottlenecks and incidents.
* Mentor and guide junior and mid\-level data engineers, fostering a collaborative team environment.
* Collaborate with product managers, engineers, data scientists, and analysts to understand data requirements and develop reusable, scalable data solutions.
* Evaluate and adopt new technologies, tools, and methodologies to enhance data integration, processing, and analytics capabilities.
* Develop architecture, observability, and testing strategies to ensure robust and reliable data pipelines and infrastructure.
* Manage storage layers, including schema design, indexing, and performance tuning for optimal data access and manipulation.
* Resolve complex data engineering issues swiftly, including SQL query optimization and database performance enhancements.
* Conduct discovery and assessment of existing data infrastructure, proposing modernized architecture solutions.
* Implement data governance practices, including data cataloging, lineage, and quality management frameworks aligned with industry standards.
* Document data engineering architectures, processes, and data flows for transparency and future reference.
* Participate actively in Agile ceremonies, contributing to continuous improvement initiatives within the team.
**Benefits**
* Competitive salary package commensurate with experience and skills.
* Flexible remote working arrangements to promote work\-life balance.
* Opportunities for professional development and certifications.
* Inclusive and diverse work environment that fosters innovation and collaboration.
* Access to cutting\-edge tools and technologies in AI and data engineering.
* Participation in impactful projects that drive organizational growth and strategic decision\-making.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protected veteran status, or any other legally protected group.</t>
        </is>
      </c>
    </row>
    <row r="3">
      <c r="A3" t="inlineStr">
        <is>
          <t>li-4355950810</t>
        </is>
      </c>
      <c r="B3" t="inlineStr">
        <is>
          <t>Data Engineer</t>
        </is>
      </c>
      <c r="C3" t="inlineStr">
        <is>
          <t>Next Ventures</t>
        </is>
      </c>
      <c r="D3" t="inlineStr">
        <is>
          <t>linkedin</t>
        </is>
      </c>
      <c r="E3" t="inlineStr"/>
      <c r="F3" t="inlineStr"/>
      <c r="G3" t="inlineStr">
        <is>
          <t>New York, United States</t>
        </is>
      </c>
      <c r="H3" t="inlineStr"/>
      <c r="I3" t="inlineStr">
        <is>
          <t>I am partnered with a Real Estate Finance and Investment firm who mange a $100 billion asset management portfolio, but move with a startup mindset.
 They are at the forefront of agility, automation and AI driven technologies, leveraging technologies like Open AI to streamline operations and are currently looking to hire a Data Engineer within the team.
 This is a high\-impact role for someone who enjoys shaping architecture, solving complex data challenges, and mentoring engineers while working closely with cross\-functional teams.
**Responsibilities** 
* Help architect and build a vision to modernize their core data warehouse platform
* Build and maintain ETL Pipelines
* Address complex data engineering challenges with innovative solutions that improve performance, scalability, and resilience.
* Work within agile, cross\-functional squads to support evolving data engineering and analytics needs across the organization.
* Ensure best practices around data governance, security, compliance, and information integrity are embedded into all solutions.
* Partner closely with internal teams to support adoption, understanding, and effective use of data products and platforms.
**Qualifications** 
* 5\+ years of experience in data engineering, software engineering, or a related technical field
* Experience contributing to the architecture and operation of large\-scale data warehouse platforms
* Hands\-on experience with orchestration frameworks such as Airflow or Dagster
* Experience with modern data platforms such as Snowflake, Databricks, or Fabric
* Advanced SQL skills for data modeling, performance optimization, and analytics workloads
* Strong Python experience and familiarity with modern data tools including Spark, Parquet, and dbt
* Exposure to analytics, BI, or data visualization tools
* Experience building cloud\-native systems using Docker, Kubernetes, or similar technologies
* Familiarity with DevOps best practices including CI/CD, version control, and automation
***This will be onsite 4 days a week in New York. This position cannot offer sponsorship of transfer of visas at this time.***</t>
        </is>
      </c>
    </row>
    <row r="4">
      <c r="A4" t="inlineStr">
        <is>
          <t>li-4321429743</t>
        </is>
      </c>
      <c r="B4" t="inlineStr">
        <is>
          <t>Senior Data Engineer</t>
        </is>
      </c>
      <c r="C4" t="inlineStr">
        <is>
          <t>COVU</t>
        </is>
      </c>
      <c r="D4" t="inlineStr">
        <is>
          <t>linkedin</t>
        </is>
      </c>
      <c r="E4" t="inlineStr"/>
      <c r="F4" t="inlineStr"/>
      <c r="G4" t="inlineStr">
        <is>
          <t>Los Angeles, CA</t>
        </is>
      </c>
      <c r="H4" t="inlineStr"/>
      <c r="I4" t="inlineStr">
        <is>
          <t>Location: Los Angeles (On\-Site)
 Salary Range: $120K\-$180K \+ COVU shares
**About COVU** 
 COVU is a venture\-backed technology startup transforming the insurance industry. We empower independent agencies with AI\-driven insights and digitized operations, enabling them to manage risk more effectively. Our team is building an AI\-first company set to redefine the future of insurance distribution.
**Role Overview** 
 We are seeking an experienced and product\-focused Senior Data Engineer to be a core member of our Platform product team. This is a high\-impact role where you will play a pivotal part in evolving our core data infrastructure.
 Your primary mission will be to develop key components of our "Policy Journal" \- the foundational data asset that will serve as the single source of truth for all policy, commission, and client accounting information. You will work closely with the Lead Data Engineer and business stakeholders to translate requirements into robust data models and scalable pipelines that drive analytics and operational efficiency for our agents, managers, and leadership.
 This role requires a blend of greenfield development, strategic refactoring of existing systems, and a deep understanding of how to create trusted, high\-quality data products.
**What You’ll Do:** 
* Develop the Policy Journal: Be a primary builder of our master data solution that unifies policy, commission, and accounting data from sources like IVANS and Applied EPIC. You will implement the data models and pipelines that create the "gold record" powering our platform.
* Ensure Data Quality and Reliability: Implement robust data quality checks, monitoring, and alerting to ensure the accuracy and timeliness of all data pipelines. You will champion and contribute to best practices in data governance and engineering.
* Build the Foundational Analytics Platform: Implement and enhance our new analytics framework using modern tooling (e.g., Snowflake, dbt, Airflow). You will build and optimize critical data pipelines, transforming raw data into clean, reliable, and performant dimensional models for business intelligence.
* Modernize Core ETL Processes: Systematically refactor our existing Java \&amp; SQL (PostgreSQL) based ETL system. You will identify and resolve core issues (e.g., data duplication, performance bottlenecks), strategically rewriting critical components in Python and migrating orchestration to Airflow.
* Implement Data Quality Frameworks: Working within our company's QA strategy, you will build and execute automated data validation frameworks. You will be responsible for writing tests that ensure the accuracy, completeness, and integrity of our data pipelines and the Policy Journal.
* Collaborate and Contribute to Design: Partner with product managers, the Lead Data Engineer, and business stakeholders to understand complex business requirements. You will be a key technical contributor, translating business needs into well\-designed and maintainable solutions.
**What We're Looking For:** 
* 5\+ years of experience in data engineering, with a proven track record of building and maintaining scalable data pipelines in production.
* Expert\-level proficiency in Python and SQL.
* Strong experience with modern data stack technologies, including a cloud data warehouse (Snowflake or Redshift), a workflow orchestrator (Airflow is highly preferred), and data transformation tools.
* Hands\-on experience with AWS data services (e.g., S3, Glue, Lambda, RDS).
* Experience in the insurance technology (insurtech) industry and familiarity with insurance data concepts (e.g., policies, commissions, claims).
* Demonstrated ability to contribute to the design and implementation of robust data models (e.g., dimensional modeling) for analytics and reporting.
* A pragmatic problem\-solver who can analyze and refactor complex legacy systems. While you won't be writing new Java code, the ability to read and understand existing Java/Hibernate logic is a strong plus.
* Excellent communication skills and the ability to collaborate effectively with both technical and non\-technical stakeholders.
**Bonus Points For:** 
* Direct experience working with data from Agency Management Systems like Applied EPIC, Nowcerts, EZlynx, etc…
* Direct experience working with Carrier data (Accord XML, IVANS AL3\)
* Experience with business intelligence tools like Tableau, Looker, or Power BI.
* Prior experience in a startup or fast\-paced agile environment.
**Application Process:** 
1. Intro call with People team
2. Technical interviews
3. Final interview with leaders</t>
        </is>
      </c>
    </row>
    <row r="5">
      <c r="A5" t="inlineStr">
        <is>
          <t>li-4321447328</t>
        </is>
      </c>
      <c r="B5" t="inlineStr">
        <is>
          <t>Google Senior Data Engineer</t>
        </is>
      </c>
      <c r="C5" t="inlineStr">
        <is>
          <t>Accenture</t>
        </is>
      </c>
      <c r="D5" t="inlineStr">
        <is>
          <t>linkedin</t>
        </is>
      </c>
      <c r="E5" t="inlineStr"/>
      <c r="F5" t="inlineStr"/>
      <c r="G5" t="inlineStr">
        <is>
          <t>Albany, New York Metropolitan Area</t>
        </is>
      </c>
      <c r="H5" t="inlineStr"/>
      <c r="I5" t="inlineStr">
        <is>
          <t>**We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Engineer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Senior Data Engineer, you will help deliver data modernization, analytics, and AI solutions on GCP. You will support architecture design, build data pipelines and models, perform analysis, and contribute to technical implementations under guidance from senior team members.
* Hands\-On Technical Delivery
* Build data pipelines, ETL/ELT processes, and integrations using GCP services such as: BigQuery, Dataflow, Dataproc, Pub/Sub, Cloud Storage
* Assist with data modeling, performance tuning, and query optimization in BigQuery.
* Implement data ingestion patterns for batch and streaming data sources.
* Support development of dashboards and analytics products using Looker or Looker Studio.
* Support Agentic AI \&amp; ML Solution Development
* Assist in developing ML models and AI solutions using: Vertex AI, Gemini Foundation Models, Gemini Enterprise, Model APIs \&amp; Embeddings
* Implement ML pipelines and help establish MLOps processes (monitoring, retraining, deployment).
* Support prompt engineering, embeddings, and retrieval\-augmented generation (RAG) experimentation.
* Contribute to model testing, validation, and documentation.
* Requirements Gathering \&amp; Client Collaboration
* Participate in client workshops to understand data needs, use cases, and technical requirements.
* Help translate functional requirements into technical tasks and implementation plans.
* Communicate progress, blockers, and insights to project leads and client stakeholders.
* Data Governance, Quality \&amp; Security Support
* Implement metadata management, data quality checks, and lineage tracking using GCP tools (Dataplex, IAM).
* Follow best practices for security, identity management, and compliance.
* Support operational processes for data validation, testing, and monitoring.
* Continuous Learning \&amp; Team Support
* Learn and apply GCP Data \&amp; AI best practices across architectural patterns, engineering standards, and AI frameworks.
* Collaborate closely with senior data engineers, ML engineers, and architects.
* Contribute to internal accelerators, documentation, and reusable components.
* Stay current with GCP releases, Gemini model updates, and modern engineering practices.
 Travel may be required for this role. The amount of travel will vary from 0 to 100% depending on business need and client requirements.
**Here's What You Need**
* Minimum of 5 years of hands\-on experience in Data Engineering, Data Analytics, ML Engineering, or related fields.
* Minimum of 4 years of practical experience with Google Cloud Platform.
* Minimum of 5 years of experience with SQL, data modeling, and building data pipelines.
* Minimum of 3 years of experience with Python or AI or GenAI tools (Vertex AI preferred).
* Bachelor's degree or equivalent (minimum 12 years) work experience. (If Associate’s Degree, must have minimum 6 years work experience)
**Bonus point if you have**
* Experience with GCP services such as BigQuery, Dataflow, Pub/Sub, Dataproc, Cloud Storage, and Looker.
* Exposure to AI/ML development or experimentation with Vertex AI, Gemini models, embeddings, or RAG patterns.
* Hands\-on experience with CI/CD, Git, or cloud\-native engineering practices.
* Google Cloud certifications (Associate Cloud Engineer or Professional Data Engineer).
*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01/24/2026 and open for at least 3 days.
**Benefits**
 Accenture offers a market competitive suite of benefits including medical, dental, vision, life, and long\-term disability coverage, a 401(k) plan, bonus opportunities, paid holidays, and paid time off. See more information on our benefits here:
 \&lt;a href\="https://www.accenture.com/us\-en/careers/local/benefits" target\="\_blank" data\-cmp\-clickable\="" data\-cmp\-data\-layer\="{"jobdetail\-1e0b7e5710\-Qualification\-item0":{"analytics\-link\-name":"u.s. employee benefits \| accenture","analytics\-link\-type":"engagement","xdm:linkURL":"https://www.accenture.com/us\-en/careers/local/benefits","analytics\-engagement":"true"}}" rel\="noopener noreferrer"\&gt;U.S. Employee Benefits \| Accenture
 Role Location Annual Salary Range
 California $94,400 to $266,300
 Cleveland $87,400 to $213,000
 Colorado $94,400 to $230,000
 District of Columbia $100,500 to $245,000
 Illinois $87,400 to $230,000
 Maryland $94,400 to $230,000
 Massachusetts $94,400 to $245,000
 Minnesota $94,400 to $230,000
 New York $87,400 to $266,300
 New Jersey $100,500 to $266,300
 Washington $100,500 to $245,000
 Albany, NY
 Arlington, VA
 Atlanta, GA
 Austin, TX
 Beaverton, OR
 Bentonville, AR
 Boston, MA
 Carmel, IN
 Charlotte, NC
 Chicago, IL
 Cincinnati, OH
 Cleveland, OH
 Columbus, OH
 Culver City, CA
 Denver, CO
 Des Moines, IA
 Detroit, MI
 Hartford, CT
 Houston, TX
 Irving, TX
 Kirkland, WA
 Los Angeles, CA
 Miami, FL
 Milwaukee, WI
 Minneapolis, MN
 Morristown, NJ
 Mountain View, CA
 Nashville, TN
 New York City, NY
 Oklahoma City, OK
 Overland Park, KS
 Philadelphia, PA
 Pittsburgh, PA
 Raleigh, NC
 Redmond, WA
 Sacramento, CA
 San Diego, CA
 San Francisco, CA
 Scottsdale, AZ
 Seattle, WA
 St. Louis, MO
 St. Petersburg, FL
 Walnut Creek, CA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\&lt;a href\="/us\-en/about/contact\-us" target\="\_self" class\="cmp\-text\_\_link cmp\-text\_\_link\-\-default" data\-barba\-transition\="true" data\-cmp\-clickable\="" data\-cmp\-data\-layer\="{"jobdetail\-1e0b7e5710\-Additional Information\-item0":{"analytics\-link\-name":"email","analytics\-link\-type":"engagement","xdm:linkURL":"/us\-en/about/contact\-us","analytics\-engagement":"true"}}" rel\="noopener noreferrer"\&gt;email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\&lt;a href\="/content/dam/accenture/final/accenture\-com/document\-3/Accenture\-Equal\-Employment\-Opportunity\-Statement.pdf\#zoom\=50" title\="Opens the PDF full report, Annual policy statement regarding equal employment opportunity and affirmative action statement , in a new tab." target\="\_blank" class\="cmp\-text\_\_link cmp\-text\_\_link\-\-default" data\-tooltip\="Opens the PDF full report, Annual policy statement regarding equal employment opportunity and affirmative action statement , in a new tab." data\-cmp\-clickable\="" data\-cmp\-data\-layer\="{"jobdetail\-1e0b7e5710\-Additional Information\-item1":{"analytics\-link\-name":"accenture equal opportunity statement","analytics\-link\-type":"engagement","xdm:linkURL":"/content/dam/accenture/final/accenture\-com/document\-3/Accenture\-Equal\-Employment\-Opportunity\-Statement.pdf\#zoom\=50","analytics\-engagement":"true"}}" rel\="noopener noreferrer"\&gt;Accenture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\&lt;a href\="/us\-en/careers/support/e\-verify\-legal\-notices" target\="\_self" class\="cmp\-text\_\_link cmp\-text\_\_link\-\-default" data\-barba\-transition\="true" aria\-label\="please click here for additional important information." data\-cmp\-clickable\="" data\-cmp\-data\-layer\="{"jobdetail\-1e0b7e5710\-Additional Information\-item2":{"analytics\-link\-name":"click here","analytics\-link\-type":"engagement","xdm:linkURL":"/us\-en/careers/support/e\-verify\-legal\-notices","analytics\-engagement":"true"}}" rel\="noopener noreferrer"\&gt;click here for additional important information.
 Please read Accenture’s \&lt;a href\="/us\-en/careers/support/privacy\-statement" target\="\_self" class\="cmp\-text\_\_link cmp\-text\_\_link\-\-default" data\-barba\-transition\="true" data\-cmp\-clickable\="" data\-cmp\-data\-layer\="{"jobdetail\-1e0b7e5710\-Additional Information\-item3":{"analytics\-link\-name":"recruiting and hiring statement","analytics\-link\-type":"engagement","xdm:linkURL":"/us\-en/careers/support/privacy\-statement","analytics\-engagement":"true"}}" rel\="noopener noreferrer"\&gt;Recruiting and Hiring Statement for more information on how we process your data during the Recruiting and Hiring process.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\&lt;a href\="https://www.accenture.com" target\="\_blank" data\-cmp\-clickable\="" data\-cmp\-data\-layer\="{"jobdetail\-1e0b7e5710\-About Accenture\-item0":{"analytics\-link\-name":"www.accenture.com","analytics\-link\-type":"engagement","xdm:linkURL":"https://www.accenture.com","analytics\-engagement":"true"}}" rel\="noopener noreferrer"\&gt;www.accenture.com.</t>
        </is>
      </c>
    </row>
    <row r="6">
      <c r="A6" t="inlineStr">
        <is>
          <t>li-4363632515</t>
        </is>
      </c>
      <c r="B6" t="inlineStr">
        <is>
          <t>Data Engineer (GCP &amp; Big Data)</t>
        </is>
      </c>
      <c r="C6" t="inlineStr">
        <is>
          <t>CoreAi Consulting</t>
        </is>
      </c>
      <c r="D6" t="inlineStr">
        <is>
          <t>linkedin</t>
        </is>
      </c>
      <c r="E6" t="inlineStr"/>
      <c r="F6" t="inlineStr"/>
      <c r="G6" t="inlineStr">
        <is>
          <t>Phoenix, AZ</t>
        </is>
      </c>
      <c r="H6" t="inlineStr"/>
      <c r="I6" t="inlineStr">
        <is>
          <t>CoreAi Consulting is seeking a highly skilled
 **Data Engineer** 
 with strong experience in
 **Google Cloud Platform (GCP)** 
 and
 **Big Data technologies** 
 to design, build, and optimize scalable data platforms. The ideal candidate will have deep expertise in distributed systems, cloud\-native data services, and large\-scale data processing to support analytics, reporting, and machine learning initiatives.
**Key Responsibilities** 
* Design, develop, and maintain
 **scalable data pipelines, ETL/ELT workflows** 
 , and data ingestion frameworks for large and complex datasets.
* Build and optimize
 **big data solutions** 
 using technologies such as
 **Spark, Hadoop, Hive, Kafka, and HBase** 
 .
* Architect and implement
 **cloud\-native data platforms on GCP** 
 , leveraging services such as
 **BigQuery, BigTable, Dataflow, Dataproc, Pub/Sub, and Cloud Storage** 
 .
* Develop and maintain
 **data warehouses and analytical data stores** 
 to support reporting, dashboards, and advanced analytics.
* Collaborate with cross\-functional teams including
 **data scientists, analysts, and application engineers** 
 to enable data\-driven use cases and machine learning workflows.
* Apply best practices in
 **distributed computing, data modeling, performance tuning, and query optimization** 
 .
* Ensure
 **data quality, reliability, security, governance, and compliance** 
 with enterprise standards.
* Support both
 **OLTP and OLAP systems** 
 , ensuring high availability, scalability, and fault tolerance.
* Participate in
 **Agile/Scrum\-based development** 
 , contributing to design reviews, code reviews, and continuous improvement initiatives.
**Required Qualifications** 
* **5\+ years of hands\-on experience** 
 in data engineering or large\-scale application development within the
 **Big Data ecosystem** 
 .
* Strong experience with
 **Big Data frameworks and tools** 
 such as
 **Spark, Hadoop, Hive, Kafka, and HBase** 
 .
* Proficiency in
 **Python, Java, Scala, or PySpark** 
 , with strong SQL expertise.
* Hands\-on experience with
 **GCP data services** 
 , including
 **BigQuery, BigTable, Dataproc, Dataflow** 
 , and cloud\-native ETL patterns.
* Solid understanding of
 **distributed systems, parallel processing, and data processing architectures** 
 .
* Experience with
 **relational and NoSQL databases** 
 , including document, column\-family, and graph data models.
* Strong knowledge of
 **data warehousing concepts** 
 , ETL/ELT design, and performance tuning of complex SQL queries.
* Experience working with
 **JSON/XML schemas** 
 , data modeling tools (e.g.,
 **Erwin, ERStudio** 
 ), and open\-source data technologies.
* Familiarity with
 **data visualization and analytics tools** 
 such as
 **Tableau, Power BI** 
 , or similar platforms.
* Experience with
 **software delivery methodologies** 
 such as
 **Agile, Scrum, and CI/CD practices** 
 .
* Bachelor’s or Master’s degree in
 **Computer Science, Data Engineering, Data Science, or a related field** 
 .
**Nice\-to\-Have** 
* Experience with
 **infrastructure and performance\-oriented design** 
 , including storage optimization and high\-availability architectures.
* Exposure to
 **multi\-cloud data platforms** 
 (AWS or Azure) in addition to GCP.
* Knowledge of
 **security, encryption, data replication, and governance frameworks** 
 .
* Relevant certifications such as
 **Google Professional Data Engineer** 
 ,
 **AWS Big Data Specialty** 
 ,
 **Databricks** 
 , or
 **Cloudera** 
 .
* Strong problem\-solving skills and ability to thrive in a
 **fast\-paced, collaborative environment**</t>
        </is>
      </c>
    </row>
    <row r="7">
      <c r="A7" t="inlineStr">
        <is>
          <t>li-4366195011</t>
        </is>
      </c>
      <c r="B7" t="inlineStr">
        <is>
          <t>Data Analytics Engineer</t>
        </is>
      </c>
      <c r="C7" t="inlineStr">
        <is>
          <t>TECHEAD</t>
        </is>
      </c>
      <c r="D7" t="inlineStr">
        <is>
          <t>linkedin</t>
        </is>
      </c>
      <c r="E7" t="inlineStr"/>
      <c r="F7" t="inlineStr"/>
      <c r="G7" t="inlineStr">
        <is>
          <t>Richmond, VA</t>
        </is>
      </c>
      <c r="H7" t="inlineStr"/>
      <c r="I7" t="inlineStr">
        <is>
          <t>TECHEAD is celebrating over thirty\-five years of incredible heritage, talent, and accomplishments! To learn more about TECHEAD, visit us at
 **TECHEAD.com**
 or on
 **Glassdoor
 .** 
**Data Analytics Engineer** 
**Direct\-Hire:** 
**Remote** 
**NO C2C CANDIDATES!!!!!** 
 We are seeking a Sr. Data Analytics Engineer for our local client. This is a unique opportunity to join at the ground floor and own the core analytics engineering layer end\-to\-end, from defining foundational metrics and data models to implementing best practices that scale.
 The right individual will be both a hands\-on builder and a technical partner to the business, designing data architecture, developing foundational models in dbt, and partnering with Product, Engineering, and leaders to turn ambiguous questions into reliable, reusable data products.
 This is a senior individual contributor role. You’ll lead through technical ownership, influence, and execution, while helping set standards and patterns that future hires will build on.
**Responsibilities:** 
* Help Build the Data Foundation
* Execute the analytics engineering roadmap by identifying the highest\-leverage data opportunities and delivering the models and datasets needed to support them
* Design and build a single source of truth by developing foundational data models (dimensional modeling, star schemas, modular marts) that standardize business definitions and metrics
* Manage a modern analytics infrastructure by implementing and using tools like dbt, Snowflake, and Git, including CI/CD patterns
* Implement scalable standards for modeling, naming, testing, documentation, and dataset ownership to ensure maintainability as the organization grows
* Improve trust in data by implementing data quality checks, monitoring and observability practices, and clear guidance on what is trusted
* Partner cross\-functionally with engineering, product, finance, and other business leaders to understand data needs and deliver solutions that drive decisions and outcomes
**Enable Self\-Serve and Decision\-Making** 
* Build curated datasets and semantic\-friendly layers that keep BI and reporting consistent and reliable
* Create dashboards and analytics tools that empower stakeholders to self\-serve confidently, with clear definitions and documentation
* Translate ambiguous business questions into structured, scalable data solutions, and not one\-off queries
* Translate complex analytical findings into clear, actionable recommendations that influence product strategy
* Lead Through Technical Ownership
* Act as the analytics engineering voice in technical decisions, ensuring solutions are practical, robust, secure, and useful
* Drive cross\-functional projects from discovery through delivery, influencing outcomes without formal authority
* Contribute to data literacy and adoption through metrics definitions, training, and strong documentation
* Collaborate with product managers during discovery to identify the right problems to solve using data
**Requirements:** 
* Analytics Engineering and Modeling Expertise
* 5 to 8\+ years in analytics engineering, data engineering, BI, or closely related roles, with senior\-level scope
* Advanced proficiency in SQL and cloud data warehouses (Snowflake preferred)
* Strong hands\-on experience with dbt (or similar transformation frameworks), including modular project organization, plus testing and documentation practices
* Proven ability to design scalable, reusable data models (dimensional modeling, star schemas, canonical metrics, shared dimensions)
* Experience with BI tools (Looker, Tableau, Mode, or similar) and building datasets that support reliable reporting
* Working knowledge of Python for scripting, automation, and data transformation
**Engineering Rigor and End\-to\-End Ownership** 
* Comfort owning pipelines and data flows end\-to\-end (sources to warehouse to transformations to BI and downstream consumption)
* Familiarity with Git and GitHub, code review workflows, and CI/CD practices for analytics code
* Experience implementing data quality and reliability patterns (dbt tests, Great Expectations, Monte Carlo, alerting, SLAs, or similar)
* Strong understanding of modern data architecture patterns and tradeoffs, with the ability to build what’s needed now while planning for scale
**Business Partnership and Senior IC Skills** 
* Strong track record partnering with non\-technical stakeholders, turning vague questions into clear requirements, then turning requirements into reliable data products
* Excellent communication skills, including explaining data concepts to business audiences and aligning on definitions and outcomes
* Strong prioritization instincts, focusing on work that unlocks the most value and reduces recurring pain
* Comfortable operating in ambiguity, moving fast while maintaining trust and quality
**Bonus Points** 
* Experience with semantic modeling layers like LookML
* Familiarity with workflow orchestration tools (Hevo, Airflow, Dagster)
* Background in high\-growth startup or tech environments
* Knowledge of data cataloging and metadata management tools (Atlan, etc.)
* Understanding of AI/ML applications and prompt engineering for LLMs
* Experience with statistical analysis and experimental design
 TECHEAD's mission is to make our on\-site associates successful by placing them in the right environment so they can grow and prosper. How we treat and respond to our clients and employees is a reflection of who we are and makes us stand out from the rest. Keeping our business focused on building and maintaining relationships with our employees and clients is the key to our success. We won't strive for anything less.
 TECHEAD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For more information on TECHEAD please visit
 www.techead.com
 .
 No second parties will be accepted.</t>
        </is>
      </c>
    </row>
    <row r="8">
      <c r="A8" t="inlineStr">
        <is>
          <t>li-4361294764</t>
        </is>
      </c>
      <c r="B8" t="inlineStr">
        <is>
          <t>Data Engineer I</t>
        </is>
      </c>
      <c r="C8" t="inlineStr">
        <is>
          <t>Cox Automotive Inc.</t>
        </is>
      </c>
      <c r="D8" t="inlineStr">
        <is>
          <t>linkedin</t>
        </is>
      </c>
      <c r="E8" t="inlineStr"/>
      <c r="F8" t="inlineStr"/>
      <c r="G8" t="inlineStr">
        <is>
          <t>Austin, TX</t>
        </is>
      </c>
      <c r="H8" t="inlineStr"/>
      <c r="I8"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9">
      <c r="A9" t="inlineStr">
        <is>
          <t>li-4366139749</t>
        </is>
      </c>
      <c r="B9" t="inlineStr">
        <is>
          <t>Senior Data Engineer</t>
        </is>
      </c>
      <c r="C9" t="inlineStr">
        <is>
          <t>Schonfeld</t>
        </is>
      </c>
      <c r="D9" t="inlineStr">
        <is>
          <t>linkedin</t>
        </is>
      </c>
      <c r="E9" t="inlineStr"/>
      <c r="F9" t="inlineStr"/>
      <c r="G9" t="inlineStr">
        <is>
          <t>New York, NY</t>
        </is>
      </c>
      <c r="H9" t="inlineStr"/>
      <c r="I9" t="inlineStr">
        <is>
          <t>**The Role**
 As the driving force behind Schonfeld’s next\-generation data platforms, you will architect, operate, and continually refine underlying platform that empowers research, systematic trading, AI and risk analytics. On top of this robust foundation, you’ll build and run high\-throughput pipelines spanning ultra\-low\-latency market\-data streams to cost\-efficient end\-of\-day workflows. Partner closely with quants, data scientists, and fellow engineers to achieve sub\-minute SLAs, shape firm\-wide architecture, and mentor peers. We believe diverse backgrounds and voices spark better ideas and more resilient systems, so you’ll join an inclusive culture where every perspective counts.
**What You’ll Do**
* Architect and operate the platform – 24x7 reliability, IaC\-driven deployments, tight cost controls
* Build and evolve batch and streaming pipelines that ingest billions of market\-data events each day
* Architect high\-performance, cost\-efficient Lakehouse tables
* Expose curated datasets via robust, versioned APIs consumed by quants and AI agents
* Optimize workflows to meet aggressive SLAs, embedding observability and automated data quality checks end\-to\-end
* Champion Infrastructure\-as\-Code with Git\-driven CI/CD for every data asset
* Mentor junior engineers and enforce best\-in\-class coding standards
* Continuously refine processes to keep our data ecosystem resilient and lightning\-fast
**What You’ll Bring**
 What you need:
* 7\+ years building production data platforms with Python and SQL
* Deep expertise in big\-data architecture: partitioning, sharding, columnar formats
* Hands\-on with SingleStore/MemSQL, Spark/Flink/EMR and event buses (Kafka/Kinesis)
* Proven AWS skills plus Terraform / CloudFormation infrastructure\-as\-code mastery
* Experience delivering data services for AI/ML workloads and feature pipelines
* Performance\-tuning Postgres, SingleStore/MemSQL, or KDB for sub\-second queries
* Proficient in API design, versioning, and OpenAPI/Swagger documentation
* Comfortable collaborating directly with traders, quants, and data scientists
**We’d Love If You Had**
* Market\-data domain expertise (tick, options, macro)
* Mastery of Iceberg, Delta Lake, or Hudi on S3
* Hands\-on work with real\-time analytics engines such as SingleStore/MemSQL
* Experience building AI/ML feature stores or RAG pipelines
* Skill with performance profiling tools
* Contributions to open\-source data tooling or technical talks
**Who We Are**
 Schonfeld is a global multi\-manager hedge fund that strives to deliver industry\-leading risk\-adjusted returns for our investors. We leverage both internal and external portfolio manager teams around the world, seeking to capitalize on inefficiencies and opportunities within the markets. We draw from decades of experience and a significant investment in proprietary technology, infrastructure and risk analytics to invest across four main strategies: Quant, Tactical, Fundamental Equity and Discretionary Macro \&amp; Fixed Income.
**Our Culture**
 At Schonfeld, we’ll invest in you. Attracting and retaining top talent is at the heart of what we do, because we believe that exceptional outcomes begin with exceptional people. We foster a culture where talent is empowered to continually learn, innovate and pursue ambitious goals. We are teamwork\-oriented, collaborative and encourage ideas—at all levels—to be shared. As an organization committed to investing in our people, we provide learning and educational offerings and opportunities to make an impact. We encourage community through internal networks, external partnerships and service initiatives that promote inclusion and purpose beyond the firm’s walls.
 The base pay for this role is expected to be between $150,000 and $190,000\.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10">
      <c r="A10" t="inlineStr">
        <is>
          <t>li-4321476778</t>
        </is>
      </c>
      <c r="B10" t="inlineStr">
        <is>
          <t>Data and Analytics Engineer</t>
        </is>
      </c>
      <c r="C10" t="inlineStr">
        <is>
          <t>Rahr Corporation</t>
        </is>
      </c>
      <c r="D10" t="inlineStr">
        <is>
          <t>linkedin</t>
        </is>
      </c>
      <c r="E10" t="inlineStr"/>
      <c r="F10" t="inlineStr"/>
      <c r="G10" t="inlineStr">
        <is>
          <t>Shakopee, MN</t>
        </is>
      </c>
      <c r="H10" t="inlineStr"/>
      <c r="I10" t="inlineStr">
        <is>
          <t>RahrBSG is looking for a Data and Analytics Engineer to join our team in Shakopee, MN. The Data and Analytics Engineer is responsible for managing and maintaining SQL Server data platforms, optimizing and troubleshooting advanced SQL queries and stored procedures, and providing business\-oriented analytics solutions using Power BI. This role enables transformation and modernization to scalable cloud\-based data platforms such as Microsoft Fabric and Azure Synapse Link. The Data and Analytics Engineer, a key member of a small, high\-performing data team, serves as a data expert and collaborates with both business stakeholders and IT colleagues to provide reliable, innovative, and user\-friendly data solutions that support and empower decision\-makers.
 This is a hybrid role with a minimum of three days a week onsite at our Shakopee Minnesota Campus. 
 BENEFITS \&amp; PERKS:
* Competitive Starting Base Salary Between $100k \- $140k per year
* Annual Bonus
* Medical benefits with coverage paid for at 90%
* Dental and Vison Programs
* Generous Annual 401(k) Company Contribution of 15%
* Employee Assistance Program
* Paid Life Insurance
* Short Term Disability
* Long Term Disability
* Tuition Reimbursement
* Generous PTO
* Sick Time
* 12 Paid Company Holidays
* Parental Leave
* Career Growth and Progression Paths
**ROLES AND RESPONSIBILITIES:** 
**Data Engineering** 
* Support analytics, reporting, and data initiatives that collect and process data according to company needs and goals.
* Manage and support data platforms and solutions to enable the business, ensuring efficiency, scalability, and alignment with data architecture best practices.
* Plan and support data migrations, upgrades, and platform enhancements.
**Data Infrastructure and Architecture** 
* Fulfill data\-related requests, perform necessary data housekeeping, data cleansing, and data model changes.
* Work with the team to maintain data models, schemas, and storage structures that optimize performance and usability.
* Contribute to the design of data governance, data quality, and metadata standards.
**Analytics Enablement** 
* Collaborate with internal and external stakeholders to translate business and technical needs into data solutions.
* Support the development of analytics solutions through efficient data preparation and transformation.
* Provide guidance, assistance, and training to Power BI developers and users.
**Quality, Monitoring, and Documentation** 
* Analyze data to spot anomalies, trends, and correlate similar data sets.
* Investigate and resolve data and analytics support issues, identify root causes, and proactively recommend activities to reduce risk of future issues.
* Implement data validation, monitoring, and alerting to ensure high data quality.
* Monitor platform performance and implement tools and processes to improve availability and reliability.
* Create and maintain technical documentation for data platforms and solutions.
* Manage work items, code, and release pipelines using Azure DevOps.
**Continuous Improvement** 
* Contribute to a culture of teamwork, collaboration, and continuous improvement.
* Partner with enterprise architecture, infrastructure, business analysts, and cybersecurity to ensure reliable, secure, and scalable data solutions.
* Perform additional duties as needed to support evolving business needs.
**MINIMUM EDUCATION \&amp; WORK REQUIREMENTS:** 
* Bachelor’s degree in IT, Computer Science, Engineering, or related field.
* 5\+ years of experience in data and analytics.
* Strong technical proficiency in: 
	+ Microsoft SQL Server, SQL queries, and stored procedures.
	+ ETL/ELT tools, such as Microsoft SSIS/SSRS or a comparable tool.
	+ Power BI.
* Solid enterprise data warehouse experience, including data modeling and data schemas.
* Familiarity with cloud data platforms (Microsoft Fabric, Synapse Link, Azure Data Lake, or other cloud data platforms).
* Data integration experience with Microsoft Dynamics 365 Finance \&amp; Operations ERP is preferred.
* Knowledge of data governance and data quality platforms (e.g., Microsoft Purview) is preferred.
* Working experience with Azure DevOps or comparable SDLC management tools is preferred.
**KNOWLEDGE, SKILLS, AND ABILITIES:** 
* An initiative\-taker with strong collaboration skills to partner effectively across diverse cross\-functional teams.
* Ability to manage multiple priorities with attention to detail.
* Ability to meet deadlines and solve problems in a fast\-paced environment with shifting priorities, demands, and timelines.
* Proven intellectual curiosity to dig into data, understand root cause and implications, and challenge assumptions to ensure the best outcome.
* Excellent written and oral communication skills with the ability to convey complex technical concepts and findings in a clear, concise, and credible manner.
* Proven ability to learn and understand business data and become a data expert.
* Demonstrated technical expertise in SQL database, SQL queries, stored procedures and data warehousing.
* Demonstrated technical expertise in ETL tools and Microsoft Power BI platform.
* Familiarity with managing work, code, and deployments using Azure DevOps.
* Ability to leverage Microsoft Fabric (OneLake, Lakehouse/Warehouse, Data Pipelines) to standardize data architecture and improve scalability.
* Demonstrated experience applying data governance practices, including maintaining data catalogs, documenting end to‑ ‑end data lineage, and performing data quality checks to ensure accuracy and reliability of enterprise data.
* Recognizes quickly when progress is stalling and takes immediate action to get back on track.
* Demonstrates responsiveness and reacts with appropriate urgency to situations that require quick action or turnaround.
* A curious mindset with an enthusiasm for trying new tools and techniques.
 Rahr is a family\-owned global leader and trusted partner to the craft beverage industry, proudly supporting breweries, wineries, distilleries, cideries, and storefronts with premium supplies and ingredients since 1847\. With over 175 years of expertise, Rahr combines tradition with innovation to meet the evolving needs of our customers and the craft beverage community.
 Headquartered in Shakopee, MN, Rahr Corporation is a fifth\-generation family business. We are committed to providing the highest quality products and services to our customers, ensuring they can create beverages that inspire and delight. Our offerings include an extensive range of barley malts, hops, adjuncts, and other brewing essentials, designed to support beverage makers of all sizes and styles.
 At Rahr, we value quality, innovation, and collaboration. We’re passionate about crafting excellence and fostering the growth of the craft beverage industry while upholding our family\-owned values and commitment to sustainability. Join us and become part of a legacy dedicated to supporting the artistry and success of beverage makers worldwide.</t>
        </is>
      </c>
    </row>
    <row r="11">
      <c r="A11" t="inlineStr">
        <is>
          <t>li-4366178492</t>
        </is>
      </c>
      <c r="B11" t="inlineStr">
        <is>
          <t>Senior Data Engineer</t>
        </is>
      </c>
      <c r="C11" t="inlineStr">
        <is>
          <t>GraceMark Solutions</t>
        </is>
      </c>
      <c r="D11" t="inlineStr">
        <is>
          <t>linkedin</t>
        </is>
      </c>
      <c r="E11" t="inlineStr"/>
      <c r="F11" t="inlineStr"/>
      <c r="G11" t="inlineStr">
        <is>
          <t>Santa Clara, CA</t>
        </is>
      </c>
      <c r="H11" t="inlineStr"/>
      <c r="I11" t="inlineStr">
        <is>
          <t>**Now Hiring \| Senior Data Engineer (Onsite – Santa Clara, CA)** 
 We’re looking for a
 **Senior Data Engineer** 
 to join a high\-performing data team working on large\-scale, enterprise\-grade data platforms. This is an
 **onsite\-only role** 
 for experienced engineers who enjoy owning data architecture, building robust pipelines, and driving performance at scale.
**Important:** 
 This role requires
 **100% onsite presence** 
 in Santa Clara, CA. Non\-local candidates will not be considered.
**Location:** 
 Santa Clara, CA
**Interview:** 
 Final round
 **in person** 
 (Santa Clara, CA 95054\)
**Rate:** 
 $45 USD/hour (If higher, please advise)
**What You’ll Do** 
 As a Senior Data Engineer, you’ll play a critical role in designing, building, and optimizing scalable data platforms that support analytics, reporting, and business decision\-making.
**What We’re Looking For** 
**Required Experience:** 
* Strong hands\-on experience with
 **Snowflake and Databricks**
* Advanced proficiency in
 **SQL** 
 for data processing, automation, and optimization
* Deep understanding of
 **data engineering and system architecture principles**
* Proven experience building and maintaining
 **enterprise\-scale data solutions**
* Solid background in
 **data modeling** 
 and warehouse design best practices
* Experience implementing
 **data governance, quality, and monitoring solutions**
* Excellent communication skills and the ability to work independently
**Interested?** 
 Apply now or share your resume to move forward.
 If your rate expectation is
 **above $45/hour** 
 , please include it when applying.</t>
        </is>
      </c>
    </row>
    <row r="12">
      <c r="A12" t="inlineStr">
        <is>
          <t>li-4321506721</t>
        </is>
      </c>
      <c r="B12" t="inlineStr">
        <is>
          <t>Data Engineer</t>
        </is>
      </c>
      <c r="C12" t="inlineStr">
        <is>
          <t>Soliant</t>
        </is>
      </c>
      <c r="D12" t="inlineStr">
        <is>
          <t>linkedin</t>
        </is>
      </c>
      <c r="E12" t="inlineStr"/>
      <c r="F12" t="inlineStr"/>
      <c r="G12" t="inlineStr">
        <is>
          <t>Jacksonville, FL</t>
        </is>
      </c>
      <c r="H12" t="inlineStr"/>
      <c r="I12" t="inlineStr">
        <is>
          <t>**Job Summary:** 
 The Soliant Data Engineer designs, builds, and maintains scalable, secure, and highly reliable data pipelines within Soliant’s Azure\-based data platform. This role is heavily focused on Databricks development, leveraging Delta Lake and Spark to transform raw data into trusted, analytics\-ready datasets that support enterprise reporting, financial analytics, and operational insights.
 The Data Engineer partners closely with analytics, finance, and business teams to ensure data is accurate, timely, and well\-governed across the organization.
**Key Responsibilities:** 
**Databricks \&amp; Data Pipeline Development** 
* Design, develop, and maintain scalable data pipelines using Azure Databricks, Delta Lake, and Apache Spark
* Implement batch and incremental data processing patterns to support enterprise analytics use cases
* Write efficient, well\-structured PySpark and SQL code following engineering best practices
**Data Ingestion \&amp; Orchestration** 
* Build and orchestrate data ingestion workflows using Azure Data Factory, integrating with Databricks notebooks and jobs
* Ingest data from APIs, flat files, and relational data sources into Azure Data Lake Storage (ADLS Gen2\)
**Data Transformation \&amp; Modeling** 
* Transform raw data into curated, analytics\-ready datasets using Delta Lake (Bronze / Silver / Gold) patterns
* Apply data quality checks, deduplication logic, and validation rules to ensure high data reliability
* Support downstream reporting and semantic models used in Power BI
**Data Architecture \&amp; Storage** 
* Collaborate with the team to design scalable data architectures that support current and future business needs
* Manage structured and semi\-structured data stored in Azure Data Lake and Azure SQL Database
* Ensure data storage solutions are secure, performant, and cost\-effective
**Automation, Optimization \&amp; Reliability** 
* Optimize Databricks workloads for performance and cost (partitioning, caching, job tuning)
* Automate data processing and operational tasks using Azure services and scripting tools
* Monitor pipelines and jobs, troubleshoot failures, and continuously improve reliability and performance
**Collaboration \&amp; Stakeholder Engagement** 
* Work closely with financial analysts, data enrichment analysts, and reporting teams to understand data requirements
* Provide clean, trusted datasets and support ad\-hoc analytical needs when required
**Required Skills \&amp; Qualifications:** 
* Bachelor’s degree in Computer Science, Data Engineering, Information Systems, or a related field
* Strong experience building data pipelines in Microsoft Azure, with a focus on Azure Databricks
* Hands\-on experience with:
* Azure Databricks
* Azure Data Factory
* Azure Data Lake Storage (ADLS Gen2\)
* Azure SQL Database / SQL Server
* Strong proficiency in SQL and Python (PySpark)
* Experience with ETL/ELT patterns and data transformation in a cloud environment
* Solid understanding of data warehousing concepts and analytical data modeling
* Experience monitoring, troubleshooting, and optimizing production data pipelines
* Strong problem\-solving skills, attention to detail, and collaboration abilities
**Nice to Have:** 
* Experience with Delta Lake and medallion architectures (Bronze / Silver / Gold)
* Familiarity with CI/CD pipelines for data engineering (Azure DevOps, GitHub Actions, or similar)
* Experience using Git for source control and collaborative development
* Exposure to Databricks Jobs, workflows, and cluster configuration
* Experience optimizing Spark workloads (partitioning strategies, file sizing, performance tuning)
* Familiarity with data governance, access controls, and security best practices in Azure
* Experience supporting Power BI semantic models or downstream reporting platforms
* Knowledge of infrastructure\-as\-code concepts (ARM, Bicep, Terraform)
**Why Soliant** 
* Modern Azure data platform with Databricks at the core
* Opportunity to build and improve enterprise\-scale data pipelines
* High\-impact work supporting financial, operational, and executive reporting
* Collaborative environment with strong ownership and autonomy</t>
        </is>
      </c>
    </row>
    <row r="13">
      <c r="A13" t="inlineStr">
        <is>
          <t>li-4366185377</t>
        </is>
      </c>
      <c r="B13" t="inlineStr">
        <is>
          <t>Senior Data Engineer</t>
        </is>
      </c>
      <c r="C13" t="inlineStr">
        <is>
          <t>VIA</t>
        </is>
      </c>
      <c r="D13" t="inlineStr">
        <is>
          <t>linkedin</t>
        </is>
      </c>
      <c r="E13" t="inlineStr"/>
      <c r="F13" t="inlineStr"/>
      <c r="G13" t="inlineStr">
        <is>
          <t>Somerville, MA</t>
        </is>
      </c>
      <c r="H13" t="inlineStr"/>
      <c r="I13" t="inlineStr">
        <is>
          <t>**Title: Senior Data Engineer**
 Location: Somerville, Massachusetts
 VIA is making an impact, and so can you.
 At VIA, our mission is to make communities cleaner, safer, and more equitable. We believe that by working across organizational boundaries, we can achieve greater collective good than we can individually. VIA overcomes digital barriers to collective action by providing the world's most secure and simple data and identity protection solutions.
 VIA is trusted by the U.S. Department of Defense and Fortune 100 companies around the globe to solve their toughest data and identity protection challenges. Using our Web3, quantum\-resistant, passwordless technologies (19 issued patents), VIA protects data against theft, manipulation, and misuse.
 An impressive mission requires an equally impressive Senior Data Engineer.
 As a Senior Data Engineer at VIA, you will play a pivotal role in the growth of our solutions.
 You will build the foundation that empowers our customers to harness AI for human\-centric, data\-driven decision\-making. You will work cross\-functionally with a high\-performing team of data professionals, developers, DevOps, and Client Delivery specialists who are already pushing the boundaries of what's possible with AI.
 Individuals who excel in this role are motivated by solving complex data accessibility challenges, holding a high bar for data quality and availability, and improving performance. Are you ready to join us?
 In this role, you will:
* Architect secure solutions: Design and implement robust, cloud\-based data storage solutions, optimizing schemas for multi\-tenant environments while ensuring data accessibility and security and a high standard of trust and transparency
* Engineer data pipelines: Develop, deploy, and maintain resilient ETL/ELT pipelines for both real\-time streaming and batch processing, ensuring seamless data flow from raw ingestion to production\-ready applications
* Facilitate data accessibility: Build and manage data access layers, including REST APIs and streaming services, to empower downstream users
* Drive data governance and best practices: Contribute across teams to recommend tools, processes, and best practices for maintaining data health, integrity, and security
* Operationalize AI models: Support AI operations (MLOps) by managing versioning, containerization, and deployment of AI models
* Monitor and optimize infrastructure: Build monitoring and alerting systems to track data health and system performance, proactively identifying and remediating bottlenecks
 What you will bring to this role:
* Education: Bachelor's degree or higher in Computer Science, Engineering, or Data Science
* Experience: 5\+ years of professional experience in data engineering or a related role
* Core engineering: A strong foundation in Python (or equivalent), including testing frameworks (e.g., pytest) and ORMs (e.g., SQLAlchemy)
+ You understand modularity and how to define clear scopes and responsibilities within a large codebase
* Data architecture: Proven experience architecting scalable relational and non\-relational (SQL/noSQL) schemas
+ You manage the end\-to\-end database lifecycle, from initial design to production maintenance
* Performance engineering: Expertise in maximizing system performance through advanced query tuning, strategic indexing, and execution plan analysis to eliminate technical bottlenecks
* Cloud infrastructure: Experience with one or more cloud\-based databases (e.g., AWS RDS, Azure Database)
+ You are comfortable configuring compute resources, backups, and geolocation requirements
* Data orchestration: Experience building resilient pipelines using frameworks such as Dagster or Apache Airflow
+ You have a track record of maintaining data health for both real\-time streaming and batch processing
* Systems thinking: A strong understanding of how data infrastructure integrates into the broader application architecture
* Professional standards: Experience with modern software development practices, including version control (Git), CI/CD pipelines, and a commitment to high\-quality, maintainable code
 One or more of the following would be a plus:
* Streaming and edge tech: Experience working with streaming data (e.g., Kafka) or running data models on the edge (e.g., Raspberry Pi, IoT devices)
* DevOps tools: Familiarity with containerization and orchestration tools such as Docker and Kubernetes
* API design: Experience architecting and consuming scalable RESTful APIs using standardized design principles and robust authentication protocols
* Web3 and privacy: Familiarity with blockchain data indexing or privacy\-preserving data processing techniques
* Leadership: Experience mentoring junior engineers or leading technical projects within a high\-performing team
 What does it take to be a successful VIAneer? Let's break it down, our VIAneers are:
* Self\-motivated and passionate about leaving everything they touch better than how they found it
* Firm believers that people should love what they do and are eager to build a culture that enables them to do their best work
* Creative problem solvers who respectfully challenge the status quo in the pursuit of excellence
* People who lead discussions with curiosity and value diverse perspectives
* Eager to explore new ideas, understand the power of feedback, and constantly seek opportunities to grow and develop their skills
* Strong team players who thrive in collaborative environments and celebrate the success of others
 What can VIA do for you?
 VIA offers competitive rewards and benefits, flexible work options, and individualized mentoring and growth opportunities. Here are just a few of our VIAneers' favorite perks:
* A salary range of $120,000 \- $160,000
* A fully funded, top\-tier health benefits plan, fully covered from day one, including vision and dental coverage for your whole family
* Flexible Vacation Policy with no set annual limit or accrual period, Summer Fridays, and an extended holiday period in December
* 401(k) plan with up to 5% employer contribution
* Paid parental leave, supporting new parents and families
* A dedicated wellness advisor to help you navigate the programs and opportunities available at VIA
* Ability to enjoy the best of both worlds with flexibility to work from home as needed, as well as access to four well\-located offices, designed for collaboration and stocked with everything you could need
* Opportunities to work remotely from eligible locations for up to 2 months per year
* Individualized growth opportunities, including internal and external mentorship panels, custom goals and feedback sessions, and/or access to learning and development programs, including VIA's unrivaled leadership program
* Transit benefits to support commuting costs
* In\-person events to foster team bonding and collaboration across different teams
 Read more about our benefits and perks here.
 VIA is committed to the importance of belonging.
 VIA is an equal opportunity employer. When you apply for a role at VIA, your application will be considered without regard to race, color, religion, national origin, age, sex, marital status, ancestry, physical or mental disability, veteran status, gender identity, or sexual orientation. If you would like to request a specific accommodation, please notify us with your submission.
 You can learn more about our mission, values, and team on our careers page.</t>
        </is>
      </c>
    </row>
    <row r="14">
      <c r="A14" t="inlineStr">
        <is>
          <t>li-4355728460</t>
        </is>
      </c>
      <c r="B14" t="inlineStr">
        <is>
          <t>Data Engineer (Logistics)</t>
        </is>
      </c>
      <c r="C14" t="inlineStr">
        <is>
          <t>Stability Technology</t>
        </is>
      </c>
      <c r="D14" t="inlineStr">
        <is>
          <t>linkedin</t>
        </is>
      </c>
      <c r="E14" t="inlineStr"/>
      <c r="F14" t="inlineStr"/>
      <c r="G14" t="inlineStr">
        <is>
          <t>Carson, CA</t>
        </is>
      </c>
      <c r="H14" t="inlineStr"/>
      <c r="I14" t="inlineStr">
        <is>
          <t>**Summary / Objective** 
 The Data Engineer will design, build, and maintain scalable data infrastructure and integrations to support enterprise analytics and operational systems. This role focuses on enabling seamless data flow between Warehouse Management Systems (WMS), NetSuite ERP, and other business applications, ensuring high data quality, security, and availability for reporting and decision\-making. The position reports to the Sr. VP of Information Systems and supports a hybrid work schedule with minimal travel.
**Essential Functions** 
* Design, build, and maintain scalable data pipelines, databases, data warehouses, and data lakes.
* Develop, optimize, and maintain ETL workflows using SSIS and modern data integration tools.
* Create and manage enterprise reporting and analytics solutions using Power BI, SSRS, and SQL Server.
* Build and maintain Power BI datasets, semantic models, dashboards, and KPI frameworks.
* Develop and maintain SSRS reports and automated report distributions.
* Integrate Azure\-based platforms (Microsoft Fabric, Azure Synapse, Azure Data Factory) with on\-prem and cloud systems.
* Develop and optimize SQL Server and Azure SQL databases for reporting and analytics workloads.
* Build and maintain integrations between WMS/TMS platforms and NetSuite ERP using APIs, SuiteQL, and connectors.
* Implement data validation, cleansing, and quality controls to ensure data accuracy.
* Apply security controls, access policies, and compliance standards across data platforms.
* Monitor system and database performance and resolve operational issues.
* Develop database maintenance, archiving, and optimization processes.
* Collaborate with business stakeholders, analysts, and IT teams to deliver reporting and data solutions.
* Manage data integration platforms used to ingest customer and operational data.
**Required Education and Experience** 
* 7\+ years of experience in data engineering, data warehousing, and analytics environments.
* Strong expertise with Microsoft technologies including SQL Server, Azure SQL, and Azure Data Services.
* Advanced experience developing ETL solutions using SSIS, including error handling and automation.
* Proven experience building and maintaining Power BI dashboards and SSRS reports.
* Strong proficiency in T\-SQL, stored procedures, views, and performance tuning.
* Experience with Azure Data Factory, Azure Data Lake, Microsoft Fabric, and Azure Synapse.
* Proficiency in Python and SQL for data processing and automation.
* Experience integrating ERP and WMS platforms, including NetSuite.
* Experience implementing data governance, security, and role\-based access controls.
* Familiarity with Power BI Gateway, workspace management, and enterprise BI deployment models.
**Preferred Qualifications** 
* Microsoft certifications (Azure Data Engineer, Power BI, SQL Server, or Fabric).
* Experience supporting logistics, operations, and finance reporting environments.
* Experience with CI/CD pipelines for data and BI deployments.
* Strong communication and stakeholder management skills.</t>
        </is>
      </c>
    </row>
    <row r="15">
      <c r="A15" t="inlineStr">
        <is>
          <t>li-4365867170</t>
        </is>
      </c>
      <c r="B15" t="inlineStr">
        <is>
          <t>Data Engineer II</t>
        </is>
      </c>
      <c r="C15" t="inlineStr">
        <is>
          <t>Mirion Technologies</t>
        </is>
      </c>
      <c r="D15" t="inlineStr">
        <is>
          <t>linkedin</t>
        </is>
      </c>
      <c r="E15" t="inlineStr"/>
      <c r="F15" t="inlineStr"/>
      <c r="G15" t="inlineStr">
        <is>
          <t>Atlanta, GA</t>
        </is>
      </c>
      <c r="H15" t="inlineStr"/>
      <c r="I15" t="inlineStr">
        <is>
          <t>Mid\-level data engineer responsible for designing, building, and maintaining data pipelines, data models, and data infrastructure to support analytics and AI initiatives. Additionally, design and build reusable data pipeline components and frameworks, to accelerate the growth of new data initiatives at Mirion.
**Responsibilities**
* Design and implement scalable data pipelines using Spark, Azure Databricks, and similar tools.
* Build and optimize data models and dimensional schemas for both analytics and AI/ML use\-cases.
* Develop data quality checks and monitoring to ensure data integrity.
* Write efficient SQL queries and optimize data warehouse performance.
* Collaborate with analytics and data science teams to understand data requirements
* Contribute to data documentation and best practices across the platform.
* Troubleshoot data pipeline failures and optimize for performance
**Minimum Qualifications**
* 2\-4 years experience in data engineering, analytics engineering, or related field.
* Strong SQL expertise and experience with data warehouses (Snowflake, BigQuery, Redshift,etc.).
* Experience building and maintaining data pipelines using Spark, Airflow, or similar tools.
* Proficiency in Python or Scala for data processing.
* Understanding of data modeling, ETL/ELT concepts, and dimensional design.
* Experience with cloud platforms (AWS, GCP, or Azure)
**Preferred Qualifications**
* Experience with Databricks or Delta Lake.
* Experience with real\-time data streaming (Kafka, Kinesis).
* Experience managing infrastructure in Azure or AWS cloud.
* Knowledge of data governance and metadata management.
* Background in building data platforms from scratch.</t>
        </is>
      </c>
    </row>
    <row r="16">
      <c r="A16" t="inlineStr">
        <is>
          <t>li-4321516770</t>
        </is>
      </c>
      <c r="B16" t="inlineStr">
        <is>
          <t>Senior Data Engineer</t>
        </is>
      </c>
      <c r="C16" t="inlineStr">
        <is>
          <t>TechTriad</t>
        </is>
      </c>
      <c r="D16" t="inlineStr">
        <is>
          <t>linkedin</t>
        </is>
      </c>
      <c r="E16" t="inlineStr"/>
      <c r="F16" t="inlineStr"/>
      <c r="G16" t="inlineStr">
        <is>
          <t>New York, United States</t>
        </is>
      </c>
      <c r="H16" t="inlineStr"/>
      <c r="I16" t="inlineStr">
        <is>
          <t>**Role: Data Engineer** 
**Location: New York City, NY, 10001\- 3 days onsite** 
**Duration: Full\-Time** 
 The ideal candidate has hands\-on experience building modern data pipelines and platforms using
 **Python, SQL, and AWS services** 
 such as
 **Glue, Lambda, S3, EMR, Kinesis, and SageMaker** 
 . You will work on cloud\-native analytics, leveraging open\-source tools and machine learning frameworks to optimize data workflows and enhance the delivery of innovative payment and financial solutions.
 This role requires a strong foundation in
 **data structures, algorithms, and database management** 
 , along with proficiency in data visualization tools like
 **Tableau** 
 or
 **AWS QuickSight** 
 . You’ll also apply best practices in version control, CI/CD, and Infrastructure as Code using
 **Terraform** 
 to manage secure and scalable cloud environments.
**Required Qualifications:** 
 • Bachelor’s degree or the equivalent in a scientific or quantitative discipline, such as Mathematics, Engineering, Computer Science, Economics, or Physical Sciences
 • 5\+ years of experience or equivalent in the data engineering/science field as a programmer, analyst, engineer or scientist.
 • Hands\-on development experience using programming languages, ideally Python, with statistical and data visualization libraries, such as pandas and matplotlib.
 • Experience with data structures, algorithms and database query languages, such as SQL.
 • Familiarity using git code repositories and interactive editors, such as Jupyter notebooks, Sublime or VS Code.
 • Familiarity with cloud services for data management and analysis, such as AWS Glue
 • Experience managing a variety of large\-scale data sets on Linux, Windows or MacOS.
 • Excellent writing and presentation skills</t>
        </is>
      </c>
    </row>
    <row r="17">
      <c r="A17" t="inlineStr">
        <is>
          <t>li-4296226968</t>
        </is>
      </c>
      <c r="B17" t="inlineStr">
        <is>
          <t>Data Engineer</t>
        </is>
      </c>
      <c r="C17" t="inlineStr">
        <is>
          <t>ECLARO</t>
        </is>
      </c>
      <c r="D17" t="inlineStr">
        <is>
          <t>linkedin</t>
        </is>
      </c>
      <c r="E17" t="inlineStr"/>
      <c r="F17" t="inlineStr"/>
      <c r="G17" t="inlineStr">
        <is>
          <t>Rutherford, NJ</t>
        </is>
      </c>
      <c r="H17" t="inlineStr"/>
      <c r="I17" t="inlineStr">
        <is>
          <t>**Job Number: 25\-04899**
 ECLARO is hiring for a
 **Data Engineer** 
 for our client in
 **Rutherford, NJ.** 
 An excellent opportunity to grow within the P\&amp;C insurance industry."
 ECLARO's client is a leading insurance company providing risk management services and products to the energy industry. Their vast experience throughout North America spans all sides of energy infrastructure. If you're up to the challenge, then take a chance at this rewarding opportunity!
**Position Overview:**
* Will be responsible for Development and Testing of Data Integration Workflows (ETL Packages, Stored Procedures, UDF, Ad Hoc\-Queries), Test Plans and Test Cases using Microsoft Technologies such as SSIS, SSAS and SQL Server Database, as well as company\-wide Document Management.
* On a day to day the individual is expected to work closely with development team and the analyst team.
* This is an opportunity to join an IT team which maintains a broad portfolio of business\-critical vendor and custom applications.
**Salary:** 
 $125000\-$150000/Year.
**Responsibilities:**
* Responsible for ETL and Data PL/SQL coding and unit testing based on the design provided by the Enterprise Data Lead.
* May have responsibility for development of a part of a larger project or to develop a project more independently.
* Hand off back and forth with offshore developers in a collaborative fashion.
* Collaborate with business analysts, testers and business users to effectively prioritize development activities within resource constraints.
* Provide in\-depth technical support for the assigned applications.
* Create relevant and up to date technical documentation of assigned applications.
* Able to learn new technology practices, platforms, and tools and keeps up to date with the latest technology trends.
* Provide appropriate training to users on the use of assigned applications.
**Required Qualifications:**
* Undergraduate degree in Computer Science, Engineering, Software Engineering or Mathematics, or equivalent work experience.
* Minimum 5\-8 years of experience with:
+ Microsoft SSIS, SSAS and Relational Database technologies.
+ Exposure to web services (SOAP, XML, etc.)
+ SQL Server including T\-SQL or PL/SQL.
+ Data warehousing\- Data Modeling, Data Profiling.
* Experience implementing coding best practices via code reviews and code inspection tools.
* Experience in implementing Code Version Control like GitHub, SourceAnywhere.
* Experience working with Property and Casualty Insurance Data or a company.
* Experience with dimensional modeling and data marts.
* Achievement\-Oriented: Demonstrates persistence and perseverance in achieving concrete and tangible outcomes by taking action to get optimum results when encountering obstacles or resistance.
* Collaborative: Develops and maintains effective working relationships across functional and divisional lines by readily sharing information, knowledge, and resources.
* Detail\-Oriented: Displays thoroughness and accuracy in quality communications and deliverables through the application of technical skills and industry/product knowledge.
* Service\-Oriented: Conveys a genuine desire and ability to anticipate and meet customer needs and creates and nurtures mutually beneficial relationships within AEGIS and with AEGIS Members and brokers.
* Work Ethic: Takes ownership for one's responsibilities by acting with integrity and holding oneself accountable to continuous improvement.
* Leadership (if applicable): Motivates employees to exercise their talents to the fullest and holds them accountable for their best efforts; provides support to develop potential skills for improved individual growth and trains and empowers subordinates effectively.
**Equal Opportunity Employer:** 
 ECLARO values diversity and does not discriminate based on Race, Color, Religion, Sex, Sexual Orientation, National Origin, Age, Genetic Information, Disability, Protected Veteran Status, or any other legally protected group status, in compliance with all applicable laws.</t>
        </is>
      </c>
    </row>
    <row r="18">
      <c r="A18" t="inlineStr">
        <is>
          <t>li-4321416829</t>
        </is>
      </c>
      <c r="B18" t="inlineStr">
        <is>
          <t>Data Engineer</t>
        </is>
      </c>
      <c r="C18" t="inlineStr">
        <is>
          <t>Software Guidance &amp; Assistance, Inc. (SGA, Inc.)</t>
        </is>
      </c>
      <c r="D18" t="inlineStr">
        <is>
          <t>linkedin</t>
        </is>
      </c>
      <c r="E18" t="inlineStr"/>
      <c r="F18" t="inlineStr"/>
      <c r="G18" t="inlineStr">
        <is>
          <t>San Jose, CA</t>
        </is>
      </c>
      <c r="H18" t="inlineStr"/>
      <c r="I18" t="inlineStr">
        <is>
          <t>Software Guidance \&amp; Assistance, Inc., (SGA), is searching for a
 **Data Engineer** 
 for a
 **contract** 
 assignment with one of our premier SaaS clients in San Jose, CA. 3 days per week in office. Also open to Lehi, UT.
 The ideal candidate for this position is part analyst, part developer, and part influential leader. In this role, you will advise business leaders by providing data\-centric strategic direction to identify and address business issues and opportunities. You will play a key role in developing, understanding, and executing strategic goals to create capacity within the Pricing \&amp; Revenue Operations organization. Collaboration with experts across finance, engineering, data science, programming, and UI/UX will be essential to conduct analyses, develop insights, and deliver actionable recommendations.
**Responsibilities:**
* Create sophisticated and intuitive business intelligence tools that provide automation and intelligence programs to analysts, management, and executives.
* Design, develop, and maintain data integration pipelines utilizing APIs to extract, transform, and load data from various sources into target systems.
* Utilize Power BI navigation features (e.g.: bookmarks, drill\-through) to guide users through compelling data\-driven stories.
* Synthesize complex data sets into insights and build analytics stories that lead to strategic business decisions.
* Use SQL, Python, Databricks, Snowflake, and SAP HANA to curate and query large data sets, perform analyses, and create custom views.
* Define acceptance criteria for testing and collaborate closely with engineering, QE, developers, and users to create and implement test plans.
**Required** 
**Skills:**
* 5\+ years of experience in Business Intelligence and Analytics
* Degree in CS, IT, Statistics, or related fields; and coursework or job experience with advanced data and analytics
* Advanced hands\-on experience with enterprise business intelligence software applications including Microsoft Power BI, Microsoft Power Apps, and Microsoft Excel; SnapLogic is a plus.
* Exceptional ability to design and create data visualizations that are intuitive, informative, and impactful.
* Advanced experience using SQL to extract data, understand data structures, and run queries.
* Outstanding problem\-solving and analytical skills including talent for conducting research, analyzing data, developing hypotheses, and synthesizing recommendations.
* Ability to coordinate with colleagues and stakeholders across the globe.
* Record of consistently meeting deadlines while working in a fast\-paced environment.
* High degree of intellectual curiosity and ability to absorb new concepts quickly.
* Self\-starter with an ability to successfully lead through ambiguity and prioritize multiple projects and partners.
* Strong alignment with Adobe's Core Values: Create the future, Own the outcome, Raise the bar, and Be genuine.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9">
      <c r="A19" t="inlineStr">
        <is>
          <t>li-4355907982</t>
        </is>
      </c>
      <c r="B19" t="inlineStr">
        <is>
          <t>Senior Data Engineer</t>
        </is>
      </c>
      <c r="C19" t="inlineStr">
        <is>
          <t>GENNTE Technologies</t>
        </is>
      </c>
      <c r="D19" t="inlineStr">
        <is>
          <t>linkedin</t>
        </is>
      </c>
      <c r="E19" t="inlineStr"/>
      <c r="F19" t="inlineStr"/>
      <c r="G19" t="inlineStr"/>
      <c r="H19" t="inlineStr"/>
      <c r="I19" t="inlineStr">
        <is>
          <t>**Job Summary:** 
 We are seeking experienced Data Engineers to support a high\-impact data modernization initiative. The ideal candidate will be responsible for building and maintaining scalable data pipelines and foundational components of Datawarehouse. This role requires strong technical expertise, the ability to work independently, and collaboration with client teams.
**Key Responsibilities:** 
* Design, develop, and maintain robust data pipelines aligned with medallion architecture principles.
* Source and integrate data from diverse systems including Oracle, MSSQL, MarkLogic, SAS, DB2, and Mainframe.
* Collaborate with client stakeholders to gather requirements and deliver solutions independently or as part of a team.
* Ensure data quality, consistency, and reliability across ingestion and transformation processes.
* Participate in code reviews, performance tuning, and documentation of data workflows.
**Required Skills \&amp; Qualifications:** 
* 10\+ years of hands\-on experience in Data Engineering.
* Proficiency in building data pipelines using AWS, Snowflake, and Flexter.
* Strong knowledge of ETL processes and data integration from multiple sources.
* Familiarity with medallion architecture and modern data lakehouse concepts.
* Experience with scripting and programming languages such as Python and SQL.
* Understanding of MDM and reference data management concepts.
* Excellent communication and problem\-solving skills.
* Insurance domain experience is a plus but not mandatory.</t>
        </is>
      </c>
    </row>
    <row r="20">
      <c r="A20" t="inlineStr">
        <is>
          <t>li-4366164569</t>
        </is>
      </c>
      <c r="B20" t="inlineStr">
        <is>
          <t>Data Engineer II</t>
        </is>
      </c>
      <c r="C20" t="inlineStr">
        <is>
          <t>Centene Corporation</t>
        </is>
      </c>
      <c r="D20" t="inlineStr">
        <is>
          <t>linkedin</t>
        </is>
      </c>
      <c r="E20" t="inlineStr"/>
      <c r="F20" t="inlineStr"/>
      <c r="G20" t="inlineStr"/>
      <c r="H20" t="inlineStr"/>
      <c r="I20" t="inlineStr">
        <is>
          <t>**About The Company** 
 Join a leading organization committed to transforming healthcare through innovative technology solutions. Our company serves over 28 million members nationwide, leveraging cutting\-edge data management and analytics to improve health outcomes across diverse populations. As a diversified, forward\-thinking organization, we prioritize workplace flexibility, employee development, and a collaborative environment that fosters growth and innovation. We are dedicated to making a meaningful impact in healthcare by harnessing the power of data and technology to deliver better services, enhance operational efficiency, and support our mission of improving health for all.
**About The Role** 
 We are seeking a skilled Data Engineer to join our dynamic team. In this role, you will be responsible for designing and implementing standardized data management procedures across various stages including data staging, ingestion, preparation, provisioning, and destruction. You will develop, test, and maintain large\-scale, high\-performance data structures that support business intelligence and analytics initiatives. The position involves creating automated processes for regular data refreshes, ensuring the integrity and quality of data as it moves through different environments. You will also provide insights into evolving data needs, suggest innovative solutions, and develop architectures using programming languages and advanced tools. Your expertise will help improve data reliability, efficiency, and automation, ultimately supporting the organization’s strategic goals.
**Qualifications** 
* Bachelor's degree in a quantitative or business field such as statistics, mathematics, engineering, or computer science
* 2 to 4 years of related experience or equivalent knowledge and skills
* Proficiency in SQL and/or PL\-SQL, preferably with experience in Teradata or Snowflake environments
* Experience developing large or intermediate data pipelines in Snowflake
* Knowledge of programming languages such as Python or similar
* Understanding of automated deployment concepts, including CI/CD practices using tools like Gitlab
* Experience with project management software such as JIRA
* Ability to diagnose system issues, perform data validation, and conduct quality assurance testing
* Familiarity with data visualization tools and techniques
**Responsibilities** 
* Design, develop, and implement data management procedures for data staging, ingestion, preparation, and destruction
* Create and maintain large\-scale, high\-performance data structures to support analytics and business intelligence
* Develop automated processes for daily, weekly, and monthly data refreshes
* Ensure data quality and integrity as it moves across different environments within the organization
* Provide insights into data environment changes, including processing, storage, and utilization requirements
* Construct, test, and maintain data architectures using programming languages and tools
* Identify opportunities to improve data reliability, efficiency, and automation through innovative solutions
* Collaborate with cross\-functional teams to support data\-driven decision\-making
* Perform troubleshooting, system diagnostics, and validation activities to ensure optimal data operations
* Adhere to all organizational policies and industry standards for data security and privacy
**Benefits** 
* Competitive salary range of $63,600 to $114,600 per year
* Comprehensive health insurance plans
* 401(k) retirement savings plan with company matching
* Stock purchase plans
* Tuition reimbursement programs
* Paid time off and holidays
* Flexible work arrangements including remote, hybrid, field, or office\-based schedules
* Opportunities for professional development and career growth
 Equal Opportunity
 Centene is an equal opportunity employer committed to diversity and inclusion. We value the unique perspectives and experiences of our employees and are dedicated to fostering an environment where all individuals can thrive. All qualified applicants will receive consideration for employment without regard to race, color, religion, sex, sexual orientation, gender identity, national origin, disability, veteran status, or other protected characteristics.</t>
        </is>
      </c>
    </row>
    <row r="21">
      <c r="A21" t="inlineStr">
        <is>
          <t>li-4355942257</t>
        </is>
      </c>
      <c r="B21" t="inlineStr">
        <is>
          <t>Senior Data Engineer</t>
        </is>
      </c>
      <c r="C21" t="inlineStr">
        <is>
          <t>Retell AI</t>
        </is>
      </c>
      <c r="D21" t="inlineStr">
        <is>
          <t>linkedin</t>
        </is>
      </c>
      <c r="E21" t="inlineStr"/>
      <c r="F21" t="inlineStr"/>
      <c r="G21" t="inlineStr"/>
      <c r="H21" t="inlineStr"/>
      <c r="I21"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In 2026, We are expanding our vision to build a CX platform of the AI era where the entire contact center is reimagined as a team of AI employees. We are moving beyond mechanical automation that relies on human finetuning to instead transform core functions into intelligent, opinionated AI roles. Frontline agents, QA analysts, and managers now operate as distinct digital workers that serve as the new interface for customer experience. They execute, monitor, and improve continuously to create a system where software behaves like an organization.
 We’re scaling fast, and we’re looking for bold, ambitious people to help us build the gold standard for voice automation. If you want to work on deeply technical challenges, move fast, and make an outsized impact at one of the fastest\-growing Voice AI startups in the world, you’ll love it here.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Founding Senior Data Engineer at Retell, you will build the company’s analytics foundation from the ground up. You will own how data flows, how metrics are defined, and how decisions get made across Product, GTM, Finance, and Infrastructure.
 This is a highly technical, high\-leverage role. You’ll work directly with the founders and functional leads to turn raw data from product events, billing systems, CRMs, and internal services into reliable insights that shape strategy, pricing, hiring, and product direction.
 If you enjoy building end\-to\-end analytics systems, care deeply about data correctness, and want real ownership at an early\-stage AI company, this role is for you.
**Key Responsibilities**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Develop insightful and reliable dashboards to track performance of core metrics that will deliver insights to the whole company
* Become an expert in our organization’s data models and the company's data architecture
* Ensure the security, integrity, and compliance of data according to industry and company standards.
 YOU MIGHT THRIVE IF
* Have a Bachelor’s degree in Computer Science, Data Engineering, Data Science, or a closely related technical field.
* Have 3\+ years of experience as a Data Engineer, Analytics Engineer, Data Analyst, or in a similar analytics\-focused role.
* Write production\-quality SQL and are comfortable with Python or similar languages.
* Have experience partnering closely with Product and GTM teams to define metrics that actually drive decisions.
* Have worked at a startup or fast\-growing company and are comfortable with ambiguity.
* Think in systems and care deeply about metric definitions and data correctness.
* Can translate messy business questions into clean, reliable analytical models.
* Enjoy owning problems end\-to\-end rather than operating within a narrow scope.
**JOB DETAILS**
* Cash: $170,000 \- $250,000 base salary
* Equity: Offers Equity
* Location: Redwood City, CA, US (Relocation Provided)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high performers.
* High Ownership: Small teams, \&gt;$1M revenue/employee, and significant equity.
* Performance\-Based: Offers tied to interview performance, not experience or past salaries.
 INTERVIEW PROCESS
* Recruiter Intro Call (15 min): Discuss your background and motivation, and give you a chance to learn about us.
* Technical First Round (45 min): This round will assess your data engineering fundamentals.
* Onsite (3 hours):
+ Technical Deep Dive: Data modeling, pipelines, and analytics systems
+ Analytics \&amp; Metrics: Cohort analysis, metric design, and trade\-offs
+ Business Judgment: Turning data into decisions</t>
        </is>
      </c>
    </row>
    <row r="22">
      <c r="A22" t="inlineStr">
        <is>
          <t>li-4366176546</t>
        </is>
      </c>
      <c r="B22" t="inlineStr">
        <is>
          <t>Senior Data Platform Engineer</t>
        </is>
      </c>
      <c r="C22" t="inlineStr">
        <is>
          <t>Voreas Laboratories</t>
        </is>
      </c>
      <c r="D22" t="inlineStr">
        <is>
          <t>linkedin</t>
        </is>
      </c>
      <c r="E22" t="inlineStr"/>
      <c r="F22" t="inlineStr"/>
      <c r="G22" t="inlineStr"/>
      <c r="H22" t="inlineStr"/>
      <c r="I22" t="inlineStr">
        <is>
          <t>**Location:** 
 Remote (Atlanta preferred)
**Employment Type:** 
 Full\-Time
**Experience Level:** 
 Senior
**About the Role** 
 We are seeking a Senior Backend / Data Platform Engineer to design and build large\-scale databases and APIs that power commercial customer\-facing products. This role focuses on system architecture, data modeling, and performance at scale, with deployments running in Kubernetes\-based environments.
 You will work closely with product, research, and infrastructure teams to translate customer requirements into reliable, scalable, and secure backend systems. This is a hands\-on engineering role with ownership over core platform components.
**Key Responsibilities** 
* Design, implement, and operate large\-scale databases (OLTP and analytical workloads)
* Architect and develop high\-performance APIs (REST and/or gRPC) for commercial customers
* Design data models optimized for scale, reliability, and long\-term maintainability
* Deploy and operate backend services in Kubernetes environments
* Optimize database performance, query efficiency, and API latency under high load
* Define and enforce API contracts, schemas, and versioning strategies
* Partner with DevOps and platform teams on: Kubernetes deployment patterns, CI/CD pipelines, Observability (metrics, logging, tracing)
* Implement security best practices including authentication, authorization, and data protection
* Troubleshoot and resolve production issues in distributed systems
* Provide technical leadership through design reviews, documentation, and mentorship
**Required Qualifications** 
* Strong experience designing and operating large\-scale databases, such as:
* PostgreSQL / MySQL
* Distributed or analytical systems (e.g., ClickHouse, Elasticsearch, BigQuery, Snowflake, etc.)
* Strong backend development experience in one or more languages:
* Python, Go, Java, or similar
* Proven experience designing customer\-facing APIs
* Solid understanding of: Data modeling, Indexing strategies, Transactional vs analytical workloads
* Experience deploying and running services on Kubernetes
* Familiarity with containerization (Docker) and cloud environments (AWS, GCP, or Azure)
* Strong debugging skills in distributed systems
* Must be a US citizen
**Preferred Qualifications** 
* Experience operating databases on Kubernetes (StatefulSets, Operators, persistent volumes)
* Experience with high\-throughput or high\-volume data systems
* Knowledge of: API gateways and service meshes, gRPC, OpenAPI, or GraphQL
* Experience with infrastructure as code (Terraform, Helm, Crossplane)
* Experience supporting commercial customers with uptime, SLA, and performance requirements
* Familiarity with security\-sensitive or regulated environments
**What Success Looks Like in This Role** 
* Databases that scale reliably as customer usage grows
* APIs that are stable, well\-documented, and easy for customers to integrate
* Kubernetes deployments that are observable, resilient, and maintainable
* Clear architectural documentation and design rationale
* Strong collaboration across engineering, product, and operations
* Why Join UsWork on real production systems at meaningful scale
* Own core architecture decisions that directly impact customers
* Collaborate with senior engineers, researchers, and product leaders
* Build systems that value correctness, performance, and maintainability
**Benefits** 
* **Medical:** 
 80% of premiums covered by VLI.
* **Dental, Vision, Disability \&amp; Life Insurance:** 
 100% employer\-paid.
* **Time Off:** 
 4 Weeks PTO, all government holidays and generous leave and sick policies.
* **Savings:** 
 401(k) with company match.</t>
        </is>
      </c>
    </row>
    <row r="23">
      <c r="A23" t="inlineStr">
        <is>
          <t>li-4353450477</t>
        </is>
      </c>
      <c r="B23" t="inlineStr">
        <is>
          <t>Data Engineer</t>
        </is>
      </c>
      <c r="C23" t="inlineStr">
        <is>
          <t>Alliance Consumer Group</t>
        </is>
      </c>
      <c r="D23" t="inlineStr">
        <is>
          <t>linkedin</t>
        </is>
      </c>
      <c r="E23" t="inlineStr"/>
      <c r="F23" t="inlineStr"/>
      <c r="G23" t="inlineStr">
        <is>
          <t>Roanoke, TX</t>
        </is>
      </c>
      <c r="H23" t="inlineStr"/>
      <c r="I23" t="inlineStr">
        <is>
          <t>**Summary / Position Purpose:** 
 The Data Engineer is responsible for designing, developing, and maintaining the company’s data infrastructure and analytics environment. This role plays a key part in enabling data\-driven decisions by ensuring data accuracy, consistency, and accessibility across all systems. The ideal candidate has hands\-on experience with data integration, transformation, and visualization tools, and enjoys solving complex data challenges in a collaborative environment.
**Duties, Functions and/or Responsibilities:** 
**Primary Responsibilities** 
* Design and develop the company’s data infrastructure, including pipelines, data flows, database objects, and system integrations within the application landscape.
* Maintain and enhance the company’s data repository to combine and normalize data from multiple sources with accuracy and consistency.
* Design, develop, and maintain reports and dashboards across various business systems using enterprise reporting tools and the centralized data repository.
* Implement and manage master data management (MDM) processes to ensure data integrity and synchronization across all systems.
* Write and optimize advanced SQL queries to support ad hoc data analysis, business inquiries, and reporting needs.
**Secondary Responsibilities** 
* Develop and maintain ancillary applications and integrations within the Salesforce environment.
* Support data governance and data quality initiatives across the organization.
* Collaborate with business stakeholders and IT partners to identify data requirements and design effective data solutions.
**Education and/or Work Experience Requirements:** 
**Skills \&amp; System Knowledge** 
* Power BI and Tableau \- report and dashboard development
* Microsoft Fabric and Microsoft Dataverse
* Boomi \- integration platform experience
* SQL Server and Oracle \- database management and optimization
* API integrations \- design and implementation experience
* Jet Analytics or similar business intelligence tools
**Qualifications** 
* Bachelor’s degree in computer science, Information Systems, Data Engineering, or related field.
* 2\-5 years of experience in data engineering, ETL development, or data integration.
* Strong understanding of relational databases, data modeling, and query optimization.
* Experience working in enterprise environments with multiple interconnected systems.
* Excellent problem\-solving and analytical skills with attention to detail.
* Effective communication skills and ability to collaborate across technical and business teams.
**Note:** 
 We do
 **not** 
 provide sponsorship or assistance for U.S. work authorization. Candidates must have valid work authorization at the time of application.
 Equal Opportunity Employer
 This employer is required to notify all applicants of their rights pursuant to federal employment laws.
 For further information, please review the Know Your Rights notice from the Department of Labor.</t>
        </is>
      </c>
    </row>
    <row r="24">
      <c r="A24" t="inlineStr">
        <is>
          <t>li-4321446980</t>
        </is>
      </c>
      <c r="B24" t="inlineStr">
        <is>
          <t>Senior Data Engineer</t>
        </is>
      </c>
      <c r="C24" t="inlineStr">
        <is>
          <t>Robert Half</t>
        </is>
      </c>
      <c r="D24" t="inlineStr">
        <is>
          <t>linkedin</t>
        </is>
      </c>
      <c r="E24" t="inlineStr"/>
      <c r="F24" t="inlineStr"/>
      <c r="G24" t="inlineStr"/>
      <c r="H24" t="inlineStr"/>
      <c r="I24" t="inlineStr">
        <is>
          <t>A leading financial organization is seeking a Senior Data Engineer to play a crucial role in architecting and managing a large\-scale cloud\-based data ecosystem. The selected individual will be responsible for enhancing data integrity, system reliability, and regulatory compliance for platforms supporting analytics, reporting, and crucial business decisions.
 This is a direct hire, salaried position focused on sustained ownership, platform stewardship, and information security. Interim or consulting arrangements will not be considered.
**Role Highlights:** 
* **Lead Data Reliability:** 
 Develop and enforce robust governance standards to ensure accuracy, consistency, and security across all core datasets.
* **Champion Data Collaboration:** 
 Coordinate cross\-functional efforts and transform business goals into practical, prioritized technical solutions.
* **Cloud Data Platform Ownership:** 
 Take responsibility for the design, configuration, and expansion of a Microsoft Fabric\-based data platform. This includes hands\-on setup and management of a unified data lake environment (such as OneLake), as well as configuring platform resources, overseeing Fabric services/components, and ensuring seamless integrations with upstream and downstream applications.
* **Architect Data Pipelines:** 
 Build and optimize scalable ETL/ELT pipelines to support the ingestion and transformation of complex, multi\-source data.
* **Enable Advanced Insights:** 
 Support approved analytics and AI initiatives, working with internal teams to ensure data privacy and regulatory adherence.
* **Guard Regulatory Compliance:** 
 Maintain strict controls, audit trails, and retention policies to guarantee alignment with sector and security standards.
* **Team Leadership:** 
 Provide mentorship and technical support to a small data engineering team, and participate in strategic planning with senior management.
**Experiences We’re Seeking:** 
* Bachelor’s or master’s degree in computer science, engineering, information systems, or a related field.
* Minimum eight years of experience in data engineering or data architecture functions.
* High proficiency in SQL and Python for automation and data operations.
* Hands\-on expertise designing and operating cloud\-based data solutions (preferably leveraging Microsoft Azure and Fabric technologies), including unified data lake environments and analytics services.
* Proven track record with data security practices, access controls, and regulatory frameworks.
**Preferred Background:** 
* Experience in financial services or regulated industry environments.
* Experience with business intelligence and reporting tools (such as Power BI or comparable).
* Exposure to investment or operational datasets is desirable.</t>
        </is>
      </c>
    </row>
    <row r="25">
      <c r="A25" t="inlineStr">
        <is>
          <t>li-4321519473</t>
        </is>
      </c>
      <c r="B25" t="inlineStr">
        <is>
          <t>Principal Data Engineer</t>
        </is>
      </c>
      <c r="C25" t="inlineStr">
        <is>
          <t>DriveWealth</t>
        </is>
      </c>
      <c r="D25" t="inlineStr">
        <is>
          <t>linkedin</t>
        </is>
      </c>
      <c r="E25" t="inlineStr"/>
      <c r="F25" t="inlineStr"/>
      <c r="G25" t="inlineStr">
        <is>
          <t>New York, NY</t>
        </is>
      </c>
      <c r="H25" t="inlineStr"/>
      <c r="I25" t="inlineStr">
        <is>
          <t>**About the Company** 
 DriveWealth is a global B2B financial technology organization dedicated to democratizing access to financial independence around the world. Our mission is realized through an API\-based platform, empowering our partners to offer seamless investing and trading experiences to clients worldwide, all from their mobile devices.
 Our technology provides partners with a modern, extensible toolkit, enabling traditional investment workflows and innovative techniques like fractional share ownership. DriveWealth has evolved into a global platform offering trading of US equities, mutual funds, ETFs, fixed income, and options.
 We seek enthusiastic professionals to contribute diverse perspectives and experiences to our Brokerage\-as\-a\-Service platform. Our culture blends the pace and opportunity of a tech start\-up with the impact, stability, and significance of Wall Street. We encourage creativity and experimentation while ensuring institutional\-grade execution and regulatory compliance in everything we do. We value diversity and inclusion, celebrating the unique differences of our employees as we scale and grow together. We’re guided by operating principles grounded in accountability, teamwork, integrity, and solutions built to scale. Join us!
**About the Role** 
 We are looking for a Principal Data Engineer who thrives on solving the most complex data problems, and enjoys working cross\-functionally with product, engineering and analytics teams to deliver trusted, high\-impact data solutions. The ideal candidate is excited to take strategic ownership of complex data challenges and help evolve our data platform to the next stage of scale and maturity, driving architectural vision and execution. The Data \&amp; Analytics organization at DriveWealth powers the company’s data ecosystem end\-to\-end. Within it, the Data Platform Engineering team owns two critical pillars:
* Data Ingestion \- building reliable pipelines that bring data from diverse internal and external sources
* Semantic Data Layer \- creating curated, consistent and reliable datasets that enable analytics, reporting and decision making
**Responsibilities** 
* Define the architectural vision and strategy for our data ecosystem, ensuring scalability, reliability, and security.
* Design, build and maintain mission\-critical robust data pipelines (batch, streaming and replication) that power analytics, reporting and compliance use\-cases.
* Translate business needs into comprehensive data solutions, acting as a technical leader partnering with product managers, engineering teams and business stakeholders.
* Proactively identify major architectural challenges and opportunities, anticipate scaling, performance and quality needs before they become blockers.
* Establish and champion company\-wide best practices, including documentation, code reviews and standards for data modelling, orchestration and tooling.
* Mentor and coach other engineers, raising the bar for data engineering craft and helping grow team and organizational capabilities.
* Contribute to self\-service data products, enabling data consumers with curated datasets, semantic layers and tools that accelerate insight generation.
* Drive the full lifecycle of data platform modernization initiatives, from ideation to successful rollout.
**Qualifications** 
* 7\+ years of professional experience in data engineering or related fields, with a proven track record of building and scaling data platforms and ecosystems from 0 to 1 and leading modernization efforts.
* BS in Computer Science or equivalent
* Applicants must be authorized to work for any employer in the U.S. DriveWealth is unable to sponsor an employment Visa at this time.
**Required Skills** 
* Strong proficiency in Python and SQL
* Expert\-level hands\-on experience with Spark (PySpark and SparkSQL) and distributed data processing.
* Expertise with orchestration and transformation tools (e.g. Airflow, DBT)
* Deep Proficiency with Databricks and AWS
* Familiarity with infrastructure as code (e.g. Terraform or equivalent)
* Fluent in shell scripting and command line tooling (e.g. Databricks CLI)
* Proven ability to drive technical strategy, work independently, and lead complex projects cross\-functionally with product, engineering and business teams.
* Experience working in teams with CI/CD pipelines, Git\-based workflows and Agile methodologies
* Curiosity, accountability and a drive to improve data quality, scalability and usability across the company
**Preferred Skills** 
* Fintech or capital market experience
* Familiarity with regulatory and compliance\-driven reporting (e.g. FINRA, GDPR)
* Previous experience as a Software Engineer (SWE)
* Exposure to and understanding of ML and AI data pipelines and MLOps
* Experience mentoring other engineers or leading a small team
**Pay range and compensation package** 
 Compensation package offerings are based on candidate experience and technical qualifications, as it relates to the role. These are identified and determined throughout your interviewing experience.
 Please note: this role is expected to come into our office on a cadence set by the Hiring Manager/Team.
 New York, NY (Hybrid) Pay Range $250,000 \- $290,000 USD
**Benefits** 
* Competitive medical, dental, and vision insurance options
* Mental health resources
* Generous paid time off with observed holidays (varies per country)
* Paid parental leave for biological and adoptive parents
* Up to $2,500 or local equivalent each year to invest in continued education and personal development
* Up to $900 each year or local equivalent for fitness and wellness reimbursement
* Company\-provided phone (varies by country)
* For HQ in\-office employees, a daily lunch stipend, unlimited snacks, and engaging office space in the Financial District
* Pre\-tax commuter benefits (US only)
* Employer 401K match (US only)
* Benefit offerings vary based on country and are subject to change.
**Equal Opportunity Statement**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recruiting@drivewealth.com.
**Agency Disclaimer** 
 DriveWealth does not accept agency resumes. Please do not forward resumes to our jobs alias, employees, or any other organization location. DriveWealth is not responsible for any fees related to unsolicited resumes.</t>
        </is>
      </c>
    </row>
    <row r="26">
      <c r="A26" t="inlineStr">
        <is>
          <t>li-4321439389</t>
        </is>
      </c>
      <c r="B26" t="inlineStr">
        <is>
          <t>Senior/Lead Data Engineer</t>
        </is>
      </c>
      <c r="C26" t="inlineStr">
        <is>
          <t>Delta System &amp; Software, Inc.</t>
        </is>
      </c>
      <c r="D26" t="inlineStr">
        <is>
          <t>linkedin</t>
        </is>
      </c>
      <c r="E26" t="inlineStr"/>
      <c r="F26" t="inlineStr"/>
      <c r="G26" t="inlineStr">
        <is>
          <t>Alpharetta, GA</t>
        </is>
      </c>
      <c r="H26" t="inlineStr"/>
      <c r="I26" t="inlineStr">
        <is>
          <t>**Position: Senior/Lead Data Engineer** 
**Location: Alpharetta, GA (3 days in office, Hybrid model)** 
**Full Time** 
**Note: Please apply only W2/Independents Candidates** 
**What You Need:** 
 · 8\+ years of hands\-on data engineering experience in enterprise environments.
 · Strong expertise in Azure services, especially Azure Databricks, Functions, and Azure Data Factory (preferred).
 · Advanced proficiency in Apache Spark with Python (PySpark).
 · Strong command over SQL, query optimization, and performance tuning.
 · Deep understanding of ETL/ELT methodologies, data pipelines, and scheduling/orchestration.
 · Hands\-on experience with Delta Lake (ACID transactions, optimization, schema evolution).
 · Strong experience in data modelling (normalized, dimensional, lakehouse modelling).
 · Experience in both batch processing and real\-time/streaming data (Kafka, Event Hub, or similar).
 · Solid understanding of data architecture principles, distributed systems, and cloud\-native design patterns.
 · Ability to design end\-to\-end solutions, evaluate trade\-offs, and recommend best\-fit architectures.
 · Strong analytical, problem\-solving, and communication skills.
 · Ability to collaborate with cross\-functional teams and lead technical discussions.
**Preferred Skills:** 
 · Experience with CI/CD tools such as Azure DevOps and Git.
 · Familiarity with IaC tools (Terraform, ARM).
 · Exposure to data governance and cataloging tools (Azure Purview).
 · Experience supporting machine learning or BI workloads on Databricks.
**Thanks \&amp; Kind Regards,** 
**Avinash Pathak** 
**Delta System \&amp; Software, Inc.** 
**Email Id: avinash.pathak@deltassi.biz**</t>
        </is>
      </c>
    </row>
    <row r="27">
      <c r="A27" t="inlineStr">
        <is>
          <t>li-4366162598</t>
        </is>
      </c>
      <c r="B27" t="inlineStr">
        <is>
          <t>Data Engineer 2</t>
        </is>
      </c>
      <c r="C27" t="inlineStr">
        <is>
          <t>Huntington National Bank</t>
        </is>
      </c>
      <c r="D27" t="inlineStr">
        <is>
          <t>linkedin</t>
        </is>
      </c>
      <c r="E27" t="inlineStr"/>
      <c r="F27" t="inlineStr"/>
      <c r="G27" t="inlineStr"/>
      <c r="H27" t="inlineStr"/>
      <c r="I27" t="inlineStr">
        <is>
          <t>**About The Company**
 Huntington Bank is a leading financial services provider committed to delivering innovative banking solutions and exceptional customer service. With a strong presence in the industry, Huntington emphasizes technological advancement, operational excellence, and community engagement. The company values diversity, inclusion, and continuous learning, fostering an environment where employees can thrive and contribute to the organization’s success. As part of its strategic growth, Huntington invests heavily in data\-driven initiatives to enhance decision\-making, customer experience, and operational efficiency.
**About The Role**
 The Data Engineer Lead at Huntington Bank plays a critical role in architecting, developing, and operationalizing data pipelines that support enterprise\-wide data and analytics initiatives. This leadership position involves managing complex data workflows, ensuring data quality, and collaborating with cross\-functional teams including data scientists, business analysts, and data governance teams. The ideal candidate will serve as a technical leader, mentoring team members, and driving innovation in data management practices. The role requires a strategic thinker with a strong technical background, capable of translating business needs into scalable data solutions and ensuring the seamless movement of data into production environments for analytical consumption. The Data Engineer Lead will also be responsible for promoting data governance standards and fostering a culture of data quality and integrity across the organization.
**Qualifications**
* Bachelor's Degree in Computer Science, Statistics, or a related field
* 7\+ years of experience in data management disciplines including data integration, modeling, optimization, and data quality
* 7\+ years of experience with database programming languages and advanced analytics
* Proficiency with data engineering tools and platforms such as AWS Glue, Lambda, Athena, and similar technologies
* Expertise in BI software tools and open\-source data science platforms
* Experience working with large, heterogeneous datasets and designing scalable data pipelines
* Strong understanding of data management architectures and processes
* Hands\-on experience with DevOps practices including version control, automated testing, and release management
* Excellent communication skills, capable of conveying complex technical results to diverse audiences
* Ability to lead cross\-functional teams and mentor junior staff
* Willingness to learn new technologies and adapt to changing project requirements
* Financial services background is preferred
**Responsibilities**
* Architect, develop, and maintain robust data pipelines to support enterprise analytics initiatives
* Assist in renovating data management infrastructure to enhance automation and efficiency in data integration and management
* Collaborate with data science teams and business analysts to refine data requirements and ensure data accessibility for various use cases
* Train and mentor team members and organizational counterparts in data pipelining and data preparation techniques
* Participate in data governance activities, ensuring data content is curated, compliant, and promoted for reuse
* Test and validate data quality to ensure data conforms to business rules, is accurate, complete, and consistent
* Communicate complex technical results effectively to both technical and non\-technical stakeholders
* Lead efforts to design, build, and optimize data pipelines and architectures for large datasets
* Work with stakeholders to understand business needs and translate them into technical solutions
* Monitor emerging technologies and assess their impact on existing data infrastructure
* Provide leadership, coaching, and mentorship to team members, fostering a collaborative and innovative environment
* Ensure timely delivery of data solutions while maintaining high standards of quality and compliance
* Perform other duties as assigned to support organizational goals
**Benefits**
* Competitive salary packages and performance\-based incentives
* Comprehensive health, dental, and vision insurance plans
* Retirement savings options including 401(k) plans with company matching
* Flexible work arrangements, including hybrid and remote options
* Paid time off and holiday leave
* Professional development opportunities, training, and certifications
* Employee wellness programs and resources
* Inclusive and diverse workplace culture
 Equal Opportunity
 Huntington Bank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in accordance with applicable laws.</t>
        </is>
      </c>
    </row>
    <row r="28">
      <c r="A28" t="inlineStr">
        <is>
          <t>li-4321486351</t>
        </is>
      </c>
      <c r="B28" t="inlineStr">
        <is>
          <t>Data Engineer</t>
        </is>
      </c>
      <c r="C28" t="inlineStr">
        <is>
          <t>Haystack</t>
        </is>
      </c>
      <c r="D28" t="inlineStr">
        <is>
          <t>linkedin</t>
        </is>
      </c>
      <c r="E28" t="inlineStr"/>
      <c r="F28" t="inlineStr"/>
      <c r="G28" t="inlineStr"/>
      <c r="H28" t="inlineStr"/>
      <c r="I28" t="inlineStr">
        <is>
          <t>**Data Engineer \| Honolulu, HI \| Remote\-Friendly \| $77,600 \- 176,000** 
 We're working with Booz Allen Hamilton on this exciting opportunity.
 Join Booz Allen Hamilton as a Data Engineer to revolutionize mission\-critical projects using Palantir Foundry. Develop scalable data pipelines, build robust applications with TypeScript and Python, and integrate diverse data sources to drive impactful decisions. Be a part of a team that's shaping the future of data engineering.
**The Role** 
 • Develop and maintain Palantir Foundry pipelines using Pipeline Builder for data ingestion, transformation, and integration.
 • Build modular applications and workflows utilizing TypeScript, Python, and Foundry AIP.
 • Collaborate with data engineers, analysts, and stakeholders to refine data models and ontology mapping.
 • Manage development efforts and version control using Git\-based code repositories.
 • Support testing, debugging, and performance tuning of Foundry applications in an Agile environment.
**What You'll Need** 
 • 2\+ years of hands\-on experience with Palantir Foundry.
 • Proficiency in Python or TypeScript for application development.
 • Experience with Pipeline Builder, AIP, and Foundry's application development ecosystem.
 • Strong understanding of Git\-based code repositories and CI/CD workflows.
 • Ability to thrive in fast\-paced, Agile development environments.
 • Active Secret clearance is required.
**What's On Offer** 
 • Contribute to mission\-critical projects with real\-world impact.
 • Opportunities for continuous learning and professional development.
 • Comprehensive benefits package, including health, life, and disability.
 • Work\-life programs and paid leave to support your well\-being.
**Apply via Haystack today!**</t>
        </is>
      </c>
    </row>
    <row r="29">
      <c r="A29" t="inlineStr">
        <is>
          <t>li-4321497009</t>
        </is>
      </c>
      <c r="B29" t="inlineStr">
        <is>
          <t>Senior Data Engineer - USC/GC only</t>
        </is>
      </c>
      <c r="C29" t="inlineStr">
        <is>
          <t>TechTriad</t>
        </is>
      </c>
      <c r="D29" t="inlineStr">
        <is>
          <t>linkedin</t>
        </is>
      </c>
      <c r="E29" t="inlineStr"/>
      <c r="F29" t="inlineStr"/>
      <c r="G29" t="inlineStr"/>
      <c r="H29" t="inlineStr"/>
      <c r="I29" t="inlineStr">
        <is>
          <t>**Required Qualifications:** 
* Bachelor’s degree or the equivalent in a scientific or quantitative discipline, such as Mathematics, Engineering, Computer Science, Economics, or Physical Sciences
* 5\+ years of experience or equivalent in the data engineering/science field as a programmer, analyst, engineer or scientist.
* Hands\-on development experience using programming languages, ideally Python, with statistical and data visualization libraries, such as pandas and matplotlib.
* Experience with data structures, algorithms and database query languages, such as SQL.
* Familiarity using git code repositories and interactive editors, such as Jupyter notebooks, Sublime or VS Code.
* Familiarity with cloud services for data management and analysis, such as AWS Glue
* Experience managing a variety of large\-scale data sets on Linux, Windows or MacOS.
* Excellent writing and presentation skills
**Desired Qualifications:** 
* Infrastructure as code using Terraform. Building and managing cloud infrastructure primarily AWS, writing reusable Terraform modules and collaborating with DevOps and development teams to support scalable, secure and automated deployments. Understanding of cloud services, version control(Git) and CI/CD practices is essential.
* Any graduate\-level coursework or degree in a scientific or quantitative discipline, with original research work using statistical methods, analytic models, or quantitative techniques.
* Experience with machine learning concepts, algorithms, and tools, such as Amazon SageMaker
* Experience building data visualizations with business intelligence tools, such as AWS QuickSight or Tableau
* Experience developing Web applications with Java, Typescript and/or front\-end UI frameworks, such as React, ideally leveraging real\-time streaming events from Kafka or Amazon Kinesis
* An enthusiasm to learn and to teach others</t>
        </is>
      </c>
    </row>
    <row r="30">
      <c r="A30" t="inlineStr">
        <is>
          <t>li-4318576914</t>
        </is>
      </c>
      <c r="B30" t="inlineStr">
        <is>
          <t>Senior Data Engineer</t>
        </is>
      </c>
      <c r="C30" t="inlineStr">
        <is>
          <t>Patterson Companies, Inc.</t>
        </is>
      </c>
      <c r="D30" t="inlineStr">
        <is>
          <t>linkedin</t>
        </is>
      </c>
      <c r="E30" t="inlineStr"/>
      <c r="F30" t="inlineStr"/>
      <c r="G30" t="inlineStr">
        <is>
          <t>St Paul, MN</t>
        </is>
      </c>
      <c r="H30" t="inlineStr"/>
      <c r="I30" t="inlineStr">
        <is>
          <t>The Senior Data Engineer defines, develops, tests, analyzes, and maintains data and data applications. This includes a comprehensive understanding of the business impact of data and software as well as the technical implications when choosing architectures and technologies. The Senior Data Engineer works as part of a team on a moderately complex product, project or feature domain.
* This role will be Hybrid (2\-days a week in office) and it is required that you are located within 50 miles of our Corporate Offices in either Mendota Heights, MN or Loveland, CO. In\-person attendance is expected to foster collaboration, innovation, and team connection.
**Essential Functions**
 To perform this job successfully, a Senior Data Engineer must be able to perform each essential function satisfactorily, with or without reasonable accommodation. To request reasonable accommodation, notify Human Resources or the manager who oversees the position.
* Collaborate with team members and stakeholders in the conceptualization and development of database and/or application functionality.
* Assist in the research, definition, development, and documentation of deliverables, and specifications in collaboration with team members.
* Monitor, investigate and implement improvements to database design and performance.
* Integrate efficiency and performance during all development activities.
* Test new and existing applications for the purpose of correcting errors and general debugging.
* Participate in defining application and database development plans, including scoping, scheduling, and implementation.
* Deploy database changes through environments to production upon completion of development, testing, and documentation.
* Define and employ best practices for data engineering.
* Mentor/coach and conduct code reviews based on defined best practices.
* Provide data and software support for bugs, issues, and escalated incident tickets from end users to resolve application and software issues.
* Partner with others in resolving problems with software products or company data systems.
* Recommend new technologies, approaches, and best practices.
* Define and enforce best practices for data engineering and software development.
**Additional Functions**
 In addition to the essential functions listed above, the incumbent may perform the following additional functions.
* Participate in regulatory and compliance activities.
**Required Qualifications**
* Bachelor's in Computer Science, Information Systems, a related field or equivalent work experience
* 6\+ years of application development or data science experience with increasingly complex projects.
* Comprehensive understanding of data, development and product life cycles
* Comprehensive understanding of data engineering and industry best practices
* Experience with data modeling, ETL frameworks, and distributed systems.
* Strong leadership, communication, and strategic thinking skills.
* Ability to conduct research into data and database\-related issues and products
* Ability to conduct research into data\-related issues for software products and systems
**Preferred Qualifications**
* Knowledge of programming for different delivery approaches such as on\-premises, web, cloud, and mobile
* Postgres (v12 or later) – 2\+ years
* Microsoft SQL Server
* Familiarity with SAP SQL Anywhere
* Windows operating system – 2\+ years
* Azure ecosystem – 1\+ years
* Azure DevOps (including Git)
* PowerShell or Batch Files
* C\#
* Visual Studio/VS Code
**Working Environment**
* Ability to work remote and be on camera as needed
* Periodic on call rotations and available outside of normal business hours on evenings and weekends during critical production release or issue escalation periods
 The compensation range for this role is below.
 $100,000 \- $120,000
 The potential compensation range for this role is below. The final offer amount would be based on various factors such as candidate location (geographical labor market), experience, and skills. $109,100\.00 \- $136,300\.00</t>
        </is>
      </c>
    </row>
    <row r="31">
      <c r="A31" t="inlineStr">
        <is>
          <t>li-4365827604</t>
        </is>
      </c>
      <c r="B31" t="inlineStr">
        <is>
          <t>Data Engineer</t>
        </is>
      </c>
      <c r="C31" t="inlineStr">
        <is>
          <t>Haystack</t>
        </is>
      </c>
      <c r="D31" t="inlineStr">
        <is>
          <t>linkedin</t>
        </is>
      </c>
      <c r="E31" t="inlineStr"/>
      <c r="F31" t="inlineStr"/>
      <c r="G31" t="inlineStr"/>
      <c r="H31" t="inlineStr"/>
      <c r="I31" t="inlineStr">
        <is>
          <t>**Data Engineer \| Alexandria, VA \| Remote\-Friendly \| $112,800 \- $257,000** 
 We're working with Booz Allen Hamilton on this exciting opportunity.
 Are you a seasoned Data Engineer with a passion for national security? Join a leading team to drive innovative data solutions for critical defense missions. Leverage your expertise in data architecture, machine learning, and full\-stack development to build and secure cutting\-edge systems that keep our nation safe.
**The Role** 
 • Lead a team to improve, modify, and re\-engineer business processes and policies.
 • Develop and deliver enterprise data architecture strategies, including data modeling and design.
 • Support the identification of disparate data sources and data sharing requirements.
 • Identify, recommend, and implement AI/ML technologies to enhance data management and analysis.
 • Provide advanced technical knowledge and analysis of specialized applications and operational environments.
**What You'll Need** 
 • 10\+ years of experience in data science or data engineering.
 • 3\+ years of experience designing and deploying full\-stack web services environments (NIPR, SIPR, JWICS).
 • TS/SCI clearance is required.
 • Bachelor's degree.
 • Strong analytical and problem\-solving skills with a focus on national security.
**What's On Offer** 
 • Comprehensive benefits package including health, life, disability, and retirement plans.
 • Opportunity for professional development and tuition assistance.
 • Recognition awards program for exceptional performance.
 • Flexible work model with remote options.
**Apply via Haystack today!**</t>
        </is>
      </c>
    </row>
    <row r="32">
      <c r="A32" t="inlineStr">
        <is>
          <t>li-4321496168</t>
        </is>
      </c>
      <c r="B32" t="inlineStr">
        <is>
          <t>Data Engineer</t>
        </is>
      </c>
      <c r="C32" t="inlineStr">
        <is>
          <t>Haystack</t>
        </is>
      </c>
      <c r="D32" t="inlineStr">
        <is>
          <t>linkedin</t>
        </is>
      </c>
      <c r="E32" t="inlineStr"/>
      <c r="F32" t="inlineStr"/>
      <c r="G32" t="inlineStr"/>
      <c r="H32" t="inlineStr"/>
      <c r="I32" t="inlineStr">
        <is>
          <t>**Data Engineer \| Alexandria, VA \| Remote\-Friendly \| $112,800 \- $257,000** 
 We're working with Booz Allen Hamilton on this exciting opportunity.
 Are you a seasoned Data Engineer with a passion for national security? Join a leading team to drive innovative data solutions for critical defense missions. Leverage your expertise in data architecture, machine learning, and full\-stack development to build and secure cutting\-edge systems that keep our nation safe.
**The Role** 
 • Lead a team to improve, modify, and re\-engineer business processes and policies.
 • Develop and deliver enterprise data architecture strategies, including data modeling and design.
 • Support the identification of disparate data sources and data sharing requirements.
 • Identify, recommend, and implement AI/ML technologies to enhance data management and analysis.
 • Provide advanced technical knowledge and analysis of specialized applications and operational environments.
**What You'll Need** 
 • 10\+ years of experience in data science or data engineering.
 • 3\+ years of experience designing and deploying full\-stack web services environments (NIPR, SIPR, JWICS).
 • TS/SCI clearance is required.
 • Bachelor's degree.
 • Strong analytical and problem\-solving skills with a focus on national security.
**What's On Offer** 
 • Comprehensive benefits package including health, life, disability, and retirement plans.
 • Opportunity for professional development and tuition assistance.
 • Recognition awards program for exceptional performance.
 • Flexible work model with remote options.
**Apply via Haystack today!**</t>
        </is>
      </c>
    </row>
    <row r="33">
      <c r="A33" t="inlineStr">
        <is>
          <t>li-4302862312</t>
        </is>
      </c>
      <c r="B33" t="inlineStr">
        <is>
          <t>Staff Data Engineer, Compliance Engineering &amp; Technology</t>
        </is>
      </c>
      <c r="C33" t="inlineStr">
        <is>
          <t>Block</t>
        </is>
      </c>
      <c r="D33" t="inlineStr">
        <is>
          <t>linkedin</t>
        </is>
      </c>
      <c r="E33" t="inlineStr"/>
      <c r="F33" t="inlineStr"/>
      <c r="G33" t="inlineStr"/>
      <c r="H33" t="inlineStr"/>
      <c r="I33"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Compliance Engineering \&amp; Technology (CET)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You will report to the CET \- Screening Engineering Manager, but work predominately alongside the CET \- Data Engineering team. As a Data Engineer you will handle everything from data architecture and modeling to data pipeline tooling and dashboarding. You will enable other compliance teams to make impactful business decisions by laying the foundation of our large and unique datasets that span across multiple products. As a staff engineer, you will be helping bring the organization into a new level of consistency, helping create and evangelize best practices and standards for the wider organization.
**You Will**
* Stay up to date on the latest data engineering best practices, decide which are most applicable for our use cases, and guide and teach the data engineering team the relevant tools.
* Create scalable patterns and solutions that help our team design, develop, and manage scalable ETL pipelines to unblock new product launches.
* Lead the creation and optimization of existing data models and schemas on top of Block data including but not limited to eventing, customer level, and process level data.
* Build monitoring to assess the health of the team’s infrastructure as well as data quality and lineage.
* Participate in the data engineering team’s on\-call rotation: monitor daily execution, diagnose and log issues, and fix business critical pipelines to ensure SLAs are met with internal stakeholders
* Work with non\-technical partners and product teams to understand their needs, translate business requirements into applicable data requirements, and come up with automated end\-to\-end solutions.
* Standardize business and product metric definitions in curated and optimized datasets, and develop data dictionaries and other related documentation.
* Teach and encourage software engineer teams to self\-serve by building tools that make it simpler and faster for them to do so.
**You Have**
* A minimum of 12 years of related experience with a Bachelor’s degree; or 10 years and a Master’s degree; or equivalent experience.
* High proficiency in SQL
* Working experience with Python
* Databrick experience
* Experience designing medium\-to\-large data engineering solutions and responsible for the entire lifecycle of projects including scoping, design, development, testing, deployment, and documentation
* Experience with ETL scheduling technologies with dependency checking, such as Airflow or Prefect, as well as schema design and dimensional data modeling
* Experience with setting up data quality and data lineage monitoring
* Experience with financial crimes compliance systems, technologies, and processes is a big plus
* Experience driving decisions for AI initiatives / agent building is a big plus
**Technologies We Use and Teach**
* Snowflake
* Terraform
* Dbt
* Github
* Airflow
* Prefect
* Tableau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$239,600—$359,400 USD
**Zone B**
 $239,600—$359,400 USD
**Zone C**
 $239,600—$359,400 USD
**Zone D**
 $239,600—$359,400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34">
      <c r="A34" t="inlineStr">
        <is>
          <t>li-4303134441</t>
        </is>
      </c>
      <c r="B34" t="inlineStr">
        <is>
          <t>Data Engineer - FIC Technology</t>
        </is>
      </c>
      <c r="C34" t="inlineStr">
        <is>
          <t>Millennium</t>
        </is>
      </c>
      <c r="D34" t="inlineStr">
        <is>
          <t>linkedin</t>
        </is>
      </c>
      <c r="E34" t="inlineStr"/>
      <c r="F34" t="inlineStr"/>
      <c r="G34" t="inlineStr">
        <is>
          <t>New York, NY</t>
        </is>
      </c>
      <c r="H34" t="inlineStr"/>
      <c r="I34" t="inlineStr">
        <is>
          <t>The Fixed Income \&amp; Commodities Data team is looking for a Data Engineer that will work on the acquisition, accessibility, normalizing, and cataloging of large sets of data.
**Responsibilities**
* Create and maintain optimal data pipeline architecture
* Extraction, transformation, and loading of data from a wide variety of data sources using Python and SQL
* Providing users access to datasets using REST and Python APIs
* Categorizing, cataloging, cleansing and normalizing of datasets
* Communicating with business users and technology stakeholders.
**Required Skills/experience**
* Bachelor’s degree in Computer Science or a related field
* 5\+ years of professional experience with python data engineering
* Python and data analysis libraries (Pandas, NumPy, SciPy)
* Relational SQL database development
* Unix/Linux command\-line experience
**Desirable Skills/experience**
* Object\-oriented languages: Java, C\+\+, etc.
* AWS cloud services: EC2, RDS, Athena, Lambda, etc.
* RDBMS: SQL Server and PostgreSQL
* Identity and Access Management: Kerberos, OAuth 2\.0, LDAP
* Other: Apache HTTP Server, Kafka, Snowflake
* Broad understanding of fixed income, derivatives, futures, FX, or other financial\-services instruments
**Other Qualifications**
* Excellent listening, and communication (both oral and written) skills.
* Self\-starter and critical thinker, takes ownership of own projects and makes improvement suggestions for the entire infrastructure.
* Proactive, assertive and attentive to details working independently and in a collaborative environment.
* Ability to handle several projects with different priorities at the same time in a fast\-paced environment.
* Excellent self\-management and problem\-solving skills and a quick learner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35">
      <c r="A35" t="inlineStr">
        <is>
          <t>li-4363475851</t>
        </is>
      </c>
      <c r="B35" t="inlineStr">
        <is>
          <t>SSIS Data Engineer (no C2C or subcontractors) #991362</t>
        </is>
      </c>
      <c r="C35" t="inlineStr">
        <is>
          <t>Dexian IT Solutions</t>
        </is>
      </c>
      <c r="D35" t="inlineStr">
        <is>
          <t>linkedin</t>
        </is>
      </c>
      <c r="E35" t="inlineStr"/>
      <c r="F35" t="inlineStr"/>
      <c r="G35" t="inlineStr">
        <is>
          <t>Milwaukee, WI</t>
        </is>
      </c>
      <c r="H35" t="inlineStr"/>
      <c r="I35" t="inlineStr">
        <is>
          <t>**Experienced Data Integration Engineer**
* **Summary:** 
 Mid or Senior level experience data modeler and designer with good data analytics experience.
* **Duration** 
 – 1Year \+ extension
* **Temporary hourly rate** 
 : $65\-$75/hr W2 \+benefits
* **Location** 
 – Currently working in a hybrid setting in downtown Milwaukee. Working 3 days in the office and 2 days remotely.
**RESPONSIBILITIES:** 
* Owns delivery of hybrid data pipelines
* Develops and maintains complex stored procedures, views, and functions
* Builds and schedules SSIS packages for ETL
* Integrates on\-prem data sources with cloud securely and efficiently
* **Implements Snowflake best practices** 
 for performance, cost, and security
* Provides technical guidance to junior engineers
* Contributes to documentation and knowledge sharing
* Monitors and optimizes pipeline performance
* Builds and orchestrates batch and incremental workflows
**TECHNICAL PROFILE:** 
* 5 years of experience in Data Integration / Business Intelligence in a complex environment working with SSIS
* Proficient in Data Integration and Business Intelligence tools and concepts such as:
 \*ETL, EL\-T, Data Warehousing, event\-based processing
 \*Data mapping, data profiling, relational data modeling, dimensional data modeling
 \*Relational (3NF) and dimensional data sets matching business needs
 \*Processing flat files, fixed\-width, csv, json, xml, api’s, message queues
 \*Business Intelligence tools such as: Alteryx, Microsoft Power BI, SSRS, and SSAS
 \*APIs and C\# coding. (would be a plus)
**Qualities needed for Data role:** 
* Good communicator who wants to work in a team environment, comfortable working collaboratively with peers
* Analytical – not afraid to dive into complex code and data to troubleshoot issues
* Creative problem solver who is automation focused – we’re looking to not have recurring work come back to us, but to better automate or teach/train users for self service
* Motivated by small quick wins and process improvement
* Comfortable working in an agile environment.
* Data Query tools: SQL, T\-SQL
* Data Management and Quality: data mapping, data profiling, relational data modeling, dimensional data modeling
* Building and loading relational (3NF) and dimensional data sets matching business needs
* Familiarity with processing flat files, fixed\-width, csv, json, xml, api’s, message queues
**Benefits to joining this team:** 
* Information technology is a core part of this firm's business strategy and plays a critical role in the growth and transformation of the firm.
* Fortune 100 and Computer World Best Company to Work For with a collaborative culture that values diverse backgrounds and perspectives while emphasizing teamwork and a strong sense of partnership.
* Ability to use a breadth of technology to positively impact the technology experience for all Baird associates.
* Great team atmosphere with long\-term growth opportunity.
* Support and flexibility to grow and be your best at work, at home, and in the community.</t>
        </is>
      </c>
    </row>
    <row r="36">
      <c r="A36" t="inlineStr">
        <is>
          <t>li-4366172592</t>
        </is>
      </c>
      <c r="B36" t="inlineStr">
        <is>
          <t>Lead Data Engineer</t>
        </is>
      </c>
      <c r="C36" t="inlineStr">
        <is>
          <t>Harnham</t>
        </is>
      </c>
      <c r="D36" t="inlineStr">
        <is>
          <t>linkedin</t>
        </is>
      </c>
      <c r="E36" t="inlineStr"/>
      <c r="F36" t="inlineStr"/>
      <c r="G36" t="inlineStr"/>
      <c r="H36" t="inlineStr"/>
      <c r="I36" t="inlineStr">
        <is>
          <t>🚀
 **Lead Data Engineer** 
**Hybrid\- 3 Days Onsite\- Houston OR Dallas, TX** 
**150\-180K Plus Bonus.** 
 We’re looking for a
 **Lead Data Engineer** 
 to help design, build, and scale a modern enterprise data platform on AWS. This is a hands\-on role for someone who enjoys solving complex data problems, building high\-performance pipelines, and shaping how data is used across an organization.
 You’ll work on large\-scale data systems that integrate multiple enterprise sources to deliver trusted, production\-grade data products that power analytics, reporting, and decision\-making.
 What You’ll Do
* Build and optimize scalable data pipelines and platforms on AWS (S3, Glue, Redshift, EMR/Spark, Athena, Lambda).
* Lead technical design and delivery of major data initiatives from concept through production.
* Partner closely with architects, analytics teams, and business stakeholders to turn requirements into reliable data assets.
* Implement modern ELT/ETL frameworks with orchestration, CI/CD, testing, and monitoring.
* Drive data quality, performance, security, and cost optimization across the platform.
* Establish engineering best practices through design and code reviews and technical standards.
 What We’re Looking For
* 8\+ years of experience in data engineering, including experience leading enterprise\-scale solutions.
* Deep expertise in AWS data services and cloud\-native architectures.
* Strong skills in Python, PySpark/Scala, and advanced SQL.
* Proven experience building data lakes, lakehouse platforms, and cloud data warehouses.
* Hands\-on experience with orchestration tools (Airflow, Step Functions) and modern DevOps practices.
* Strong communicator who can bridge technical and business teams.
 Nice to Have
* Experience with Apache Iceberg and modern table formats.
* Background in data governance, enterprise integrations, or ML\-enabled data platforms.
* AWS certifications.</t>
        </is>
      </c>
    </row>
    <row r="37">
      <c r="A37" t="inlineStr">
        <is>
          <t>li-4366167960</t>
        </is>
      </c>
      <c r="B37" t="inlineStr">
        <is>
          <t>Senior Software Developer PHP - Data Engineer, Virtual</t>
        </is>
      </c>
      <c r="C37" t="inlineStr">
        <is>
          <t>Providence</t>
        </is>
      </c>
      <c r="D37" t="inlineStr">
        <is>
          <t>linkedin</t>
        </is>
      </c>
      <c r="E37" t="inlineStr"/>
      <c r="F37" t="inlineStr"/>
      <c r="G37" t="inlineStr">
        <is>
          <t>Beaverton, OR</t>
        </is>
      </c>
      <c r="H37" t="inlineStr"/>
      <c r="I37"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row r="38">
      <c r="A38" t="inlineStr">
        <is>
          <t>li-4366188070</t>
        </is>
      </c>
      <c r="B38" t="inlineStr">
        <is>
          <t>Senior Software Developer PHP - Data Engineer, Virtual</t>
        </is>
      </c>
      <c r="C38" t="inlineStr">
        <is>
          <t>Providence</t>
        </is>
      </c>
      <c r="D38" t="inlineStr">
        <is>
          <t>linkedin</t>
        </is>
      </c>
      <c r="E38" t="inlineStr"/>
      <c r="F38" t="inlineStr"/>
      <c r="G38" t="inlineStr">
        <is>
          <t>Oregon, United States</t>
        </is>
      </c>
      <c r="H38" t="inlineStr"/>
      <c r="I38"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row r="39">
      <c r="A39" t="inlineStr">
        <is>
          <t>li-4366181710</t>
        </is>
      </c>
      <c r="B39" t="inlineStr">
        <is>
          <t>Senior Software Developer PHP - Data Engineer, Virtual</t>
        </is>
      </c>
      <c r="C39" t="inlineStr">
        <is>
          <t>Providence</t>
        </is>
      </c>
      <c r="D39" t="inlineStr">
        <is>
          <t>linkedin</t>
        </is>
      </c>
      <c r="E39" t="inlineStr"/>
      <c r="F39" t="inlineStr"/>
      <c r="G39" t="inlineStr">
        <is>
          <t>Washington, United States</t>
        </is>
      </c>
      <c r="H39" t="inlineStr"/>
      <c r="I39"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row r="40">
      <c r="A40" t="inlineStr">
        <is>
          <t>li-4346691363</t>
        </is>
      </c>
      <c r="B40" t="inlineStr">
        <is>
          <t>Senior/Staff Data Engineer (Fintech team) (Bangkok based, relocation provided)</t>
        </is>
      </c>
      <c r="C40" t="inlineStr">
        <is>
          <t>Agoda</t>
        </is>
      </c>
      <c r="D40" t="inlineStr">
        <is>
          <t>linkedin</t>
        </is>
      </c>
      <c r="E40" t="inlineStr"/>
      <c r="F40" t="inlineStr"/>
      <c r="G40" t="inlineStr">
        <is>
          <t>Houston, TX</t>
        </is>
      </c>
      <c r="H40" t="inlineStr"/>
      <c r="I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1">
      <c r="A41" t="inlineStr">
        <is>
          <t>li-4366200348</t>
        </is>
      </c>
      <c r="B41" t="inlineStr">
        <is>
          <t>Senior AI Data Engineer</t>
        </is>
      </c>
      <c r="C41" t="inlineStr">
        <is>
          <t>OPPO</t>
        </is>
      </c>
      <c r="D41" t="inlineStr">
        <is>
          <t>linkedin</t>
        </is>
      </c>
      <c r="E41">
        <f>HYPERLINK("https://www.linkedin.com/jobs/view/4366200348", "https://www.linkedin.com/jobs/view/4366200348")</f>
        <v/>
      </c>
      <c r="F41" t="inlineStr"/>
      <c r="G41" t="inlineStr">
        <is>
          <t>Palo Alto, CA</t>
        </is>
      </c>
      <c r="H41" t="inlineStr"/>
      <c r="I41" t="inlineStr">
        <is>
          <t>We are seeking a forward\-thinking AI Data Engineer to bridge the gap between our user data assets and advanced AI capabilities. In this role, you will be the architect of our user data foundation, building a robust data warehouse and a dynamic tagging system. Crucially, you will leverage this data to integrate with third\-party Large Language Models (LLMs), enabling intelligent, data\-driven interactions and next\-generation user experiences.
**Key Responsibilities**
* User Data Warehouse Construction \&amp; Architecture
* Design, build, and maintain a scalable User Data Warehouse to consolidate data from fragmented sources
* Design efficient data models to support high\-performance querying and analytics
* Implement ETL/ELT pipelines to ensure real\-time or near\-real\-time data availability and quality
* Data Tagging \&amp; Profile System (User 360\)
* Establish a comprehensive User Tagging/Labeling System (User Portrait)
* Develop algorithms to generate static, behavioral, and predictive tags to accurately segment users
* Ensure the tagging system is dynamic and can update in real\-time to reflect the latest user interactions
* LLM Integration \&amp; Data Intelligence
* Lead the integration of Large Language Models with our internal data
* Design and implement RAG (Retrieval\-Augmented Generation) pipelines to feed structured user profile data and tags into LLMs for personalized outputs
* Intelligent Interaction Development
* Develop APIs and middleware that allow downstream applications to interact with data using natural language
* Optimize the "Data\-to\-AI" loop: ensure the LLM understands the context of the user data to provide accurate, hallucination\-free responses
* Monitor token usage, latency, and response quality of the AI interactions
**Requirements**
* Education: Master's degree in Computer Science, Data Engineering, Artificial Intelligence, or a related field
* Experience: 3\-5\+ years of experience in Data Engineering or Backend Development with a focus on data
* Data Stack:
* Proficiency in SQL and Python/Java/Scala
* Hands\-on experience with Data Warehouses (e.g. Snowflake, BigQuery, ClickHouse) and Big Data frameworks (Spark, Flink)
* Familiar with message middleware (Kafka) and containerization (Docker)
* User Data Experience: Proven experience in building CDP (Customer Data Platform), DMP, or User Profile/Tagging systems
* AI/LLM Skills:
* Experience interacting with LLM APIs (OpenAI, etc.) and inference optimization (vLLM)
* Familiarity with frameworks like LangChain, LlamaIndex, or Haystack
* Understanding of Embedding, vector databases (FAISS, Milvus), and RAG architecture
* Soft Skills: Strong problem\-solving abilities and the ability to translate business needs into technical data requirements
**Preferred Skills (Nice To Haves)**
* Experience with Prompt Engineering and optimizing context windows for efficient data feeding
* Knowledge of Knowledge Graphs (Neo4j, NebulaGraph) and how to combine them with LLMs
* Experience in model fine\-tuning (SFT, RLHF)
* Familiarity with privacy regulations (GDPR/CCPA) regarding user data and AI
* Experience with mature launched projects serving a large user base on cloud platforms (AWS, etc.)
**Benefits**
 OPPO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The US base salary range for this full\-time position is $100,000\-$300,000 \+ bonus \+ long term incentives benefits. Our salary ranges are determined by role, level, and location.</t>
        </is>
      </c>
    </row>
    <row r="42">
      <c r="A42" t="inlineStr">
        <is>
          <t>li-4366240222</t>
        </is>
      </c>
      <c r="B42" t="inlineStr">
        <is>
          <t>Analytics Engineer, Finance</t>
        </is>
      </c>
      <c r="C42" t="inlineStr">
        <is>
          <t>Counterpart</t>
        </is>
      </c>
      <c r="D42" t="inlineStr">
        <is>
          <t>linkedin</t>
        </is>
      </c>
      <c r="E42">
        <f>HYPERLINK("https://www.linkedin.com/jobs/view/4366240222", "https://www.linkedin.com/jobs/view/4366240222")</f>
        <v/>
      </c>
      <c r="F42" t="inlineStr"/>
      <c r="G42" t="inlineStr"/>
      <c r="H42" t="inlineStr"/>
      <c r="I42" t="inlineStr">
        <is>
          <t>**JOB DESCRIPTION**
**Analytics Engineer, Finance**
 Counterpart is a modern management \&amp; professional liability insurance platform for the 21st century workplace. We offer products and services to help companies align the risks and incentives of creating great organizations. Our platform is designed to measure risk more efficiently using the most advanced rating system in the industry, while also proactively mitigating the risks of our insureds. Ultimately, we provide businesses with the framework to be the best versions of themselves. That's where you come in.
 As an Analytics Engineer, you will be a prolific individual contributor to our pipelines, tables, and data models that enable analytics and reporting to the rest of the organization. You will help bridge the gap between Data Engineering, the broader Data \&amp; Analytics team, and the rest of the business by leveraging both your technical expertise and understanding of business goals.
**YOUR SPECIFIC TASKS INCLUDE:**
* Building and managing reporting data models and infrastructure in Snowflake and related ETL / data engineering tools
* Building basic reports for with a focus on finance (as well as underwriting, data entry/operations, claims) in Looker
* Training team members on how to leverage and/ update data models as necessary
* Building automation related to reporting, such as monthly bordereaux (monthly reports sent to carriers)
* Supporting the integration and production of new data sources in a manner that minimizes development cycles while maximizing potential business applications
* Building and maintaining relevant documentation and data dictionaries for the organization to ensure scalable knowledge
**WE LOOK FOR TEAMMATES WHO HAVE:**
* Bachelor/Master in a quantitative discipline (computer science, actuarial science, mathematics, statistics, economics, physics, engineering, or related field).
* Experience with a modern (JSON\-heavy) data warehouse and version control (e.g. Git)
* Experience building and maintaining scalable data models, including relevant documentation and training
* Experience with insurance finance/accounting, ideally with premium calculations
* Experience with various business intelligence tools (Looker, Tableau, PowerBI)
* Excellent communication skills and ability to translate messages depending on the stakeholder
* Python \+ SQL need to have some projects using both
* Attention to detail and curiosity related to data
* Strong theoretical knowledge but pragmatic focus on action
**WHO YOU WILL WORK WITH:**
* **Stanley Wang, Director, Pricing Analytics:** 
 Before joining Counterpart, Stanley worked as an actuary within the pricing solutions and methods team at USAA to combine actuarial pricing with data science models. Before that, he was a leading data scientist for Digital Partners, a Munich Re Company where he specialized in building data science models and insights for leading insurtech companies. He has had many other relevant roles such as capital modeling, risk management etc. He lives in New York with his growing family.
* **Tobias Schuler, Head of Data \&amp; Analytics Advisor:** 
 Tobias was previously the Head of Data and Analytics at Digital Partners, a Munich Re company. Tobias led a team that built out data integrations, business intelligence and advanced analytics across all insurtech partners spanning various P\&amp;C lines of businesses. Tobias is also a FCAS and has built systems to enable leading class insights for underwriting, actuarial, claims and finance experts while focusing on democratizing data. He enjoys traveling internationally and spending time with his 2 young daughters.
* **Chris Shafer, Special Projects** 
 : Chris is a published scientific author, having studied the neural correlates of gratitude at the lauded Brain and Creativity Institute. He has since helped to launch numerous businesses in which he held a variety of critical roles from product management to business operations to strategic partnerships. Chris received his bachelor's degree in Biological Sciences from the University of Southern California.
* **Newton Truong, Engineering Manager:** 
 Newton joins Counterpart with 7\+ years of experience in platform and data engineering. In his last company Thrive Market, he had a hand in building out new microservices and architecting data pipelines with Airflow and Spark. He's vegetarian and loves trying new restaurants when traveling. Nowadays he's busy keeping up with his 2\-year\-old and doing outdoor activities with his family.
**WHAT WE OFFER**
* **Unlimited Vacation** 
 : We offer flexible time off, allowing you to take time when you need it.
* **Work from Anywhere** 
 : Counterpart is a fully distributed company, meaning there is no office. We allow employees to work from wherever they do their best work, and invite the team to meet in person a couple times per year.
* **Stock Options**
* **Health, Dental, and Vision Coverage**
* **401(k) Retirement Plan**
* **Parental Leave**
* **Home Office Allowance** 
 : to set up your home office with the necessary equipment and accessories.
* **Book stipend**
* **Professional Development Reimbursement**
* **No working birthdays** 
 : Take your birthday off, giving you the opportunity to relax, enjoy your special day, and spend time with loved ones.
* **Charitable Contribution Matching**
**COUNTERPART'S VALUES**
* **Conjoin Expectations** 
 \- it is the cornerstone of autonomy. Ensure you are aware of what is expected of you and clearly articulate what you expect of others.
* **Speak Boldly \&amp; Honestly** 
 \- the only failure is not learning from mistakes. Don't cheat yourself and your colleagues of the feedback needed when expectations aren't being met.
* **Be Entrepreneurial** 
 \- control your own destiny. Embrace action over perfection while navigating any obstacles that stand in the way of your ultimate goal.
* **Practice Omotenashi** 
 ("selfless hospitality") \- trust will follow. Consider every interaction with internal and external partners an opportunity to develop trust by going above and beyond what is expected.
* **Hold Nothing As Sacred** 
 \- create routines but modify them routinely. Take the time to reflect on where the business is today, where it needs to go, and what you have to change in order to get there.
* **Prioritize Wellness** 
 \- some things should never be sacrificed. We create an environment that stretches everyone to grow and improve, which is fulfilling, but is only one part of a meaningful life.
 Our estimated pay range for this role is $110,000 to $150,000\. Base salary is determined by a variety of factors, including but not limited to, market data, location, internal equitability, and experience.
 We are committed to being a welcoming and inclusive workplace for everyone, and we are intentional about making sure people feel respected, supported and connected at work—regardless of who you are or where you come from. We value and celebrate our differences and we believe being open about who we are allows us to do the best work of our lives.
 We are an Equal Opportunity Employer. We do not discriminate against qualified applicants or employees on the basis of race, color, religion, gender identity, sex, sexual preference, sexual identity, pregnancy, national origin, ancestry, citizenship, age, marital status, physical disability, mental disability, medical condition, military status, or any other characteristic protected by federal, state, or local law, rule, or regulation.</t>
        </is>
      </c>
    </row>
    <row r="43">
      <c r="A43" t="inlineStr">
        <is>
          <t>li-4366209440</t>
        </is>
      </c>
      <c r="B43" t="inlineStr">
        <is>
          <t>Data Engineer</t>
        </is>
      </c>
      <c r="C43" t="inlineStr">
        <is>
          <t>Ford Motor Company</t>
        </is>
      </c>
      <c r="D43" t="inlineStr">
        <is>
          <t>linkedin</t>
        </is>
      </c>
      <c r="E43">
        <f>HYPERLINK("https://www.linkedin.com/jobs/view/4366209440", "https://www.linkedin.com/jobs/view/4366209440")</f>
        <v/>
      </c>
      <c r="F43" t="inlineStr"/>
      <c r="G43" t="inlineStr">
        <is>
          <t>Dearborn, MI</t>
        </is>
      </c>
      <c r="H43" t="inlineStr"/>
      <c r="I43" t="inlineStr">
        <is>
          <t>**Job Description**
 Senior Data Engineer – GCP Platform We’re seeking a hands\-on Senior Data Engineer with 7\+ years in data engineering and 10\+ years in IT to design, build, and operate scalable, enterprise\-grade data platforms on Google Cloud Platform. You will own end\-to\-end data pipelines (ETL/ELT) delivering analytics\-ready data in BigQuery, implement and drive data governance, quality, and observability. You’ll lead cross\-functional teams, collaborate with analytics and product stakeholders, and optimize cost and reliability through IaC (Terraform) and CI/CD, using orchestration (Airflow/Astronomer or Schedule Query) and modern BI/observability tools to deliver actionable insights from telemetry and other enterprise data.
**Responsibilities**
 Key Responsibilities
* Design and implement end\-to\-end data pipelines (ETL/ELT) that ingest, process, and curate large\-scale enterprise data, including telemetry/vehicle data and other structured/unstructured sources.
* Migrate and modernize data assets to a centralized data platform (e.g., BigQuery) using principled data lake/warehouse architectures (Bronze/Silver/Gold or Medallion architecture) to power analytics and reporting.
* Architect scalable data models and data warehouses, optimizing for query performance, maintainability, and cost efficiency.
* Develop and operate robust orchestration pipelines using Airflow/Astronomer or Schedule Query, with secure, reproducible CI/CD workflows (Terraform \+ Git).
* Build and maintain reliable data quality checks, lineage, and monitoring with observability tools (e.g., Splunk, Looker/Grafana/Tableau/Power BI dashboards) to rapidly detect and resolve data issues.
* Implement data governance, security, and compliance controls (data lineage, access controls, PII/PHI protection) in collaboration with security and privacy teams.
* Lead the design and delivery of analytics\-ready data assets for cross\-functional teams, including dashboards, alerts, and self\-service analytics.
* Mentor and coach junior engineers, review code, and drive best practices in data engineering, testing, and documentation.
* Collaborate with data scientists, product managers, and business stakeholders to translate requirements into scalable data solutions and timely insights.
* Monitor cost and capacity planning for cloud resources; optimize storage and compute usage across GCP services (BigQuery, Dataflow, Dataproc, GCS).
* Participate in on\-call rotations and incident response to maintain high availability of data services.
**Qualifications**
**You'll have...**
* Bachelor's Degree and/or equivalent education and experience
* 7\+ years of experience in data engineering, data platforms, or a similar role.
* 4\+ years of hands\-on experience with Google Cloud Platform (BigQuery, Cloud Storage, Dataflow, Dataproc; Schedule Query or equivalent scheduling/orchestration).
* 4\+ years experience in Python and SQL; strong experience with PySpark is a plus.
* 4\+ years experience with ETL/ELT design, data modeling, data warehousing, and data governance.
**Even better, you may have...**
* Practical experience building and operating data pipelines with orchestration tools (Airflow/Astronomer; Schedule Query).
* Experience with infrastructure\-as\-code and CI/CD (Terraform, Git, and related tooling).
* Demonstrated ability to design and implement analytics\-ready data assets and dashboards; familiarity with BI tools (Looker, Tableau, Power BI, Grafana) for monitoring and reporting.
* Strong communication skills and ability to work effectively with cross\-functional teams (engineering, analytics, product, security).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6 and ranges from $83,280\-139,680\. This position is a salary grade 7 and ranges from $97,140\-162,540\.
 For more information on salary and benefits, click here: https://fordcareers.co/GSR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will be required to be onsite four or more days per week.</t>
        </is>
      </c>
    </row>
    <row r="44">
      <c r="A44" t="inlineStr">
        <is>
          <t>li-4355688775</t>
        </is>
      </c>
      <c r="B44" t="inlineStr">
        <is>
          <t>Analytics Engineer</t>
        </is>
      </c>
      <c r="C44" t="inlineStr">
        <is>
          <t>Paycom</t>
        </is>
      </c>
      <c r="D44" t="inlineStr">
        <is>
          <t>linkedin</t>
        </is>
      </c>
      <c r="E44">
        <f>HYPERLINK("https://www.linkedin.com/jobs/view/4355688775", "https://www.linkedin.com/jobs/view/4355688775")</f>
        <v/>
      </c>
      <c r="F44">
        <f>HYPERLINK("https://pc00.paycomonline.com/v4/ats/web.php/jobs/ViewJobDetails?job=492628&amp;clientkey=4F36CC2A0D477D971AED20CF5E524699&amp;source=LinkedIn&amp;urlHash=P0DX", "https://pc00.paycomonline.com/v4/ats/web.php/jobs/ViewJobDetails?job=492628&amp;clientkey=4F36CC2A0D477D971AED20CF5E524699&amp;source=LinkedIn&amp;urlHash=P0DX")</f>
        <v/>
      </c>
      <c r="G44" t="inlineStr">
        <is>
          <t>Grapevine, TX</t>
        </is>
      </c>
      <c r="H44" t="inlineStr"/>
      <c r="I44" t="inlineStr">
        <is>
          <t>Paycom is seeking a highly skilled and self\-motivated Data Analyst to join our team, responsible for transforming complex data into actionable insights that drive business growth and inform strategic decision\-making. As a Data Analyst, you will design, build, and maintain large\-scale data pipelines, develop predictive models, and apply AI and machine learning techniques to uncover trends, patterns, and anomalies. You will collaborate with cross\-functional teams to deliver data\-driven solutions, communicate findings to stakeholders, and drive business outcomes through data\-driven decision support. If you have a passion for data analysis, a talent for storytelling with data, and experience working with cutting\-edge technologies, we encourage you to apply for this exciting opportunity.
**Responsibilities**
* Build data pipelines following the most optimum industry standards
* Build forecasting models to understand user behavior and user retention
* Clean and preprocess data to ensure accuracy and consistency
* Automate workflows and data processing tasks
* Perform exploratory data analysis to uncover trends, patterns, and anomalies
* Apply AI and machine learning techniques to derive insights from complex datasets
* Create visually appealing and interactive dashboards, reports, and presentations
* Communicate findings and recommendations to stakeholders using data visualization tools
* Collaborate with cross\-functional teams to design and deliver actionable insights
* Identify and address data quality issues and discrepancies
* Implement data quality controls and monitoring mechanisms
* Partner with business units to define key performance indicators (KPIs) and metrics
* Analyze business processes and operations to identify opportunities for improvement
* Provide decision support through ad\-hoc analysis and scenario modeling.</t>
        </is>
      </c>
    </row>
    <row r="45">
      <c r="A45" t="inlineStr">
        <is>
          <t>li-4355769775</t>
        </is>
      </c>
      <c r="B45" t="inlineStr">
        <is>
          <t>Senior Analytics Engineer</t>
        </is>
      </c>
      <c r="C45" t="inlineStr">
        <is>
          <t>Upstart</t>
        </is>
      </c>
      <c r="D45" t="inlineStr">
        <is>
          <t>linkedin</t>
        </is>
      </c>
      <c r="E45">
        <f>HYPERLINK("https://www.linkedin.com/jobs/view/4355769775", "https://www.linkedin.com/jobs/view/4355769775")</f>
        <v/>
      </c>
      <c r="F45">
        <f>HYPERLINK("https://app.greenhouse.io/embed/job_app?token=7283933&amp;gh_src=8c01b2f01&amp;urlHash=NjQu", "https://app.greenhouse.io/embed/job_app?token=7283933&amp;gh_src=8c01b2f01&amp;urlHash=NjQu")</f>
        <v/>
      </c>
      <c r="G45" t="inlineStr"/>
      <c r="H45" t="inlineStr"/>
      <c r="I4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As a Senior Analytics Engineer at Upstart, you will design and develop robust and scalable data models for analytical stakeholders to empower them to retrieve meaningful insights. Our analytics engineering team is centralized within the company and partners closely with data engineering, data platform, software engineers, ML engineers and cross functional analytics squads to stitch together datasets to create data models that are ready for consumption.
 In addition to architecting data models, we implement Analytics Engineering best practices around Data Governance, Data Quality, Data Orchestration and pipeline optimization. We enable analysts to think like software engineers by defining, documenting and ensuring adoption of best practices when making contributions to the analytical code\-base.
***Position Location \-***
 This role is available in the following locations: Remote, San Mateo, Columbus
***Time Zone Requirements \-***
 The team operates in all US time zones.
***Travel Requirements \-***
 This team has regular on\-site collaboration sessions. These occur 3 days per quarter at an Upstart office. If you need to travel to make these meetups, Upstart will cover all travel related expenses.
**How you’ll make an impact:**
* Understand how data is produced and consumed at a deep level \- you will need to be extremely collaborative with the teams that produce and consume the data to create an end\-to\-end solution that maximizes the value of our data
* Lead efforts to design data models and build curated data sets that are the foundation of reporting and analytics at Upstart
* Collaborate with data engineers and data platform teams to create analytics pipelines
* Meet consumers of data where they are by wearing an educator’s hat and training them on how to use BI tools and dashboards
* Be a close strategic partner to analytics squads to participate in decision making on the analytics road map for Upstart
**What we’re looking for:** 
* Minimum requirements:
+ 5\+ year(s) of experience as a Data Engineer / Analytics Engineer / BI Engineer
+ Strong understanding of data modeling concepts in both transactional and analytical databases
+ Proven ability to lead cross\-team projects to create data models for analytics/reporting purposes
+ Excellent communication and collaboration skills, particularly when explaining technical or complex matters to less technical co\-workers
+ Expertise in SQL, Python, and ETL optimization techniques
* Preferred qualifications:
+ Familiarity with business intelligence visualization tools such as Mode, Looker, Tableau, Power BI, etc.
+ Experience creating curated data models using a data mesh architecture
+ Experience with cloud computing platforms such as Amazon Web Services (AWS), Azure and/or Google Cloud
+ Experience with building Looker data models (LookML), analytics engineering frameworks like dbt, orchestration tools like Airflow, schema design, and dimensional data modeling
+ Thorough understanding of data lake/warehouse architectures (BigQuery, Databricks, Redshift)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6">
      <c r="A46" t="inlineStr">
        <is>
          <t>li-4365875698</t>
        </is>
      </c>
      <c r="B46" t="inlineStr">
        <is>
          <t>Data Engineer</t>
        </is>
      </c>
      <c r="C46" t="inlineStr">
        <is>
          <t>Temu</t>
        </is>
      </c>
      <c r="D46" t="inlineStr">
        <is>
          <t>linkedin</t>
        </is>
      </c>
      <c r="E46">
        <f>HYPERLINK("https://www.linkedin.com/jobs/view/4365875698", "https://www.linkedin.com/jobs/view/4365875698")</f>
        <v/>
      </c>
      <c r="F46" t="inlineStr"/>
      <c r="G46" t="inlineStr"/>
      <c r="H46" t="inlineStr"/>
      <c r="I46" t="inlineStr">
        <is>
          <t>**About Us:** 
 Temu is seeking a highly motivated and experienced Data Engineer to join our team. As a rapidly growing company, we are looking for talented individuals committed to helping us achieve our goals. In this role, you will have the opportunity to work with a team of driven individuals dedicated to making a difference in the industry.
**Responsibilities:** 
* Establish a robust business metric framework tied to the overarching goals of the business team;
* Analyze business processes to identify challenges and opportunities, providing data\-driven recommendations for strategic business decisions, product development, and operational optimization;
* Formalize analytical frameworks, translate business needs into concrete data requirements, and collaborate with cross\-functional teams (e.g., Product, Engineering) to drive business impact and commercial value.
**Job Requirements:** 
* Minimum of 3 years of data engineering experience;
* Experience with data modeling, warehousing and building ETL pipelines;
* Experience with SQL;
* Self\-motivated, detail\-oriented, strong communication and teamwork skills
* BS/MS in Computer Science, Math, Economics, Statistics, or other science and engineering fields.
**Compensation and Benefits** 
 \- Our compensation structure is designed to align with the cost of labor in various geographic markets across the US. The total salary for this position ranges from $100k to $300k annually, based on job\-related factors such as skills, experience, qualifications, competencies and location.
 \- In addition, you may receive benefits depending on the nature of employment, job position, and work location. The benefits that generally apply to regular, full\-time employees include:
 1\. Medical, Dental, and Vision Insurance Coverage
 2\. Paid Time Off (PTO)
 3\. Paid Sick Leave (in accordance with applicable state and local laws)
 4\. 401(k) Plan
 The Company reserves the right to modify or change these benefit programs at any time, with or without notice, consistent with applicable law.
**Equal Employment Statement** 
 At Temu, we are proud to be an employer that builds a diverse community. We encourage all qualified individuals to apply and join our team. We are dedicated to providing a work environment free from discrimination and harassment, where all employees are treated with respect and dignity.
 Apply today to join Temu and be part of a dynamic and innovative company.</t>
        </is>
      </c>
    </row>
    <row r="47">
      <c r="A47" t="inlineStr">
        <is>
          <t>li-4355980683</t>
        </is>
      </c>
      <c r="B47" t="inlineStr">
        <is>
          <t>Senior Data Engineer</t>
        </is>
      </c>
      <c r="C47" t="inlineStr">
        <is>
          <t>GeniusRx</t>
        </is>
      </c>
      <c r="D47" t="inlineStr">
        <is>
          <t>linkedin</t>
        </is>
      </c>
      <c r="E47">
        <f>HYPERLINK("https://www.linkedin.com/jobs/view/4355980683", "https://www.linkedin.com/jobs/view/4355980683")</f>
        <v/>
      </c>
      <c r="F47" t="inlineStr"/>
      <c r="G47" t="inlineStr">
        <is>
          <t>Boca Raton, FL</t>
        </is>
      </c>
      <c r="H47" t="inlineStr"/>
      <c r="I47" t="inlineStr">
        <is>
          <t>**Job Description**
**Job Summary**
 GeniusRx is looking for an experienced data engineer to help bring the next evolution of pharmacy to life. As part of the data science team under product and technology, you will be working together with the data science, engineering, and product teams to ensure the right data gets to the right people. We are building a data platform that will allow us to bring a new level of intelligence to the pharmacy experience.
 Our analytics stack comprises of:
* Python, Spark, and Singer for ETL pipelines.
* Snowflake, Azure Blob Storage, and PostgreSQL for data storage.
* Databricks for additional transformations and machine learning.
* Looker for BI and reporting.
 You will design and implement data pipelines while factoring for scalability, availability, and quality and be instrumental in setting standards and best practices for the rest of the data science team.
**Roles \&amp; Responsibilities**
* Work within the existing data ecosystem to move and integrate data pipelines across warehouses, legacy platforms, and external partners.
* Create actionable reports and dashboards that allow business stakeholders to self\-service data requests while encouraging a culture of data discovery.
* Work together with stakeholders from marketing, pharmacy ops, engineering, and product to understand how the data works, where it comes from, and where it needs to go.
* Interface with other technology teams to extract, transform, and load data from a wide variety of data sources using SQL and Azure big data technologies.
* Transform raw data into actionable data layers for use across the organization powering not only our business intelligence capabilities but also helping to establish a base for machine learning applications.
* Establish a data platform that can be used as a sole source of truth across the organization.
* Develop metrics and leading indicators that not only give answers to data questions but also provide context and understanding of trends.
* Monitor and review our drug pricing and give recommendations on ways to get customers the best possible price for their medications while achieving margin targets for the company.
* Work in a supportive, passionate team as we drive to bring a new level of medication savings and insight to our customers.
**Skills And Attributes For Success**
* Bachelor’s degree in computer science, engineering, mathematics, economics, or related discipline.
* 3\+ years of experience in data engineering or business intelligence with a track record of manipulating, processing, and extracting valuable information from large datasets.
* Strong SQL skills.
* Experience working with business intelligence tools such as Looker, and Tableau.
* Experience working with executive stakeholders to not only develop reporting that meets their needs but be able to explain the importance/impact of our measures.
* Experience using Python, or other language equivalents, and its related data packages (Pandas, Numpy, SQLalchemy), and experience using Spark\-based platforms like Databricks is a plus.
* Knowledge of best practices related to data transformations and reporting – healthcare experience is a plus.
* Knowledge of software engineering best practices including git, agile methods, coding standards and reviews, testing, and operations.
* Experience working in the Azure ecosystem is a plus.
**Preferred**
* Experience with healthcare and pharmacy (preferred)
 Working at GeniusRx (Headquarters in Boca Raton, FL) means you are working with a diverse, passionate, collaborative team who are dedicated to making pharmacy personal again and are on a mission to disrupt the virtual pharmacy industry. We believe in cultivating a culture of bravery, kindness, and honesty.
 We encourage a healthy work\-life balance and encourage our employees to take care of themselves by utilizing our comprehensive medical benefits, generous paid time off benefits, wellness programs, social events, and much more!
 GeniusRx provides equal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characteristics protected by federal, state, or local laws.</t>
        </is>
      </c>
    </row>
    <row r="48">
      <c r="A48" t="inlineStr">
        <is>
          <t>li-4355689626</t>
        </is>
      </c>
      <c r="B48" t="inlineStr">
        <is>
          <t>Data Engineer</t>
        </is>
      </c>
      <c r="C48" t="inlineStr">
        <is>
          <t>Sun Country Airlines</t>
        </is>
      </c>
      <c r="D48" t="inlineStr">
        <is>
          <t>linkedin</t>
        </is>
      </c>
      <c r="E48">
        <f>HYPERLINK("https://www.linkedin.com/jobs/view/4355689626", "https://www.linkedin.com/jobs/view/4355689626")</f>
        <v/>
      </c>
      <c r="F48" t="inlineStr"/>
      <c r="G48" t="inlineStr">
        <is>
          <t>Minneapolis, MN</t>
        </is>
      </c>
      <c r="H48" t="inlineStr"/>
      <c r="I48" t="inlineStr">
        <is>
          <t>**About Sun Country Airlines**
 We’re not your average airline. We’re agile, resilient, and full of uncommon opportunity. Here, you can grow as part of an ambitious team that safely and collectively supports each other, our travelers, and our community. Together, we're making travel more attainable. With more than 40 years of Minnesota roots, we're a unique hybrid low\-cost carrier offering diverse services including scheduled flights to destinations across the U.S., Canada, Central America, and the Caribbean, as well as charter and cargo operations around the world. At Sun Country, you'll be part of a growing airline and an enthusiastic team focused on connecting our community with their favorite people and places.
**Sun Country Airlines** 
 provides the resources and support our employees need to succeed. Besides working at a great and growing company, as a
 **Data Engineer,** 
 you’ll enjoy these benefits and more
 **:**
* Comprehensive benefit package including dental and vision
* PPO and high\-deductible health plans
* Health savings account and Flexible Spending Account
* Starting day one free standby and discounted travel privileges for employees, family, \&amp; friends
* 401(k) match
* Paid Time Off
* Paid holidays
* Life and AD\&amp;D Insurance
* Employee Assistance Program including counseling for employees and their family
* Fitness incentive and Stop Smoking Support
**Data Engineer Overview:**
 As a Data Engineer you will design, build, and operate scalable data solutions. You’ll own end\-to\-end pipelines, implement best practices for Delta Lake and data quality, and deliver trusted datasets that power everything from BI to data science across all airline domains (operations, customer, commercial, etc.).
 You bring strong problem\-solving skills, can navigate ambiguity, and use AI tools responsibly to accelerate development. You’ll also support BI development projects (Power BI data models, DAX, performance tuning) when needed.
**Essential Roles and Responsibilities:**
 Reasonable accommodations may be made to enable individuals with disabilities to perform the essential functions.
* Own pipeline development: ingest, transform, and orchestrate workflows using Databricks (Spark/Delta), Data Factory/Synapse/Fabric, and Data Lake Gen2
* Design robust Lakehouse layers (raw/bronze, refined/silver, curated/gold) with Delta Lake best practices (ACID, schema evolution, time travel, retention)
* Implement reusable patterns for ELT, testing, and observability (logging/metrics/alerts)
* Deliver high\-quality datasets to Power BI including semantic modeling, incremental refresh strategies, and RLS
* Optimize performance and costs: tune Spark jobs, partitioning, file sizes, Z\-ordering, caching, broadcast joins
* Contribute to and maintain CI/CD for notebooks, jobs, and BI artifacts via Azure DevOps/GitHub Actions
* Apply data governance: cataloging, lineage, and security (AAD groups, RBAC/ABAC)
* Partner with data scientists on feature pipelines, MLflow tracking, and model\-serving data needs
* Use AI assistants for code generation, tests, documentation, and query optimization with appropriate validation
* Participate in support/on\-call rotations and lead incident resolution/root cause analysis for data jobs
* Assist senior developers on larger projects
* Provide advice and training to end\-users of the product
* Participate in support/on\-call rotations
* Any other duties assigned by management
**Required Qualifications:**
* Bachelor’s degree in Computer Science, Information Systems, Engineering, Math/Statistics or related field; or equivalent experience in lieu of a degree
* 3\+ years experience in data engineering or analytics engineering
* Proficiency with Azure Databricks (Spark/Delta Lake), SQL, and Python
* Hands\-on experience with Azure services: Data Factory/Synapse/Fabric pipelines, Data Lake Gen2, Key Vault, AAD
* Strong grasp of dimensional modeling, semantic layer design, and BI consumption
* Git branching strategies, code reviews, and automated testing (unit/integration)
* Strong sense of ownership, natural curiosity, bias for action, and flexibility to work across the tech stack including BI
* Demonstrated ability to leverage AI tools and technologies to enhance efficiency, streamline processes, assist in problem\-solving and decision\-making, or drive business outcomes
* Strong communication and storytelling skills
* Strong critical thinking, analytical, and problem\-solving skills
* Proficiency with Microsoft Office Suite
* Highly organized with the ability to manage multiple priorities and projects with strong attention to detail
* Experience working in a fast\-paced and quickly changing environment
**Preferred Qualifications**
* Advanced Delta Lake optimization (compaction, Z\-ordering, vacuum), Databricks Workflows, and Unity Catalog
* Power BI performance tuning, large\-model optimization, calculation groups, and deployment pipelines
* Experience with Lakehouse patterns and warehouse endpoints
* Streaming and near\-real\-time ingestion (Structured Streaming, Event Hubs, Kafka)
* Infrastructure\-as\-code exposure (Terraform, Bicep) for data platform resources
* Experience with MLflow, feature stores, and model monitoring integration
* Airline/business domain experience (network planning, revenue management, reliability, customer experience, etc.)
**Compensation:**
 Range $90,000 to $110,000
**Classification:** 
 Full\-Time, Exempt
**Work Location:**
 Hybrid \- Minneapolis, MN
**Supervisory Responsibility:**
 None
**Work Environment:**
 This job operates in a professional office environment. This role routinely uses standard office equipment such as computers, phones, photocopiers, filing cabinets.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or finger, handle or feel; and reach with hands and arms. The employee is occasionally required to sit; climb or balance; and stoop, kneel, crouch or crawl. The employee must frequently lift and/or move up to 10 pounds and occasionally lift and/or move up to 25 pounds. Specific vision abilities required by this job include close vision, distance vision, color vision, peripheral vision, depth perception and ability to adjust focus.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**AAP/EEO Statement:**
 It is the policy of Sun Country Airlines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t>
        </is>
      </c>
    </row>
    <row r="49">
      <c r="A49" t="inlineStr">
        <is>
          <t>li-4366191427</t>
        </is>
      </c>
      <c r="B49" t="inlineStr">
        <is>
          <t>Data Engineer</t>
        </is>
      </c>
      <c r="C49" t="inlineStr">
        <is>
          <t>Center for Public Partnerships &amp; Research</t>
        </is>
      </c>
      <c r="D49" t="inlineStr">
        <is>
          <t>linkedin</t>
        </is>
      </c>
      <c r="E49">
        <f>HYPERLINK("https://www.linkedin.com/jobs/view/4366191427", "https://www.linkedin.com/jobs/view/4366191427")</f>
        <v/>
      </c>
      <c r="F49">
        <f>HYPERLINK("https://employment.ku.edu/jobs/staff/data-engineer/31995br&amp;urlHash=ig5I", "https://employment.ku.edu/jobs/staff/data-engineer/31995br&amp;urlHash=ig5I")</f>
        <v/>
      </c>
      <c r="G49" t="inlineStr"/>
      <c r="H49" t="inlineStr"/>
      <c r="I49" t="inlineStr">
        <is>
          <t>Position Overview
 Analytics, Institutional Research, \&amp; Effectiveness (AIRE) at the University of Kansas brings together analytical and technical staff to support KU’s data strategy and data\-informed decision making. The Data Engineer plays a critical role in designing, building, and maintaining complex data systems, including data pipelines, data warehouses, and data lakes. This role is integral to enabling advanced analytics, business intelligence, and AI/ML\-powered insights across the institution. The Data Engineer will work closely with cross\-functional teams to ensure scalable, secure, and reliable data infrastructure and contribute to KU’s mission of fostering self\-service analytics and data governance.
**KU is not able to provide immigration sponsorship for this position.**
 Due to complex state employment laws, the University of Kansas may be unable to hire fully remote workers for this position outside of Kansas. Specifically, we cannot currently offer employment to candidates residing in the following states:  California, Delaware, Idaho, and Minnesota. We appreciate your understanding and invite interested individuals from eligible states to apply.
**Job Description**
**Development (50%)**
* Design, develop, and maintain scalable ETL/ELT pipelines integrating data from diverse internal and external sources.
* Develop and optimize SQL\-based processes to support data loading, transformation, and validation tasks.
* Maintain and enhance KU’s Data Warehouse and Data Lake environments to support analytics, dashboards, and operational reports.
* Support AI/ML model integration pipelines and prepare data for model training, scoring, and inferencing.
* Collaborate with BI Analysts, Data Scientists, and business stakeholders to translate requirements into performant data engineering solutions.
* Maintain and document data workflows, source\-to\-target mappings, and architecture diagrams in accordance with data governance policies.
* Ensure metadata capture and compliance with KU’s data catalog and dictionary.
**Application/Integration Support (25%)**
* Provide production support for ETL/ELT jobs, data pipelines, and cloud\-based infrastructure.
* Troubleshoot issues related to data ingestion, transformation, and availability.
* Monitor job performance and system health, coordinating with IT operations as needed.
* Participate in upgrade cycles for ETL tools, cloud platforms, and database systems.
**Testing and Validation (20%)**
* Execute data validation strategies for all data pipelines and models.
* Implement audit controls, data quality checks, and reconciliation procedures.
* Collaborate with QA teams and business users for UAT and production validation.
**Other Projects (5%)**
* Participate in campus\-wide data initiatives, pilot projects, and tool evaluations.
* Contribute to continuous improvement and innovation in KU’s data engineering practices.
**Required Qualifications**
* Bachelor’s degree in computer science, Information Technology, Engineering, Mathematics, Statistics or a related field.
* Three (3\) years of demonstrated experience using Python for scripting, automation, and data manipulation across academic, professional, or project\-based environments.
* Two (2\) years of hands\-on experience with at least one major cloud platform, such as AWS, Azure, or Google Cloud Platform.
* Exposure to integrating AI/ML workflows or components into data pipelines, through coursework, projects, or professional experience.
* Working knowledge of SQL and relational database systems (e.g., Oracle, PostgreSQL, MySQL) as evidenced by application materials.
* Excellent communication, documentation, and collaboration skills as evidenced by application materials.
*This position requires a formal degree in the cited discipline area(s) to ensure that candidates have advanced knowledge, analytical skills and professional competencies necessary to perform the duties of the position. The level of degree is commonly recognized as the standard qualification for similar roles in the public and private sector, ensuring that the university remains competitive with industry aligned practices, enhances collaboration with external partners, and supports the delivery of services and programs that meet professional and market\-driven expectations.*
**Preferred Qualifications**
* Exposure to CI/CD practices and version control systems such as Git as evidenced by application materials.
* Experience working with APIs, including data ingestion from RESTful services as evidenced by application materials.
 Additional Candidate Instructions
 In addition to the online application, the following documents are required to be considered for this position:
* Cover letter describing how you meet the required and preferred qualifications.
* Resume/CV.
* List of three (3\) professional references.
**Only complete applications will be considered.**
**Application review begins Tuesday, February 3rd. For consideration, please apply no later than Monday, February 2nd.**
 Contact Information to Applicants
 Prasanna Tadimeti
 prasanna.tadimeti@ku.edu
 Advertised Salary Range
 $71,000 \- $85,000
 Application Review Begins
 Tuesday February 3, 2026
 Anticipated Start Date
 Monday February 16, 2026
 Apply to Job</t>
        </is>
      </c>
    </row>
    <row r="50">
      <c r="A50" t="inlineStr">
        <is>
          <t>li-4356000221</t>
        </is>
      </c>
      <c r="B50" t="inlineStr">
        <is>
          <t>Data Engineer</t>
        </is>
      </c>
      <c r="C50" t="inlineStr">
        <is>
          <t>Square Peg Technologies</t>
        </is>
      </c>
      <c r="D50" t="inlineStr">
        <is>
          <t>linkedin</t>
        </is>
      </c>
      <c r="E50">
        <f>HYPERLINK("https://www.linkedin.com/jobs/view/4356000221", "https://www.linkedin.com/jobs/view/4356000221")</f>
        <v/>
      </c>
      <c r="F50" t="inlineStr"/>
      <c r="G50" t="inlineStr">
        <is>
          <t>Washington, DC</t>
        </is>
      </c>
      <c r="H50" t="inlineStr"/>
      <c r="I50" t="inlineStr">
        <is>
          <t>**Job Description**
**Full Job Description**
 Position Requires a Top Secret (TS/SCI) Clearance with a Polygraph.
**The Mission:**
 At Square Peg, we rely on powerfully insightful data to inform our systems and solutions—and we’re seeking an experienced pipeline\-centric data engineer to put it to use. The Data Engineer will be responsible for designing, implementing, and maintaining data pipelines for our customers. The Data Engineer will develop automated pipelines for a variety of data types and datasets.
**Basic Qualifications:**
* Work with data to solve business problems, building and maintaining the infrastructure to answer questions and improve processes
* Help streamline our data science workflows, adding value to our product offering and building out our customer lifecycle and retention models
* Work closely with the data science and business intelligence teams to develop data models and pipelines for research, reporting, and machine learning
* Be an advocate for best practices and continued learning
* Work closely with our data science to help build complex algorithms that provide unique insights into our data
* Use agile software development processes to iteratively make improvements to our back\-end systems
* Model front\-end and back\-end data sources to help draw a more comprehensive picture of user flows throughout our system and enable powerful data analysis
* Build data pipelines that clean, transform and aggregate data from disparate sources
* Develop models that can be used to make predictions and answer questions for the overall business
**Preferred Qualifications**
* Bachelor’s degree in computer science, information technology, engineering or equivalent
* 3\+ years of experience with Python, SQL, and data visualization/exploration tools
* Familiarity with the AWS ecosystem specifically RedShift and RDS
* Communication skills, especially explaining technical concepts to non\-technical business leaders
* Experience building or maintaining ETL processes
**Square Peg Technologies Company Information**
 Square Peg Technologies is a boutique technology consulting firm that specializes in data solutions using the latest technologies in analytics, data science, data engineering, and data management. Our mission is to develop and integrate cutting\-edge technology solutions that inspire our customers to push the fields of science and technology forward. Here at Square Peg, you will not get lost in a crowd. We value each person’s contribution, celebrate wins together, and invest in the personal and professional development of our employees. Along with a strong positive culture that allows employees to thrive and grow, we also offer top\-notch benefits including a large amount of vacation, annual bonuses, 401k matching, paid training, and 100% health care coverage.
 At Square Peg Tech, we aim to be at the forefront of technology and innovation. Our ideal candidate must be forward\-leaning and eager to engage with customers, academia, and industry leaders on the future applications of AI/ML, as well as best practices in advanced analytics. With a firm footprint in the Intelligence Community, Square Peg Tech is looking to expand its capabilities into the Department of Defense, NASA, and other prominent government agencies.</t>
        </is>
      </c>
    </row>
    <row r="51">
      <c r="A51" t="inlineStr">
        <is>
          <t>li-4355799295</t>
        </is>
      </c>
      <c r="B51" t="inlineStr">
        <is>
          <t>Data Engineer</t>
        </is>
      </c>
      <c r="C51" t="inlineStr">
        <is>
          <t>Thumbtack</t>
        </is>
      </c>
      <c r="D51" t="inlineStr">
        <is>
          <t>linkedin</t>
        </is>
      </c>
      <c r="E51">
        <f>HYPERLINK("https://www.linkedin.com/jobs/view/4355799295", "https://www.linkedin.com/jobs/view/4355799295")</f>
        <v/>
      </c>
      <c r="F51" t="inlineStr"/>
      <c r="G51" t="inlineStr"/>
      <c r="H51" t="inlineStr"/>
      <c r="I51" t="inlineStr">
        <is>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
**About The Data Engineering Team**
 Thumbtack’s Data Engineering team is a centralized team that works closely with engineers, analysts, data scientists, and machine learning engineers to help design and curate data sets originating from internal and third\-party sources to meet current and future needs. Over the next year, it will continue to build on its prior successes in building a more cohesive data warehouse while starting to work more deeply upstream to build data best practices into the full software development lifecycle (SDLC).
**The Challenge**
 There are several teams all over Thumbtack with hundreds of terabytes of data and unique challenges trying to clean and organize this data to measure their performance. In this role, you will work with Engineers, Data Scientists, Managers, and others to understand their needs, and actively work to build datasets to tackle these challenges .
**What You'll Do**
* Collaboratively refine and evangelize a comprehensive framework for integrating data\-thinking into the software development lifecycle for product teams
* Design, architect, and maintain core marketing datasets, data marts, and feature stores that support a blend of mature products and features with a rapidly evolving product line, in partnership with analytics, data science, and machine learning
* Integrate with teams consisting of product engineers, analysts, data scientists, machine learning engineers throughout Thumbtack to understand their data needs, and help design datasets with the same engineering rigor as any other software we design
* Drive data quality and best practices across different business areas
* Help build the next generation data products at Thumbtack, based on real\-time data products on top of Apache Kafka
**In order to be successful, you must bring**
* 2 or more years of experience designing and building data sets and warehouses
* Excellent ability to understand the needs of and collaborate with stakeholders in other functions, especially Analytics, and identify opportunities for process improvements across teams
* Experience in SQL for analytics/reporting/business intelligence and also for building SQL\- and Python\-based transforms inside an ETL pipeline, or similar
* Experience designing, architecting, and maintaining datasets that integrate data from multiple sources, including production databases, clickstream data, and external APIs
* Familiarity building the above with a modern data stack based on a cloud\-native data warehouse, in our case we use BigQuery, dbt, and Apache Airflow, but a similar stack is fine
* Strong sense of ownership and pride in your work, from ideation and requirements\-gathering to project completion and maintenance
**Expected salary ranges**
* For candidates living in San Francisco / Bay Area, San Jose, New York City, or Seattle metros, the expected salary range for the role is currently $169,600 \- $219,500\.
* For candidates living in Austin, TX or Washington DC metros or in California, Massachusetts, New Jersey, or Washington states, the expected salary range for the role is currently $152,700 \- $197,600\.
* For candidates living in all other US locations, the expected salary range for this role is currently $144,200 \- $186,600\.
 Actual offered salaries will vary and will be based on various factors, such as calibrated job level, qualifications, skills, competencies, and proficiency for the role.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If you are a California resident, please review information regarding your rights under California privacy laws contained in Thumbtack’s Privacy policy available at https://www.thumbtack.com/privacy/.
 We put as much craftsmanship into candidate safety as we do into the hiring experience itself. While scammers may try to impersonate our team, we’ll never ask you for money, banking info, or SSNs during hiring. Check out our blueprint on how to spot the fakes.</t>
        </is>
      </c>
    </row>
    <row r="52">
      <c r="A52" t="inlineStr">
        <is>
          <t>li-4366193897</t>
        </is>
      </c>
      <c r="B52" t="inlineStr">
        <is>
          <t>Data Engineer</t>
        </is>
      </c>
      <c r="C52" t="inlineStr">
        <is>
          <t>CG Infinity</t>
        </is>
      </c>
      <c r="D52" t="inlineStr">
        <is>
          <t>linkedin</t>
        </is>
      </c>
      <c r="E52">
        <f>HYPERLINK("https://www.linkedin.com/jobs/view/4366193897", "https://www.linkedin.com/jobs/view/4366193897")</f>
        <v/>
      </c>
      <c r="F52" t="inlineStr"/>
      <c r="G52" t="inlineStr">
        <is>
          <t>Houston, TX</t>
        </is>
      </c>
      <c r="H52" t="inlineStr"/>
      <c r="I52" t="inlineStr">
        <is>
          <t>**Job Description: Data Engineer (3–8 Years Experience)**
**Location:** 
 Houston, TX (Local candidates only)
**Employment Type:** 
 Full\-time
**About The Role**
 We are seeking a
 **Data Engineer** 
 with
 **3–8 years of experience** 
 to design, build, and optimize data pipelines, ETL workflows, and large‑scale data solutions. This role requires strong SQL expertise, hands\-on ETL experience, and the ability to work effectively in a consulting environment. Experience within the
 **Energy \&amp; Utilities** 
 sector is a significant plus.
**Key Responsibilities**
* Build and maintain scalable ETL pipelines and data integration processes
* Develop robust datasets using advanced SQL and query performance optimization
* Collaborate with business teams and solution architects to gather and translate data requirements
* Perform data validation, quality assurance, and ingestion activities
* Improve data pipeline performance, scalability, and reliability
* Support data migration efforts and system integrations (cloud and on‑prem)
* Troubleshoot production data issues and maintain data pipeline health
* Document data flows, solution design, and technical specifications
* Contribute to best practices, engineering standards, and process improvements
**Required Qualifications**
* 3–8 years of professional Data Engineering experience
* Strong expertise in SQL (complex queries, performance tuning, modeling)
* Hands\-on experience with ETL tools such as Informatica, Talend, DataStage, ADF, SSIS, AWS Glue, or similar
* Experience building and maintaining data pipelines in cloud or on\-prem environments
* Strong understanding of relational databases, data warehousing, and integration patterns
* Prior experience working in a consulting or client\-facing role
* Excellent communication and problem\-solving skills
* Must be local to Houston, with ability to work onsite as needed
* No visa sponsorship available. Candidates must be authorized to work in the U.S. without sponsorship
**Preferred Qualifications**
* Experience in the Energy \&amp; Utilities, Oil \&amp; Gas, or Power sectors
* Experience with cloud\-native data tools (Azure Data Factory, AWS Glue, Databricks, Snowflake)
* Knowledge of scripting languages such as Python for automation
* Familiarity with CI/CD workflows for data engineering
**Why Join Us**
* Work on high\-impact, modern data engineering projects in the Energy \&amp; Utilities domain
* Collaborative team environment with strong career development paths
* Exposure to cutting\-edge cloud data platforms and consulting engagements
 Powered by JazzHR
 7L1QWneQMW</t>
        </is>
      </c>
    </row>
    <row r="53">
      <c r="A53" t="inlineStr">
        <is>
          <t>li-4365868318</t>
        </is>
      </c>
      <c r="B53" t="inlineStr">
        <is>
          <t>Data Engineer</t>
        </is>
      </c>
      <c r="C53" t="inlineStr">
        <is>
          <t>AARATECH</t>
        </is>
      </c>
      <c r="D53" t="inlineStr">
        <is>
          <t>linkedin</t>
        </is>
      </c>
      <c r="E53">
        <f>HYPERLINK("https://www.linkedin.com/jobs/view/4365868318", "https://www.linkedin.com/jobs/view/4365868318")</f>
        <v/>
      </c>
      <c r="F53" t="inlineStr"/>
      <c r="G53" t="inlineStr"/>
      <c r="H53" t="inlineStr"/>
      <c r="I53"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54">
      <c r="A54" t="inlineStr">
        <is>
          <t>li-4365857520</t>
        </is>
      </c>
      <c r="B54" t="inlineStr">
        <is>
          <t>Data Engineer</t>
        </is>
      </c>
      <c r="C54" t="inlineStr">
        <is>
          <t>Convey Health Solutions</t>
        </is>
      </c>
      <c r="D54" t="inlineStr">
        <is>
          <t>linkedin</t>
        </is>
      </c>
      <c r="E54">
        <f>HYPERLINK("https://www.linkedin.com/jobs/view/4365857520", "https://www.linkedin.com/jobs/view/4365857520")</f>
        <v/>
      </c>
      <c r="F54" t="inlineStr"/>
      <c r="G54" t="inlineStr"/>
      <c r="H54" t="inlineStr"/>
      <c r="I54" t="inlineStr">
        <is>
          <t>**Data Engineer** 
**Position Summary:** 
 Data Engineer must have expertise in SQL, Python and PySpark, with extensive knowledge and practical experience in utilizing AWS services. The Senior Data Engineer has a strong background in data engineering, with a focus on building scalable and efficient data pipelines. They will work with a wide array of healthcare data for ingestion, processing and consumption including but not limited to eligibility, claims, payments and risk adjustment. The Senior Data Engineer supports Pareto Operations.
**Key Duties and Responsibilities:** 
* Design, develop, and maintain robust data pipelines using Python and PySpark to process large volumes of healthcare data efficiently in a multitenant analytics platform.
* Collaborate with cross\-functional teams to understand data requirements, implement data models, and ensure data integrity throughout the pipeline.
* Optimize data workflows for performance and scalability, considering factors such as data volume, velocity, and variety.
* Implement best practices for data ingestion, transformation, and storage in AWS services such as S3, Glue, EMR, Athena, and Redshift.
* Model data in relational databases (e.g., PostgreSQL, MySQL) and file\-based databases to support data processing requirements.
* Design and implement ETL processes using Python and PySpark to extract, transform, and load data from various sources into target databases.
* Troubleshoot and enhance existing ETLs and processing scripts to improve efficiency and reliability of data pipelines.
* Develop monitoring and alerting mechanisms to proactively identify and address data quality issues and performance bottlenecks.
**Education and Experience:** 
* Bachelor's or Master's degree in Computer Science, Data Engineering, or a related field.
* Minimum of 5 years of experience in data engineering, with a focus on building and optimizing data pipelines.
* Expertise in Python programming and hands\-on experience with SQL and PySpark for data processing and analysis.
* Proficiency in Python frameworks and libraries for scientific computing (e.g. Numpy, Pandas, SciPy, Pytorch, Pyarrow).
* Strong understanding of AWS services and experience in deploying data solutions on cloud platforms.
* Experience working with healthcare data, including but not limited to eligibility, claims, payments, and risk adjustment datasets.
* Expertise in modeling data in relational databases (e.g., PostgreSQL, MySQL) and file\-based databases, ETL processes and data warehousing concepts.
* Proven track record of designing, implementing, and troubleshooting ETL processes and processing scripts using Python and PySpark.
* Excellent problem\-solving skills and the ability to work independently as well as part of a team.
* Relevant certifications in AWS or data engineering would be a plus.
**Knowledge, Skills, and Abilities:** 
* Expertise in Python programming language for data processing and analysis.
* Expertise in PySpark for building scalable data pipelines.
* Hands\-on experience with SQL query authoring for data analyses and validation
* In\-depth knowledge of AWS services such as S3, Glue, EMR, Athena, and Redshift for data storage and processing.
* Familiarity with relational databases (e.g., PostgreSQL, MySQL) and file\-based databases for data modeling and storage.
* Understanding of data modeling, ETL processes, and data warehousing concepts.
* Knowledge of best practices in data engineering and experience in optimizing data workflows for performance and scalability.
* Experience in healthcare data domains, including eligibility, claims, payments, and risk adjustment datasets.
* Up\-to\-date knowledge of emerging technologies and trends in data engineering.
* Strong problem\-solving skills and the ability to troubleshoot and optimize data pipelines and ETL processes.
* Excellent communication and collaboration skills to work effectively with cross\-functional teams.
* Proficient in designing, implementing, and maintaining data pipelines for processing large volumes of data.
* Ability to model data in relational and file\-based databases to support data processing requirements.
* Skill in developing monitoring and alerting mechanisms to ensure data quality and pipeline reliability.
* Experience in deploying data solutions on cloud platforms and utilizing AWS services for data processing.
* Proficiency in writing efficient and maintainable code for data processing tasks.
* Ability to stay organized, prioritize tasks, and meet project deadlines effectively.
* Ability to work independently and in a team\-oriented, collaborative environment.
* Strong analytical skills to identify and address data quality issues and performance bottlenecks.
* Capability to innovate and recommend solutions for continuous improvement in data engineering processes.
* Ability to communicate complex technical concepts to non\-technical stakeholders effectively.
* Strong attention to detail and commitment to delivering high\-quality work.
* Ability to deal with problems involving several concrete variables in standardized situations.
* Ability to interact politely, tactfully and firmly with a wide range of people and personalities.
* Ability to work in an environment with potential interruptions.
* Ability to manage multiple simultaneous tasks with individual timeframes and priorities.
 The expected base salary for this position ranges from $90,000 – 105,000 with a bonus target of up to 5% of the base salary. We do consider a wide range of factors when making offer decisions, including (but not limited to) the scope and responsibilities of the position, a candidate’s relevant skills, training, experience, education and where applicable, licensure and certifications obtained. We also consider organizational and market factors when making offer decisions.
 Equal Employment Opportunity Statement:
 Convey Health Solutions is an Equal Opportunity Employer committed to fostering an inclusive and diverse workforce. All qualified applicants will receive consideration for employment without regard to race, color, religion, sex (including pregnancy, sexual orientation, or gender identity), national origin, age, disability, genetic information, veteran status, or any other characteristic protected by applicable federal, state, or local laws.
 Convey Health Solutions also provides reasonable accommodations to qualified individuals with disabilities in accordance with applicable laws. Applicants requiring accommodation during the application or interview process should contact the Human Resources department.
 The Convey Health Solutions family of companies, including Pareto Intelligence™, delivers a powerful combination of purpose\-built technology, advanced analytics, and expert services to help health plans thrive in a complex, post, Affordable Care Act environment.
 As a trusted partner to Medicare and commercial payers, we provide scalable, compliant solutions that span the entire member lifecycle, from enrollment and billing to risk adjustment, Stars performance, and member engagement. Pareto’s deep analytics and financial intelligence complement Conveys’ operational expertise, enabling our clients to improve performance, reduce costs, and create better healthcare experiences for millions of Americans, especially seniors and vulnerable populations.
 Together, we help health plans scale smarter, grow stronger, and make healthcare work better for the people who need it most.
 Learn more at www.ConveyHealthSolutions.com.</t>
        </is>
      </c>
    </row>
    <row r="55">
      <c r="A55" t="inlineStr">
        <is>
          <t>li-4321429743</t>
        </is>
      </c>
      <c r="B55" t="inlineStr">
        <is>
          <t>Senior Data Engineer</t>
        </is>
      </c>
      <c r="C55" t="inlineStr">
        <is>
          <t>COVU</t>
        </is>
      </c>
      <c r="D55" t="inlineStr">
        <is>
          <t>linkedin</t>
        </is>
      </c>
      <c r="E55">
        <f>HYPERLINK("https://www.linkedin.com/jobs/view/4321429743", "https://www.linkedin.com/jobs/view/4321429743")</f>
        <v/>
      </c>
      <c r="F55" t="inlineStr"/>
      <c r="G55" t="inlineStr">
        <is>
          <t>Los Angeles, CA</t>
        </is>
      </c>
      <c r="H55" t="inlineStr"/>
      <c r="I55" t="inlineStr">
        <is>
          <t>Location: Los Angeles (On\-Site)
 Salary Range: $120K\-$180K \+ COVU shares
**About COVU** 
 COVU is a venture\-backed technology startup transforming the insurance industry. We empower independent agencies with AI\-driven insights and digitized operations, enabling them to manage risk more effectively. Our team is building an AI\-first company set to redefine the future of insurance distribution.
**Role Overview** 
 We are seeking an experienced and product\-focused Senior Data Engineer to be a core member of our Platform product team. This is a high\-impact role where you will play a pivotal part in evolving our core data infrastructure.
 Your primary mission will be to develop key components of our "Policy Journal" \- the foundational data asset that will serve as the single source of truth for all policy, commission, and client accounting information. You will work closely with the Lead Data Engineer and business stakeholders to translate requirements into robust data models and scalable pipelines that drive analytics and operational efficiency for our agents, managers, and leadership.
 This role requires a blend of greenfield development, strategic refactoring of existing systems, and a deep understanding of how to create trusted, high\-quality data products.
**What You’ll Do:** 
* Develop the Policy Journal: Be a primary builder of our master data solution that unifies policy, commission, and accounting data from sources like IVANS and Applied EPIC. You will implement the data models and pipelines that create the "gold record" powering our platform.
* Ensure Data Quality and Reliability: Implement robust data quality checks, monitoring, and alerting to ensure the accuracy and timeliness of all data pipelines. You will champion and contribute to best practices in data governance and engineering.
* Build the Foundational Analytics Platform: Implement and enhance our new analytics framework using modern tooling (e.g., Snowflake, dbt, Airflow). You will build and optimize critical data pipelines, transforming raw data into clean, reliable, and performant dimensional models for business intelligence.
* Modernize Core ETL Processes: Systematically refactor our existing Java \&amp; SQL (PostgreSQL) based ETL system. You will identify and resolve core issues (e.g., data duplication, performance bottlenecks), strategically rewriting critical components in Python and migrating orchestration to Airflow.
* Implement Data Quality Frameworks: Working within our company's QA strategy, you will build and execute automated data validation frameworks. You will be responsible for writing tests that ensure the accuracy, completeness, and integrity of our data pipelines and the Policy Journal.
* Collaborate and Contribute to Design: Partner with product managers, the Lead Data Engineer, and business stakeholders to understand complex business requirements. You will be a key technical contributor, translating business needs into well\-designed and maintainable solutions.
**What We're Looking For:** 
* 5\+ years of experience in data engineering, with a proven track record of building and maintaining scalable data pipelines in production.
* Expert\-level proficiency in Python and SQL.
* Strong experience with modern data stack technologies, including a cloud data warehouse (Snowflake or Redshift), a workflow orchestrator (Airflow is highly preferred), and data transformation tools.
* Hands\-on experience with AWS data services (e.g., S3, Glue, Lambda, RDS).
* Experience in the insurance technology (insurtech) industry and familiarity with insurance data concepts (e.g., policies, commissions, claims).
* Demonstrated ability to contribute to the design and implementation of robust data models (e.g., dimensional modeling) for analytics and reporting.
* A pragmatic problem\-solver who can analyze and refactor complex legacy systems. While you won't be writing new Java code, the ability to read and understand existing Java/Hibernate logic is a strong plus.
* Excellent communication skills and the ability to collaborate effectively with both technical and non\-technical stakeholders.
**Bonus Points For:** 
* Direct experience working with data from Agency Management Systems like Applied EPIC, Nowcerts, EZlynx, etc…
* Direct experience working with Carrier data (Accord XML, IVANS AL3\)
* Experience with business intelligence tools like Tableau, Looker, or Power BI.
* Prior experience in a startup or fast\-paced agile environment.
**Application Process:** 
1. Intro call with People team
2. Technical interviews
3. Final interview with leaders</t>
        </is>
      </c>
    </row>
    <row r="56">
      <c r="A56" t="inlineStr">
        <is>
          <t>li-4366187709</t>
        </is>
      </c>
      <c r="B56" t="inlineStr">
        <is>
          <t>Senior Data Engineer</t>
        </is>
      </c>
      <c r="C56" t="inlineStr">
        <is>
          <t>The Coca-Cola Company</t>
        </is>
      </c>
      <c r="D56" t="inlineStr">
        <is>
          <t>linkedin</t>
        </is>
      </c>
      <c r="E56">
        <f>HYPERLINK("https://www.linkedin.com/jobs/view/4366187709", "https://www.linkedin.com/jobs/view/4366187709")</f>
        <v/>
      </c>
      <c r="F56" t="inlineStr"/>
      <c r="G56" t="inlineStr">
        <is>
          <t>Atlanta, GA</t>
        </is>
      </c>
      <c r="H56" t="inlineStr"/>
      <c r="I56" t="inlineStr">
        <is>
          <t>**About Us**
 CPS (Commercial Products Supply) is a key part of the Advantaged Supply Chain of the Technical Function of The Coca\-Cola Company. CPS manufactures concentrates and beverage bases for sale to bottling partners all over the world. This global organization manages a network of 19 manufacturing plants in 18 different countries along with 2 office locations (Atlanta \&amp; Drogheda, Ireland). CPS also manages complex additional materials supply chains (e.g. juice, coffee, tea, milk, etc.) on behalf of bottling partners.
 The
 **Senior Data Engineer** 
 will be responsible for the design, development, and operational excellence of the CPS data platform across global plant operations and supply networks. This role provides hands\-on technical leadership, architectural ownership, and strategic partnership while remaining actively involved in data engineering, code reviews, and production support. This role enables scalable, reliable, and secure data solutions that support data\-driven decision\-making across global plant operations and supply networks.
**Function Related Activities / Key Responsibilities**
* Serve as the senior\-most individual contributor and subject matter expert for data engineering solutions across CPS
* Own the technical architecture, design decisions, and implementation of the CPS data platform
* Design, develop, and optimize data pipelines using Azure Data Factory (ADF)
* Build and maintain high\-performance, scalable data transformations using PySpark, SQL, and Python
* Actively contribute code and review/approve pull requests, setting quality and engineering standards
* Define, enforce, and evolve data engineering best practices, standards, and architectural patterns
* Partner with CPS stakeholders, plant teams, and analytics partners to translate business needs into technical solutions
* Lead technical design reviews and provide mentorship and guidance to engineers without direct people management
* Ensure data quality, reliability, monitoring, observability, and performance of production data pipelines
* Influence roadmap planning, estimation, and prioritization for data engineering initiatives
* Drive simplification, standardization, and long\-term maintainability of data pipelines
**Functional Skills**
* Expert\-level proficiency in Python, SQL, and PySpark
* Hands\-on experience with Databricks, Snowflake, or similar analytics platforms
* Strong understanding of data warehousing concepts, analytical modeling, and performance optimization
* Expertise in orchestration frameworks such as Azure Data Factory (ADF), AWS Glue, or similar
* Deep understanding of data architecture, ETL/ELT design, and scalable data modeling
* Experience with cloud\-native platforms, CI/CD, and DevOps practices
* Familiarity with data observability, lineage, and monitoring tooling
* Ability to provide technical leadership through code, reviews, and design guidance
* Excellent critical thinking, analytical and problem\-solving skills
**Related Work Experience**
* 5\+ years of experience in data engineering, analytics engineering, or software engineering
* Experience supporting data platforms for manufacturing, supply chain, or operations environments strongly preferred
* Proven experience designing and scaling cloud\-based data platforms, ideally on Microsoft Azure
**Education Requirements**
* Bachelor’s degree in computer science, Engineering, or a related technical field required
* Master’s degree preferred
**Skills**
 Python (Programming Language); Analytics; Business Intelligence (BI); Microsoft Azure; Data Warehousing (DW); Building Architecture; Structured Query Language (SQL); Data Architecture; Programming Languages; PySpark; Data Modeling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Range:$159,600 \- $187,215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57">
      <c r="A57" t="inlineStr">
        <is>
          <t>li-4363632515</t>
        </is>
      </c>
      <c r="B57" t="inlineStr">
        <is>
          <t>Data Engineer (GCP &amp; Big Data)</t>
        </is>
      </c>
      <c r="C57" t="inlineStr">
        <is>
          <t>CoreAi Consulting</t>
        </is>
      </c>
      <c r="D57" t="inlineStr">
        <is>
          <t>linkedin</t>
        </is>
      </c>
      <c r="E57">
        <f>HYPERLINK("https://www.linkedin.com/jobs/view/4363632515", "https://www.linkedin.com/jobs/view/4363632515")</f>
        <v/>
      </c>
      <c r="F57" t="inlineStr"/>
      <c r="G57" t="inlineStr">
        <is>
          <t>Phoenix, AZ</t>
        </is>
      </c>
      <c r="H57" t="inlineStr"/>
      <c r="I57" t="inlineStr">
        <is>
          <t>CoreAi Consulting is seeking a highly skilled
 **Data Engineer** 
 with strong experience in
 **Google Cloud Platform (GCP)** 
 and
 **Big Data technologies** 
 to design, build, and optimize scalable data platforms. The ideal candidate will have deep expertise in distributed systems, cloud\-native data services, and large\-scale data processing to support analytics, reporting, and machine learning initiatives.
**Key Responsibilities** 
* Design, develop, and maintain
 **scalable data pipelines, ETL/ELT workflows** 
 , and data ingestion frameworks for large and complex datasets.
* Build and optimize
 **big data solutions** 
 using technologies such as
 **Spark, Hadoop, Hive, Kafka, and HBase** 
 .
* Architect and implement
 **cloud\-native data platforms on GCP** 
 , leveraging services such as
 **BigQuery, BigTable, Dataflow, Dataproc, Pub/Sub, and Cloud Storage** 
 .
* Develop and maintain
 **data warehouses and analytical data stores** 
 to support reporting, dashboards, and advanced analytics.
* Collaborate with cross\-functional teams including
 **data scientists, analysts, and application engineers** 
 to enable data\-driven use cases and machine learning workflows.
* Apply best practices in
 **distributed computing, data modeling, performance tuning, and query optimization** 
 .
* Ensure
 **data quality, reliability, security, governance, and compliance** 
 with enterprise standards.
* Support both
 **OLTP and OLAP systems** 
 , ensuring high availability, scalability, and fault tolerance.
* Participate in
 **Agile/Scrum\-based development** 
 , contributing to design reviews, code reviews, and continuous improvement initiatives.
**Required Qualifications** 
* **5\+ years of hands\-on experience** 
 in data engineering or large\-scale application development within the
 **Big Data ecosystem** 
 .
* Strong experience with
 **Big Data frameworks and tools** 
 such as
 **Spark, Hadoop, Hive, Kafka, and HBase** 
 .
* Proficiency in
 **Python, Java, Scala, or PySpark** 
 , with strong SQL expertise.
* Hands\-on experience with
 **GCP data services** 
 , including
 **BigQuery, BigTable, Dataproc, Dataflow** 
 , and cloud\-native ETL patterns.
* Solid understanding of
 **distributed systems, parallel processing, and data processing architectures** 
 .
* Experience with
 **relational and NoSQL databases** 
 , including document, column\-family, and graph data models.
* Strong knowledge of
 **data warehousing concepts** 
 , ETL/ELT design, and performance tuning of complex SQL queries.
* Experience working with
 **JSON/XML schemas** 
 , data modeling tools (e.g.,
 **Erwin, ERStudio** 
 ), and open\-source data technologies.
* Familiarity with
 **data visualization and analytics tools** 
 such as
 **Tableau, Power BI** 
 , or similar platforms.
* Experience with
 **software delivery methodologies** 
 such as
 **Agile, Scrum, and CI/CD practices** 
 .
* Bachelor’s or Master’s degree in
 **Computer Science, Data Engineering, Data Science, or a related field** 
 .
**Nice\-to\-Have** 
* Experience with
 **infrastructure and performance\-oriented design** 
 , including storage optimization and high\-availability architectures.
* Exposure to
 **multi\-cloud data platforms** 
 (AWS or Azure) in addition to GCP.
* Knowledge of
 **security, encryption, data replication, and governance frameworks** 
 .
* Relevant certifications such as
 **Google Professional Data Engineer** 
 ,
 **AWS Big Data Specialty** 
 ,
 **Databricks** 
 , or
 **Cloudera** 
 .
* Strong problem\-solving skills and ability to thrive in a
 **fast\-paced, collaborative environment**</t>
        </is>
      </c>
    </row>
    <row r="58">
      <c r="A58" t="inlineStr">
        <is>
          <t>li-4321439707</t>
        </is>
      </c>
      <c r="B58" t="inlineStr">
        <is>
          <t>Analytics Engineer</t>
        </is>
      </c>
      <c r="C58" t="inlineStr">
        <is>
          <t>Orthodontic Partners</t>
        </is>
      </c>
      <c r="D58" t="inlineStr">
        <is>
          <t>linkedin</t>
        </is>
      </c>
      <c r="E58">
        <f>HYPERLINK("https://www.linkedin.com/jobs/view/4321439707", "https://www.linkedin.com/jobs/view/4321439707")</f>
        <v/>
      </c>
      <c r="F58">
        <f>HYPERLINK("https://orthodonticpartners.com/job-id/5780309004/#description&amp;urlHash=E5h8", "https://orthodonticpartners.com/job-id/5780309004/#description&amp;urlHash=E5h8")</f>
        <v/>
      </c>
      <c r="G58" t="inlineStr">
        <is>
          <t>Grand Rapids, MI</t>
        </is>
      </c>
      <c r="H58" t="inlineStr"/>
      <c r="I58" t="inlineStr">
        <is>
          <t>Founded by some of the nation’s top orthodontists and headquartered in Grand Rapids, MI, Orthodontic Partners (OP) is a fast\-growing national orthodontic service organization that provides partner doctors with a full range of administrative, marketing, HR, and financial support services. Our mission is to build a better orthodontic partnership model by bringing together leading business and clinical minds and sharing insights that inspire our partners, teams and patients. It is through a relentless pursuit of this mission that we’ve successfully built a world class network of partners who value collaboration, excellence, growth, and trust. We’ve grown to support over 30 top orthodontic practices across nearly 70 locations and 15 states and are just getting started. We’re looking for highly motivated individuals to join us as we revolutionize the orthodontics industry by making orthodontic care more convenient, affordable, faster and easier for patients.
**Summary Of Position**
 The Analytics Engineer serves as a bridge between data engineering and analytics by building and improving data pipelines, analytical datasets, and reporting\-ready data models. This role is designed for an early\-career professional who wants to grow at the intersection of data engineering and analytics, with a strong emphasis on SQL\-driven data transformation, pipeline reliability, and analytics\-ready data modeling.
 The position works closely with the Data Engineer, BI Developer, and BI Manager to ingest new data sources, transform and structure data for reporting and analytics, and improve the reliability, performance, and documentation of the analytics platform. Over time, this role is expected to grow into increased ownership of production datasets, data quality monitoring, and pipeline optimization, and semantic modeling.
**Essential Job Functions**
* Write and maintain SQL transformations used to clean, standardize, and model data for reporting, analytics, and self\-service use cases.
* Assist in managing database objects such as tables, views, schemas, and transformations used by reporting and analytics tools.
* Help build and maintain structured data layers (e.g., raw, cleaned, and reporting layers).
* Work with the Data Engineer to onboard new data sources using a modern analytics stack.
* Create and maintain curated datasets and reporting tables consumed by Power BI and other internal tools.
* Perform data validation and reconciliation to ensure accuracy and reliability.
* Assist in developing data quality checks, monitoring, and alerting.
* Troubleshoot data issues and support root cause analysis.
* Document data pipelines, transformations, business logic, and data lineage.
* Contribute to experimentation and adoption of AI\-driven tools or models to enhance analytics, data preparation, and insight generation.
**Knowledge, Skills And Abilities**
* Foundational SQL skills for querying, transforming, and validating data.
* Basic understanding of data modeling concepts for reporting and analytics.
* Enthusiasm and ability to learn cloud\-based data platforms and modern analytics tools.
* Strong attention to detail and commitment to data accuracy.
* Analytical mindset with the ability to ask good questions and investigate data issues.
* Clear communication skills and comfort working with both technical and non\-technical stakeholders.
**Qualifications**
* 1–3 years of relevant experience in data analytics, business intelligence, data engineering, or a related role.
* Bachelor’s Degree or equivalent experience in computer science, information systems, engineering, mathematics, business, or a related field.
* Experience working with SQL and relational databases.
* Exposure to reporting or analytics tools such as Power BI, Tableau, or similar platforms.
**Preferred Qualifications**
* Exposure to ETL/ELT concepts or analytics transformation frameworks.
* Familiarity with cloud\-based data platforms (Azure preferred).
* Experience with data ingestion or orchestration tools.
* Interest in data quality, automation, and scalable analytics.
* Curiosity about AI or advanced analytics techniques.
**First 90 Days**
* Gain a working understanding of existing data pipelines, data sources, and reporting datasets.
* Document key data pipelines, transformations, and data lineage
* Support recurring data processes independently with guidance.
* Build or enhance at least one production analytics dataset.
* Implement basic data validation or quality checks.
**Growth Path (Internal Expectation)**
 This role is expected to grow over time into greater ownership of data pipelines, data modeling, quality monitoring, and performance optimization, evolving toward a full Analytics Engineer role as skills and experience develop
**Key Benefits**
 In addition to your base compensation, we offer a competitive benefits package that includes monthly bonus opportunities, Medical/Rx, Dental, and Vision coverage, a retirement plan (401\-k) with a percentage match, flexible spending accounts, health savings accounts, an employee assistance program, and several other benefit options.
 Enroll in benefits coverage that is effective on your first day of employment! Further details on the benefits program are available upon request.
 Orthodontic Partners is an equal opportunity workplace. We are committed to equal employment opportunity regardless of race, color, ancestry, religion, sex, national origin, sexual orientation, age, citizenship, marital status, disability, gender identity or Veteran status.</t>
        </is>
      </c>
    </row>
    <row r="59">
      <c r="A59" t="inlineStr">
        <is>
          <t>li-4365866413</t>
        </is>
      </c>
      <c r="B59" t="inlineStr">
        <is>
          <t>Data Engineer</t>
        </is>
      </c>
      <c r="C59" t="inlineStr">
        <is>
          <t>AARATECH</t>
        </is>
      </c>
      <c r="D59" t="inlineStr">
        <is>
          <t>linkedin</t>
        </is>
      </c>
      <c r="E59">
        <f>HYPERLINK("https://www.linkedin.com/jobs/view/4365866413", "https://www.linkedin.com/jobs/view/4365866413")</f>
        <v/>
      </c>
      <c r="F59" t="inlineStr"/>
      <c r="G59" t="inlineStr"/>
      <c r="H59" t="inlineStr"/>
      <c r="I5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60">
      <c r="A60" t="inlineStr">
        <is>
          <t>li-4366191938</t>
        </is>
      </c>
      <c r="B60" t="inlineStr">
        <is>
          <t>Data Engineer</t>
        </is>
      </c>
      <c r="C60" t="inlineStr">
        <is>
          <t>The University of Kansas</t>
        </is>
      </c>
      <c r="D60" t="inlineStr">
        <is>
          <t>linkedin</t>
        </is>
      </c>
      <c r="E60">
        <f>HYPERLINK("https://www.linkedin.com/jobs/view/4366191938", "https://www.linkedin.com/jobs/view/4366191938")</f>
        <v/>
      </c>
      <c r="F60">
        <f>HYPERLINK("https://employment.ku.edu/jobs/staff/data-engineer/31995br&amp;urlHash=ig5I", "https://employment.ku.edu/jobs/staff/data-engineer/31995br&amp;urlHash=ig5I")</f>
        <v/>
      </c>
      <c r="G60" t="inlineStr">
        <is>
          <t>Lawrence, KS</t>
        </is>
      </c>
      <c r="H60" t="inlineStr"/>
      <c r="I60" t="inlineStr">
        <is>
          <t>Position Overview
 Analytics, Institutional Research, \&amp; Effectiveness (AIRE) at the University of Kansas brings together analytical and technical staff to support KU’s data strategy and data\-informed decision making. The Data Engineer plays a critical role in designing, building, and maintaining complex data systems, including data pipelines, data warehouses, and data lakes. This role is integral to enabling advanced analytics, business intelligence, and AI/ML\-powered insights across the institution. The Data Engineer will work closely with cross\-functional teams to ensure scalable, secure, and reliable data infrastructure and contribute to KU’s mission of fostering self\-service analytics and data governance.
**KU is not able to provide immigration sponsorship for this position.**
 Due to complex state employment laws, the University of Kansas may be unable to hire fully remote workers for this position outside of Kansas. Specifically, we cannot currently offer employment to candidates residing in the following states:  California, Delaware, Idaho, and Minnesota. We appreciate your understanding and invite interested individuals from eligible states to apply.
**Job Description**
**Development (50%)**
* Design, develop, and maintain scalable ETL/ELT pipelines integrating data from diverse internal and external sources.
* Develop and optimize SQL\-based processes to support data loading, transformation, and validation tasks.
* Maintain and enhance KU’s Data Warehouse and Data Lake environments to support analytics, dashboards, and operational reports.
* Support AI/ML model integration pipelines and prepare data for model training, scoring, and inferencing.
* Collaborate with BI Analysts, Data Scientists, and business stakeholders to translate requirements into performant data engineering solutions.
* Maintain and document data workflows, source\-to\-target mappings, and architecture diagrams in accordance with data governance policies.
* Ensure metadata capture and compliance with KU’s data catalog and dictionary.
**Application/Integration Support (25%)**
* Provide production support for ETL/ELT jobs, data pipelines, and cloud\-based infrastructure.
* Troubleshoot issues related to data ingestion, transformation, and availability.
* Monitor job performance and system health, coordinating with IT operations as needed.
* Participate in upgrade cycles for ETL tools, cloud platforms, and database systems.
**Testing and Validation (20%)**
* Execute data validation strategies for all data pipelines and models.
* Implement audit controls, data quality checks, and reconciliation procedures.
* Collaborate with QA teams and business users for UAT and production validation.
**Other Projects (5%)**
* Participate in campus\-wide data initiatives, pilot projects, and tool evaluations.
* Contribute to continuous improvement and innovation in KU’s data engineering practices.
**Required Qualifications**
* Bachelor’s degree in computer science, Information Technology, Engineering, Mathematics, Statistics or a related field.
* Three (3\) years of demonstrated experience using Python for scripting, automation, and data manipulation across academic, professional, or project\-based environments.
* Two (2\) years of hands\-on experience with at least one major cloud platform, such as AWS, Azure, or Google Cloud Platform.
* Exposure to integrating AI/ML workflows or components into data pipelines, through coursework, projects, or professional experience.
* Working knowledge of SQL and relational database systems (e.g., Oracle, PostgreSQL, MySQL) as evidenced by application materials.
* Excellent communication, documentation, and collaboration skills as evidenced by application materials.
*This position requires a formal degree in the cited discipline area(s) to ensure that candidates have advanced knowledge, analytical skills and professional competencies necessary to perform the duties of the position. The level of degree is commonly recognized as the standard qualification for similar roles in the public and private sector, ensuring that the university remains competitive with industry aligned practices, enhances collaboration with external partners, and supports the delivery of services and programs that meet professional and market\-driven expectations.*
**Preferred Qualifications**
* Exposure to CI/CD practices and version control systems such as Git as evidenced by application materials.
* Experience working with APIs, including data ingestion from RESTful services as evidenced by application materials.
 Additional Candidate Instructions
 In addition to the online application, the following documents are required to be considered for this position:
* Cover letter describing how you meet the required and preferred qualifications.
* Resume/CV.
* List of three (3\) professional references.
**Only complete applications will be considered.**
**Application review begins Tuesday, February 3rd. For consideration, please apply no later than Monday, February 2nd.**
 Contact Information to Applicants
 Prasanna Tadimeti
 prasanna.tadimeti@ku.edu
 Advertised Salary Range
 $71,000 \- $85,000
 Application Review Begins
 Tuesday February 3, 2026
 Anticipated Start Date
 Monday February 16, 2026</t>
        </is>
      </c>
    </row>
    <row r="61">
      <c r="A61" t="inlineStr">
        <is>
          <t>li-4356000239</t>
        </is>
      </c>
      <c r="B61" t="inlineStr">
        <is>
          <t>Databricks Data Engineer</t>
        </is>
      </c>
      <c r="C61" t="inlineStr">
        <is>
          <t>Square Peg Technologies</t>
        </is>
      </c>
      <c r="D61" t="inlineStr">
        <is>
          <t>linkedin</t>
        </is>
      </c>
      <c r="E61">
        <f>HYPERLINK("https://www.linkedin.com/jobs/view/4356000239", "https://www.linkedin.com/jobs/view/4356000239")</f>
        <v/>
      </c>
      <c r="F61">
        <f>HYPERLINK("https://www.ziprecruiter.com/jobs/square-peg-technologies-0d27a890/databricks-data-engineer-0917f0d041?tsid=123303395&amp;enc_campaign_id=e5c5742c&amp;lk=6jfY2Xqxr5cyD-2kLwkb6Q&amp;urlHash=RmIG", "https://www.ziprecruiter.com/jobs/square-peg-technologies-0d27a890/databricks-data-engineer-0917f0d041?tsid=123303395&amp;enc_campaign_id=e5c5742c&amp;lk=6jfY2Xqxr5cyD-2kLwkb6Q&amp;urlHash=RmIG")</f>
        <v/>
      </c>
      <c r="G61" t="inlineStr">
        <is>
          <t>Washington, DC</t>
        </is>
      </c>
      <c r="H61" t="inlineStr"/>
      <c r="I61" t="inlineStr">
        <is>
          <t>**Job Description**
**Clearance Required:**
 Position Requires a Top Secret (TS/SCI) Clearance with a Polygraph.
**Location:**
 Northern Virginia
**The Mission:**
 Square Peg is seeking a Data Engineer to be responsible for designing, implementing, and maintaining data pipelines for our customers. The Data Engineer will develop automated pipelines for a variety of data types and datasets. Using Databricks, which was named to both the Magic Quadrant for Cloud Database Management Systems and the Magic Quadrant for Data Science and Machine Learning Platforms, you'll using best in class technology to help our customer solve some of their most challenging data problems.
 Don't know Databricks, no problem! Sign up for our extensive training program to be a part of shaping the future of AI/ML
**Basic Qualifications:**
* Proficient with one or more programming languages (Python, SQL, Java)
* Prepare big data, implement data models and develop database to support the business solutions
* Understanding of SQL database structures and mapping data structures between different SQL databases
* Knowledge of API development techniques
* Demonstrated experience in data engineering, data processing and modeling techniques using cloud\-based data management, data science, and ML platforms such as Databricks, Splunk, Cloudera, and Snowflake.
* Demonstrated experience with cloud based database services such as Databricks and AWS
**Preferred Qualifications**
* Experience with using Apache Spark and Hadoop to conduct large\-scale data processing
* Extensive experience in Extract\-Transform\-Load (ETL) processes
* Demonstrated extensive experience with cloud services (AWS strongly preferred)
* Familiarity with open source data engineering tools and processes
**Square Peg Technologies Company Information**
 Square Peg Technologies is a boutique technology consulting firm that specializes in data solutions using the latest technologies in analytics, data science, data engineering and data management. Our mission is to develop and integrate cutting edge technology solutions that inspire our customers to push the fields of science and technology forward. Here at Square Peg, you will not get lost in a crowd. We value each person’s contribution, celebrate wins together and invest in the personal and professional development of our employees. Along with a strong positive culture that allows employees to thrive and grow, we also offer top notch benefits to include a large amount of vacation, annual bonuses, 401k matching, paid training, and 100% health care coverage.
 At Square Peg Tech, we aim to be at the forefront of technology and innovation. Our ideal candidate must be forward leaning and eager to engage with customers, academia and industry leaders on the future applications of AI/ML, as well as best practices in advanced analytics. With a firm footprint in the Intelligence Community, Square Peg Tech is looking to expand its capabilities into the Department of Defense, NASA and other prominent government agencies.</t>
        </is>
      </c>
    </row>
    <row r="62">
      <c r="A62" t="inlineStr">
        <is>
          <t>li-4365867170</t>
        </is>
      </c>
      <c r="B62" t="inlineStr">
        <is>
          <t>Data Engineer II</t>
        </is>
      </c>
      <c r="C62" t="inlineStr">
        <is>
          <t>Mirion Technologies</t>
        </is>
      </c>
      <c r="D62" t="inlineStr">
        <is>
          <t>linkedin</t>
        </is>
      </c>
      <c r="E62">
        <f>HYPERLINK("https://www.linkedin.com/jobs/view/4365867170", "https://www.linkedin.com/jobs/view/4365867170")</f>
        <v/>
      </c>
      <c r="F62" t="inlineStr"/>
      <c r="G62" t="inlineStr">
        <is>
          <t>Atlanta, GA</t>
        </is>
      </c>
      <c r="H62" t="inlineStr"/>
      <c r="I62" t="inlineStr">
        <is>
          <t>Mid\-level data engineer responsible for designing, building, and maintaining data pipelines, data models, and data infrastructure to support analytics and AI initiatives. Additionally, design and build reusable data pipeline components and frameworks, to accelerate the growth of new data initiatives at Mirion.
**Responsibilities**
* Design and implement scalable data pipelines using Spark, Azure Databricks, and similar tools.
* Build and optimize data models and dimensional schemas for both analytics and AI/ML use\-cases.
* Develop data quality checks and monitoring to ensure data integrity.
* Write efficient SQL queries and optimize data warehouse performance.
* Collaborate with analytics and data science teams to understand data requirements
* Contribute to data documentation and best practices across the platform.
* Troubleshoot data pipeline failures and optimize for performance
**Minimum Qualifications**
* 2\-4 years experience in data engineering, analytics engineering, or related field.
* Strong SQL expertise and experience with data warehouses (Snowflake, BigQuery, Redshift,etc.).
* Experience building and maintaining data pipelines using Spark, Airflow, or similar tools.
* Proficiency in Python or Scala for data processing.
* Understanding of data modeling, ETL/ELT concepts, and dimensional design.
* Experience with cloud platforms (AWS, GCP, or Azure)
**Preferred Qualifications**
* Experience with Databricks or Delta Lake.
* Experience with real\-time data streaming (Kafka, Kinesis).
* Experience managing infrastructure in Azure or AWS cloud.
* Knowledge of data governance and metadata management.
* Background in building data platforms from scratch.</t>
        </is>
      </c>
    </row>
    <row r="63">
      <c r="A63" t="inlineStr">
        <is>
          <t>li-4366183194</t>
        </is>
      </c>
      <c r="B63" t="inlineStr">
        <is>
          <t>Data Engineer</t>
        </is>
      </c>
      <c r="C63" t="inlineStr">
        <is>
          <t>Wiraa</t>
        </is>
      </c>
      <c r="D63" t="inlineStr">
        <is>
          <t>linkedin</t>
        </is>
      </c>
      <c r="E63">
        <f>HYPERLINK("https://www.linkedin.com/jobs/view/4366183194", "https://www.linkedin.com/jobs/view/4366183194")</f>
        <v/>
      </c>
      <c r="F63">
        <f>HYPERLINK("https://www.wiraa.com/job-description/us14C78B5164C08BE11A581FC3DD685E61?source=Linkedin&amp;urlHash=ApEd", "https://www.wiraa.com/job-description/us14C78B5164C08BE11A581FC3DD685E61?source=Linkedin&amp;urlHash=ApEd")</f>
        <v/>
      </c>
      <c r="G63" t="inlineStr"/>
      <c r="H63" t="inlineStr"/>
      <c r="I63" t="inlineStr">
        <is>
          <t>**About The Company**
 Fusemachines is a leading provider of AI strategy, talent, and education services dedicated to democratizing artificial intelligence worldwide. Founded by Sameer Maskey Ph.D., an esteemed academic and adjunct associate professor at Columbia University, Fusemachines has established a strong global presence with operations in Nepal, the United States, Canada, the Dominican Republic, and other regions. With a team of over 450 employees, the company leverages its extensive expertise in AI to help organizations across various industries transform their operations through innovative technology solutions. Fusemachines is committed to fostering a diverse and inclusive environment, promoting continuous learning, and delivering impactful AI\-driven results to its clients.
**About The Role**
 This is a remote, full\-time position designed for a highly skilled Senior Data Engineer/Technical Lead. The successful candidate will be responsible for designing, developing, testing, and maintaining robust data infrastructure and pipelines that support data integration, storage, processing, and analytics. The role involves managing data flow controls, ensuring high data quality, and facilitating accessibility for business intelligence and advanced analytics initiatives. The ideal candidate will possess a strong programming foundation, particularly in Python, SQL, and PySpark, and have substantial experience working with AWS cloud\-based large\-scale data solutions. Additionally, familiarity with GCP and experience in migrating data systems from AWS to GCP will be highly valued. This position offers an excellent opportunity for a proactive leader to contribute immediately, guide technical teams, and influence architecture decisions within an Agile environment. The role emphasizes a focus on data quality, performance optimization, and cost efficiency, supporting the company's strategic goals through innovative data engineering practices.
**Qualifications**
* Bachelor’s degree in Computer Science, Information Systems, Engineering, or a related field.
* Minimum of 5 years of experience in data engineering within AWS and GCP environments, with relevant certifications preferred.
* Proficiency in Python, SQL, and PySpark for large\-scale data processing and pipeline development.
* Experience designing and optimizing data architectures, data lakes, and data warehouses, including batch and real\-time processing.
* Strong knowledge of AWS services such as Lambda, Kinesis, Redshift, S3, EMR, EC2, IAM, and CloudWatch.
* Hands\-on experience with orchestration tools like Airflow or Composer, and DevOps practices including GitHub, CI/CD pipelines, and Terraform.
* Expertise in data modeling, database design, and familiarity with relational and NoSQL databases such as MySQL, Postgres, Cassandra, and MongoDB.
* Excellent problem\-solving, leadership, and project management skills, with the ability to collaborate across teams and communicate effectively with technical and non\-technical stakeholders.
* Experience with data governance, cataloging, lineage, and quality frameworks.
* Knowledge of GCP services and experience in cloud migration projects are highly desirable.
**Responsibilities**
* Design, implement, deploy, test, and maintain scalable and efficient data architectures, establishing standards and best practices for data management.
* Ensure the reliability, performance, and quality of data systems, proactively addressing bottlenecks and incidents.
* Mentor and guide junior and mid\-level data engineers, fostering a collaborative team environment.
* Collaborate with product managers, engineers, data scientists, and analysts to understand data requirements and develop reusable, scalable data solutions.
* Evaluate and adopt new technologies, tools, and methodologies to enhance data integration, processing, and analytics capabilities.
* Develop architecture, observability, and testing strategies to ensure robust and reliable data pipelines and infrastructure.
* Manage storage layers, including schema design, indexing, and performance tuning for optimal data access and manipulation.
* Resolve complex data engineering issues swiftly, including SQL query optimization and database performance enhancements.
* Conduct discovery and assessment of existing data infrastructure, proposing modernized architecture solutions.
* Implement data governance practices, including data cataloging, lineage, and quality management frameworks aligned with industry standards.
* Document data engineering architectures, processes, and data flows for transparency and future reference.
* Participate actively in Agile ceremonies, contributing to continuous improvement initiatives within the team.
**Benefits**
* Competitive salary package commensurate with experience and skills.
* Flexible remote working arrangements to promote work\-life balance.
* Opportunities for professional development and certifications.
* Inclusive and diverse work environment that fosters innovation and collaboration.
* Access to cutting\-edge tools and technologies in AI and data engineering.
* Participation in impactful projects that drive organizational growth and strategic decision\-making.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protected veteran status, or any other legally protected group.</t>
        </is>
      </c>
    </row>
    <row r="64">
      <c r="A64" t="inlineStr">
        <is>
          <t>li-4356010048</t>
        </is>
      </c>
      <c r="B64" t="inlineStr">
        <is>
          <t>Associate Data Engineer</t>
        </is>
      </c>
      <c r="C64" t="inlineStr">
        <is>
          <t>Infoblox</t>
        </is>
      </c>
      <c r="D64" t="inlineStr">
        <is>
          <t>linkedin</t>
        </is>
      </c>
      <c r="E64">
        <f>HYPERLINK("https://www.linkedin.com/jobs/view/4356010048", "https://www.linkedin.com/jobs/view/4356010048")</f>
        <v/>
      </c>
      <c r="F64">
        <f>HYPERLINK("https://efpv.fa.us6.oraclecloud.com/hcmUI/CandidateExperience/en/job/7243/?utm_medium=jobboard&amp;utm_source=linkedin&amp;urlHash=dCPD", "https://efpv.fa.us6.oraclecloud.com/hcmUI/CandidateExperience/en/job/7243/?utm_medium=jobboard&amp;utm_source=linkedin&amp;urlHash=dCPD")</f>
        <v/>
      </c>
      <c r="G64" t="inlineStr">
        <is>
          <t>Tacoma, WA</t>
        </is>
      </c>
      <c r="H64" t="inlineStr"/>
      <c r="I64" t="inlineStr">
        <is>
          <t>**Job Description**
 At Infoblox, every breakthrough begins with a bold “what if.” What if your ideas could ignite global innovation? What if your curiosity could redefine the future?
 We invite you to step into the next exciting chapter of your career journey. Bring your creativity, drive, your daring spirit, and feel what it’s like to thrive on a team big enough to make an impact, yet small enough to make a difference. Our cloud\-first networking and security solutions already protect 70% of the Fortune 500, and we’re looking for creative thinkers ready to push that influence even further. Join us and discover how far your bold “what if” can take the world, your community, and your career.
 How we empower our people is extraordinary: we’re recognized as a Glassdoor Best Place to Work 2025, Great Place to Work\-Certified in five countries, and honored by Cigna as a Healthy Workforce honors for three consecutive years; And what we build is world class: named CybersecAsia’s Best in Critical Infrastructure 2024 — clear evidence that when first\-class technology meets empowered talent, remarkable careers take shape. So, what if the next big idea, and the next great career story, comes from you? Become the force that turns every “what if” into “what’s next”.
 In a world where you can be anything, Be Infoblox.
**Associate Data Engineer**
 We have an opportunity for an Associate Data Engineer to join our Data Engineering Team in Tacoma, reporting to the Director, Engineering. In this pivotal role, you will be at the heart of enabling data\-driven insights across customer networks. Collaborating closely with data scientists and analysts, you will work to curate and deliver high\-quality data that powers key business and product decisions.
**Be a Contributor — What You’ll Do**
* Curate and manage large\-scale data from multiple sources to support data science and threat analytics research and development.
* Design and implement data source monitoring using summarization, statistical methods, and anomaly detection.
* Apply computer science algorithms, including probabilistic data structures, to extract insights from large datasets.
* Productionize prototypes into scalable data engineering solutions using Spark optimizations and modern CI/CD pipelines.
* Build and maintain a robust research cloud environment with a focus on reliability, monitoring, and architecture improvements.
* Collaborate with software engineers on the design, implementation, and deployment of data\-driven applications.
* Enable data scientists and analysts by supporting Spark application development, debugging, and deployment.
* Establish and maintain consistent schemas and workflows to reduce onboarding time and tribal knowledge.
* Build and maintain tooling for automation, deployment, monitoring, and operational excellence.
* Investigate, debug, and resolve issues across development, test, and production environments.
**Be Prepared — What You Bring**
* Experience with Python3 and Spark. Scala experience is helpful.
* Exposure to data engineering, data science, and related data\-centric fields using large\-scale data environments.
* Proficient in Object Oriented Design and S.O.L.I.D principles.
* Strong emphasis on unit testing and code quality.
* Experience with bash shell script on Linux or MacOS.
* Experience with async, threading, parallel programming.
* BS in Computer Science or a related field, or equivalent work experience required.
**Be Successful — Your Path**
**First 90 Days** 
 : Immerse in our culture, connect with mentors (Blox Buddies), and map the systems and meet with key stakeholders that rely on your work. Discuss and create short/long term goals.
**Six Months** 
 : Focus on mastering the tech stack (Python, Spark, Databricks) and understanding data sources, workflows, and pipelines. Contribute to production\-ready code by submitting PRs, adding unit tests, and refactoring or porting legacy scripts. Assist data scientists and analysts in curating large datasets and converting prototypes into production\-ready solutions. Develop basic data quality monitoring scripts and demonstrate the ability to handle well\-scoped tasks independently while actively participating in design discussions and sprint ceremonies.
**One Year** 
 : Own and deliver at least one end\-to\-end data pipeline, driving improvements in performance, reliability, or cost\-efficiency. Implement advanced monitoring, automation, and schema management strategies for critical data sources. Consistently contribute high\-quality, tested code while reviewing peers’ work and providing constructive feedback. Act as a go\-to engineer for specific data domains, mentor new hires, and propose innovative approaches to data modeling or summarization that enhance analytics capabilities and long\-term platform scalability.
**Belong— Your Community**
 Our culture thrives on inclusion, rewarding the bold ideas, curiosity, and creativity that move us forward. In a community where every voice counts, continuous learning is the norm. So, whether you code, create, sell, or care for customers, you’ll grow and belong here.
**Be Rewarded — Benefits That Help You Grow, Thrive, Belong**
* Comprehensive health coverage, generous PTO, and flexible work options
* Learning opportunities, career\-mobility programs, and leadership workshops
* Sixteen paid volunteer hours each year, global employee resource groups, and a “No Jerks” policy that keeps collaboration healthy
* Modern offices with EV charging, healthy snacks (and the occasional cupcake), plus hackathons, game nights, and culture celebrations
* Charitable Giving Program supported by Company Match
* We practice pay transparency and reward performance. Offers reflect role location, internal equity, experience, skills, education, and certifications. Base salary for this position: $81,500 \- $117,370 plus annual bonus.
**Ready to Be the Difference?**
 Infoblox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t>
        </is>
      </c>
    </row>
    <row r="65">
      <c r="A65" t="inlineStr">
        <is>
          <t>li-4365868286</t>
        </is>
      </c>
      <c r="B65" t="inlineStr">
        <is>
          <t>Data Engineer</t>
        </is>
      </c>
      <c r="C65" t="inlineStr">
        <is>
          <t>AARATECH</t>
        </is>
      </c>
      <c r="D65" t="inlineStr">
        <is>
          <t>linkedin</t>
        </is>
      </c>
      <c r="E65">
        <f>HYPERLINK("https://www.linkedin.com/jobs/view/4365868286", "https://www.linkedin.com/jobs/view/4365868286")</f>
        <v/>
      </c>
      <c r="F65" t="inlineStr"/>
      <c r="G65" t="inlineStr"/>
      <c r="H65" t="inlineStr"/>
      <c r="I65"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66">
      <c r="A66" t="inlineStr">
        <is>
          <t>li-4366234573</t>
        </is>
      </c>
      <c r="B66" t="inlineStr">
        <is>
          <t>Data Engineer, People Analytics</t>
        </is>
      </c>
      <c r="C66" t="inlineStr">
        <is>
          <t>Crusoe</t>
        </is>
      </c>
      <c r="D66" t="inlineStr">
        <is>
          <t>linkedin</t>
        </is>
      </c>
      <c r="E66">
        <f>HYPERLINK("https://www.linkedin.com/jobs/view/4366234573", "https://www.linkedin.com/jobs/view/4366234573")</f>
        <v/>
      </c>
      <c r="F66">
        <f>HYPERLINK("https://jobs.ashbyhq.com/Crusoe/ea2bceb6-bec6-441c-9577-c849da876022&amp;urlHash=RPHq", "https://jobs.ashbyhq.com/Crusoe/ea2bceb6-bec6-441c-9577-c849da876022&amp;urlHash=RPHq")</f>
        <v/>
      </c>
      <c r="G66" t="inlineStr"/>
      <c r="H66" t="inlineStr"/>
      <c r="I66"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 Data Engineer is a builder, an innovator, and a trusted strategic partner. You will sit at the intersection of data engineering, business consulting, and applied AI.
 In this role, you will do more than just manage pipelines; you will architect and build the infrastructure powering the People Analytics team’s insights and product suite. You will champion the use of practical AI and machine learning to modernize how we understand our workforce—from analyzing unstructured sentiment to predicting talent trends. You will own the full stack—extracting data from HCM and ATS Systems like Rippling and Ashby, modeling it in Google Cloud Platform, and bringing it to life in self\-service products—while partnering with leaders to design innovative workplace solutions that scale our culture.
**What You'll Be Working On:**
* Full\-Stack Data Engineering: Build and maintain resilient ETL pipelines to centralize data from our core HCM and ATS systems into Google Cloud Platform, Big Query, and other people analytics products.
* Semantic Modeling \&amp; Self\-Service: Architect a robust semantic data layer (using dbt) that translates raw database schemas into business\-friendly logic. You will enable non\-technical leaders to ask natural language questions and get accurate answers.
* Applied AI \&amp; Predictive Analytics: Leverage AI and LLMs to unlock insights from unstructured data (e.g., engagement survey comments, interview feedback) and build predictive models for attrition and headcount planning.
* Innovative Workplace Solutions: Go beyond dashboards to design data products that solve operational problems. This could mean automating manual HR workflows, building custom apps for internal mobility, or using data to redesign our organizational structure.
* Consultative Partnership: Partner proactively with Talent, Finance, and People leaders. You will translate vague business anxieties into rigorous data questions, consulting on the "art of the possible" with modern analytics.
* Visualization \&amp; Storytelling: Design and deploy high\-impact Sigma workbooks that guide executives through complex narratives, ensuring data is not just viewed, but acted upon.
**What You'll Bring to the Team:**
* The "Hybrid" Skill Set: You are an Engineer who thinks like a Consultant. You love writing clean Python/SQL code, but you are equally passionate about solving human\-centric business problems.
* Core Tech Stack Mastery:
+ Warehouse: Deep experience managing data in Google Cloud Platform
+ Visualization: Expert proficiency in Sigma or similar BI platforms. You know how to use input tables, workbook parameters, and materialized views to build interactive tools.
+ HR/Recruiting Systems: Hands\-on experience with Ashby, Rippling, or similar. You understand their API nuances and schemas.
* Semantic Architecture: Experience building semantic layers that create context based in business logic from raw data, ensuring consistency across all reporting.
* AI/ML Curiosity: Experience or strong interest in applying AI/ML techniques (NLP, regression analysis, etc.) to people data. You want to use the tools Crusoe is empowering the world to build.
* Communication: You can explain complex data architectures to non\-technical stakeholders and act as a trusted advisor on data strategy
**Bonus Skills:**
* Experience deploying or working with People Analytics SaaS platforms
* Experience with Sigma.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up to $135,000 \-$164,00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67">
      <c r="A67" t="inlineStr">
        <is>
          <t>li-4366221851</t>
        </is>
      </c>
      <c r="B67" t="inlineStr">
        <is>
          <t>Senior Data Engineer</t>
        </is>
      </c>
      <c r="C67" t="inlineStr">
        <is>
          <t>Kforce Inc</t>
        </is>
      </c>
      <c r="D67" t="inlineStr">
        <is>
          <t>linkedin</t>
        </is>
      </c>
      <c r="E67">
        <f>HYPERLINK("https://www.linkedin.com/jobs/view/4366221851", "https://www.linkedin.com/jobs/view/4366221851")</f>
        <v/>
      </c>
      <c r="F67" t="inlineStr"/>
      <c r="G67" t="inlineStr">
        <is>
          <t>Woodbury, NY</t>
        </is>
      </c>
      <c r="H67" t="inlineStr"/>
      <c r="I67" t="inlineStr">
        <is>
          <t>**Responsibilities**
 Kforce has a client in Woodbury, NY that is seeking a Senior Data Engineer. Summary: The Senior Data Engineer owns the design, implementation, and evolution of Stanton's enterprise data platform. This role is accountable for ETL pipelines, data warehouse and lakehouse architecture, and enterprise data modeling as Stanton transitions from an on\-premise SQL environment to a modern cloud\-based analytics platform. This company is in the process of establishing Microsoft Fabric as the future\-state data platform. The Senior Data Engineer will define standards, shape architecture, and lead the transition from existing on\-premise SQL stored procedures to a scalable, governed analytics environment. Core Responsibilities:
* Design and implement the Microsoft Fabric lakehouse and data warehouse, and lead the transition from on\-premise SQL\-based solutions
* Develop and maintain ETL and ELT pipelines using Fabric Data Factory, SQL, and notebooks
* Apply scripting or notebook\-based approaches, including Python where appropriate, for data transformation, automation, and data quality enforcement
* Integrate data from AS400 ERP, Salesforce, HubSpot, and other SaaS platforms
* Design analytical data models, fact and dimension tables, and curated data marts
* Optimize platform performance, scalability, reliability, and cost
* Support and stabilize existing Tableau datasets and dashboards
* Evaluate Power BI adoption and define migration approach and standards
* Implement data quality checks, monitoring, and governance controls
* Maintain documentation for pipelines, models, and integration patterns
* Partner with IT and business stakeholders to translate requirements into data solutions
**Requirements**
* Bachelor's degree in Computer Science, Information Systems, or equivalent experience
* 5\+ years of experience in data engineering, including enterprise data warehouse and analytics platforms
* Advanced SQL skills with strong analytical and enterprise data modeling experience
* Experience designing and operating data warehouse, lake, or lakehouse architectures in a cloud environment
* Experience integrating ERP systems, CRM, and SaaS data sources
* Experience supporting BI tools, including Tableau and Power BI
* Strong communication skills with technical and business teams
**Preferred Experience**
* Azure Synapse, Data Factory, or Databricks
* Salesforce and HubSpot data models and APIs
* Data governance, quality frameworks, and access controls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68">
      <c r="A68" t="inlineStr">
        <is>
          <t>li-4355942257</t>
        </is>
      </c>
      <c r="B68" t="inlineStr">
        <is>
          <t>Senior Data Engineer</t>
        </is>
      </c>
      <c r="C68" t="inlineStr">
        <is>
          <t>Retell AI</t>
        </is>
      </c>
      <c r="D68" t="inlineStr">
        <is>
          <t>linkedin</t>
        </is>
      </c>
      <c r="E68">
        <f>HYPERLINK("https://www.linkedin.com/jobs/view/4355942257", "https://www.linkedin.com/jobs/view/4355942257")</f>
        <v/>
      </c>
      <c r="F68">
        <f>HYPERLINK("https://jobs.ashbyhq.com/retell-ai/ce39e733-ac36-481a-bf7b-e2be511441c3?utm_source=LinkedInPaid&amp;urlHash=f-yw", "https://jobs.ashbyhq.com/retell-ai/ce39e733-ac36-481a-bf7b-e2be511441c3?utm_source=LinkedInPaid&amp;urlHash=f-yw")</f>
        <v/>
      </c>
      <c r="G68" t="inlineStr"/>
      <c r="H68" t="inlineStr"/>
      <c r="I68"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In 2026, We are expanding our vision to build a CX platform of the AI era where the entire contact center is reimagined as a team of AI employees. We are moving beyond mechanical automation that relies on human finetuning to instead transform core functions into intelligent, opinionated AI roles. Frontline agents, QA analysts, and managers now operate as distinct digital workers that serve as the new interface for customer experience. They execute, monitor, and improve continuously to create a system where software behaves like an organization.
 We’re scaling fast, and we’re looking for bold, ambitious people to help us build the gold standard for voice automation. If you want to work on deeply technical challenges, move fast, and make an outsized impact at one of the fastest\-growing Voice AI startups in the world, you’ll love it here.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Founding Senior Data Engineer at Retell, you will build the company’s analytics foundation from the ground up. You will own how data flows, how metrics are defined, and how decisions get made across Product, GTM, Finance, and Infrastructure.
 This is a highly technical, high\-leverage role. You’ll work directly with the founders and functional leads to turn raw data from product events, billing systems, CRMs, and internal services into reliable insights that shape strategy, pricing, hiring, and product direction.
 If you enjoy building end\-to\-end analytics systems, care deeply about data correctness, and want real ownership at an early\-stage AI company, this role is for you.
**Key Responsibilities**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Develop insightful and reliable dashboards to track performance of core metrics that will deliver insights to the whole company
* Become an expert in our organization’s data models and the company's data architecture
* Ensure the security, integrity, and compliance of data according to industry and company standards.
 YOU MIGHT THRIVE IF
* Have a Bachelor’s degree in Computer Science, Data Engineering, Data Science, or a closely related technical field.
* Have 3\+ years of experience as a Data Engineer, Analytics Engineer, Data Analyst, or in a similar analytics\-focused role.
* Write production\-quality SQL and are comfortable with Python or similar languages.
* Have experience partnering closely with Product and GTM teams to define metrics that actually drive decisions.
* Have worked at a startup or fast\-growing company and are comfortable with ambiguity.
* Think in systems and care deeply about metric definitions and data correctness.
* Can translate messy business questions into clean, reliable analytical models.
* Enjoy owning problems end\-to\-end rather than operating within a narrow scope.
**JOB DETAILS**
* Cash: $170,000 \- $250,000 base salary
* Equity: Offers Equity
* Location: Redwood City, CA, US (Relocation Provided)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high performers.
* High Ownership: Small teams, \&gt;$1M revenue/employee, and significant equity.
* Performance\-Based: Offers tied to interview performance, not experience or past salaries.
 INTERVIEW PROCESS
* Recruiter Intro Call (15 min): Discuss your background and motivation, and give you a chance to learn about us.
* Technical First Round (45 min): This round will assess your data engineering fundamentals.
* Onsite (3 hours):
+ Technical Deep Dive: Data modeling, pipelines, and analytics systems
+ Analytics \&amp; Metrics: Cohort analysis, metric design, and trade\-offs
+ Business Judgment: Turning data into decisions</t>
        </is>
      </c>
    </row>
    <row r="69">
      <c r="A69" t="inlineStr">
        <is>
          <t>li-4355907982</t>
        </is>
      </c>
      <c r="B69" t="inlineStr">
        <is>
          <t>Senior Data Engineer</t>
        </is>
      </c>
      <c r="C69" t="inlineStr">
        <is>
          <t>GENNTE Technologies</t>
        </is>
      </c>
      <c r="D69" t="inlineStr">
        <is>
          <t>linkedin</t>
        </is>
      </c>
      <c r="E69">
        <f>HYPERLINK("https://www.linkedin.com/jobs/view/4355907982", "https://www.linkedin.com/jobs/view/4355907982")</f>
        <v/>
      </c>
      <c r="F69" t="inlineStr"/>
      <c r="G69" t="inlineStr"/>
      <c r="H69" t="inlineStr"/>
      <c r="I69" t="inlineStr">
        <is>
          <t>**Job Summary:** 
 We are seeking experienced Data Engineers to support a high\-impact data modernization initiative. The ideal candidate will be responsible for building and maintaining scalable data pipelines and foundational components of Datawarehouse. This role requires strong technical expertise, the ability to work independently, and collaboration with client teams.
**Key Responsibilities:** 
* Design, develop, and maintain robust data pipelines aligned with medallion architecture principles.
* Source and integrate data from diverse systems including Oracle, MSSQL, MarkLogic, SAS, DB2, and Mainframe.
* Collaborate with client stakeholders to gather requirements and deliver solutions independently or as part of a team.
* Ensure data quality, consistency, and reliability across ingestion and transformation processes.
* Participate in code reviews, performance tuning, and documentation of data workflows.
**Required Skills \&amp; Qualifications:** 
* 10\+ years of hands\-on experience in Data Engineering.
* Proficiency in building data pipelines using AWS, Snowflake, and Flexter.
* Strong knowledge of ETL processes and data integration from multiple sources.
* Familiarity with medallion architecture and modern data lakehouse concepts.
* Experience with scripting and programming languages such as Python and SQL.
* Understanding of MDM and reference data management concepts.
* Excellent communication and problem\-solving skills.
* Insurance domain experience is a plus but not mandatory.</t>
        </is>
      </c>
    </row>
    <row r="70">
      <c r="A70" t="inlineStr">
        <is>
          <t>li-4365874152</t>
        </is>
      </c>
      <c r="B70" t="inlineStr">
        <is>
          <t>Analytics Engineer</t>
        </is>
      </c>
      <c r="C70" t="inlineStr">
        <is>
          <t>RemoteHunter</t>
        </is>
      </c>
      <c r="D70" t="inlineStr">
        <is>
          <t>linkedin</t>
        </is>
      </c>
      <c r="E70">
        <f>HYPERLINK("https://www.linkedin.com/jobs/view/4365874152", "https://www.linkedin.com/jobs/view/4365874152")</f>
        <v/>
      </c>
      <c r="F70">
        <f>HYPERLINK("https://www.remotehunter.com/apply-with-ai/3be3b001-19d3-4473-9f6a-2215bdd9821d?utm_medium=job_posting&amp;utm_source=linkedin&amp;utm_campaign=analytics_engineer_remote&amp;utm_category=analytics_engineer&amp;utm_term=analytics_engineer&amp;urlHash=ZWGl", "https://www.remotehunter.com/apply-with-ai/3be3b001-19d3-4473-9f6a-2215bdd9821d?utm_medium=job_posting&amp;utm_source=linkedin&amp;utm_campaign=analytics_engineer_remote&amp;utm_category=analytics_engineer&amp;utm_term=analytics_engineer&amp;urlHash=ZWGl")</f>
        <v/>
      </c>
      <c r="G70" t="inlineStr"/>
      <c r="H70" t="inlineStr"/>
      <c r="I70"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1">
      <c r="A71" t="inlineStr">
        <is>
          <t>li-4366216144</t>
        </is>
      </c>
      <c r="B71" t="inlineStr">
        <is>
          <t>Senior Data Engineer</t>
        </is>
      </c>
      <c r="C71" t="inlineStr">
        <is>
          <t>Lasso Informatics</t>
        </is>
      </c>
      <c r="D71" t="inlineStr">
        <is>
          <t>linkedin</t>
        </is>
      </c>
      <c r="E71">
        <f>HYPERLINK("https://www.linkedin.com/jobs/view/4366216144", "https://www.linkedin.com/jobs/view/4366216144")</f>
        <v/>
      </c>
      <c r="F71" t="inlineStr"/>
      <c r="G71" t="inlineStr">
        <is>
          <t>Minneapolis, MN</t>
        </is>
      </c>
      <c r="H71" t="inlineStr"/>
      <c r="I71" t="inlineStr">
        <is>
          <t>**Senior Data Engineer – ETL \&amp; Integrations** 
**About Lasso Informatics** 
 Lasso Informatics is a SaaS start\-up with a live research data management and analysis platform that brings together multi\-modal (imaging, genetics, behavioral, and biosample) data for large\-scale studies. Thousands of researchers across the globe rely on our platform today, and we are rapidly iterating and improving to push the boundaries of what is possible in research data management.
 We live to innovate, and empower scientists to focus on the science, not the technology, leading to a faster time to science and cure.
 Our team is incredibly diverse both by background and expertise, and that is not by accident. We believe that the most creative and powerful solutions come from different ways of thinking about the world. You will be working in an inspiring ecosystem alongside world\-renowned professionals in medicine, physics, engineering, imaging, epidemiology, software development, and genetics. We thrive on empowering our colleagues to be thought leaders and innovate fresh new solutions for an exciting and rapidly changing field.
**About the Role** 
 This is a senior\-level data engineering and systems integration role focused on building and operating production\-grade ETL pipelines and integrations. You will work across data ingestion, transformation, and loading while leveraging a BPMN\-based workflow engine to model and manage process flows where appropriate. The role sits at the intersection of data engineering, backend development, and workflow\-driven systems, with a clear distinction between ETL responsibilities and workflow orchestration capabilities.
**Key Responsibilities** 
* Design, build, and operate end\-to\-end ETL pipelines and data integrations
* Develop BPMN\-based workflows to model and manage complex process flows
* Build integration services and transformation logic in Java and Python
* Integrate internal and external systems using REST APIs, API gateways, and asynchronous messaging
* Apply appropriate data transformation and loading strategies (batch and near\-real\-time)
* Design and optimize PostgreSQL schemas, queries, indexes, and bulk loading mechanisms
* Work with structured and semi\-structured data formats (JSON, CSV, XML, Parquet, Avro)
* Ensure data quality, consistency, and reliability through validation, deduplication, and idempotency
* Monitor, troubleshoot, and optimize production ETL pipelines and integration services
* Collaborate with engineering, product, and external partners on integration contracts and data models
* Document ETL pipelines, workflows, schemas, and operational procedures
**Required Skills \&amp; Experience** 
* 5\+ years of experience in data engineering, ETL, or systems integration roles
* Strong experience building and operating production ETL pipelines
* Proficiency in Python and/or Java in backend or data\-processing environments
* Strong PostgreSQL and SQL experience, including performance tuning
* Hands\-on experience with data transformation and loading techniques (ETL vs ELT, incremental loads, CDC concepts)
* Experience integrating systems via REST APIs and API gateways
* Experience working with BPMN\-based workflow engines or workflow modeling tools
* Experience operating distributed systems in production environments
* Strong troubleshooting, debugging, and operational mindset
* Familiarity with common architectural patterns (e.g., layered architectures, event\-driven systems, integration patterns)
**Nice\-to\-Haves** 
* Experience with specific BPMN workflow engines such as Camunda, Zeebe, or Flowable
* Experience with event\-driven architectures or message queues
* Cloud platforms experience (AWS, GCP, or Azure)
* Docker and Kubernetes experience
* CI/CD pipelines for data or backend systems
* Experience working in regulated or compliance\-driven environments
**What Lasso Offers** 
* Competitive salary and benefits package
* In\-office work culture with required presence Tuesday through Thursday
* Opportunities for leadership and professional growth
* Collaborative team committed to innovation, quality, and scientific impact
* Access to training resources and ongoing professional development</t>
        </is>
      </c>
    </row>
    <row r="72">
      <c r="A72" t="inlineStr">
        <is>
          <t>li-4366224407</t>
        </is>
      </c>
      <c r="B72" t="inlineStr">
        <is>
          <t>Senior Principal Data Engineer</t>
        </is>
      </c>
      <c r="C72" t="inlineStr">
        <is>
          <t>Atlassian</t>
        </is>
      </c>
      <c r="D72" t="inlineStr">
        <is>
          <t>linkedin</t>
        </is>
      </c>
      <c r="E72">
        <f>HYPERLINK("https://www.linkedin.com/jobs/view/4366224407", "https://www.linkedin.com/jobs/view/4366224407")</f>
        <v/>
      </c>
      <c r="F72" t="inlineStr"/>
      <c r="G72" t="inlineStr">
        <is>
          <t>San Francisco, CA</t>
        </is>
      </c>
      <c r="H72" t="inlineStr"/>
      <c r="I7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Atlassian is looking for a Senior Principal Data Engineer to join our Data Engineering Team and play a Sr.tech lead \&amp; architect role to build world\-class data solutions and applications that power crucial business decisions throughout the organization. We are looking for an open\-minded, structured thinker who is passionate about building systems at scale, understand industry trends and help elevate engineering standards which enable business outcomes. You will enable a world\-class engineering practice, drive the approach with which we use data, develop backend systems and data models to serve the needs of insights and play an active role in building Atlassian's data\-driven culture.
* Own the technical evolution of the data engineering capabilities and be responsible for ensuring solutions are being delivered incrementally, meeting outcomes, and promptly escalating risks and issues
* Establish a deep understanding of how things work in data engineering, use this to direct and coordinate the technical aspects of work across data engineering, and systematically improve productivity across the teams.
* Maintain a high bar for operational data quality and proactively address performance, scale, complexity and security considerations.
* Drive complex decisions that can impact the work in data engineering. Set the technical direction and balance customer and business needs with long\-term maintainability \&amp; scale.
* Understand and define the problem space, and architect solutions. Coordinate a team of engineers towards implementing them, unblocking them along the way if necessary.
* Lead a team of data engineers through mentoring and coaching, work closely with the engineering manager, and provide consistent feedback to help them manage and grow the team
* Work with close counterparts in other departments as part of a multi\-functional team, and build this culture in your team.
**Qualifications**
* You have 12\+ years of experience in a Data Engineer role as an individual contributor.
* You have at least 3 years of experience as a tech lead for a Data Engineering team.
* You are an engineer with a track record of driving and delivering large (multi\-person or multi\-team) and complex efforts.
* You are a great communicator and maintain many of the essential cross\-team and cross\-functional relationships necessary for the team's success. Partner closely with Product Managers/Engineers/Researchers/Data Engineers/Marketers/Privacy and Executive teams across Atlassian to drive and influence.
* Experience with building streaming pipelines with a micro\-services architecture for low\-latency analytics.
* Experience working with varied forms of data infrastructure, including relational databases (e.g. SQL), Spark, and column stores (e.g. Redshift)
* Experience building scalable data pipelines using Spark using Airflow scheduler/executor framework or similar scheduling tools.
* Experience working in a technical environment with the latest technologies like AWS data services (Redshift, Athena, EMR) or similar Apache projects (Spark, Flink, Hive, or Kafka).
* Understanding of Data Engineering tools/frameworks and standards to improve the productivity and quality of output for Data Engineers across the team.
* Industry experience working with large\-scale, high\-performance data processing systems (batch and streaming) with a "Streaming First" mindset to drive Atlassian's business growth and improve the product experience.
**We'd Be Super Excited If You Have**
* Built and designed Kappa or Lambda architecture data platforms and services.
* Experience implementing Master Data Management (MDM) solutions.
* Built pipelines using Databricks and is well\-versed with their APIs.
* Experience in suggesting AI for Data Engineering to improve productivity and impact.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234000 \- USD 305500
 Zone B: USD 210600 \- USD 274950
 Zone C: USD 194400 \- USD 253800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3">
      <c r="A73" t="inlineStr">
        <is>
          <t>li-4366162598</t>
        </is>
      </c>
      <c r="B73" t="inlineStr">
        <is>
          <t>Data Engineer 2</t>
        </is>
      </c>
      <c r="C73" t="inlineStr">
        <is>
          <t>Huntington National Bank</t>
        </is>
      </c>
      <c r="D73" t="inlineStr">
        <is>
          <t>linkedin</t>
        </is>
      </c>
      <c r="E73">
        <f>HYPERLINK("https://www.linkedin.com/jobs/view/4366162598", "https://www.linkedin.com/jobs/view/4366162598")</f>
        <v/>
      </c>
      <c r="F73">
        <f>HYPERLINK("https://www.wiraa.com/job-description/us697862166BDCC4DEE739DD9BEBD14433?source=Linkedin&amp;urlHash=rIbX", "https://www.wiraa.com/job-description/us697862166BDCC4DEE739DD9BEBD14433?source=Linkedin&amp;urlHash=rIbX")</f>
        <v/>
      </c>
      <c r="G73" t="inlineStr"/>
      <c r="H73" t="inlineStr"/>
      <c r="I73" t="inlineStr">
        <is>
          <t>**About The Company**
 Huntington Bank is a leading financial services provider committed to delivering innovative banking solutions and exceptional customer service. With a strong presence in the industry, Huntington emphasizes technological advancement, operational excellence, and community engagement. The company values diversity, inclusion, and continuous learning, fostering an environment where employees can thrive and contribute to the organization’s success. As part of its strategic growth, Huntington invests heavily in data\-driven initiatives to enhance decision\-making, customer experience, and operational efficiency.
**About The Role**
 The Data Engineer Lead at Huntington Bank plays a critical role in architecting, developing, and operationalizing data pipelines that support enterprise\-wide data and analytics initiatives. This leadership position involves managing complex data workflows, ensuring data quality, and collaborating with cross\-functional teams including data scientists, business analysts, and data governance teams. The ideal candidate will serve as a technical leader, mentoring team members, and driving innovation in data management practices. The role requires a strategic thinker with a strong technical background, capable of translating business needs into scalable data solutions and ensuring the seamless movement of data into production environments for analytical consumption. The Data Engineer Lead will also be responsible for promoting data governance standards and fostering a culture of data quality and integrity across the organization.
**Qualifications**
* Bachelor's Degree in Computer Science, Statistics, or a related field
* 7\+ years of experience in data management disciplines including data integration, modeling, optimization, and data quality
* 7\+ years of experience with database programming languages and advanced analytics
* Proficiency with data engineering tools and platforms such as AWS Glue, Lambda, Athena, and similar technologies
* Expertise in BI software tools and open\-source data science platforms
* Experience working with large, heterogeneous datasets and designing scalable data pipelines
* Strong understanding of data management architectures and processes
* Hands\-on experience with DevOps practices including version control, automated testing, and release management
* Excellent communication skills, capable of conveying complex technical results to diverse audiences
* Ability to lead cross\-functional teams and mentor junior staff
* Willingness to learn new technologies and adapt to changing project requirements
* Financial services background is preferred
**Responsibilities**
* Architect, develop, and maintain robust data pipelines to support enterprise analytics initiatives
* Assist in renovating data management infrastructure to enhance automation and efficiency in data integration and management
* Collaborate with data science teams and business analysts to refine data requirements and ensure data accessibility for various use cases
* Train and mentor team members and organizational counterparts in data pipelining and data preparation techniques
* Participate in data governance activities, ensuring data content is curated, compliant, and promoted for reuse
* Test and validate data quality to ensure data conforms to business rules, is accurate, complete, and consistent
* Communicate complex technical results effectively to both technical and non\-technical stakeholders
* Lead efforts to design, build, and optimize data pipelines and architectures for large datasets
* Work with stakeholders to understand business needs and translate them into technical solutions
* Monitor emerging technologies and assess their impact on existing data infrastructure
* Provide leadership, coaching, and mentorship to team members, fostering a collaborative and innovative environment
* Ensure timely delivery of data solutions while maintaining high standards of quality and compliance
* Perform other duties as assigned to support organizational goals
**Benefits**
* Competitive salary packages and performance\-based incentives
* Comprehensive health, dental, and vision insurance plans
* Retirement savings options including 401(k) plans with company matching
* Flexible work arrangements, including hybrid and remote options
* Paid time off and holiday leave
* Professional development opportunities, training, and certifications
* Employee wellness programs and resources
* Inclusive and diverse workplace culture
 Equal Opportunity
 Huntington Bank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in accordance with applicable laws.</t>
        </is>
      </c>
    </row>
    <row r="74">
      <c r="A74" t="inlineStr">
        <is>
          <t>li-4318562038</t>
        </is>
      </c>
      <c r="B74" t="inlineStr">
        <is>
          <t>Data Engineer</t>
        </is>
      </c>
      <c r="C74" t="inlineStr">
        <is>
          <t>Monks</t>
        </is>
      </c>
      <c r="D74" t="inlineStr">
        <is>
          <t>linkedin</t>
        </is>
      </c>
      <c r="E74">
        <f>HYPERLINK("https://www.linkedin.com/jobs/view/4318562038", "https://www.linkedin.com/jobs/view/4318562038")</f>
        <v/>
      </c>
      <c r="F74">
        <f>HYPERLINK("https://www.monks.com/careers/austin/staff-augmentation-tech/data-engineer?gh_src=a9b949034us&amp;urlHash=7dRN", "https://www.monks.com/careers/austin/staff-augmentation-tech/data-engineer?gh_src=a9b949034us&amp;urlHash=7dRN")</f>
        <v/>
      </c>
      <c r="G74" t="inlineStr">
        <is>
          <t>Austin, TX</t>
        </is>
      </c>
      <c r="H74" t="inlineStr"/>
      <c r="I74"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**About The Role**
 As a
 *Data Engineer* 
 , you’ll architect, develop, and test large scale and efficient solutions that provide the leadership team with the accurate data required to rapidly understand and adapt to changing business conditions. We are seeking an experienced, detail\-minded data engineer to support our clients worldwide business sales and finance team.
**Responsibilities**
* Design and implement scalable, efficient and high quality methods of consuming data from a diverse set of sources with variable quality and predictability.
* Build libraries and frameworks that drive leverage and productivity for the entire team.
* Optimize and maintain solutions, driving improvements in efficiency, data quality, and operational excellence.
**About You**
**The essentials:**
* 14\+ years of experience.
* Deep Snowflake expertise.
* Experience working and creating with large (5\-10bn record, \~200 column wide) aggregate datasets.
* Python for orchestration.
* S3 / DataLake / Open Data Formats (e.g. Parquet, Iceberg).
* DBT experience.
**Not a Must, But a Plus**
* Experience with Dataiku.
* Experience with Dremio.
*At .Monks,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$100,000\.00 — $113,774\.00 USD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$100,000—$113,774 USD
**About Monks**
 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AI—managed by the industry’s best and most diverse digital talent—to help the world’s trailblazing companies outmaneuver and outpace their competition.
 Monks was named a Contender in The Forrester Wave™: Global Marketing Services. It has remained a constant presence on Adweek’s Fastest Growing lists (2019\-23\), ranks among Cannes Lions' Top 10 Creative Companies (2022\-23\) and is the only partner to have been placed in AdExchanger’s Programmatic Power Players list every year (2020\-24\). In addition to being named Adweek’s first AI Agency of the Year (2023\), Monks has been recognized by Business Intelligence in its 2024 Excellence in Artificial Intelligence Awards program in three categories: the Individual category, Organizational Winner in AI Strategic Planning and AI Product for its service Monks.Flow. Monks has also garnered the title of Webby Production Company of the Year (2021\-24\), won a record number of FWAs and has earned a spot on Newsweek’s Top 100 Global Most Loved Workplaces 2023\.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75">
      <c r="A75" t="inlineStr">
        <is>
          <t>li-4365858796</t>
        </is>
      </c>
      <c r="B75" t="inlineStr">
        <is>
          <t>Principal Data Analytics Engineer</t>
        </is>
      </c>
      <c r="C75" t="inlineStr">
        <is>
          <t>DriveWealth</t>
        </is>
      </c>
      <c r="D75" t="inlineStr">
        <is>
          <t>linkedin</t>
        </is>
      </c>
      <c r="E75">
        <f>HYPERLINK("https://www.linkedin.com/jobs/view/4365858796", "https://www.linkedin.com/jobs/view/4365858796")</f>
        <v/>
      </c>
      <c r="F75" t="inlineStr"/>
      <c r="G75" t="inlineStr">
        <is>
          <t>New York, NY</t>
        </is>
      </c>
      <c r="H75" t="inlineStr"/>
      <c r="I75" t="inlineStr">
        <is>
          <t>**About the Company** 
 DriveWealth is a global B2B financial technology organization dedicated to democratizing access to financial independence around the world. Our mission is realized through an API\-based platform, empowering our partners to offer seamless investing and trading experiences to clients worldwide, all from their mobile devices.
 Our technology provides partners with a modern, extensible toolkit, enabling traditional investment workflows and innovative techniques like fractional share ownership. DriveWealth has evolved into a global platform offering trading of US equities, mutual funds, ETFs, fixed income, and options.
 We seek enthusiastic professionals to contribute diverse perspectives and experiences to our Brokerage\-as\-a\-Service platform. Our culture blends the pace and opportunity of a tech start\-up with the impact, stability, and significance of Wall Street. We encourage creativity and experimentation while ensuring institutional\-grade execution and regulatory compliance in everything we do. We value diversity and inclusion, celebrating the unique differences of our employees as we scale and grow together. We’re guided by operating principles grounded in accountability, teamwork, integrity, and solutions built to scale. Join us!
**About the Role** 
 The Data \&amp; Analytics team is dedicated to building innovative data products that provide actionable insights, empowering our partners to succeed. We focus on curating and maintaining key data sources and statistics that serve both internal and external stakeholders.
**Responsibilities** 
* **Advanced Engineering \&amp; Coding**
* Core Development: Design and code complex dbt models and data transformation logic for high\-volume financial datasets (trade transactions, order books).
* Python Automation: Write production\-grade Python scripts for advanced data processing, anomaly detection, and custom orchestration logic that SQL cannot handle alone.
* Performance Engineering: Take ownership of the "hardest problems" regarding query performance. Refactor legacy code and optimize incremental loading strategies to reduce costs and latency at scale.
* **Technical Architecture \&amp; Standards**
* CI/CD \&amp; DevOps: Own the technical implementation of our data deployment reporting pipelines (Git, dbt Cloud), ensuring robust version control and seamless integration.
* Data Quality as Code: Engineer automated testing frameworks and validation suites (using dbt tests/Python) to catch data issues before they reach the business layer.
* **Mentorship \&amp; Collaboration**
* Code Reviews: Provide Code reviews for Junior and senior developers code.
* Technical Guidance: Act as the "go\-to" technical resource for Senior and Junior engineers when they hit blockers, helping them solve code\-level problems through pair programming and guidance.
* Cross\-Functional Impact: Work across technical and business groups to problem\-solve, consulting on impacts of future engineering changes to modeling outputs.
**Qualifications** 
* 6\-12\+ years of hands\-on experience in data engineering or analytics engineering.
**Required Skills** 
* Expert SQL: You don’t just write queries; you understand execution plans, partition pruning, and how to optimize for compute\-heavy environments.
* Advanced dbt: Deep experience with dbt internals, custom materializations, macros, and package management.
* Strong Python: Proficiency in Python for data manipulation (Pandas/Polars) and interaction with APIs/AWS services (boto3\).
* Financial Data Fluency: Experience architecting data models for complex financial instruments, ledgers, or high\-frequency transaction data.
* KPI Architecture: Experience building business metrics. Ensure metric definitions are version\-controlled, reusable, and mathematically consistent across all downstream reports.
* Platform Thinking: You build solutions that are reusable and modular, not one\-off scripts.
* Production Grade: Experience treating data as software (Unit testing, CI/CD, Documentation, SLA monitoring).
* Problem Solving: Ability to independently diagnose cryptic error messages in distributed systems (Spark/Databricks/Snowflake) and resolve them.
**Preferred Skills** 
* Experience with Apache Spark or Databricks for heavy compute workloads.
* Experience implementing Airflow or similar orchestrators.
* Experience with Sigma Computing (from a data modeling perspective).
* Experience using AI/LLM tools to enable faster, smarter analytics workflows.
**Pay range and compensation package** 
 Compensation package offerings are based on candidate experience and technical qualifications, as it relates to the role. These are identified and determined throughout your interviewing experience. Please note: this role is expected to come into our office on a cadence set by the Hiring Manager/Team.
 New York, NY (Hybrid) Pay Range: $200,000 \- $250,000 USD
**Equal Opportunity Statement**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recruiting@drivewealth.com.
**Agency Disclaimer** 
 DriveWealth does not accept agency resumes. Please do not forward resumes to our jobs alias, employees, or any other organization location. DriveWealth is not responsible for any fees related to unsolicited resumes.</t>
        </is>
      </c>
    </row>
    <row r="76">
      <c r="A76" t="inlineStr">
        <is>
          <t>li-4365880116</t>
        </is>
      </c>
      <c r="B76" t="inlineStr">
        <is>
          <t>Data Engineer III - PySpark/AWS</t>
        </is>
      </c>
      <c r="C76" t="inlineStr">
        <is>
          <t>hackajob</t>
        </is>
      </c>
      <c r="D76" t="inlineStr">
        <is>
          <t>linkedin</t>
        </is>
      </c>
      <c r="E76">
        <f>HYPERLINK("https://www.linkedin.com/jobs/view/4365880116", "https://www.linkedin.com/jobs/view/4365880116")</f>
        <v/>
      </c>
      <c r="F76">
        <f>HYPERLINK("https://www.hackajob.com/job/423b8c28-cad0-11f0-9e38-0a05e249917d-data-engineer-iii-pyspark-aws?utm_source=LinkedIn&amp;utm_medium=JobAds&amp;utm_term=Automated&amp;utm_campaign=jp-morgan-data-engineer-iii-pyspark-aws&amp;job_name=data-engineer-iii-pyspark-aws&amp;company=jp-morgan&amp;workplace_type=on-site&amp;city=plano&amp;country=united-states&amp;urlHash=NTxa", "https://www.hackajob.com/job/423b8c28-cad0-11f0-9e38-0a05e249917d-data-engineer-iii-pyspark-aws?utm_source=LinkedIn&amp;utm_medium=JobAds&amp;utm_term=Automated&amp;utm_campaign=jp-morgan-data-engineer-iii-pyspark-aws&amp;job_name=data-engineer-iii-pyspark-aws&amp;company=jp-morgan&amp;workplace_type=on-site&amp;city=plano&amp;country=united-states&amp;urlHash=NTxa")</f>
        <v/>
      </c>
      <c r="G76" t="inlineStr">
        <is>
          <t>Plano, TX</t>
        </is>
      </c>
      <c r="H76" t="inlineStr"/>
      <c r="I76" t="inlineStr">
        <is>
          <t>***hackajob** 
 is collaborating with
 **J.P. Morgan** 
 to connect them with exceptional tech professionals for this role.*
**Job Description**
 Be part of a dynamic team where your distinctive skills will contribute to a winning culture and team.
 As a
 **Data Engineer III** 
 \-
 **PySpark/AWS** 
 at JPMorgan Chase within the
 **Payments Technology Regulatory Reporting** 
 team, you serve as a seasoned member of an agile team to design and deliver trusted market\-leading cloud technology products in a secure, stable, and scalable way. You are responsible for carrying out critical technology solutions across multiple technical areas within various business functions in support of the firm’s business objectives.
**Job Responsibilities**
* Supports review of controls to ensure sufficient protection of enterprise data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3\+ years hands\-on practical experience in system design, application development, testing, and operational stability
* Hands\-on practical experience in system design, application development, testing, and operational stability
* Proficient in coding in one or more data engineering languages/platforms \- Python / PySpark / Databricks or similar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Exposure to cloud technologies Databricks, AWS MSK, EC2, EKS, S3, RDS, Lambdas
* Exposure to payment domain streaming systems
* Exposure to payment regulatory reporting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7">
      <c r="A77" t="inlineStr">
        <is>
          <t>li-4366227829</t>
        </is>
      </c>
      <c r="B77" t="inlineStr">
        <is>
          <t>Senior Data Engineer (GCP) - HR Technology</t>
        </is>
      </c>
      <c r="C77" t="inlineStr">
        <is>
          <t>CVS Health</t>
        </is>
      </c>
      <c r="D77" t="inlineStr">
        <is>
          <t>linkedin</t>
        </is>
      </c>
      <c r="E77">
        <f>HYPERLINK("https://www.linkedin.com/jobs/view/4366227829", "https://www.linkedin.com/jobs/view/4366227829")</f>
        <v/>
      </c>
      <c r="F77">
        <f>HYPERLINK("https://jobs.cvshealth.com/us/en/job/CVSCHLUSR0793070EXTERNALENUS/Senior-Data-Engineer-GCP-HR-Technology?utm_source=Linkedin&amp;utm_medium=phenom-feeds&amp;urlHash=4FDM", "https://jobs.cvshealth.com/us/en/job/CVSCHLUSR0793070EXTERNALENUS/Senior-Data-Engineer-GCP-HR-Technology?utm_source=Linkedin&amp;utm_medium=phenom-feeds&amp;urlHash=4FDM")</f>
        <v/>
      </c>
      <c r="G77" t="inlineStr">
        <is>
          <t>Scottsdale, AZ</t>
        </is>
      </c>
      <c r="H77" t="inlineStr"/>
      <c r="I7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
**Time Type**
 Full time
**Pay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78">
      <c r="A78" t="inlineStr">
        <is>
          <t>li-4366204239</t>
        </is>
      </c>
      <c r="B78" t="inlineStr">
        <is>
          <t>Principal Data Engineer - ML Platforms</t>
        </is>
      </c>
      <c r="C78" t="inlineStr">
        <is>
          <t>The Midtown Group</t>
        </is>
      </c>
      <c r="D78" t="inlineStr">
        <is>
          <t>linkedin</t>
        </is>
      </c>
      <c r="E78">
        <f>HYPERLINK("https://www.linkedin.com/jobs/view/4366204239", "https://www.linkedin.com/jobs/view/4366204239")</f>
        <v/>
      </c>
      <c r="F78" t="inlineStr"/>
      <c r="G78" t="inlineStr"/>
      <c r="H78" t="inlineStr"/>
      <c r="I78" t="inlineStr">
        <is>
          <t>We are a mission\-driven organization focused on public health systems and healthcare outcomes. We are establishing a brand\-new
 **Data Science \&amp; AI Center of Excellence** 
 , and we are looking for a Principal Data Engineer to serve as a foundational hire.
 This is not just a delivery role; it is a chance to shape how data and ML platforms are built, governed, and reused across an entire organization. You will own the backbone that enables reliable pipelines, MLOps, and trustworthy AI in a regulated environment.
**What You’ll Do:** 
* **Platform Architecture:** 
 Design and operate a modern, cloud\-agnostic lakehouse architecture (AWS/GovCloud) using object storage, SQL/ELT engines, and dbt.
* **MLOps Implementation:** 
 Build systems for model registry, drift detection, and automated testing (MLflow, etc.).
* **Healthcare Interoperability:** 
 Build scalable ingestion pipelines for FHIR R4, HL7 v2, and Medicaid/Medicare claims.
* **Generative AI Enablement:** 
 Build ingestion/vectorization pipelines for RAG systems to support public health guidance.
* **Security \&amp; Governance:** 
 Ensure compliance with HIPAA and NIST AI RMF standards using privacy\-by\-design principles.
**What We Need:** 
* **Experience:** 
 7–10\+ years in data engineering, ML platform engineering, or cloud data architecture.
* **Tech Stack:** 
 Expert in Python, SQL, dbt, and orchestration tools (Airflow/Glue). Deep experience with AWS/AWS GovCloud and IaC (Terraform).
* **Healthcare Domain:** 
 Strong preference for experience with Healthcare data standards (FHIR, HL7\) and GovCon environments.
* **Communication:** 
 Ability to communicate technical concepts effectively with clients and stakeholders.
**The Details:** 
* **Location:** 
 100% Remote (Must be based in the Continental U.S.).
* **Type:** 
 Direct Hire / Full\-Time.
* **Compensation:** 
 $150,000 – $200,000/year (Dependent on experience) \+ Comprehensive Benefits.
* **Eligibility:** 
 Must be eligible to work in the U.S. without sponsorship.
**Why Join?** 
* Work on complex, regulated problems where data trust matters.
* Impact real populations: veterans, older adults, women, and children.
* Collaborative, growth\-minded culture with principal\-level influence.</t>
        </is>
      </c>
    </row>
    <row r="79">
      <c r="A79" t="inlineStr">
        <is>
          <t>li-4366165936</t>
        </is>
      </c>
      <c r="B79" t="inlineStr">
        <is>
          <t>Staff Engineer II - Sr. Data Engineer</t>
        </is>
      </c>
      <c r="C79" t="inlineStr">
        <is>
          <t>Western Alliance Bank</t>
        </is>
      </c>
      <c r="D79" t="inlineStr">
        <is>
          <t>linkedin</t>
        </is>
      </c>
      <c r="E79">
        <f>HYPERLINK("https://www.linkedin.com/jobs/view/4366165936", "https://www.linkedin.com/jobs/view/4366165936")</f>
        <v/>
      </c>
      <c r="F79" t="inlineStr"/>
      <c r="G79" t="inlineStr">
        <is>
          <t>Phoenix, AZ</t>
        </is>
      </c>
      <c r="H79" t="inlineStr"/>
      <c r="I79" t="inlineStr">
        <is>
          <t>**Job Title**
 Staff Engineer II \- Sr. Data Engineer
**Location:**
 Block 23
**What You'll Do**
 As a Senior Data Engineer, you will serve as a Subject Matter Expert in the Enterprise Data \&amp; Analytics domain, as well as in adjacent areas, ensuring that data engineering solutions are safe, secure, compliant, and reliable. You will be responsible for designing, building, and implementing critical components of the enterprise data platform, aligning with the strategic data and analytics objectives of Western Alliance Bank. In this role, you will identify development and support requirements and take ownership of large, complex design initiatives, playing a crucial part in supporting project deliverables.
 As a Senior Data Engineer, you will be a pioneer in our modern data platform, collaborating directly with data stewards, data analysts, data engineers, enterprise architects, and business stakeholders to refine requirements and shape the objectives of enterprise data solutions. You will be part of a high\-performing, centralized team of data engineers, developing solutions that address the complete data lifecycle management needs of our enterprise data platforms. Demonstrating exceptional technical expertise, you will also mentor and guide team members, fostering a culture of excellence and continuous learning.
* Desing, develop and deploy data engineering solutions with Azure Data Factory, Synapse Analytics, and Azure DevOps to support Western Alliance Bank's regulatory reporting and LFI strategy.
* Develop data engineering solution designs that can be handed off to data engineering teams for execution, ensuring the reuse of components wherever feasible to maximize efficiency.
* Develop ETL and data pipeline capabilities considering how data is created, transformed, stored, archived, analyzed, and shared across Western Alliance Bank and our partner systems.
* Implement Azure DevOps CI/CD pipelines for all data solutions in adherence to Western Alliance Bank technical standards.
* Apply Test Driven Development methodology to all data solutions designed, built, and implemented.
* Lead the implementation of outcomes, recommendations, and designs from Data Governance and Enterprise Architecture.
* Lead the migration of multidimensional cubes to tabular models, optimizing data architecture for enhanced analytics and performance.
* Utilize Power BI to design, deploy, and visualize tabular cubes, ensuring seamless business intelligence integration and actionable insights.
* Perform data exploration and data profiling with tools such as Excel and Informatica.
* Actively participate in making data architecture decisions.
* Provide technical mentorship to team members and other data professionals.
* Collaborate with product owners and business stakeholders to gain a working understanding of business requirements and operational processes.
* Implement built\-in quality and compliance\- by\-design in all data solutions.
* Review Azure Data Factory pipelines, Synapse artifacts, and other scripts developed by data engineers and provide feedback to ensure all deliverables meet quality standards.
**What You'll Need**
* 7\+ years of related experience with data engineering specifically in Extract, Transform and Load (ETL) concepts and processes, enterprise data warehouse capabilities, database principles, and other related tools and technologies; preferably strong in Azure Data Factory, Azure Synapse Analytics, and/or Databricks.
* 2\+ years’ experience designing, implementing, and supporting cloud data solutions; Azure Data Lake, Azure Data Factory, Azure Data Services, Azure Synapse, Azure Logic Apps, and Azure DevOps experience strongly preferred.
* Bachelor's degree in related field required.
* Previous leadership experience preferred.
* Intermediate to advanced knowledge of general Financial Services or Banking is preferred.
* Advanced knowledge of applicable regulatory and legal compliance obligations, rules and regulations, industry standards and practices.
* Advanced level experience with at least one RDBMS and query language such as T\-SQL, PL/SQL, Spark SQL.
* Advanced level experience in conceptual, logical, and physical data design.
* Certifications within Azure such as Azure Fundamentals, Azure Data Engineer, Azure Data Scientist, and/or Azure DevOps Engineer preferred.
* Familiarity with data science and analytics tools such as SAS, Tableau, Power BI.
* Familiarity with multi\-cloud data management and transformation platforms or tools such as Databricks, Snowflake etc.
* Experience in Agile, SAFe, and/or Scrum preferred.
* Experience integrating with data quality, data catalog and data lineage tools preferred.
* Advanced to expert experience in leading cross\-functional teams and managing multiple projects simultaneously with an established expertise in one or more key domains of the bank (Deposits, Loans, Operations or Reporting) with the ability to walk\-through top\-level process design. Capable of collaborating with regulatory partners like the CFPB, OCC and FRB through audits and collaboration efforts as situations arise.
* Advanced to expert familiarity with the capability model across IT and the applications and infrastructures available for engagement in solutioning across the bank to develop results that leverage existing capabilities in addition to implementing innovative solutions when required. Experience in the design, enhancement, and compliance to all governance frameworks across the IT organization to ensure proper compliance with published procedures and standards.
* Advanced speaking and writing communication skills.
* May require up to 25% travel.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80">
      <c r="A80" t="inlineStr">
        <is>
          <t>li-4342945000</t>
        </is>
      </c>
      <c r="B80" t="inlineStr">
        <is>
          <t>Mission Data Engineer</t>
        </is>
      </c>
      <c r="C80" t="inlineStr">
        <is>
          <t>DCS Corp</t>
        </is>
      </c>
      <c r="D80" t="inlineStr">
        <is>
          <t>linkedin</t>
        </is>
      </c>
      <c r="E80">
        <f>HYPERLINK("https://www.linkedin.com/jobs/view/4342945000", "https://www.linkedin.com/jobs/view/4342945000")</f>
        <v/>
      </c>
      <c r="F80" t="inlineStr"/>
      <c r="G80" t="inlineStr">
        <is>
          <t>Niceville, FL</t>
        </is>
      </c>
      <c r="H80" t="inlineStr"/>
      <c r="I80" t="inlineStr">
        <is>
          <t>The Mission Data Engineer shall support EW system improvements and the development of mission data for the Combat Air Forces of Electronic Warfare and defensive systems of aircraft, radar warning receivers, ECM jammers, and ECM dispenser systems.
**Essential Job Functions**
 Develop and update threat databases using EWIR tools.
 Design and use computer\-based tools to flag and extract threat systems parametric for analysis.
 Generate optimized EW Mission data software files.
 Perform rapid reprogramming of fielded MD in response to adversary threat changes.
 Provide advice and assistance in support of working groups, technical reviews, and other group activities, such as test plan working groups (TPWGs), project management reviews (PMRs), preliminary design reviews (PDRs), and critical design reviews (CDRs).
 Provide advice and assistance while attending program meetings and make recommendations on technical and functional process matters and decisions .
 Provide advice and assistance in preparing and presenting technical status briefings documenting progress, accomplishments, and problem areas affecting defined task areas.
**Required Skills**
 Due to the sensitivity of customer related requirements, U.S. Citizenship is required.
 Bachelors degree in EE or an engineering degree in a similar discipline with 8 years of experience, a master’s degree plus 6 years or a PhD plus 4 years.
 Active Secret Security Clearance with the ability to obtain a TS/SCI.
 Electronic Warfare Systems experience.
 Electronic Warfare Mission Data software production/modification.</t>
        </is>
      </c>
    </row>
    <row r="81">
      <c r="A81" t="inlineStr">
        <is>
          <t>li-4366233388</t>
        </is>
      </c>
      <c r="B81" t="inlineStr">
        <is>
          <t>Senior Consultant - Data Engineer and Business Intelligence</t>
        </is>
      </c>
      <c r="C81" t="inlineStr">
        <is>
          <t>Black &amp; Veatch</t>
        </is>
      </c>
      <c r="D81" t="inlineStr">
        <is>
          <t>linkedin</t>
        </is>
      </c>
      <c r="E81">
        <f>HYPERLINK("https://www.linkedin.com/jobs/view/4366233388", "https://www.linkedin.com/jobs/view/4366233388")</f>
        <v/>
      </c>
      <c r="F81" t="inlineStr"/>
      <c r="G81" t="inlineStr">
        <is>
          <t>Denver, CO</t>
        </is>
      </c>
      <c r="H81" t="inlineStr"/>
      <c r="I81" t="inlineStr">
        <is>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113090
**Opportunity Type :** 
 Staff
**Relocation eligible :** 
 No
**Full time/Part time :** 
 Full\-Time
**Project Only Hire :** 
 No
**Visa Sponsorship Available:** 
 No
****Why Black and Veatch****
 Black \&amp; Veatch allows you to lend your talent and perspective to humanity’s biggest challenges in a flexible environment where you are empowered to grow and explore new possibilities. We offer competitive compensation; 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****The Team****
 Black \&amp; Veatch’s Digital Delivery team is a dynamic, cross\-functional group of experts in data, technology, GIS, and asset management systems. We deliver innovative, data\-driven solutions that help clients navigate complex infrastructure challenges across diverse industries.
 We partner with clients to align their people, processes, technologies, and data in response to rapid industry transformation. Our work enables organizations to modernize infrastructure, optimize asset performance, enhance resilience, and achieve long\-term sustainability goals.
 By joining this team, you’ll be part of a collaborative environment that values innovation, continuous improvement, and client success. You’ll contribute to mission\-critical projects that make a meaningful impact on communities and industries around the world.
****The Opportunity****
 We are seeking a Senior Consultant in Black \&amp; Veatch’s Infrastructure Advisory Business to support our Digital and Asset Management Systems Solutions provide digital technical solutions to clients for application and dashboard development, data engineering and data analytics. This is a growing area of our business and is a great opportunity for an early\-career professional to join a dynamic and innovative team.
 Compiling analysis and preparation of deliverables to contribute to the completion of multiple engagement phases of a project. Demonstrate capabilities with moderate to high level of supervision, depending on complexity and scope of the project.
****Key Responsibilities****
 Performs analytical, technical, and/or developmental tasks as assigned, including:
* Clearly articulates methodologies, rationale, and outcomes through both written and oral communication.
* Identifies and applies suitable technical approaches for diagnosing issues and devising solutions, leveraging subject matter experts as necessary to address knowledge gaps.
* Assists clients in implementing modern data platforms and advanced analytics capabilities.
* Contributes to business development by preparing proposals and participating in client strategy meetings.
* Advises clients on best practices in data governance, security, and compliance.
* Designs and delivers data warehousing and cloud\-based solutions tailored to specific client requirements.
* Leads and oversees the comprehensive delivery of complex digital consulting and data management projects, including requirements gathering, scope definition, scheduling, budgeting, and quality assurance.
* Acts as the primary point of contact for clients, translating business objectives into technical strategies, presenting findings and recommendations, and supporting business development initiatives.
* Architects, implements, and maintains scalable data pipelines and infrastructures using technologies such as SQL, Python, and Power BI, building and sustaining ETL/ELT processes for data ingestion, transformation, and integration.
* Develops applications, dashboards, and reports to address client needs, delivering actionable insights and effectively communicating technical information through compelling visualizations to nontechnical stakeholders.
* Designs and automates quality control and data governance frameworks, validates and integrates diverse data sources, and ensures adherence to best practices in data warehousing, ETL/ELT processes, and security.
* Provides technical leadership and mentorship to both client and internal teams, proactively expanding subject matter expertise, keeping abreast of emerging technologies, and contributing to organizational knowledge sharing with a focus on data architecture and engineering.
**Preferred Qualifications** 
* 
+ Master’s degree in data science or engineering
+ 2\+ years’ experience in an analytical / data\- centric role
+ Familiarity with Infrastructure Design / Construction Projects
+ Basic programming skills (VBA, Python, R, JavaScript)
+ Basic to intermediate knowledge of SQL
+ Basic knowledge of data integration (/ETL) (APIs, PowerShell)
+ Familiarity with Microsoft Power Platform (Power Bl, Power Apps, Power Automate)
+ Familiarity with cloud computing services (Azure, AWS, Google Cloud)
+ Bachelor’s degree in GIS, Data Science, Engineering, or a related field (Maters Preferred)
+ 8\+ years of experience in data architecture, analytics, or digital project management.
+ Proficiency in tools such as ArcGIS Pro/Enterprise, SQL Python, Power BI, and cloud\-based platforms.
+ Experience managing large\-scale geospatial or data\-driven projects in government, utilities, or industrial sectors.
+ Strong communication and presentation skills, with experience engaging executive level stakeholders.
+ Demonstrated ability to lead cross\-functional teams and deliver high quality client outcomes.
+ Industry certifications are a plus (e.g. GISP, PMP, ESRI Technical certifications)
+ Knowledge of modern data warehousing solutions (Snowflake, Redshift, BigQuery).
+ Proficiency in programming languages (Python, Java, or Scala).
+ Familiarity with containerization and orchestration (Docker, Kubernetes).
+ Experience in scoping, estimating, and managing data projects for multiple clients.
**Minimum Qualifications**
 Bachelor's Degree or relevant work experience.
 7\+ years experience in a business/consulting environment.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 and Schedule****
* Hybrid or flexible work options may be offered after the first 90 days of employment.
* Position location is Denver, Colorado.
* Comprehensive benefits portfolio including medical, dental, vision, disability, wellness programs, paid vacation, holiday time, and more.
* T uition reimbursement, vendor discounts, and performance\-based bonus program .
* Commitment to diversity, equity, and inclusion, with a 100% ESOP\-owned structure.
****Salary Plan****
 CST: Consulting
****Job Grade****
 017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 This contact information is for disability accommodation requests only; you may not use this contact information to inquire about the status of applications. General inquiries about the status of applications will not be returned. This job posting will remain open until a suitable candidate(s) has been identified.
 Black \&amp; Veatch is committed to being an employer of choice by creating a valuable work experience that keeps our people engaged, productive, safe and healthy.
 Our comprehensive benefits portfolio is a key component of this commitment and offers and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that success through stock ownership.
 By valuing diverse voices and perspectives, we cultivate an authentically inclusive environment for professionals and are able to provide innovative and effective solutions for clients.
 BVH, Inc., its subsidiaries and its affiliated companies, complies with all Equal Employment Opportunity (EEO)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here .
**Notice to External Search Firms** 
 : Black \&amp; Veatch does not accept unsolicited resumes and will not be obligated to pay a placement fee for unsolicited resumes. Black \&amp; Veatch Talent Acquisition engages with search firms directly for hiring needs.
 In accordance with local law, the following Annual compensation range is applicable for the job and location associated with this requisition: $131,010\.00 \- $218,790\.00</t>
        </is>
      </c>
    </row>
    <row r="82">
      <c r="A82" t="inlineStr">
        <is>
          <t>li-4366205761</t>
        </is>
      </c>
      <c r="B82" t="inlineStr">
        <is>
          <t>Aviation Data Engineer</t>
        </is>
      </c>
      <c r="C82" t="inlineStr">
        <is>
          <t>Booz Allen Hamilton</t>
        </is>
      </c>
      <c r="D82" t="inlineStr">
        <is>
          <t>linkedin</t>
        </is>
      </c>
      <c r="E82">
        <f>HYPERLINK("https://www.linkedin.com/jobs/view/4366205761", "https://www.linkedin.com/jobs/view/4366205761")</f>
        <v/>
      </c>
      <c r="F82" t="inlineStr"/>
      <c r="G82" t="inlineStr">
        <is>
          <t>McLean, VA</t>
        </is>
      </c>
      <c r="H82" t="inlineStr"/>
      <c r="I82" t="inlineStr">
        <is>
          <t>**Job Number: R0232744**
 Aviation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developing scalable ETL or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with the Federal Aviation Administration (FAA) and National Airspace System (NAS)
* Experience in application development utilizing SQL or Scala
* Experience with a public cloud, including AWS, Microsoft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3">
      <c r="A83" t="inlineStr">
        <is>
          <t>li-4321547247</t>
        </is>
      </c>
      <c r="B83" t="inlineStr">
        <is>
          <t>Lead Data Engineer</t>
        </is>
      </c>
      <c r="C83" t="inlineStr">
        <is>
          <t>Tata Consultancy Services</t>
        </is>
      </c>
      <c r="D83" t="inlineStr">
        <is>
          <t>linkedin</t>
        </is>
      </c>
      <c r="E83">
        <f>HYPERLINK("https://www.linkedin.com/jobs/view/4321547247", "https://www.linkedin.com/jobs/view/4321547247")</f>
        <v/>
      </c>
      <c r="F83">
        <f>HYPERLINK("https://ibegin.tcsapps.com/candidate/jobs/393074J&amp;urlHash=2ug0", "https://ibegin.tcsapps.com/candidate/jobs/393074J&amp;urlHash=2ug0")</f>
        <v/>
      </c>
      <c r="G83" t="inlineStr">
        <is>
          <t>Raleigh, NC</t>
        </is>
      </c>
      <c r="H83" t="inlineStr"/>
      <c r="I83" t="inlineStr">
        <is>
          <t>**Job Description**
 Lead Data Engineer \- Snowflake, DBT and Qlik
* Data Architecture and Strategy \- Design and implement scalable, efficient data architectures. Lead the development of data strategy aligned with business objectives. Evaluate and integrate new technologies to enhance data capabilities
* Hands\-on Data Pipeline Development – As a technical lead, implement complex data pipelines for real\-time and batch processing. Optimize data flows for high\-volume, high\-velocity data environments. Develop advanced ETL processes for diverse data sources
* Data Governance and Quality Management – Drive, establish and enforce data governance policies and best practices. Implement data quality frameworks and monitoring systems. Ensure compliance with data regulations and standards
* Performance Optimization and Troubleshooting – Take charge, analyze and optimize system performance for large\-scale data operations. Troubleshoot complex data issues and implement robust solutions
* Mentorship and Knowledge Sharing \- Mentor junior data engineers and provide technical guidance. Be current on data technologies, recommend best practices and standards. Collaborate with cross\-functional teams, leadership to drive data literacy
* Testing \&amp; Automation – Enforce/write unit test cases, validate/review the data integrity \&amp; consistency results, drive automated data pipelines using GitLab, Github, CICD tools
* Code Deployment \&amp; Release Management – Review \&amp; approve code promotions, enforce release management procedures to promote code deployment to various environments including production, disaster recovery, and support activities.
* Collaborate with business stakeholders to understand data requirements and translate them into an efficient architecture solution.
**Technical/Business Skills**
* Deep expertise in designing, building robust metadata\-driven, automated data pipeline solutions leveraging modern cloud\-based data technologies, tools for large data warehouse, database platforms.
* Deep experience leveraging data security, governance methodologies meeting data compliance requirements.
* Strong hands\-on experience designing, building medallion architecture ELT pipelines, snowpipe, streaming frameworks using Qlik Replicate, DBT Cloud transformations, snowflake, GitLab with CICD.
* Strong experience designing, building data integrity solutions across multiple data sources and targets like SQL Server, Oracle, Mainframe\-DB2, files, Snowflake.
* Strong design, development experience in Python/Pyspark, advanced SQL for ingestion frameworks and automation.
* Strong experience architecting, building solutions using S3, Lambda, SQS, SNS, Glue, RDS AWS services.
* Strong experience working with various structured and semi\-structured data files \- CSV, fixed width, JSON, XML, Excel, and mainframe VSAM.
* Strong orchestration experience using DBT cloud, Astronomer Airflow.
* Design, implement logging, monitoring, alerting, observability using tools like Dynatrace.
* Strong experience in problem solving, performance tuning.
* Design and implement schema drift detection and schema evolution patterns.
* Strong experience designing, implementing sensitive data protection strategies – tokenization, snowflake data masking policies, dynamic \&amp; conditional masking, and role based masking rules.
* Strong experience designing, implementing RBAC, data access controls, adopting governance standards across Snowflake and supporting systems.
* Strong experience in enforcing, adopting release management guidelines, code deployment to various environments, implementing disaster recovery strategies, leading production activities.
* Ability to make technical data decisions for key business use cases.
* Ability to prioritize investment on new data\-related technologies in conjunction with business units.
* Must have one or more certifications in the relevant technology fields.
* Financial banking experience is a plus.
 Salary Range\- $100,000\-$110,000 a year
**Qualifications:** 
 BACHELOR OF COMPUTER SCIENCE</t>
        </is>
      </c>
    </row>
    <row r="84">
      <c r="A84" t="inlineStr">
        <is>
          <t>li-4334869750</t>
        </is>
      </c>
      <c r="B84" t="inlineStr">
        <is>
          <t>Senior Data Engineer / Based in Chicago, IL</t>
        </is>
      </c>
      <c r="C84" t="inlineStr">
        <is>
          <t>Motion Recruitment</t>
        </is>
      </c>
      <c r="D84" t="inlineStr">
        <is>
          <t>linkedin</t>
        </is>
      </c>
      <c r="E84">
        <f>HYPERLINK("https://www.linkedin.com/jobs/view/4334869750", "https://www.linkedin.com/jobs/view/4334869750")</f>
        <v/>
      </c>
      <c r="F84" t="inlineStr"/>
      <c r="G84" t="inlineStr">
        <is>
          <t>Chicago, IL</t>
        </is>
      </c>
      <c r="H84" t="inlineStr"/>
      <c r="I84" t="inlineStr">
        <is>
          <t>The fastest\-growing energy brokerage firm is hiring a full\-time Senior Data Engineer to join their rapidly expanding team. In this role, you’ll be responsible for maintaining robust data infrastructure and systems that power the organization’s decision\-making.
 This position blends architecture, development, deployment, and client\-facing work, where you will design, build, and maintain scalable data pipelines while implementing comprehensive data quality controls, governance standards, and privacy frameworks. You will also build and maintain MLOps infrastructure to support model development, deployment, and monitoring. This role is ideal for someone who enjoys working at the intersection of product, engineering, and business.
**Required Skills \&amp; Experience**
* 7\+ years of experience in data engineering
* Experience with cloud services such as containerization, IaaS, observability systems, and multi\-environment architecture
* Strong knowledge of data architecture principles, data modeling, ETL processes, privacy frameworks, governance standards, and quality controls
* Proficiency in Python, SQL, NoSQL, PostgreSQL, Airbyte, Airflow, dbt, and Spark
**Desired Skills \&amp; Experience**
* Experience working directly with stakeholder
* Experience mentoring team members on engineering best practices
* Proven collaboration and leadership skills
**What You Will Be Doing**
**Tech Breakdown**
* 35% Data Architecture \&amp; Governance
* 30% Data Engineering \&amp; Modern Data Stack
* 25% Cloud Infrastructure
* 10% Integration \&amp; System Optimization
**Daily Responsibilities**
* Implement and monitor data quality controls, governance standards, and privacy frameworks to ensure reliable, compliant datasets
* Manage and optimize cloud environments, containers, and observability tools to support efficient, secure data operations
* Design, build, and maintain scalable data pipeline
* Mentor junior engineers and promote data best practices
* Develop and maintain MLOps systems
**The Offer**
* Competitive salary \+ bonus
* Health, Dental, Vision, and Life Insurance
* Employer 401(k) contribution up to 5% of salary
* PTO \+ all major holidays off
* Wednesday catered lunches \+ gym membership at onsite fitness facilities
* 4\-day hybrid schedule in the River North office \+ 20 work\-from\-home days per year
 Applicants must be authorized to work in the US on a full\-time basis now and in the future.
 \#LT\-1
**Posted By:** 
 Lam Tru</t>
        </is>
      </c>
    </row>
    <row r="85">
      <c r="A85" t="inlineStr">
        <is>
          <t>li-4355718822</t>
        </is>
      </c>
      <c r="B85" t="inlineStr">
        <is>
          <t>Fabric Data Engineer</t>
        </is>
      </c>
      <c r="C85" t="inlineStr">
        <is>
          <t>Medline</t>
        </is>
      </c>
      <c r="D85" t="inlineStr">
        <is>
          <t>linkedin</t>
        </is>
      </c>
      <c r="E85">
        <f>HYPERLINK("https://www.linkedin.com/jobs/view/4355718822", "https://www.linkedin.com/jobs/view/4355718822")</f>
        <v/>
      </c>
      <c r="F85" t="inlineStr"/>
      <c r="G85" t="inlineStr">
        <is>
          <t>Northbrook, IL</t>
        </is>
      </c>
      <c r="H85" t="inlineStr"/>
      <c r="I85" t="inlineStr">
        <is>
          <t>**Job Summary**
**Job Description**
 Great opportunity to show off your passion for data, reporting, analytics, and data warehousing. Medline's BI team may have the perfect fit for you!
 This person will be responsible for project planning, execution, and implementation of changes to reporting solutions for BI – Marketing \&amp; Ecommerce portfolio as well as ensuring accurate and timely data solutions delivery to business partners.
 To be successful in the role, you need strong analytical skills, excellent communication skills and will be responsible for developing and maintaining enterprise and departmental business intelligence, data warehousing and reporting solutions.
**Required Skills**
* 8\+ years of experience in Business Intelligence, Data Engineering, or related fields, with strong expertise in modern cloud\-based analytics platforms.
* Hands‑on experience with Microsoft Fabric, including Lakehouse, Data Warehouses, Pipelines, Dataflows Gen2, and Real\-Time Analytics.
* Ability to design and implement scalable data solutions using Fabric OneLake architecture, Delta Lake tables, and Fabric pipelines.
* Expertise in data engineering best practices, including data modeling, data integration, and building high‑performing analytical data stores.
* Good working knowledge of SAP systems and underlying data structures, with ability to integrate SAP data into Fabric pipelines.
* Strong proficiency in SQL, including performance tuning, optimization, and development of complex queries for Fabric Lakehouse and Warehouses.
* Excellent oral and written communication skills, with ability to collaborate independently with business partners, onshore and offshore teams.
* Good analytical skills to translate business requirements into scalable Fabric data models and data products.
* Strong task management, prioritization, and problem‑solving capabilities, driving work from conception to completion.
* Experience with SDLC, Agile/Scrum, and project management tools such as Jira.
* Certifications in Azure or Fabric technologies are a plus.
* Data modeling (Native HANA) and TDV (Good to Have).
* Experience of ETL tools, preferably Talend.
**Responsibilities**
* Engage with business users to gather requirements and understand functional needs for data products and reporting.
* Develop scalable data ingestion and transformation pipelines using Fabric pipelines, notebooks, and SQL
* Gather, process, and model raw data at scale to support analytical and operational use cases, including scripts, REST calls, and SQL queries.
* Perform cost optimization and governance over Fabric capacities and workspaces to ensure efficient resource usage.
* Partner with software developers and analysts to ensure reliable, performant data delivery across Fabric workloads.
* Build analytics\-ready data sets and tools using Fabric Lakehouse/Warehouse to drive insights around customer acquisition, operations, and business KPIs
* Develop optimized SQL for Fabric Warehouse and Lakehouse engines
* Mentor junior engineers and contribute to best practices for Fabric\-based data modeling and engineering.
* Own end‑to‑end project delivery includes communication, development, testing, migration, support, and documentation.
* Perform pipeline and query performance tuning across Fabric workloads
* Analyze trends and patterns in data and transform them into actionable recommendations for the business.
* Participate in defining best practices around Data models development and deliverables.
 Medline Industries, LP, and its subsidiaries, offer a competitive total rewards package, continuing education \&amp; training, and tremendous potential with a growing worldwide organization.
**The Anticipated Salary Range For This Position**
 $101,000\.00 \- $152,000\.00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86">
      <c r="A86" t="inlineStr">
        <is>
          <t>li-4365886558</t>
        </is>
      </c>
      <c r="B86" t="inlineStr">
        <is>
          <t>Sr. Data Engineer - Qlik Data Engineer/Developer</t>
        </is>
      </c>
      <c r="C86" t="inlineStr">
        <is>
          <t>Tata Consultancy Services</t>
        </is>
      </c>
      <c r="D86" t="inlineStr">
        <is>
          <t>linkedin</t>
        </is>
      </c>
      <c r="E86">
        <f>HYPERLINK("https://www.linkedin.com/jobs/view/4365886558", "https://www.linkedin.com/jobs/view/4365886558")</f>
        <v/>
      </c>
      <c r="F86" t="inlineStr"/>
      <c r="G86" t="inlineStr">
        <is>
          <t>Raleigh, NC</t>
        </is>
      </c>
      <c r="H86" t="inlineStr"/>
      <c r="I86" t="inlineStr">
        <is>
          <t>**Job Description**
 Sr. Data Engineer \- Qlik Data Engineer/Developer
* Data Architecture and Strategy \- Design and implement scalable, efficient data architectures. Lead the development of data strategy aligned with business objectives. Evaluate and integrate new technologies to enhance data capabilities
* Hands\-on Data Pipeline Development \- Implement complex data pipelines for real\-time and batch processing. Optimize data flows for high\-volume, high\-velocity data environments. Develop advanced ETL processes for diverse data sources.
* Data Governance and Quality Management \- Establish and enforce data governance policies and best practices. Implement data quality frameworks and monitoring systems. Ensure compliance with data regulations and standards
* Performance Optimization and Troubleshooting \- Analyze and optimize system performance for large\-scale data operations. Troubleshoot complex data issues and implement robust solutions
* Mentorship and Knowledge Sharing \- Mentor junior data engineers and provide technical guidance. Contribute to the development of best practices and standards. Collaborate with cross\-functional teams to drive data literacy
* Testing \&amp; Automation – Write unit test cases, validate the data integrity \&amp; consistency requirements, build automated data pipelines using GitLab, Github, CICD tools.
* Code Deployment \&amp; Release Management \- Adopt release management processes to promote code deployment to various environments including production, disaster recovery, and support activities.
**Technical/Business Skills**
* Strong hands\-on experience in building robust metadata\-driven, automated data pipeline solutions leveraging modern cloud\-based data technologies, tools for large data platforms.
* Strong experience leveraging data security, governance methodologies meeting data compliance requirements.
* Strong hands\-on experience building medallion architecture automated ELT data pipelines, snowpipe frameworks leveraging Qlik Replicate, DBT Cloud, snowflake with CICD.
* Strong hands\-on experience building data pipelines,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Excellent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 based masking rules.
* \&lt; span style\="white\-space:pre"\&gt;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Financial banking experience is a plus.
* Must have one or more certifications in the relevant technology fields.
 Salary Range\- $100,000\-$110,000 a year
**Qualifications:** 
 BACHELOR OF COMPUTER SCIENCE</t>
        </is>
      </c>
    </row>
    <row r="87">
      <c r="A87" t="inlineStr">
        <is>
          <t>li-4352444822</t>
        </is>
      </c>
      <c r="B87" t="inlineStr">
        <is>
          <t>Data Engineer - Databricks</t>
        </is>
      </c>
      <c r="C87" t="inlineStr">
        <is>
          <t>Jobs via eFinancialCareers</t>
        </is>
      </c>
      <c r="D87" t="inlineStr">
        <is>
          <t>linkedin</t>
        </is>
      </c>
      <c r="E87">
        <f>HYPERLINK("https://www.linkedin.com/jobs/view/4352444822", "https://www.linkedin.com/jobs/view/4352444822")</f>
        <v/>
      </c>
      <c r="F87" t="inlineStr"/>
      <c r="G87" t="inlineStr">
        <is>
          <t>Bedminster, NJ</t>
        </is>
      </c>
      <c r="H87" t="inlineStr"/>
      <c r="I87" t="inlineStr">
        <is>
          <t>**Benefits Summary**
* Flexible and hybrid work arrangements
* Paid time off/Paid company holidays
* Medical plan options/prescription drug plan
* Dental plan/vision plan options
* Flexible spending and health savings accounts
* 401(k) retirement savings plan with a Roth savings option and company matching contributions
* Educational assistance program
**Overview**
 The Data Engineer is responsible for designing, building, and optimizing scalable data solutions to support a wide range of business needs. This role requires a strong ability to work both independently and collaboratively in a fast\-paced, agile environment. The ideal candidate will engage with cross\-functional teams to gather data requirements, propose enhancements to existing data pipelines and structures, and ensure the reliability and efficiency of data processes.
**Responsibilities**
* Assist with leading the team's transition to the Databricks platform and utilize the newer features of Delta Live Tables, Workflows etc
* Design and develop data pipelines that extract data from Oracle, load it into the data lake, transform it into the desired format, and load it into Databricks data lakehouse
* Optimize data pipelines and data processing workflows for performance, scalability, and efficiency
* Implement data quality checks and validations within data pipelines to ensure the accuracy, consistency, and completeness of data
* Help create and maintain documentation for data mappings, data definitions, architecture and data flow diagrams
* Build proof\-of\-concepts to determine viability of possible new processes and technologies
* Deploy and manage code in non\-prod and prod environments
* Investigate and troubleshoot data related issues and fix or provide solutions to fix defects
* Identify and resolve performance bottlenecks, which could include suggesting ways to optimize and performance tune databases and queries to enhance query performance
**Qualifications**
* Bachelor's Degree in Computer Science, Data Science, Software Engineering, Information Systems, or related quantitative field
* 4 plus years of experience working as a Data Engineer, ETL Engineer, Data/ETL Architect or similar roles
* Must hold a current/active Databricks Data Engineer/Analyst certification
**Skills**
* 4\+ years of solid continuous experience in Python
* 3\+ years working with Databricks with knowledge and expertise of data structures, data storage and change data capture gained from prior production implementations of data pipelines, optimizations, and best practices
* 3\+ years of experience in Kimball dimensional modeling (star\-schema comprising of facts, type1 and type2 dimensions, aggregates, etc.) with solid understanding of ELT/ETL
* 3\+ years of solid experience writing SQL and PL/SQL code
* 2\+ years of experience with Airflow
* 3\+ years of experience working with relational databases (Oracle preferred)
* 2\+ years of experience working with NoSQL databases: MongoDB, Cosmos DB, DocumentDB or similar
* 2\+ years of cloud experience (Azure preferred)
* Experience with CI/CD utilizing git/Azure DevOps
* Experience with storage formats including Parquet/Arrow/Avro
* Effectively collaborate with team members while being able to work independently with minimal supervision
* Must have a creative mindset, knack to solve complex problems, passion to work with data, and a positive attitude
* Ability to collaborate within and across teams of different technical knowledge to support delivery and educate end users on data products
* Expert problem\-solving skills, including debugging skills, allowing the determination of sources of issues in unfamiliar code or systems
 Pluses, but not required: Any work experience in the following:
 ETL / ELT tools: Spark, Kafka, Azure Data Factory (ADF)
 Languages: R, Java, Scala
 Databases: Redis, Elasticsearch</t>
        </is>
      </c>
    </row>
    <row r="88">
      <c r="A88" t="inlineStr">
        <is>
          <t>li-4354180691</t>
        </is>
      </c>
      <c r="B88" t="inlineStr">
        <is>
          <t>Data Engineer / Data Scientist / Data Architect - Full time</t>
        </is>
      </c>
      <c r="C88" t="inlineStr">
        <is>
          <t>Ztek Consulting</t>
        </is>
      </c>
      <c r="D88" t="inlineStr">
        <is>
          <t>linkedin</t>
        </is>
      </c>
      <c r="E88">
        <f>HYPERLINK("https://www.linkedin.com/jobs/view/4354180691", "https://www.linkedin.com/jobs/view/4354180691")</f>
        <v/>
      </c>
      <c r="F88" t="inlineStr"/>
      <c r="G88" t="inlineStr">
        <is>
          <t>Vienna, VA</t>
        </is>
      </c>
      <c r="H88" t="inlineStr"/>
      <c r="I88" t="inlineStr">
        <is>
          <t>Below are the 3 roles open:
 1\) Data Engineer
 2\) Data Scientist
 3\) Data Architect
**Job Descriptions:** 
**Data Engineer**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89">
      <c r="A89" t="inlineStr">
        <is>
          <t>li-4321489890</t>
        </is>
      </c>
      <c r="B89" t="inlineStr">
        <is>
          <t>Sr.AWS Data Engineer</t>
        </is>
      </c>
      <c r="C89" t="inlineStr">
        <is>
          <t>Jobs via Dice</t>
        </is>
      </c>
      <c r="D89" t="inlineStr">
        <is>
          <t>linkedin</t>
        </is>
      </c>
      <c r="E89">
        <f>HYPERLINK("https://www.linkedin.com/jobs/view/4321489890", "https://www.linkedin.com/jobs/view/4321489890")</f>
        <v/>
      </c>
      <c r="F89" t="inlineStr"/>
      <c r="G89" t="inlineStr"/>
      <c r="H89" t="inlineStr"/>
      <c r="I89" t="inlineStr">
        <is>
          <t>Dice is the leading career destination for tech experts at every stage of their careers. Our client, Tech Rakers, is seeking the following. Apply via Dice today!
**Title:** 
**Data/AI Engineer AWS Engineer**
 The Data/AI Engineer will be responsible for solution engineering of enterprise scale data management best practices. This includes patterns such as modern data integration frameworks and building of scalable distributed systems using emerging cloud\-based data design patterns. This role will be responsible for developing data integration tasks in the data and analytics space. This position will report to the Director of Data Management under Data \&amp; AI organization.
 Key Job Functions
* Demonstrate ability in implementing data warehouse solutions using modern data platforms such as Snowflake, Databricks or Redshift.
* Build data integration solutions between transaction systems and analytics platforms.
* Expand data integration solutions to ingest data from internal and external sources and to further transform as per the business consumption needs.
* Develop tasks for a multitude of data patterns, e.g., real\-time data integration, advanced analytics, machine learning, BI and reporting.
* Fundamental understanding of building of data products by data enrichment and ML.
* Act as a team player and share knowledge with the existing team members.
 Qualifications:
 Education
* Bachelor’s degree in computer science or a related field.
**Minimum Experience**
* Minimum 5 years of experience in building data driven solutions.
* At least 3 years of experience working with AWS services.
* Applicants must be authorized to work in the US without requiring employer sponsorship currently or in the future. U.S. FinTech does not offer H\-1B sponsorship for this position.
 Specialized Knowledge \&amp; Skills
* Expertise in real\-time data solutions, good\-to\-have knowledge of streams processing, Message Oriented Platforms and ETL/ELT Tools.
* Strong scripting experience using Python and SQL.
* Working knowledge of foundational AWS compute, storage, networking and IAM.
* Understanding of Gen AI models, prompt engineering, RAG, fine tuning and pre\-tuning will be a plus.
* Solid scripting experience in AWS using Lambda functions.
* Knowledge of CloudFormation template preferred.
* Hands\-on experience with popular cloud\-based data warehouse platforms such as Redshift and Snowflake.
* Experience in building data pipelines with related understanding of data ingestion, transformation of structured, semi\-structured and unstructured data across cloud services.
* Knowledge and understanding of data standards and principles to drive best practices around data management activities and solutions.
* Experience with one or more data integration tools such as Attunity (Qlik), AWS Glue ETL, Talend, Kafka etc.
* Strong understanding of data security – authorization, authentication, encryption, and network security.
* Hands on experience in using and extending machine learning framework and libraries, e.g, scikit\-learn, PyTorch, TensorFlow, XGBoost etc. preferred.
* Experience with AWS SageMaker family of services or similar tools to develop machine learning models preferred.
* Strong written and verbal communication skills to facilitate meetings and workshops to collect data, functional and technology requirements, document processes, data flows, gap analysis, and associated data to support data management/governance related efforts.
* Acts with integrity and proactively seeks ways to ensure compliance with regulations, policies, and procedures.
* Demonstrated ability to be self\-directed with excellent organization, analytical and interpersonal skills, and consistently meet or exceed deadline deliverables.
* Strong understanding of the importance and benefits of good data quality, and the ability to champion results across functions.</t>
        </is>
      </c>
    </row>
    <row r="90">
      <c r="A90" t="inlineStr">
        <is>
          <t>li-4366166865</t>
        </is>
      </c>
      <c r="B90" t="inlineStr">
        <is>
          <t>Senior Software Developer PHP - Data Engineer, Virtual</t>
        </is>
      </c>
      <c r="C90" t="inlineStr">
        <is>
          <t>Providence</t>
        </is>
      </c>
      <c r="D90" t="inlineStr">
        <is>
          <t>linkedin</t>
        </is>
      </c>
      <c r="E90">
        <f>HYPERLINK("https://www.linkedin.com/jobs/view/4366166865", "https://www.linkedin.com/jobs/view/4366166865")</f>
        <v/>
      </c>
      <c r="F90" t="inlineStr"/>
      <c r="G90" t="inlineStr">
        <is>
          <t>California, United States</t>
        </is>
      </c>
      <c r="H90" t="inlineStr"/>
      <c r="I90"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2026-01-26T23:29:21Z</dcterms:created>
  <dcterms:modified xsi:type="dcterms:W3CDTF">2026-01-26T23:29:21Z</dcterms:modified>
</cp:coreProperties>
</file>