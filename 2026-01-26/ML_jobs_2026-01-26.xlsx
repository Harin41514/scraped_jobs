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in-1ce13a6f1e020924</t>
        </is>
      </c>
      <c r="B2" t="inlineStr">
        <is>
          <t>Principal Applied Scientist, Amazon Special Projects</t>
        </is>
      </c>
      <c r="C2" t="inlineStr">
        <is>
          <t>Amazon.com</t>
        </is>
      </c>
      <c r="D2" t="inlineStr">
        <is>
          <t>indeed</t>
        </is>
      </c>
      <c r="E2" t="inlineStr"/>
      <c r="F2" t="inlineStr"/>
      <c r="G2" t="inlineStr">
        <is>
          <t>Boston, MA, US</t>
        </is>
      </c>
      <c r="H2" s="2" t="n">
        <v>45982</v>
      </c>
      <c r="I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in-846956d2948c2107</t>
        </is>
      </c>
      <c r="B3" t="inlineStr">
        <is>
          <t>Principal Applied Scientist, Amazon Special Projects</t>
        </is>
      </c>
      <c r="C3" t="inlineStr">
        <is>
          <t>Amazon.com</t>
        </is>
      </c>
      <c r="D3" t="inlineStr">
        <is>
          <t>indeed</t>
        </is>
      </c>
      <c r="E3" t="inlineStr"/>
      <c r="F3" t="inlineStr"/>
      <c r="G3" t="inlineStr">
        <is>
          <t>Seattle, WA, US</t>
        </is>
      </c>
      <c r="H3" s="2" t="n">
        <v>45982</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in-5cc4f5739d9e48eb</t>
        </is>
      </c>
      <c r="B4" t="inlineStr">
        <is>
          <t>Sr. Applied Scientist, AGI Foundations</t>
        </is>
      </c>
      <c r="C4" t="inlineStr">
        <is>
          <t>Amazon.com</t>
        </is>
      </c>
      <c r="D4" t="inlineStr">
        <is>
          <t>indeed</t>
        </is>
      </c>
      <c r="E4" t="inlineStr"/>
      <c r="F4" t="inlineStr"/>
      <c r="G4" t="inlineStr">
        <is>
          <t>Bellevue, WA,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in-c18f3dbb781b6f72</t>
        </is>
      </c>
      <c r="B5" t="inlineStr">
        <is>
          <t>Sr. Applied Scientist, AGI Foundations</t>
        </is>
      </c>
      <c r="C5" t="inlineStr">
        <is>
          <t>Amazon.com</t>
        </is>
      </c>
      <c r="D5" t="inlineStr">
        <is>
          <t>indeed</t>
        </is>
      </c>
      <c r="E5" t="inlineStr"/>
      <c r="F5" t="inlineStr"/>
      <c r="G5" t="inlineStr">
        <is>
          <t>New York, NY,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in-55edccecd9b9793a</t>
        </is>
      </c>
      <c r="B6" t="inlineStr">
        <is>
          <t>Sr. Applied Scientist, AGI Foundations</t>
        </is>
      </c>
      <c r="C6" t="inlineStr">
        <is>
          <t>Amazon.com</t>
        </is>
      </c>
      <c r="D6" t="inlineStr">
        <is>
          <t>indeed</t>
        </is>
      </c>
      <c r="E6" t="inlineStr"/>
      <c r="F6" t="inlineStr"/>
      <c r="G6" t="inlineStr">
        <is>
          <t>Sunnyvale, CA, US</t>
        </is>
      </c>
      <c r="H6" s="2" t="n">
        <v>45978</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in-3885a77b1055f1fc</t>
        </is>
      </c>
      <c r="B7" t="inlineStr">
        <is>
          <t>Sr. Applied Scientist, AGI Foundations</t>
        </is>
      </c>
      <c r="C7" t="inlineStr">
        <is>
          <t>Amazon.com</t>
        </is>
      </c>
      <c r="D7" t="inlineStr">
        <is>
          <t>indeed</t>
        </is>
      </c>
      <c r="E7" t="inlineStr"/>
      <c r="F7" t="inlineStr"/>
      <c r="G7" t="inlineStr">
        <is>
          <t>Boston, MA, US</t>
        </is>
      </c>
      <c r="H7" s="2" t="n">
        <v>45978</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in-6f9020b7e901ead1</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in-ef5253f8d3317af3</t>
        </is>
      </c>
      <c r="B9" t="inlineStr">
        <is>
          <t>Sr. Applied Scientist, AGI Foundations</t>
        </is>
      </c>
      <c r="C9" t="inlineStr">
        <is>
          <t>Amazon.com</t>
        </is>
      </c>
      <c r="D9" t="inlineStr">
        <is>
          <t>indeed</t>
        </is>
      </c>
      <c r="E9" t="inlineStr"/>
      <c r="F9" t="inlineStr"/>
      <c r="G9" t="inlineStr">
        <is>
          <t>New York, NY, US</t>
        </is>
      </c>
      <c r="H9" s="2" t="n">
        <v>45963</v>
      </c>
      <c r="I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in-6c73457c8cd622d3</t>
        </is>
      </c>
      <c r="B10" t="inlineStr">
        <is>
          <t>Sr. Applied Scientist, AGI Foundations</t>
        </is>
      </c>
      <c r="C10" t="inlineStr">
        <is>
          <t>Amazon.com</t>
        </is>
      </c>
      <c r="D10" t="inlineStr">
        <is>
          <t>indeed</t>
        </is>
      </c>
      <c r="E10" t="inlineStr"/>
      <c r="F10" t="inlineStr"/>
      <c r="G10" t="inlineStr">
        <is>
          <t>Boston, MA, US</t>
        </is>
      </c>
      <c r="H10" s="2" t="n">
        <v>45963</v>
      </c>
      <c r="I1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in-d533ee8067a1c2f8</t>
        </is>
      </c>
      <c r="B11" t="inlineStr">
        <is>
          <t>Applied Scientist II, Prime Video - Personalization and Discovery Science, Personalization and Discovery Science</t>
        </is>
      </c>
      <c r="C11" t="inlineStr">
        <is>
          <t>Amazon.com</t>
        </is>
      </c>
      <c r="D11" t="inlineStr">
        <is>
          <t>indeed</t>
        </is>
      </c>
      <c r="E11" t="inlineStr"/>
      <c r="F11" t="inlineStr"/>
      <c r="G11" t="inlineStr">
        <is>
          <t>New York, NY,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in-60af261b5efdba8e</t>
        </is>
      </c>
      <c r="B12" t="inlineStr">
        <is>
          <t>Applied Scientist II, Prime Video - Personalization and Discovery Science, Personalization and Discovery Science</t>
        </is>
      </c>
      <c r="C12" t="inlineStr">
        <is>
          <t>Amazon.com</t>
        </is>
      </c>
      <c r="D12" t="inlineStr">
        <is>
          <t>indeed</t>
        </is>
      </c>
      <c r="E12" t="inlineStr"/>
      <c r="F12" t="inlineStr"/>
      <c r="G12" t="inlineStr">
        <is>
          <t>Sunnyvale, CA, US</t>
        </is>
      </c>
      <c r="H12" s="2"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in-179cb1e913f0d0c8</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2"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in-2729d1edd9bc4eae</t>
        </is>
      </c>
      <c r="B14" t="inlineStr">
        <is>
          <t>Applied Scientist II, Prime Video - Personalization and Discovery Science</t>
        </is>
      </c>
      <c r="C14" t="inlineStr">
        <is>
          <t>Amazon.com</t>
        </is>
      </c>
      <c r="D14" t="inlineStr">
        <is>
          <t>indeed</t>
        </is>
      </c>
      <c r="E14" t="inlineStr"/>
      <c r="F14" t="inlineStr"/>
      <c r="G14" t="inlineStr">
        <is>
          <t>New York, NY,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in-b064def7c00650e7</t>
        </is>
      </c>
      <c r="B15" t="inlineStr">
        <is>
          <t>Applied Scientist II, Prime Video - Personalization and Discovery Science</t>
        </is>
      </c>
      <c r="C15" t="inlineStr">
        <is>
          <t>Amazon.com</t>
        </is>
      </c>
      <c r="D15" t="inlineStr">
        <is>
          <t>indeed</t>
        </is>
      </c>
      <c r="E15" t="inlineStr"/>
      <c r="F15" t="inlineStr"/>
      <c r="G15" t="inlineStr">
        <is>
          <t>Seattle, WA, US</t>
        </is>
      </c>
      <c r="H15" s="2" t="n">
        <v>45915</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in-525e384ad081bb4b</t>
        </is>
      </c>
      <c r="B16" t="inlineStr">
        <is>
          <t>Applied Scientist II, Prime Video - Personalization and Discovery Science</t>
        </is>
      </c>
      <c r="C16" t="inlineStr">
        <is>
          <t>Amazon.com</t>
        </is>
      </c>
      <c r="D16" t="inlineStr">
        <is>
          <t>indeed</t>
        </is>
      </c>
      <c r="E16" t="inlineStr"/>
      <c r="F16" t="inlineStr"/>
      <c r="G16" t="inlineStr">
        <is>
          <t>Sunnyvale, CA, US</t>
        </is>
      </c>
      <c r="H16" s="2" t="n">
        <v>45915</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in-8028aa50ac39a7cf</t>
        </is>
      </c>
      <c r="B17" t="inlineStr">
        <is>
          <t>Applied Scientist II, Prime Video - Personalization and Discovery Science</t>
        </is>
      </c>
      <c r="C17" t="inlineStr">
        <is>
          <t>Amazon.com</t>
        </is>
      </c>
      <c r="D17" t="inlineStr">
        <is>
          <t>indeed</t>
        </is>
      </c>
      <c r="E17" t="inlineStr"/>
      <c r="F17" t="inlineStr"/>
      <c r="G17" t="inlineStr">
        <is>
          <t>Seattle, WA, US</t>
        </is>
      </c>
      <c r="H17" s="2"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in-f3f6686d6990aed0</t>
        </is>
      </c>
      <c r="B18" t="inlineStr">
        <is>
          <t>Applied Scientist II, Prime Video - Personalization and Discovery Science</t>
        </is>
      </c>
      <c r="C18" t="inlineStr">
        <is>
          <t>Amazon.com</t>
        </is>
      </c>
      <c r="D18" t="inlineStr">
        <is>
          <t>indeed</t>
        </is>
      </c>
      <c r="E18" t="inlineStr"/>
      <c r="F18" t="inlineStr"/>
      <c r="G18" t="inlineStr">
        <is>
          <t>Sunnyvale, CA, US</t>
        </is>
      </c>
      <c r="H18" s="2"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in-9611d7cb6a4a6c92</t>
        </is>
      </c>
      <c r="B19" t="inlineStr">
        <is>
          <t>Sr. Applied Scientist, Prime Video - Personalization and Discovery Science</t>
        </is>
      </c>
      <c r="C19" t="inlineStr">
        <is>
          <t>Amazon.com</t>
        </is>
      </c>
      <c r="D19" t="inlineStr">
        <is>
          <t>indeed</t>
        </is>
      </c>
      <c r="E19" t="inlineStr"/>
      <c r="F19" t="inlineStr"/>
      <c r="G19" t="inlineStr">
        <is>
          <t>New York, NY, US</t>
        </is>
      </c>
      <c r="H19" s="2"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in-429a2c0abc900cad</t>
        </is>
      </c>
      <c r="B20" t="inlineStr">
        <is>
          <t>Sr. Applied Scientist, Prime Video - Personalization and Discovery Science</t>
        </is>
      </c>
      <c r="C20" t="inlineStr">
        <is>
          <t>Amazon.com</t>
        </is>
      </c>
      <c r="D20" t="inlineStr">
        <is>
          <t>indeed</t>
        </is>
      </c>
      <c r="E20" t="inlineStr"/>
      <c r="F20" t="inlineStr"/>
      <c r="G20" t="inlineStr">
        <is>
          <t>Seattle, WA, US</t>
        </is>
      </c>
      <c r="H20" s="2"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in-b57070981c7753eb</t>
        </is>
      </c>
      <c r="B21" t="inlineStr">
        <is>
          <t>Applied Scientist II, Prime Video - Personalization and Discovery Science</t>
        </is>
      </c>
      <c r="C21" t="inlineStr">
        <is>
          <t>Amazon.com</t>
        </is>
      </c>
      <c r="D21" t="inlineStr">
        <is>
          <t>indeed</t>
        </is>
      </c>
      <c r="E21" t="inlineStr"/>
      <c r="F21" t="inlineStr"/>
      <c r="G21" t="inlineStr">
        <is>
          <t>New York, NY, US</t>
        </is>
      </c>
      <c r="H21" s="2"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in-3fbf90c297225df8</t>
        </is>
      </c>
      <c r="B22" t="inlineStr">
        <is>
          <t>Sr. Applied Scientist, Prime Video - Personalization and Discovery Science</t>
        </is>
      </c>
      <c r="C22" t="inlineStr">
        <is>
          <t>Amazon.com</t>
        </is>
      </c>
      <c r="D22" t="inlineStr">
        <is>
          <t>indeed</t>
        </is>
      </c>
      <c r="E22" t="inlineStr"/>
      <c r="F22" t="inlineStr"/>
      <c r="G22" t="inlineStr">
        <is>
          <t>Sunnyvale, CA, US</t>
        </is>
      </c>
      <c r="H22" s="2" t="n">
        <v>45881</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in-986ee43d3ae0fad9</t>
        </is>
      </c>
      <c r="B23" t="inlineStr">
        <is>
          <t>Applied Scientist, Prime Video - Personalization and Discovery Science</t>
        </is>
      </c>
      <c r="C23" t="inlineStr">
        <is>
          <t>Amazon.com</t>
        </is>
      </c>
      <c r="D23" t="inlineStr">
        <is>
          <t>indeed</t>
        </is>
      </c>
      <c r="E23" t="inlineStr"/>
      <c r="F23" t="inlineStr"/>
      <c r="G23" t="inlineStr">
        <is>
          <t>New York, NY, US</t>
        </is>
      </c>
      <c r="H23" s="2" t="n">
        <v>45845</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in-6e7dd0990ab44865</t>
        </is>
      </c>
      <c r="B24" t="inlineStr">
        <is>
          <t>Applied Scientist, Prime Video - Personalization and Discovery Science</t>
        </is>
      </c>
      <c r="C24" t="inlineStr">
        <is>
          <t>Amazon.com</t>
        </is>
      </c>
      <c r="D24" t="inlineStr">
        <is>
          <t>indeed</t>
        </is>
      </c>
      <c r="E24" t="inlineStr"/>
      <c r="F24" t="inlineStr"/>
      <c r="G24" t="inlineStr">
        <is>
          <t>Seattle, WA, US</t>
        </is>
      </c>
      <c r="H24" s="2" t="n">
        <v>45845</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in-4d57e308affe5de0</t>
        </is>
      </c>
      <c r="B25" t="inlineStr">
        <is>
          <t>Applied Scientist, Prime Video - Personalization and Discovery Science</t>
        </is>
      </c>
      <c r="C25" t="inlineStr">
        <is>
          <t>Amazon.com</t>
        </is>
      </c>
      <c r="D25" t="inlineStr">
        <is>
          <t>indeed</t>
        </is>
      </c>
      <c r="E25" t="inlineStr"/>
      <c r="F25" t="inlineStr"/>
      <c r="G25" t="inlineStr">
        <is>
          <t>Sunnyvale, CA, US</t>
        </is>
      </c>
      <c r="H25" s="2" t="n">
        <v>45845</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in-1d8997cd66d1e693</t>
        </is>
      </c>
      <c r="B26" t="inlineStr">
        <is>
          <t>Applied Scientist, Amazon Special Projects</t>
        </is>
      </c>
      <c r="C26" t="inlineStr">
        <is>
          <t>Amazon.com</t>
        </is>
      </c>
      <c r="D26" t="inlineStr">
        <is>
          <t>indeed</t>
        </is>
      </c>
      <c r="E26" t="inlineStr"/>
      <c r="F26" t="inlineStr"/>
      <c r="G26" t="inlineStr">
        <is>
          <t>Boston, MA, US</t>
        </is>
      </c>
      <c r="H26" s="2" t="n">
        <v>46026</v>
      </c>
      <c r="I2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in-d48cd8a4ced9a62d</t>
        </is>
      </c>
      <c r="B27" t="inlineStr">
        <is>
          <t>Applied Scientist, Amazon Special Projects</t>
        </is>
      </c>
      <c r="C27" t="inlineStr">
        <is>
          <t>Amazon.com</t>
        </is>
      </c>
      <c r="D27" t="inlineStr">
        <is>
          <t>indeed</t>
        </is>
      </c>
      <c r="E27" t="inlineStr"/>
      <c r="F27" t="inlineStr"/>
      <c r="G27" t="inlineStr">
        <is>
          <t>Seattle, WA, US</t>
        </is>
      </c>
      <c r="H27" s="2" t="n">
        <v>46026</v>
      </c>
      <c r="I2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in-83f0d2ac13468ef1</t>
        </is>
      </c>
      <c r="B28" t="inlineStr">
        <is>
          <t>Senior Applied Scientist, Sponsored Products and Brands, Off-Search</t>
        </is>
      </c>
      <c r="C28" t="inlineStr">
        <is>
          <t>Amazon.com</t>
        </is>
      </c>
      <c r="D28" t="inlineStr">
        <is>
          <t>indeed</t>
        </is>
      </c>
      <c r="E28" t="inlineStr"/>
      <c r="F28" t="inlineStr"/>
      <c r="G28" t="inlineStr">
        <is>
          <t>Seattle, WA, US</t>
        </is>
      </c>
      <c r="H28" s="2" t="n">
        <v>46017</v>
      </c>
      <c r="I28"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in-69b8be5ffc262280</t>
        </is>
      </c>
      <c r="B29" t="inlineStr">
        <is>
          <t>Senior Applied Scientist, Sponsored Products and Brands, Off-Search</t>
        </is>
      </c>
      <c r="C29" t="inlineStr">
        <is>
          <t>Amazon.com</t>
        </is>
      </c>
      <c r="D29" t="inlineStr">
        <is>
          <t>indeed</t>
        </is>
      </c>
      <c r="E29" t="inlineStr"/>
      <c r="F29" t="inlineStr"/>
      <c r="G29" t="inlineStr">
        <is>
          <t>New York, NY, US</t>
        </is>
      </c>
      <c r="H29" s="2" t="n">
        <v>46017</v>
      </c>
      <c r="I29"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in-d202a82f221dc3ba</t>
        </is>
      </c>
      <c r="B30" t="inlineStr">
        <is>
          <t>Sr. Applied Scientist, Amazon Ads</t>
        </is>
      </c>
      <c r="C30" t="inlineStr">
        <is>
          <t>Amazon.com</t>
        </is>
      </c>
      <c r="D30" t="inlineStr">
        <is>
          <t>indeed</t>
        </is>
      </c>
      <c r="E30" t="inlineStr"/>
      <c r="F30" t="inlineStr"/>
      <c r="G30" t="inlineStr">
        <is>
          <t>Brooklyn, NY, US</t>
        </is>
      </c>
      <c r="H30" s="2" t="n">
        <v>45998</v>
      </c>
      <c r="I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1">
      <c r="A31" t="inlineStr">
        <is>
          <t>in-1bdef37603fad96c</t>
        </is>
      </c>
      <c r="B31" t="inlineStr">
        <is>
          <t>Sr. Applied Scientist, Amazon Ads</t>
        </is>
      </c>
      <c r="C31" t="inlineStr">
        <is>
          <t>Amazon.com</t>
        </is>
      </c>
      <c r="D31" t="inlineStr">
        <is>
          <t>indeed</t>
        </is>
      </c>
      <c r="E31" t="inlineStr"/>
      <c r="F31" t="inlineStr"/>
      <c r="G31" t="inlineStr">
        <is>
          <t>Corvallis, OR, US</t>
        </is>
      </c>
      <c r="H31" s="2" t="n">
        <v>45998</v>
      </c>
      <c r="I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2">
      <c r="A32" t="inlineStr">
        <is>
          <t>in-fc69d24f3ee9610a</t>
        </is>
      </c>
      <c r="B32" t="inlineStr">
        <is>
          <t>Sr. Applied Scientist, Amazon Ads</t>
        </is>
      </c>
      <c r="C32" t="inlineStr">
        <is>
          <t>Amazon.com</t>
        </is>
      </c>
      <c r="D32" t="inlineStr">
        <is>
          <t>indeed</t>
        </is>
      </c>
      <c r="E32" t="inlineStr"/>
      <c r="F32" t="inlineStr"/>
      <c r="G32" t="inlineStr">
        <is>
          <t>Santa Monica, CA, US</t>
        </is>
      </c>
      <c r="H32" s="2" t="n">
        <v>45998</v>
      </c>
      <c r="I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3">
      <c r="A33" t="inlineStr">
        <is>
          <t>in-7af6a9db9360b7bf</t>
        </is>
      </c>
      <c r="B33" t="inlineStr">
        <is>
          <t>Sr. Applied Scientist, Amazon Ads</t>
        </is>
      </c>
      <c r="C33" t="inlineStr">
        <is>
          <t>Amazon.com</t>
        </is>
      </c>
      <c r="D33" t="inlineStr">
        <is>
          <t>indeed</t>
        </is>
      </c>
      <c r="E33" t="inlineStr"/>
      <c r="F33" t="inlineStr"/>
      <c r="G33" t="inlineStr">
        <is>
          <t>Sunnyvale, CA, US</t>
        </is>
      </c>
      <c r="H33" s="2" t="n">
        <v>45998</v>
      </c>
      <c r="I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4">
      <c r="A34" t="inlineStr">
        <is>
          <t>in-ec42953743601887</t>
        </is>
      </c>
      <c r="B34" t="inlineStr">
        <is>
          <t>Sr. Applied Scientist, Amazon Ads</t>
        </is>
      </c>
      <c r="C34" t="inlineStr">
        <is>
          <t>Amazon.com</t>
        </is>
      </c>
      <c r="D34" t="inlineStr">
        <is>
          <t>indeed</t>
        </is>
      </c>
      <c r="E34" t="inlineStr"/>
      <c r="F34" t="inlineStr"/>
      <c r="G34" t="inlineStr">
        <is>
          <t>Boston, MA, US</t>
        </is>
      </c>
      <c r="H34" s="2" t="n">
        <v>45998</v>
      </c>
      <c r="I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5">
      <c r="A35" t="inlineStr">
        <is>
          <t>in-af7a1cfadf4ececc</t>
        </is>
      </c>
      <c r="B35" t="inlineStr">
        <is>
          <t>Sr. Applied Scientist, Amazon Ads</t>
        </is>
      </c>
      <c r="C35" t="inlineStr">
        <is>
          <t>Amazon.com</t>
        </is>
      </c>
      <c r="D35" t="inlineStr">
        <is>
          <t>indeed</t>
        </is>
      </c>
      <c r="E35" t="inlineStr"/>
      <c r="F35" t="inlineStr"/>
      <c r="G35" t="inlineStr">
        <is>
          <t>Seattle, WA, US</t>
        </is>
      </c>
      <c r="H35" s="2" t="n">
        <v>45998</v>
      </c>
      <c r="I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6">
      <c r="A36" t="inlineStr">
        <is>
          <t>in-bde46734a595f7a6</t>
        </is>
      </c>
      <c r="B36" t="inlineStr">
        <is>
          <t>Sr. Applied Scientist, Amazon Ads</t>
        </is>
      </c>
      <c r="C36" t="inlineStr">
        <is>
          <t>Amazon.com</t>
        </is>
      </c>
      <c r="D36" t="inlineStr">
        <is>
          <t>indeed</t>
        </is>
      </c>
      <c r="E36" t="inlineStr"/>
      <c r="F36" t="inlineStr"/>
      <c r="G36" t="inlineStr">
        <is>
          <t>Tukwila, WA, US</t>
        </is>
      </c>
      <c r="H36" s="2" t="n">
        <v>45998</v>
      </c>
      <c r="I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7">
      <c r="A37" t="inlineStr">
        <is>
          <t>in-9a851f306ef8ac20</t>
        </is>
      </c>
      <c r="B37" t="inlineStr">
        <is>
          <t>Sr. Applied Scientist, Amazon Ads</t>
        </is>
      </c>
      <c r="C37" t="inlineStr">
        <is>
          <t>Amazon.com</t>
        </is>
      </c>
      <c r="D37" t="inlineStr">
        <is>
          <t>indeed</t>
        </is>
      </c>
      <c r="E37" t="inlineStr"/>
      <c r="F37" t="inlineStr"/>
      <c r="G37" t="inlineStr">
        <is>
          <t>Boulder, CO, US</t>
        </is>
      </c>
      <c r="H37" s="2" t="n">
        <v>45998</v>
      </c>
      <c r="I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8">
      <c r="A38" t="inlineStr">
        <is>
          <t>in-f249c4e736673c0c</t>
        </is>
      </c>
      <c r="B38" t="inlineStr">
        <is>
          <t>Sr. Applied Scientist, Amazon Ads</t>
        </is>
      </c>
      <c r="C38" t="inlineStr">
        <is>
          <t>Amazon.com</t>
        </is>
      </c>
      <c r="D38" t="inlineStr">
        <is>
          <t>indeed</t>
        </is>
      </c>
      <c r="E38" t="inlineStr"/>
      <c r="F38" t="inlineStr"/>
      <c r="G38" t="inlineStr">
        <is>
          <t>Palo Alto, CA, US</t>
        </is>
      </c>
      <c r="H38" s="2" t="n">
        <v>45998</v>
      </c>
      <c r="I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9">
      <c r="A39" t="inlineStr">
        <is>
          <t>in-68d49e368cb70f1e</t>
        </is>
      </c>
      <c r="B39" t="inlineStr">
        <is>
          <t>Sr. Applied Scientist, Amazon Ads</t>
        </is>
      </c>
      <c r="C39" t="inlineStr">
        <is>
          <t>Amazon.com</t>
        </is>
      </c>
      <c r="D39" t="inlineStr">
        <is>
          <t>indeed</t>
        </is>
      </c>
      <c r="E39" t="inlineStr"/>
      <c r="F39" t="inlineStr"/>
      <c r="G39" t="inlineStr">
        <is>
          <t>New York, NY, US</t>
        </is>
      </c>
      <c r="H39" s="2" t="n">
        <v>45998</v>
      </c>
      <c r="I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0">
      <c r="A40" t="inlineStr">
        <is>
          <t>in-f003a22f08ac3a09</t>
        </is>
      </c>
      <c r="B40" t="inlineStr">
        <is>
          <t>Applied Scientist, ML Compiler</t>
        </is>
      </c>
      <c r="C40" t="inlineStr">
        <is>
          <t>Amazon Web Services</t>
        </is>
      </c>
      <c r="D40" t="inlineStr">
        <is>
          <t>indeed</t>
        </is>
      </c>
      <c r="E40" t="inlineStr"/>
      <c r="F40" t="inlineStr"/>
      <c r="G40" t="inlineStr">
        <is>
          <t>Seattle, WA, US</t>
        </is>
      </c>
      <c r="H40" s="2" t="n">
        <v>45993</v>
      </c>
      <c r="I4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in-2b4387a43b46d3c6</t>
        </is>
      </c>
      <c r="B41" t="inlineStr">
        <is>
          <t>Applied Scientist, ML Compiler</t>
        </is>
      </c>
      <c r="C41" t="inlineStr">
        <is>
          <t>Amazon Web Services</t>
        </is>
      </c>
      <c r="D41" t="inlineStr">
        <is>
          <t>indeed</t>
        </is>
      </c>
      <c r="E41" t="inlineStr"/>
      <c r="F41" t="inlineStr"/>
      <c r="G41" t="inlineStr">
        <is>
          <t>Cupertino, CA, US</t>
        </is>
      </c>
      <c r="H41" s="2" t="n">
        <v>45993</v>
      </c>
      <c r="I4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in-c05cb5b79aa479c3</t>
        </is>
      </c>
      <c r="B42" t="inlineStr">
        <is>
          <t>Senior Applied Scientist, Locomotion, Amazon Industrial Robotics</t>
        </is>
      </c>
      <c r="C42" t="inlineStr">
        <is>
          <t>Amazon.com</t>
        </is>
      </c>
      <c r="D42" t="inlineStr">
        <is>
          <t>indeed</t>
        </is>
      </c>
      <c r="E42" t="inlineStr"/>
      <c r="F42" t="inlineStr"/>
      <c r="G42" t="inlineStr">
        <is>
          <t>Reading, MA, US</t>
        </is>
      </c>
      <c r="H42" s="2" t="n">
        <v>45992</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in-74b61fb4d94ddc7b</t>
        </is>
      </c>
      <c r="B43" t="inlineStr">
        <is>
          <t>Senior Applied Scientist, Locomotion, Amazon Industrial Robotics</t>
        </is>
      </c>
      <c r="C43" t="inlineStr">
        <is>
          <t>Amazon.com</t>
        </is>
      </c>
      <c r="D43" t="inlineStr">
        <is>
          <t>indeed</t>
        </is>
      </c>
      <c r="E43" t="inlineStr"/>
      <c r="F43" t="inlineStr"/>
      <c r="G43" t="inlineStr">
        <is>
          <t>Reading, MA, US</t>
        </is>
      </c>
      <c r="H43" s="2" t="n">
        <v>45992</v>
      </c>
      <c r="I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in-c325043c6f67387b</t>
        </is>
      </c>
      <c r="B44" t="inlineStr">
        <is>
          <t>Sr. Machine Learning Engineer, AGIF | Finetuning</t>
        </is>
      </c>
      <c r="C44" t="inlineStr">
        <is>
          <t>Amazon.com</t>
        </is>
      </c>
      <c r="D44" t="inlineStr">
        <is>
          <t>indeed</t>
        </is>
      </c>
      <c r="E44" t="inlineStr"/>
      <c r="F44" t="inlineStr"/>
      <c r="G44" t="inlineStr">
        <is>
          <t>New York, NY, US</t>
        </is>
      </c>
      <c r="H44" s="2" t="n">
        <v>45984</v>
      </c>
      <c r="I4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in-b3e236dcc3f3a2e8</t>
        </is>
      </c>
      <c r="B45" t="inlineStr">
        <is>
          <t>Sr. Machine Learning Engineer, AGIF | Finetuning</t>
        </is>
      </c>
      <c r="C45" t="inlineStr">
        <is>
          <t>Amazon.com</t>
        </is>
      </c>
      <c r="D45" t="inlineStr">
        <is>
          <t>indeed</t>
        </is>
      </c>
      <c r="E45" t="inlineStr"/>
      <c r="F45" t="inlineStr"/>
      <c r="G45" t="inlineStr">
        <is>
          <t>Bellevue, WA, US</t>
        </is>
      </c>
      <c r="H45" s="2" t="n">
        <v>45984</v>
      </c>
      <c r="I4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in-b4a1d51c027717b5</t>
        </is>
      </c>
      <c r="B46" t="inlineStr">
        <is>
          <t>Sr. Machine Learning Engineer, AGIF | Finetuning</t>
        </is>
      </c>
      <c r="C46" t="inlineStr">
        <is>
          <t>Amazon.com</t>
        </is>
      </c>
      <c r="D46" t="inlineStr">
        <is>
          <t>indeed</t>
        </is>
      </c>
      <c r="E46" t="inlineStr"/>
      <c r="F46" t="inlineStr"/>
      <c r="G46" t="inlineStr">
        <is>
          <t>Sunnyvale, CA, US</t>
        </is>
      </c>
      <c r="H46" s="2" t="n">
        <v>45984</v>
      </c>
      <c r="I4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in-e88a870cbe266594</t>
        </is>
      </c>
      <c r="B47" t="inlineStr">
        <is>
          <t>Sr. Applied Scientist, SPB Advertiser Guidance</t>
        </is>
      </c>
      <c r="C47" t="inlineStr">
        <is>
          <t>Amazon.com</t>
        </is>
      </c>
      <c r="D47" t="inlineStr">
        <is>
          <t>indeed</t>
        </is>
      </c>
      <c r="E47" t="inlineStr"/>
      <c r="F47" t="inlineStr"/>
      <c r="G47" t="inlineStr">
        <is>
          <t>Seattle, WA, US</t>
        </is>
      </c>
      <c r="H47" s="2" t="n">
        <v>45981</v>
      </c>
      <c r="I4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in-dedcef609f2bb2a1</t>
        </is>
      </c>
      <c r="B48" t="inlineStr">
        <is>
          <t>Sr. Applied Scientist, SPB Advertiser Guidance</t>
        </is>
      </c>
      <c r="C48" t="inlineStr">
        <is>
          <t>Amazon.com</t>
        </is>
      </c>
      <c r="D48" t="inlineStr">
        <is>
          <t>indeed</t>
        </is>
      </c>
      <c r="E48" t="inlineStr"/>
      <c r="F48" t="inlineStr"/>
      <c r="G48" t="inlineStr">
        <is>
          <t>Palo Alto, CA, US</t>
        </is>
      </c>
      <c r="H48" s="2" t="n">
        <v>45981</v>
      </c>
      <c r="I4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in-99be61e68cfc4ee5</t>
        </is>
      </c>
      <c r="B49" t="inlineStr">
        <is>
          <t>Sr. Applied Scientist, SPB Advertiser Guidance</t>
        </is>
      </c>
      <c r="C49" t="inlineStr">
        <is>
          <t>Amazon.com</t>
        </is>
      </c>
      <c r="D49" t="inlineStr">
        <is>
          <t>indeed</t>
        </is>
      </c>
      <c r="E49" t="inlineStr"/>
      <c r="F49" t="inlineStr"/>
      <c r="G49" t="inlineStr">
        <is>
          <t>New York, NY, US</t>
        </is>
      </c>
      <c r="H49" s="2" t="n">
        <v>45981</v>
      </c>
      <c r="I4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in-7f4fe70348259113</t>
        </is>
      </c>
      <c r="B50" t="inlineStr">
        <is>
          <t>Senior Applied Scientist, Artificial General Intelligence</t>
        </is>
      </c>
      <c r="C50" t="inlineStr">
        <is>
          <t>Amazon.com</t>
        </is>
      </c>
      <c r="D50" t="inlineStr">
        <is>
          <t>indeed</t>
        </is>
      </c>
      <c r="E50" t="inlineStr"/>
      <c r="F50" t="inlineStr"/>
      <c r="G50" t="inlineStr">
        <is>
          <t>Sunnyvale, CA, US</t>
        </is>
      </c>
      <c r="H50" s="2" t="n">
        <v>45980</v>
      </c>
      <c r="I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in-88c699ed385ba1e6</t>
        </is>
      </c>
      <c r="B51" t="inlineStr">
        <is>
          <t>Senior Applied Scientist, Artificial General Intelligence</t>
        </is>
      </c>
      <c r="C51" t="inlineStr">
        <is>
          <t>Amazon.com</t>
        </is>
      </c>
      <c r="D51" t="inlineStr">
        <is>
          <t>indeed</t>
        </is>
      </c>
      <c r="E51" t="inlineStr"/>
      <c r="F51" t="inlineStr"/>
      <c r="G51" t="inlineStr">
        <is>
          <t>New York, NY, US</t>
        </is>
      </c>
      <c r="H51" s="2" t="n">
        <v>45980</v>
      </c>
      <c r="I5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in-d7cfab2aa684acd0</t>
        </is>
      </c>
      <c r="B52" t="inlineStr">
        <is>
          <t>Senior Applied Scientist, Artificial General Intelligence</t>
        </is>
      </c>
      <c r="C52" t="inlineStr">
        <is>
          <t>Amazon.com</t>
        </is>
      </c>
      <c r="D52" t="inlineStr">
        <is>
          <t>indeed</t>
        </is>
      </c>
      <c r="E52" t="inlineStr"/>
      <c r="F52" t="inlineStr"/>
      <c r="G52" t="inlineStr">
        <is>
          <t>Boston, MA, US</t>
        </is>
      </c>
      <c r="H52" s="2" t="n">
        <v>45980</v>
      </c>
      <c r="I5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in-96f5fdfe15f5e2c4</t>
        </is>
      </c>
      <c r="B53" t="inlineStr">
        <is>
          <t>Senior Applied Scientist, Artificial General Intelligence</t>
        </is>
      </c>
      <c r="C53" t="inlineStr">
        <is>
          <t>Amazon.com</t>
        </is>
      </c>
      <c r="D53" t="inlineStr">
        <is>
          <t>indeed</t>
        </is>
      </c>
      <c r="E53" t="inlineStr"/>
      <c r="F53" t="inlineStr"/>
      <c r="G53" t="inlineStr">
        <is>
          <t>Seattle, WA, US</t>
        </is>
      </c>
      <c r="H53" s="2" t="n">
        <v>45980</v>
      </c>
      <c r="I5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in-2aa47328aca79c8e</t>
        </is>
      </c>
      <c r="B54" t="inlineStr">
        <is>
          <t>Applied Scientist II, SPB Advertiser Guidance</t>
        </is>
      </c>
      <c r="C54" t="inlineStr">
        <is>
          <t>Amazon.com</t>
        </is>
      </c>
      <c r="D54" t="inlineStr">
        <is>
          <t>indeed</t>
        </is>
      </c>
      <c r="E54" t="inlineStr"/>
      <c r="F54" t="inlineStr"/>
      <c r="G54" t="inlineStr">
        <is>
          <t>New York, NY, US</t>
        </is>
      </c>
      <c r="H54" s="2" t="n">
        <v>45980</v>
      </c>
      <c r="I5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in-1832be555affd2e7</t>
        </is>
      </c>
      <c r="B55" t="inlineStr">
        <is>
          <t>Applied Scientist II, SPB Advertiser Guidance</t>
        </is>
      </c>
      <c r="C55" t="inlineStr">
        <is>
          <t>Amazon.com</t>
        </is>
      </c>
      <c r="D55" t="inlineStr">
        <is>
          <t>indeed</t>
        </is>
      </c>
      <c r="E55" t="inlineStr"/>
      <c r="F55" t="inlineStr"/>
      <c r="G55" t="inlineStr">
        <is>
          <t>Palo Alto, CA, US</t>
        </is>
      </c>
      <c r="H55" s="2" t="n">
        <v>45980</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in-63bebfe25fd478cf</t>
        </is>
      </c>
      <c r="B56" t="inlineStr">
        <is>
          <t>Applied Scientist II, SPB Advertiser Guidance</t>
        </is>
      </c>
      <c r="C56" t="inlineStr">
        <is>
          <t>Amazon.com</t>
        </is>
      </c>
      <c r="D56" t="inlineStr">
        <is>
          <t>indeed</t>
        </is>
      </c>
      <c r="E56" t="inlineStr"/>
      <c r="F56" t="inlineStr"/>
      <c r="G56" t="inlineStr">
        <is>
          <t>Seattle, WA, US</t>
        </is>
      </c>
      <c r="H56" s="2" t="n">
        <v>45980</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in-cec46dda54a645c9</t>
        </is>
      </c>
      <c r="B57" t="inlineStr">
        <is>
          <t>Principal Applied Scientist, Sponsored Products and Brands</t>
        </is>
      </c>
      <c r="C57" t="inlineStr">
        <is>
          <t>Amazon.com</t>
        </is>
      </c>
      <c r="D57" t="inlineStr">
        <is>
          <t>indeed</t>
        </is>
      </c>
      <c r="E57" t="inlineStr"/>
      <c r="F57" t="inlineStr"/>
      <c r="G57" t="inlineStr">
        <is>
          <t>Seattle, WA, US</t>
        </is>
      </c>
      <c r="H57" s="2" t="n">
        <v>45979</v>
      </c>
      <c r="I5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in-57ceec25658ced61</t>
        </is>
      </c>
      <c r="B58" t="inlineStr">
        <is>
          <t>Principal Applied Scientist, Sponsored Products and Brands</t>
        </is>
      </c>
      <c r="C58" t="inlineStr">
        <is>
          <t>Amazon.com</t>
        </is>
      </c>
      <c r="D58" t="inlineStr">
        <is>
          <t>indeed</t>
        </is>
      </c>
      <c r="E58" t="inlineStr"/>
      <c r="F58" t="inlineStr"/>
      <c r="G58" t="inlineStr">
        <is>
          <t>New York, NY, US</t>
        </is>
      </c>
      <c r="H58" s="2" t="n">
        <v>45979</v>
      </c>
      <c r="I5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in-e06d42be3b1b476c</t>
        </is>
      </c>
      <c r="B59" t="inlineStr">
        <is>
          <t>Applied Scientist II, Robotics and ML, Amazon Industrial Robotics</t>
        </is>
      </c>
      <c r="C59" t="inlineStr">
        <is>
          <t>Amazon.com</t>
        </is>
      </c>
      <c r="D59" t="inlineStr">
        <is>
          <t>indeed</t>
        </is>
      </c>
      <c r="E59" t="inlineStr"/>
      <c r="F59" t="inlineStr"/>
      <c r="G59" t="inlineStr">
        <is>
          <t>Reading, MA, US</t>
        </is>
      </c>
      <c r="H59" s="2" t="n">
        <v>45975</v>
      </c>
      <c r="I5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in-e909bfbb50af7c84</t>
        </is>
      </c>
      <c r="B60" t="inlineStr">
        <is>
          <t>Applied Scientist II, Robotics and ML, Amazon Industrial Robotics</t>
        </is>
      </c>
      <c r="C60" t="inlineStr">
        <is>
          <t>Amazon.com</t>
        </is>
      </c>
      <c r="D60" t="inlineStr">
        <is>
          <t>indeed</t>
        </is>
      </c>
      <c r="E60" t="inlineStr"/>
      <c r="F60" t="inlineStr"/>
      <c r="G60" t="inlineStr">
        <is>
          <t>Reading, MA, US</t>
        </is>
      </c>
      <c r="H60" s="2" t="n">
        <v>45975</v>
      </c>
      <c r="I6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in-62130f259c0036c3</t>
        </is>
      </c>
      <c r="B61" t="inlineStr">
        <is>
          <t>Sr. Applied Scientist, Amazon Industrial Robotics</t>
        </is>
      </c>
      <c r="C61" t="inlineStr">
        <is>
          <t>Amazon.com</t>
        </is>
      </c>
      <c r="D61" t="inlineStr">
        <is>
          <t>indeed</t>
        </is>
      </c>
      <c r="E61" t="inlineStr"/>
      <c r="F61" t="inlineStr"/>
      <c r="G61" t="inlineStr">
        <is>
          <t>Reading, MA, US</t>
        </is>
      </c>
      <c r="H61" s="2" t="n">
        <v>45973</v>
      </c>
      <c r="I6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in-f263ba6c32631025</t>
        </is>
      </c>
      <c r="B62" t="inlineStr">
        <is>
          <t>Sr. Applied Scientist, Amazon Industrial Robotics</t>
        </is>
      </c>
      <c r="C62" t="inlineStr">
        <is>
          <t>Amazon.com</t>
        </is>
      </c>
      <c r="D62" t="inlineStr">
        <is>
          <t>indeed</t>
        </is>
      </c>
      <c r="E62" t="inlineStr"/>
      <c r="F62" t="inlineStr"/>
      <c r="G62" t="inlineStr">
        <is>
          <t>Reading, MA, US</t>
        </is>
      </c>
      <c r="H62" s="2" t="n">
        <v>45973</v>
      </c>
      <c r="I6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in-8dbe8b70cdaeaf0d</t>
        </is>
      </c>
      <c r="B63" t="inlineStr">
        <is>
          <t>Senior Applied Scientist, Planning and Controls, Amazon Industrial Robotics</t>
        </is>
      </c>
      <c r="C63" t="inlineStr">
        <is>
          <t>Amazon.com</t>
        </is>
      </c>
      <c r="D63" t="inlineStr">
        <is>
          <t>indeed</t>
        </is>
      </c>
      <c r="E63" t="inlineStr"/>
      <c r="F63" t="inlineStr"/>
      <c r="G63" t="inlineStr">
        <is>
          <t>Reading, MA, US</t>
        </is>
      </c>
      <c r="H63" s="2" t="n">
        <v>45972</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in-7c7c9b5e4a886080</t>
        </is>
      </c>
      <c r="B64" t="inlineStr">
        <is>
          <t>Senior Applied Scientist, Planning and Controls, Amazon Industrial Robotics</t>
        </is>
      </c>
      <c r="C64" t="inlineStr">
        <is>
          <t>Amazon.com</t>
        </is>
      </c>
      <c r="D64" t="inlineStr">
        <is>
          <t>indeed</t>
        </is>
      </c>
      <c r="E64" t="inlineStr"/>
      <c r="F64" t="inlineStr"/>
      <c r="G64" t="inlineStr">
        <is>
          <t>Reading, MA, US</t>
        </is>
      </c>
      <c r="H64" s="2" t="n">
        <v>45972</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in-62e12b5d49b91481</t>
        </is>
      </c>
      <c r="B65" t="inlineStr">
        <is>
          <t>Principal Applied Scientist, Amazon AGI</t>
        </is>
      </c>
      <c r="C65" t="inlineStr">
        <is>
          <t>Amazon.com</t>
        </is>
      </c>
      <c r="D65" t="inlineStr">
        <is>
          <t>indeed</t>
        </is>
      </c>
      <c r="E65" t="inlineStr"/>
      <c r="F65" t="inlineStr"/>
      <c r="G65" t="inlineStr">
        <is>
          <t>San Francisco, CA, US</t>
        </is>
      </c>
      <c r="H65" s="2" t="n">
        <v>45964</v>
      </c>
      <c r="I65"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in-e31144b6b67e934e</t>
        </is>
      </c>
      <c r="B66" t="inlineStr">
        <is>
          <t>Principal Applied Scientist, Amazon AGI</t>
        </is>
      </c>
      <c r="C66" t="inlineStr">
        <is>
          <t>Amazon.com</t>
        </is>
      </c>
      <c r="D66" t="inlineStr">
        <is>
          <t>indeed</t>
        </is>
      </c>
      <c r="E66" t="inlineStr"/>
      <c r="F66" t="inlineStr"/>
      <c r="G66" t="inlineStr">
        <is>
          <t>Boston, MA, US</t>
        </is>
      </c>
      <c r="H66" s="2" t="n">
        <v>45964</v>
      </c>
      <c r="I66"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in-633722128852140a</t>
        </is>
      </c>
      <c r="B67" t="inlineStr">
        <is>
          <t>Principal Applied Scientist, AWS Agentic AI Science</t>
        </is>
      </c>
      <c r="C67" t="inlineStr">
        <is>
          <t>Amazon Web Services</t>
        </is>
      </c>
      <c r="D67" t="inlineStr">
        <is>
          <t>indeed</t>
        </is>
      </c>
      <c r="E67" t="inlineStr"/>
      <c r="F67" t="inlineStr"/>
      <c r="G67" t="inlineStr">
        <is>
          <t>Santa Clara, CA, US</t>
        </is>
      </c>
      <c r="H67" s="2" t="n">
        <v>45963</v>
      </c>
      <c r="I6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in-f38f3a2406ef09a3</t>
        </is>
      </c>
      <c r="B68" t="inlineStr">
        <is>
          <t>Principal Applied Scientist, AWS Agentic AI Science</t>
        </is>
      </c>
      <c r="C68" t="inlineStr">
        <is>
          <t>Amazon Web Services</t>
        </is>
      </c>
      <c r="D68" t="inlineStr">
        <is>
          <t>indeed</t>
        </is>
      </c>
      <c r="E68" t="inlineStr"/>
      <c r="F68" t="inlineStr"/>
      <c r="G68" t="inlineStr">
        <is>
          <t>New York, NY, US</t>
        </is>
      </c>
      <c r="H68" s="2" t="n">
        <v>45963</v>
      </c>
      <c r="I6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in-b583331cd01b1f1b</t>
        </is>
      </c>
      <c r="B69" t="inlineStr">
        <is>
          <t>Sr. Applied Scientist, Sponsored Product Off-Search</t>
        </is>
      </c>
      <c r="C69" t="inlineStr">
        <is>
          <t>Amazon.com</t>
        </is>
      </c>
      <c r="D69" t="inlineStr">
        <is>
          <t>indeed</t>
        </is>
      </c>
      <c r="E69" t="inlineStr"/>
      <c r="F69" t="inlineStr"/>
      <c r="G69" t="inlineStr">
        <is>
          <t>Seattle, WA, US</t>
        </is>
      </c>
      <c r="H69" s="2" t="n">
        <v>45963</v>
      </c>
      <c r="I6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in-9b9c6d83da49ef04</t>
        </is>
      </c>
      <c r="B70" t="inlineStr">
        <is>
          <t>Sr. Applied Scientist, Sponsored Product Off-Search</t>
        </is>
      </c>
      <c r="C70" t="inlineStr">
        <is>
          <t>Amazon.com</t>
        </is>
      </c>
      <c r="D70" t="inlineStr">
        <is>
          <t>indeed</t>
        </is>
      </c>
      <c r="E70" t="inlineStr"/>
      <c r="F70" t="inlineStr"/>
      <c r="G70" t="inlineStr">
        <is>
          <t>New York, NY, US</t>
        </is>
      </c>
      <c r="H70" s="2" t="n">
        <v>45963</v>
      </c>
      <c r="I7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in-9c5a7a9b7ae6c356</t>
        </is>
      </c>
      <c r="B71" t="inlineStr">
        <is>
          <t>Applied Scientist, AWS Agentic AI</t>
        </is>
      </c>
      <c r="C71" t="inlineStr">
        <is>
          <t>Amazon Web Services</t>
        </is>
      </c>
      <c r="D71" t="inlineStr">
        <is>
          <t>indeed</t>
        </is>
      </c>
      <c r="E71" t="inlineStr"/>
      <c r="F71" t="inlineStr"/>
      <c r="G71" t="inlineStr">
        <is>
          <t>Santa Clara, CA, US</t>
        </is>
      </c>
      <c r="H71" s="2" t="n">
        <v>45962</v>
      </c>
      <c r="I7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in-71675ed82f6c5918</t>
        </is>
      </c>
      <c r="B72" t="inlineStr">
        <is>
          <t>Applied Scientist, AWS Agentic AI</t>
        </is>
      </c>
      <c r="C72" t="inlineStr">
        <is>
          <t>Amazon Web Services</t>
        </is>
      </c>
      <c r="D72" t="inlineStr">
        <is>
          <t>indeed</t>
        </is>
      </c>
      <c r="E72" t="inlineStr"/>
      <c r="F72" t="inlineStr"/>
      <c r="G72" t="inlineStr">
        <is>
          <t>Seattle, WA, US</t>
        </is>
      </c>
      <c r="H72" s="2" t="n">
        <v>45962</v>
      </c>
      <c r="I7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in-c2106631c07a5330</t>
        </is>
      </c>
      <c r="B73" t="inlineStr">
        <is>
          <t>Applied Scientist, AWS Agentic AI</t>
        </is>
      </c>
      <c r="C73" t="inlineStr">
        <is>
          <t>Amazon Web Services</t>
        </is>
      </c>
      <c r="D73" t="inlineStr">
        <is>
          <t>indeed</t>
        </is>
      </c>
      <c r="E73" t="inlineStr"/>
      <c r="F73" t="inlineStr"/>
      <c r="G73" t="inlineStr">
        <is>
          <t>New York, NY, US</t>
        </is>
      </c>
      <c r="H73" s="2" t="n">
        <v>45962</v>
      </c>
      <c r="I7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in-848a801fe72e98a6</t>
        </is>
      </c>
      <c r="B74" t="inlineStr">
        <is>
          <t>Principal Applied Scientist, Advertiser Growth, Amazon Sponsored Products &amp; Brands</t>
        </is>
      </c>
      <c r="C74" t="inlineStr">
        <is>
          <t>Amazon.com</t>
        </is>
      </c>
      <c r="D74" t="inlineStr">
        <is>
          <t>indeed</t>
        </is>
      </c>
      <c r="E74" t="inlineStr"/>
      <c r="F74" t="inlineStr"/>
      <c r="G74" t="inlineStr">
        <is>
          <t>Palo Alto, CA, US</t>
        </is>
      </c>
      <c r="H74" s="2"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in-120cd71db3f02a54</t>
        </is>
      </c>
      <c r="B75" t="inlineStr">
        <is>
          <t>Principal Applied Scientist, Advertiser Growth, Amazon Sponsored Products &amp; Brands</t>
        </is>
      </c>
      <c r="C75" t="inlineStr">
        <is>
          <t>Amazon.com</t>
        </is>
      </c>
      <c r="D75" t="inlineStr">
        <is>
          <t>indeed</t>
        </is>
      </c>
      <c r="E75" t="inlineStr"/>
      <c r="F75" t="inlineStr"/>
      <c r="G75" t="inlineStr">
        <is>
          <t>New York, NY, US</t>
        </is>
      </c>
      <c r="H75" s="2"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in-7b14ef06709401f7</t>
        </is>
      </c>
      <c r="B76" t="inlineStr">
        <is>
          <t>Principal Applied Scientist, Advertiser Growth, Amazon Sponsored Products &amp; Brands</t>
        </is>
      </c>
      <c r="C76" t="inlineStr">
        <is>
          <t>Amazon.com</t>
        </is>
      </c>
      <c r="D76" t="inlineStr">
        <is>
          <t>indeed</t>
        </is>
      </c>
      <c r="E76" t="inlineStr"/>
      <c r="F76" t="inlineStr"/>
      <c r="G76" t="inlineStr">
        <is>
          <t>Seattle, WA, US</t>
        </is>
      </c>
      <c r="H76" s="2"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in-d950d44e4bf2f027</t>
        </is>
      </c>
      <c r="B77" t="inlineStr">
        <is>
          <t>Sr. Applied Scientist, SPB Advertiser Guidance</t>
        </is>
      </c>
      <c r="C77" t="inlineStr">
        <is>
          <t>Amazon.com</t>
        </is>
      </c>
      <c r="D77" t="inlineStr">
        <is>
          <t>indeed</t>
        </is>
      </c>
      <c r="E77" t="inlineStr"/>
      <c r="F77" t="inlineStr"/>
      <c r="G77" t="inlineStr">
        <is>
          <t>Seattle, WA, US</t>
        </is>
      </c>
      <c r="H77" s="2" t="n">
        <v>45939</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in-30536150343bc768</t>
        </is>
      </c>
      <c r="B78" t="inlineStr">
        <is>
          <t>Sr. Applied Scientist, SPB Advertiser Guidance</t>
        </is>
      </c>
      <c r="C78" t="inlineStr">
        <is>
          <t>Amazon.com</t>
        </is>
      </c>
      <c r="D78" t="inlineStr">
        <is>
          <t>indeed</t>
        </is>
      </c>
      <c r="E78" t="inlineStr"/>
      <c r="F78" t="inlineStr"/>
      <c r="G78" t="inlineStr">
        <is>
          <t>Palo Alto, CA, US</t>
        </is>
      </c>
      <c r="H78" s="2" t="n">
        <v>45939</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in-563978b08ad7d366</t>
        </is>
      </c>
      <c r="B79" t="inlineStr">
        <is>
          <t>Sr. Applied Scientist, SPB Advertiser Guidance</t>
        </is>
      </c>
      <c r="C79" t="inlineStr">
        <is>
          <t>Amazon.com</t>
        </is>
      </c>
      <c r="D79" t="inlineStr">
        <is>
          <t>indeed</t>
        </is>
      </c>
      <c r="E79" t="inlineStr"/>
      <c r="F79" t="inlineStr"/>
      <c r="G79" t="inlineStr">
        <is>
          <t>New York, NY, US</t>
        </is>
      </c>
      <c r="H79" s="2" t="n">
        <v>45939</v>
      </c>
      <c r="I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in-555aaea12719ebda</t>
        </is>
      </c>
      <c r="B80" t="inlineStr">
        <is>
          <t>Applied Scientist</t>
        </is>
      </c>
      <c r="C80" t="inlineStr">
        <is>
          <t>Amazon.com</t>
        </is>
      </c>
      <c r="D80" t="inlineStr">
        <is>
          <t>indeed</t>
        </is>
      </c>
      <c r="E80" t="inlineStr"/>
      <c r="F80" t="inlineStr"/>
      <c r="G80" t="inlineStr">
        <is>
          <t>New York, NY, US</t>
        </is>
      </c>
      <c r="H80" s="2" t="n">
        <v>45939</v>
      </c>
      <c r="I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in-4b869f1315f647e5</t>
        </is>
      </c>
      <c r="B81" t="inlineStr">
        <is>
          <t>Applied Scientist</t>
        </is>
      </c>
      <c r="C81" t="inlineStr">
        <is>
          <t>Amazon.com</t>
        </is>
      </c>
      <c r="D81" t="inlineStr">
        <is>
          <t>indeed</t>
        </is>
      </c>
      <c r="E81" t="inlineStr"/>
      <c r="F81" t="inlineStr"/>
      <c r="G81" t="inlineStr">
        <is>
          <t>Seattle, WA, US</t>
        </is>
      </c>
      <c r="H81" s="2" t="n">
        <v>45939</v>
      </c>
      <c r="I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in-aedebe934032fabb</t>
        </is>
      </c>
      <c r="B82" t="inlineStr">
        <is>
          <t>Applied Scientist</t>
        </is>
      </c>
      <c r="C82" t="inlineStr">
        <is>
          <t>Amazon.com</t>
        </is>
      </c>
      <c r="D82" t="inlineStr">
        <is>
          <t>indeed</t>
        </is>
      </c>
      <c r="E82" t="inlineStr"/>
      <c r="F82" t="inlineStr"/>
      <c r="G82" t="inlineStr">
        <is>
          <t>Palo Alto, CA, US</t>
        </is>
      </c>
      <c r="H82" s="2" t="n">
        <v>45939</v>
      </c>
      <c r="I8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in-fb21159bf53fb3fa</t>
        </is>
      </c>
      <c r="B83" t="inlineStr">
        <is>
          <t>Senior Applied Scientist, Sponsored Products and Brands</t>
        </is>
      </c>
      <c r="C83" t="inlineStr">
        <is>
          <t>Amazon.com</t>
        </is>
      </c>
      <c r="D83" t="inlineStr">
        <is>
          <t>indeed</t>
        </is>
      </c>
      <c r="E83" t="inlineStr"/>
      <c r="F83" t="inlineStr"/>
      <c r="G83" t="inlineStr">
        <is>
          <t>Seattle, WA, US</t>
        </is>
      </c>
      <c r="H83" s="2" t="n">
        <v>45922</v>
      </c>
      <c r="I8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in-0b91e5bce5533a0b</t>
        </is>
      </c>
      <c r="B84" t="inlineStr">
        <is>
          <t>Senior Applied Scientist, Sponsored Products and Brands</t>
        </is>
      </c>
      <c r="C84" t="inlineStr">
        <is>
          <t>Amazon.com</t>
        </is>
      </c>
      <c r="D84" t="inlineStr">
        <is>
          <t>indeed</t>
        </is>
      </c>
      <c r="E84" t="inlineStr"/>
      <c r="F84" t="inlineStr"/>
      <c r="G84" t="inlineStr">
        <is>
          <t>New York, NY, US</t>
        </is>
      </c>
      <c r="H84" s="2" t="n">
        <v>45922</v>
      </c>
      <c r="I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in-cfe8dd59063a7e29</t>
        </is>
      </c>
      <c r="B85" t="inlineStr">
        <is>
          <t>Applied Scientist, Workplace Health &amp; Safety</t>
        </is>
      </c>
      <c r="C85" t="inlineStr">
        <is>
          <t>Amazon.com</t>
        </is>
      </c>
      <c r="D85" t="inlineStr">
        <is>
          <t>indeed</t>
        </is>
      </c>
      <c r="E85" t="inlineStr"/>
      <c r="F85" t="inlineStr"/>
      <c r="G85" t="inlineStr">
        <is>
          <t>Nashville, TN, US</t>
        </is>
      </c>
      <c r="H85" s="2" t="n">
        <v>45917</v>
      </c>
      <c r="I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in-9ef39d5193d7b92b</t>
        </is>
      </c>
      <c r="B86" t="inlineStr">
        <is>
          <t>Applied Scientist, Workplace Health &amp; Safety</t>
        </is>
      </c>
      <c r="C86" t="inlineStr">
        <is>
          <t>Amazon.com</t>
        </is>
      </c>
      <c r="D86" t="inlineStr">
        <is>
          <t>indeed</t>
        </is>
      </c>
      <c r="E86" t="inlineStr"/>
      <c r="F86" t="inlineStr"/>
      <c r="G86" t="inlineStr">
        <is>
          <t>Bellevue, WA, US</t>
        </is>
      </c>
      <c r="H86" s="2" t="n">
        <v>45917</v>
      </c>
      <c r="I8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in-42cd7c2b57857ac2</t>
        </is>
      </c>
      <c r="B87" t="inlineStr">
        <is>
          <t>Sr. Applied Scientist, Amazon Advertising</t>
        </is>
      </c>
      <c r="C87" t="inlineStr">
        <is>
          <t>Amazon.com</t>
        </is>
      </c>
      <c r="D87" t="inlineStr">
        <is>
          <t>indeed</t>
        </is>
      </c>
      <c r="E87" t="inlineStr"/>
      <c r="F87" t="inlineStr"/>
      <c r="G87" t="inlineStr">
        <is>
          <t>New York, NY,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in-fe87c02aa1b215d8</t>
        </is>
      </c>
      <c r="B88" t="inlineStr">
        <is>
          <t>Sr. Applied Scientist, Amazon Advertising</t>
        </is>
      </c>
      <c r="C88" t="inlineStr">
        <is>
          <t>Amazon.com</t>
        </is>
      </c>
      <c r="D88" t="inlineStr">
        <is>
          <t>indeed</t>
        </is>
      </c>
      <c r="E88" t="inlineStr"/>
      <c r="F88" t="inlineStr"/>
      <c r="G88" t="inlineStr">
        <is>
          <t>Los Angeles, CA,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in-27e1b6138f5c6650</t>
        </is>
      </c>
      <c r="B89" t="inlineStr">
        <is>
          <t>Sr. Applied Scientist, Amazon Advertising</t>
        </is>
      </c>
      <c r="C89" t="inlineStr">
        <is>
          <t>Amazon.com</t>
        </is>
      </c>
      <c r="D89" t="inlineStr">
        <is>
          <t>indeed</t>
        </is>
      </c>
      <c r="E89" t="inlineStr"/>
      <c r="F89" t="inlineStr"/>
      <c r="G89" t="inlineStr">
        <is>
          <t>Simi Valley, CA,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in-50b7755419873af7</t>
        </is>
      </c>
      <c r="B90" t="inlineStr">
        <is>
          <t>Sr. Applied Scientist, Amazon Advertising</t>
        </is>
      </c>
      <c r="C90" t="inlineStr">
        <is>
          <t>Amazon.com</t>
        </is>
      </c>
      <c r="D90" t="inlineStr">
        <is>
          <t>indeed</t>
        </is>
      </c>
      <c r="E90" t="inlineStr"/>
      <c r="F90" t="inlineStr"/>
      <c r="G90" t="inlineStr">
        <is>
          <t>Austin, TX,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in-8ce9274ade02362f</t>
        </is>
      </c>
      <c r="B91" t="inlineStr">
        <is>
          <t>Sr. Applied Scientist, Amazon Advertising</t>
        </is>
      </c>
      <c r="C91" t="inlineStr">
        <is>
          <t>Amazon.com</t>
        </is>
      </c>
      <c r="D91" t="inlineStr">
        <is>
          <t>indeed</t>
        </is>
      </c>
      <c r="E91" t="inlineStr"/>
      <c r="F91" t="inlineStr"/>
      <c r="G91" t="inlineStr">
        <is>
          <t>West Hollywood, CA,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in-c6463577f70d3af1</t>
        </is>
      </c>
      <c r="B92" t="inlineStr">
        <is>
          <t>Sr. Applied Scientist, Amazon Advertising</t>
        </is>
      </c>
      <c r="C92" t="inlineStr">
        <is>
          <t>Amazon.com</t>
        </is>
      </c>
      <c r="D92" t="inlineStr">
        <is>
          <t>indeed</t>
        </is>
      </c>
      <c r="E92" t="inlineStr"/>
      <c r="F92" t="inlineStr"/>
      <c r="G92" t="inlineStr">
        <is>
          <t>Palo Alto, CA,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in-4bdca9b15d0053df</t>
        </is>
      </c>
      <c r="B93" t="inlineStr">
        <is>
          <t>Sr. Applied Scientist, Amazon Advertising</t>
        </is>
      </c>
      <c r="C93" t="inlineStr">
        <is>
          <t>Amazon.com</t>
        </is>
      </c>
      <c r="D93" t="inlineStr">
        <is>
          <t>indeed</t>
        </is>
      </c>
      <c r="E93" t="inlineStr"/>
      <c r="F93" t="inlineStr"/>
      <c r="G93" t="inlineStr">
        <is>
          <t>Arlington, VA, US</t>
        </is>
      </c>
      <c r="H93" s="2"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in-dbac0c1c4fd2ae79</t>
        </is>
      </c>
      <c r="B94" t="inlineStr">
        <is>
          <t>Sr. Applied Scientist, Amazon Advertising</t>
        </is>
      </c>
      <c r="C94" t="inlineStr">
        <is>
          <t>Amazon.com</t>
        </is>
      </c>
      <c r="D94" t="inlineStr">
        <is>
          <t>indeed</t>
        </is>
      </c>
      <c r="E94" t="inlineStr"/>
      <c r="F94" t="inlineStr"/>
      <c r="G94" t="inlineStr">
        <is>
          <t>Seattle, WA, US</t>
        </is>
      </c>
      <c r="H94" s="2"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in-eb80bbe48088bafa</t>
        </is>
      </c>
      <c r="B95" t="inlineStr">
        <is>
          <t>Senior Applied Scientist, Artificial General Intelligence</t>
        </is>
      </c>
      <c r="C95" t="inlineStr">
        <is>
          <t>Amazon.com</t>
        </is>
      </c>
      <c r="D95" t="inlineStr">
        <is>
          <t>indeed</t>
        </is>
      </c>
      <c r="E95" t="inlineStr"/>
      <c r="F95" t="inlineStr"/>
      <c r="G95" t="inlineStr">
        <is>
          <t>Sunnyvale, CA, US</t>
        </is>
      </c>
      <c r="H95" s="2" t="n">
        <v>45838</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in-d223e0d3081d9b96</t>
        </is>
      </c>
      <c r="B96" t="inlineStr">
        <is>
          <t>Senior Applied Scientist, Artificial General Intelligence</t>
        </is>
      </c>
      <c r="C96" t="inlineStr">
        <is>
          <t>Amazon.com</t>
        </is>
      </c>
      <c r="D96" t="inlineStr">
        <is>
          <t>indeed</t>
        </is>
      </c>
      <c r="E96" t="inlineStr"/>
      <c r="F96" t="inlineStr"/>
      <c r="G96" t="inlineStr">
        <is>
          <t>Boston, MA, US</t>
        </is>
      </c>
      <c r="H96" s="2" t="n">
        <v>45838</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in-bd697e4980c8b6d9</t>
        </is>
      </c>
      <c r="B97" t="inlineStr">
        <is>
          <t>Senior Applied Scientist, Artificial General Intelligence</t>
        </is>
      </c>
      <c r="C97" t="inlineStr">
        <is>
          <t>Amazon.com</t>
        </is>
      </c>
      <c r="D97" t="inlineStr">
        <is>
          <t>indeed</t>
        </is>
      </c>
      <c r="E97" t="inlineStr"/>
      <c r="F97" t="inlineStr"/>
      <c r="G97" t="inlineStr">
        <is>
          <t>New York, NY, US</t>
        </is>
      </c>
      <c r="H97" s="2" t="n">
        <v>45838</v>
      </c>
      <c r="I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in-fda5899012ad30a0</t>
        </is>
      </c>
      <c r="B98" t="inlineStr">
        <is>
          <t>Sr. Applied Scientist, Sales AI</t>
        </is>
      </c>
      <c r="C98" t="inlineStr">
        <is>
          <t>Amazon.com</t>
        </is>
      </c>
      <c r="D98" t="inlineStr">
        <is>
          <t>indeed</t>
        </is>
      </c>
      <c r="E98" t="inlineStr"/>
      <c r="F98" t="inlineStr"/>
      <c r="G98" t="inlineStr">
        <is>
          <t>Sunnyvale, CA, US</t>
        </is>
      </c>
      <c r="H98" s="2" t="n">
        <v>45830</v>
      </c>
      <c r="I9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in-5e9d0fd0231fb5b5</t>
        </is>
      </c>
      <c r="B99" t="inlineStr">
        <is>
          <t>Sr. Applied Scientist, Sales AI</t>
        </is>
      </c>
      <c r="C99" t="inlineStr">
        <is>
          <t>Amazon.com</t>
        </is>
      </c>
      <c r="D99" t="inlineStr">
        <is>
          <t>indeed</t>
        </is>
      </c>
      <c r="E99" t="inlineStr"/>
      <c r="F99" t="inlineStr"/>
      <c r="G99" t="inlineStr">
        <is>
          <t>New York, NY, US</t>
        </is>
      </c>
      <c r="H99" s="2" t="n">
        <v>45830</v>
      </c>
      <c r="I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in-9637d2d722a5c03c</t>
        </is>
      </c>
      <c r="B100" t="inlineStr">
        <is>
          <t>Sr. Applied Scientist, Sales AI</t>
        </is>
      </c>
      <c r="C100" t="inlineStr">
        <is>
          <t>Amazon.com</t>
        </is>
      </c>
      <c r="D100" t="inlineStr">
        <is>
          <t>indeed</t>
        </is>
      </c>
      <c r="E100" t="inlineStr"/>
      <c r="F100" t="inlineStr"/>
      <c r="G100" t="inlineStr">
        <is>
          <t>Seattle, WA, US</t>
        </is>
      </c>
      <c r="H100" s="2" t="n">
        <v>45830</v>
      </c>
      <c r="I1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in-e7a618d0e5e1c2d8</t>
        </is>
      </c>
      <c r="B101" t="inlineStr">
        <is>
          <t>Sr. Applied Scientist, AGI Info</t>
        </is>
      </c>
      <c r="C101" t="inlineStr">
        <is>
          <t>Amazon.com</t>
        </is>
      </c>
      <c r="D101" t="inlineStr">
        <is>
          <t>indeed</t>
        </is>
      </c>
      <c r="E101" t="inlineStr"/>
      <c r="F101" t="inlineStr"/>
      <c r="G101" t="inlineStr">
        <is>
          <t>Bellevue, WA, US</t>
        </is>
      </c>
      <c r="H101" s="2" t="n">
        <v>45811</v>
      </c>
      <c r="I10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in-4469803134e99759</t>
        </is>
      </c>
      <c r="B102" t="inlineStr">
        <is>
          <t>Sr. Applied Scientist, AGI Info</t>
        </is>
      </c>
      <c r="C102" t="inlineStr">
        <is>
          <t>Amazon.com</t>
        </is>
      </c>
      <c r="D102" t="inlineStr">
        <is>
          <t>indeed</t>
        </is>
      </c>
      <c r="E102" t="inlineStr"/>
      <c r="F102" t="inlineStr"/>
      <c r="G102" t="inlineStr">
        <is>
          <t>Sunnyvale, CA, US</t>
        </is>
      </c>
      <c r="H102" s="2" t="n">
        <v>45811</v>
      </c>
      <c r="I10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in-8cae3e02b8e76afe</t>
        </is>
      </c>
      <c r="B103" t="inlineStr">
        <is>
          <t>Principal Applied Scientist, Delivery Foundation Model</t>
        </is>
      </c>
      <c r="C103" t="inlineStr">
        <is>
          <t>Amazon.com</t>
        </is>
      </c>
      <c r="D103" t="inlineStr">
        <is>
          <t>indeed</t>
        </is>
      </c>
      <c r="E103" t="inlineStr"/>
      <c r="F103" t="inlineStr"/>
      <c r="G103" t="inlineStr">
        <is>
          <t>Bellevue, WA, US</t>
        </is>
      </c>
      <c r="H103" s="2"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in-b6d198eadbaf239e</t>
        </is>
      </c>
      <c r="B104" t="inlineStr">
        <is>
          <t>Principal Applied Scientist, Delivery Foundation Model</t>
        </is>
      </c>
      <c r="C104" t="inlineStr">
        <is>
          <t>Amazon.com</t>
        </is>
      </c>
      <c r="D104" t="inlineStr">
        <is>
          <t>indeed</t>
        </is>
      </c>
      <c r="E104" t="inlineStr"/>
      <c r="F104" t="inlineStr"/>
      <c r="G104" t="inlineStr">
        <is>
          <t>Santa Clara, CA,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in-57c69c2a08023e51</t>
        </is>
      </c>
      <c r="B105" t="inlineStr">
        <is>
          <t>Principal Applied Scientist, Delivery Foundation Model</t>
        </is>
      </c>
      <c r="C105" t="inlineStr">
        <is>
          <t>Amazon.com</t>
        </is>
      </c>
      <c r="D105" t="inlineStr">
        <is>
          <t>indeed</t>
        </is>
      </c>
      <c r="E105" t="inlineStr"/>
      <c r="F105" t="inlineStr"/>
      <c r="G105" t="inlineStr">
        <is>
          <t>New York, NY,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in-e34866ecbeeb4b15</t>
        </is>
      </c>
      <c r="B106" t="inlineStr">
        <is>
          <t>Principal Applied Scientist, Delivery Foundation Model</t>
        </is>
      </c>
      <c r="C106" t="inlineStr">
        <is>
          <t>Amazon.com</t>
        </is>
      </c>
      <c r="D106" t="inlineStr">
        <is>
          <t>indeed</t>
        </is>
      </c>
      <c r="E106" t="inlineStr"/>
      <c r="F106" t="inlineStr"/>
      <c r="G106" t="inlineStr">
        <is>
          <t>Austin, TX, US</t>
        </is>
      </c>
      <c r="H106" s="2" t="n">
        <v>45810</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in-278bfba59b7c43a1</t>
        </is>
      </c>
      <c r="B107" t="inlineStr">
        <is>
          <t>Senior Applied Scientist, Delivery Foundation Model</t>
        </is>
      </c>
      <c r="C107" t="inlineStr">
        <is>
          <t>Amazon.com</t>
        </is>
      </c>
      <c r="D107" t="inlineStr">
        <is>
          <t>indeed</t>
        </is>
      </c>
      <c r="E107" t="inlineStr"/>
      <c r="F107" t="inlineStr"/>
      <c r="G107" t="inlineStr">
        <is>
          <t>Santa Clara, CA, US</t>
        </is>
      </c>
      <c r="H107" s="2"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in-e2059dc4ebe1269e</t>
        </is>
      </c>
      <c r="B108" t="inlineStr">
        <is>
          <t>Senior Applied Scientist, Delivery Foundation Model</t>
        </is>
      </c>
      <c r="C108" t="inlineStr">
        <is>
          <t>Amazon.com</t>
        </is>
      </c>
      <c r="D108" t="inlineStr">
        <is>
          <t>indeed</t>
        </is>
      </c>
      <c r="E108" t="inlineStr"/>
      <c r="F108" t="inlineStr"/>
      <c r="G108" t="inlineStr">
        <is>
          <t>Bellevue, WA,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in-4b67f02d3ab61ff2</t>
        </is>
      </c>
      <c r="B109" t="inlineStr">
        <is>
          <t>Senior Applied Scientist, Delivery Foundation Model</t>
        </is>
      </c>
      <c r="C109" t="inlineStr">
        <is>
          <t>Amazon.com</t>
        </is>
      </c>
      <c r="D109" t="inlineStr">
        <is>
          <t>indeed</t>
        </is>
      </c>
      <c r="E109" t="inlineStr"/>
      <c r="F109" t="inlineStr"/>
      <c r="G109" t="inlineStr">
        <is>
          <t>New York, NY, US</t>
        </is>
      </c>
      <c r="H109" s="2"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in-e7a67c7a4e2bd2ee</t>
        </is>
      </c>
      <c r="B110" t="inlineStr">
        <is>
          <t>Principal Applied Scientist, Delivery Foundation Model</t>
        </is>
      </c>
      <c r="C110" t="inlineStr">
        <is>
          <t>Amazon.com</t>
        </is>
      </c>
      <c r="D110" t="inlineStr">
        <is>
          <t>indeed</t>
        </is>
      </c>
      <c r="E110" t="inlineStr"/>
      <c r="F110" t="inlineStr"/>
      <c r="G110" t="inlineStr">
        <is>
          <t>Santa Clara, CA, US</t>
        </is>
      </c>
      <c r="H110" s="2" t="n">
        <v>45757</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in-dcee1e8b12651c11</t>
        </is>
      </c>
      <c r="B111" t="inlineStr">
        <is>
          <t>Principal Applied Scientist, Delivery Foundation Model</t>
        </is>
      </c>
      <c r="C111" t="inlineStr">
        <is>
          <t>Amazon.com</t>
        </is>
      </c>
      <c r="D111" t="inlineStr">
        <is>
          <t>indeed</t>
        </is>
      </c>
      <c r="E111" t="inlineStr"/>
      <c r="F111" t="inlineStr"/>
      <c r="G111" t="inlineStr">
        <is>
          <t>New York, NY, US</t>
        </is>
      </c>
      <c r="H111" s="2" t="n">
        <v>45757</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in-df3e55971f6a3837</t>
        </is>
      </c>
      <c r="B112" t="inlineStr">
        <is>
          <t>Principal Applied Scientist, Delivery Foundation Model</t>
        </is>
      </c>
      <c r="C112" t="inlineStr">
        <is>
          <t>Amazon.com</t>
        </is>
      </c>
      <c r="D112" t="inlineStr">
        <is>
          <t>indeed</t>
        </is>
      </c>
      <c r="E112" t="inlineStr"/>
      <c r="F112" t="inlineStr"/>
      <c r="G112" t="inlineStr">
        <is>
          <t>Bellevue, WA, US</t>
        </is>
      </c>
      <c r="H112" s="2"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in-5a90e6e3ed16ea10</t>
        </is>
      </c>
      <c r="B113" t="inlineStr">
        <is>
          <t>Principal Applied Scientist, FAR (Frontier AI &amp; Robotics)</t>
        </is>
      </c>
      <c r="C113" t="inlineStr">
        <is>
          <t>Amazon.com</t>
        </is>
      </c>
      <c r="D113" t="inlineStr">
        <is>
          <t>indeed</t>
        </is>
      </c>
      <c r="E113" t="inlineStr"/>
      <c r="F113" t="inlineStr"/>
      <c r="G113" t="inlineStr">
        <is>
          <t>San Francisco, CA, US</t>
        </is>
      </c>
      <c r="H113" s="2" t="n">
        <v>45740</v>
      </c>
      <c r="I11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in-9425144ab29f6146</t>
        </is>
      </c>
      <c r="B114" t="inlineStr">
        <is>
          <t>Principal Applied Scientist, FAR (Frontier AI &amp; Robotics)</t>
        </is>
      </c>
      <c r="C114" t="inlineStr">
        <is>
          <t>Amazon.com</t>
        </is>
      </c>
      <c r="D114" t="inlineStr">
        <is>
          <t>indeed</t>
        </is>
      </c>
      <c r="E114" t="inlineStr"/>
      <c r="F114" t="inlineStr"/>
      <c r="G114" t="inlineStr">
        <is>
          <t>Seattle, WA, US</t>
        </is>
      </c>
      <c r="H114" s="2" t="n">
        <v>45740</v>
      </c>
      <c r="I11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in-726e3a2d65d7aa9d</t>
        </is>
      </c>
      <c r="B115" t="inlineStr">
        <is>
          <t>Data and AI Engineer</t>
        </is>
      </c>
      <c r="C115" t="inlineStr">
        <is>
          <t>Team One Credit Union</t>
        </is>
      </c>
      <c r="D115" t="inlineStr">
        <is>
          <t>indeed</t>
        </is>
      </c>
      <c r="E115" t="inlineStr"/>
      <c r="F115" t="inlineStr"/>
      <c r="G115" t="inlineStr">
        <is>
          <t>Saginaw, MI, US</t>
        </is>
      </c>
      <c r="H115" s="2" t="n">
        <v>46047</v>
      </c>
      <c r="I115" t="inlineStr">
        <is>
          <t>**Data and AI Engineer**
========================
**Location: Saginaw, MI, 48601**
--------------------------------
### **Position Summary**
The Data \&amp; AI Engineer will lead the development and management of the credit union’s data infrastructure, analytics tools, and artificial intelligence initiatives. This role combines business intelligence, data engineering, and AI integration to enhance decision\-making, member engagement, and operational efficiency. The ideal candidate has a strong technical foundation, strategic mindset, and passion for transforming financial services through data\-driven innovation.
### **Job Responsibilities**
* **Data Architecture \&amp; Integration**
	+ Design, build, and maintain ETL/ELT pipelines to ensure reliable data flow between core systems (e.g., Symitar, CRM, digital banking platforms).
	+ Manage data warehouse and data lake environments for structured and unstructured data.
	+ Implement data governance, quality assurance, and compliance with industry standards (NCUA, GLBA, etc.).
* **Business Intelligence \&amp; Reporting**
	+ Develop and optimize dashboards and visualizations using Power BI, Tableau, or similar tools.
	+ Partner with business units to define KPIs and analytical needs for lending, marketing, operations, and member experience.
	+ Automate recurring reports and improve data self\-service capabilities across the organization.
* **AI \&amp; Machine Learning Initiatives**
	+ Build and deploy predictive models to support member segmentation, credit risk assessment, and fraud detection.
	+ Collaborate on AI\-driven chatbots, recommendation engines, and personalized financial insights.
	+ Evaluate emerging AI tools and integrate them securely within the credit union’s environment.
* **Collaboration \&amp; Strategy**
	+ Work closely with IT, Finance, and Marketing teams to translate business challenges into data solutions.
	+ Support strategic planning through analytics and forecasting.
	+ Train and mentor staff on data literacy and AI use cases.
**Qualifications:**
* Bachelor’s degree in Computer Science, Data Engineering, AI, or related field.
* 5\+ years of experience in data engineering, BI development, or applied AI.
* Proficiency in SQL, Python and data visualization platforms.
* Experience with cloud platforms (Azure, AWS, or GCP).
* Familiarity with API’s, RESTful services, and data security best practices.
* Excellent communication and collaboration skills.
**Preferred Skills:**
* Master’s degree preferred.
* Financial services or credit union experience strongly preferred.
* Experience with NLP, LLMs, or generative AI tools.
* Familiarity with predictive analytics for member behavior or lending decisions.
* Knowledge of regulatory data requirements for credit unions.
* Background in MLOps, data pipelines, or real\-time analytics.
### **Vision**
Empowering financial dreams anywhere – for ALL.
### **Mission**
Partnering with our members along their journey toward financial well\-being by cultivating lifelong relationships.
### **Core Values**
* Collaborative – Understand that as a team, we can accomplish far greater feats than we can individually.
* Accountable – Take ownership of our actions. We celebrate our successes and learn from our mistakes.
* Honest – Speak the truth, even when it is difficult.
* Courageous – Choose to embrace challenges. Growth comes through navigating adversity.
* Transparent – Share your thoughts and speak with candor.
* Open\-Minded – Be open to personal growth, change, and learning from others. Treats individuals with kindness and respect.
* Member\-Focused – Invest in our membership. Member success is our success.
Disclaimer: Team One Core Competencies/Job Descriptions are not designed to cover or contain a comprehensive listing of activities, duties, or responsibilities required of an employee. Duties, responsibilities, and activities may change or be newly assigned at any time with or without notice. Team One Credit Union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116">
      <c r="A116" t="inlineStr">
        <is>
          <t>in-85acc34c530d1e02</t>
        </is>
      </c>
      <c r="B116" t="inlineStr">
        <is>
          <t>Senior Machine Learning Engineer</t>
        </is>
      </c>
      <c r="C116" t="inlineStr">
        <is>
          <t>Zanskar</t>
        </is>
      </c>
      <c r="D116" t="inlineStr">
        <is>
          <t>indeed</t>
        </is>
      </c>
      <c r="E116" t="inlineStr"/>
      <c r="F116" t="inlineStr"/>
      <c r="G116" t="inlineStr">
        <is>
          <t>Salt Lake City, UT, US</t>
        </is>
      </c>
      <c r="H116" s="2" t="n">
        <v>46047</v>
      </c>
      <c r="I116" t="inlineStr">
        <is>
          <t>Role Overview**Title**: Senior Machine Learning Engineer**Hours**: Full\-Time, Salaried**Location**: Salt Lake City, UT, On\-Site**Benefits Eligible**: Yes**Manager**: Prospect Generation Manager  
Mission – Why we exist and why we need you
Geothermal energy is the most abundant renewable energy source in the world. There is 2,300 times more energy in geothermal heat in the ground than in oil, gas, coal, and methane combined. However, historically it’s been hard to find and expensive to develop. At Zanskar, we’re using better technology to find and develop new geothermal resources in order to make geothermal a cheap and vital contributor to a carbon\-free electrical grid. We are revolutionizing the exploration process, setting new industry standards for discovery rates and finding new prospects at an unprecedented scale. To reduce risk and improve outcomes, we rely on novel machine learning modeling.  
The Senior Machine Learning Engineer will design, build, and operate production\-grade geospatial machine learning models within the Prospect Generation team to uncover hidden geothermal systems and drive real\-world exploration decisions. A successful candidate will be a hands\-on contributor, an experienced innovator, and a technical leader with an ability to grow deep learning expertise across teams. Strong communication skills are essential, as this role requires close collaboration with research, engineering, geoscience, land, and field teams. Startup experience is a strong plus.  
### **Competencies – What we’re looking for**
* 6\+ years professional experience in machine learning engineering, preferably in a business environment
**Proven technical skills**:* Deep expertise in modern deep learning and statistical methods
* Proven experience developing, deploying, and maintaining production\-grade machine learning models
* Strong software and infrastructure fluency. Our tech stack includes Python, SQL, PyTorch, GitHub, and Docker. (Familiarity with GCP, Dagster, Terraform, and QGIS is a plus.)
* Ability to work closely and collaboratively with engineers, domain experts, and non\-technical stakeholders
* Strong plus: computer vision expertise; experience with geospatial, remote sensing, or geophysical data
### **Location and Benefits**
* The position is based out of our headquarters in Salt Lake City, Utah, and is a hybrid position
**Benefits include:*** Paid holidays
* 15 days PTO \+ PTO accrual increase based on tenure
* Medical, dental, and vision coverage
* 401k
* Stock options
* Growth opportunities at a company with a direct impact in displacing carbon emissions
Equal Opportunity Employer  
Zanskar is an equal\-opportunity employer and complies with all applicable federal, state, and local fair employment practice laws.</t>
        </is>
      </c>
    </row>
    <row r="117">
      <c r="A117" t="inlineStr">
        <is>
          <t>in-a5038a67fa162e0c</t>
        </is>
      </c>
      <c r="B117" t="inlineStr">
        <is>
          <t>Sr. Staff AI/ML Engineer</t>
        </is>
      </c>
      <c r="C117" t="inlineStr">
        <is>
          <t>Kraken</t>
        </is>
      </c>
      <c r="D117" t="inlineStr">
        <is>
          <t>indeed</t>
        </is>
      </c>
      <c r="E117" t="inlineStr"/>
      <c r="F117" t="inlineStr"/>
      <c r="G117" t="inlineStr">
        <is>
          <t>US</t>
        </is>
      </c>
      <c r="H117" s="2" t="n">
        <v>46047</v>
      </c>
      <c r="I117" t="inlineStr">
        <is>
          <t>Location
United States
Employment Type
Full time
Location Type
Remote
Department
Engineering
AI \&amp; Machine Learning
Compensation
$161\.2K – $358\.9K
This is the target annual salary range for this role. This range is not inclusive of other additional compensation elements, such as our Bonus program, Equity program, Wellness allowance, and other benefits \[US Only] (including medical, dental, vision and 401(k)).
The compensation range provided is influenced by various factors and represents the initial target range. Our salary offerings are dynamic and we strive to ensure that our base salary and total compensation package aligns and recognizes the top talent we aim to attract and retain. The compensation package of the successful candidate is based on various factors such as their skillset, experience, and job scope.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Kraken’s Data org and own the Machine Learning platforms and systems used across the company. The team operates at company\-wide scope, enabling multiple product and engineering teams to build, deploy, and operate ML models reliably in production. We work closely with product, engineering, data science, security, and compliance partners to ensure ML systems are scalable, observable, and aligned with Kraken’s business and regulatory requirements. Engineers on the team are expected to operate with high autonomy, handle broad problem spaces, and drive technical clarity in ambiguous environments. The team values deep technical expertise, strong ownership, and mentorship, with an emphasis on raising the bar across the organization.
The opportunity
Set long\-term technical direction for Kraken’s AI/ML strategy, influencing multiple teams and initiatives.
Own the architecture and evolution of core AI/ML systems, including training, feature management, serving, experimentation, and monitoring.
Lead cross\-team efforts to standardize ML development and operational practices across the company.
Drive the design and delivery of complex, high\-impact ML systems for use cases such as fraud, risk, personalization, and recommendations.
Partner with senior engineering, product, and data leaders to identify where ML can unlock step\-change improvements in scalability and efficiency.
Balance hands\-on technical contributions with architectural leadership and design review responsibilities.
Evaluate emerging ML and GenAI technologies and lead their adoption when they provide durable platform\-level value.
Mentor Staff and Senior engineers, shaping technical culture and raising the overall quality of ML engineering at Kraken.
Skills you should HODL
10\+ years of experience building and operating large\-scale production Machine Learning systems.
Proven track record of owning ML platforms or infrastructure used by multiple teams or products.
Strong system design skills, with experience making long\-term architectural tradeoffs in complex environments.
Expert\-level proficiency in Python and strong experience with additional languages such as Scala, Go, or Rust.
Deep hands\-on experience with ML frameworks (PyTorch, TensorFlow, scikit\-learn) and model lifecycle management.
Extensive experience with MLOps practices, including experimentation frameworks, CI/CD, model monitoring, and reliability.
Strong background in data\-intensive and distributed systems (Spark, object storage, large\-scale batch and streaming).
Demonstrated ability to lead through influence, mentor senior engineers, and communicate technical strategy to diverse stakeholders.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118">
      <c r="A118" t="inlineStr">
        <is>
          <t>in-e8c901bf580e35c6</t>
        </is>
      </c>
      <c r="B118" t="inlineStr">
        <is>
          <t>Applied Scientist, Special Projects</t>
        </is>
      </c>
      <c r="C118" t="inlineStr">
        <is>
          <t>Amazon.com</t>
        </is>
      </c>
      <c r="D118" t="inlineStr">
        <is>
          <t>indeed</t>
        </is>
      </c>
      <c r="E118" t="inlineStr"/>
      <c r="F118" t="inlineStr"/>
      <c r="G118" t="inlineStr">
        <is>
          <t>Seattle, WA, US</t>
        </is>
      </c>
      <c r="H118" s="2" t="n">
        <v>46028</v>
      </c>
      <c r="I11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in-5298b144228938fe</t>
        </is>
      </c>
      <c r="B119" t="inlineStr">
        <is>
          <t>Applied Scientist, Special Projects</t>
        </is>
      </c>
      <c r="C119" t="inlineStr">
        <is>
          <t>Amazon.com</t>
        </is>
      </c>
      <c r="D119" t="inlineStr">
        <is>
          <t>indeed</t>
        </is>
      </c>
      <c r="E119" t="inlineStr"/>
      <c r="F119" t="inlineStr"/>
      <c r="G119" t="inlineStr">
        <is>
          <t>Boston, MA, US</t>
        </is>
      </c>
      <c r="H119" s="2" t="n">
        <v>46028</v>
      </c>
      <c r="I11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in-bd9d2922702815e9</t>
        </is>
      </c>
      <c r="B120" t="inlineStr">
        <is>
          <t>Applied Scientist, Last Mile Delivery Automation</t>
        </is>
      </c>
      <c r="C120" t="inlineStr">
        <is>
          <t>Amazon.com</t>
        </is>
      </c>
      <c r="D120" t="inlineStr">
        <is>
          <t>indeed</t>
        </is>
      </c>
      <c r="E120" t="inlineStr"/>
      <c r="F120" t="inlineStr"/>
      <c r="G120" t="inlineStr">
        <is>
          <t>Santa Clara, CA, US</t>
        </is>
      </c>
      <c r="H120" s="2" t="n">
        <v>46026</v>
      </c>
      <c r="I120"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in-7dd693ad9ef8be4e</t>
        </is>
      </c>
      <c r="B121" t="inlineStr">
        <is>
          <t>Applied Scientist, Last Mile Delivery Automation</t>
        </is>
      </c>
      <c r="C121" t="inlineStr">
        <is>
          <t>Amazon.com</t>
        </is>
      </c>
      <c r="D121" t="inlineStr">
        <is>
          <t>indeed</t>
        </is>
      </c>
      <c r="E121" t="inlineStr"/>
      <c r="F121" t="inlineStr"/>
      <c r="G121" t="inlineStr">
        <is>
          <t>Bellevue, WA, US</t>
        </is>
      </c>
      <c r="H121" s="2" t="n">
        <v>46026</v>
      </c>
      <c r="I121"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in-d5e765db764a7594</t>
        </is>
      </c>
      <c r="B122" t="inlineStr">
        <is>
          <t>Senior Machine Learning Engineer</t>
        </is>
      </c>
      <c r="C122" t="inlineStr">
        <is>
          <t>Inovalon</t>
        </is>
      </c>
      <c r="D122" t="inlineStr">
        <is>
          <t>indeed</t>
        </is>
      </c>
      <c r="E122">
        <f>HYPERLINK("https://www.indeed.com/viewjob?jk=d5e765db764a7594", "https://www.indeed.com/viewjob?jk=d5e765db764a7594")</f>
        <v/>
      </c>
      <c r="F122">
        <f>HYPERLINK("https://grnh.se/dnlynpk53us", "https://grnh.se/dnlynpk53us")</f>
        <v/>
      </c>
      <c r="G122" t="inlineStr">
        <is>
          <t>Atlanta, GA, US</t>
        </is>
      </c>
      <c r="H122" s="3" t="n">
        <v>46047</v>
      </c>
      <c r="I122"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As a Senior Machine Learning Engineer, you will focus on the design and implementation of high\-performance predictive models using structured and semi\-structured healthcare data. You will bridge the gap between statistical research and production\-grade software, turning raw clinical and claims data into actionable predictions that improve patient outcomes and operational efficiency.
### **Key Responsibilities**
* **Model Development:** Design, train, and optimize classical ML models (Classification, Regression, Clustering, Time\-Series) for healthcare use cases.
* **Feature Engineering:** Architect and maintain advanced feature pipelines and feature stores to ensure the most relevant signals are extracted from complex claims data.
* **End\-to\-End Deployment:** Manage the full ML lifecycle, from exploratory data analysis (EDA) and hyperparameter tuning to deploying models as high\-availability microservices.
* **Software Engineering:** Write robust, production\-ready Python code, ensuring that ML components integrate seamlessly with our core healthcare platforms.
* **Performance \&amp; Validation:** Conduct rigorous statistical validation of models to ensure accuracy, fairness, and the absence of bias, particularly in clinical decision\-support tools.
* **On\-Call \&amp; MLOps:** Participate in an on\-call rotation to support production pipelines. Advance CI/CD frameworks specifically for ML (Model CI), ensuring seamless retraining and redeployment.
* **Compliance:** Lead audits and ensure all ML workflows strictly adhere to HIPAA and Inovalon's internal data governance policies.
### **Qualifications**
* **Experience:** Minimum 8 years of total experience, with 4\+ years focused on building and deploying classical ML models in a production environment.
* **Technical Stack:** Proficiency in **Python** and standard ML libraries (e.g., **scikit\-learn, XGBoost, LightGBM, Statsmodels**).
* **Deep Statistical Knowledge:** Strong understanding of statistical significance, hypothesis testing, and model interpretability (e.g., SHAP, LIME).
* **Data Tools:** Experience with SQL and Big Data technologies (e.g., **Spark/PySpark, Hadoop**) for processing large\-scale tabular datasets.
* **Cloud \&amp; MLOps:** Proficiency with AWS/GCP/Azure and containerization (**Docker, Kubernetes**). Experience with workflow orchestration like **Airflow** or Prefect.
* **Architecture:** Proven track record with **Feature Stores** and automated model monitoring/drift detection.
* **Domain Knowledge:** Familiarity with healthcare standards (HL7, FHIR, ICD\-10 codes) and HIPAA regulations is a significant plus.
### **Soft Skills**
* **Analytical Rigor:** A data\-first mindset that prioritizes statistical validity over "black\-box" approaches.
* **Mentorship:** Experience guiding junior engineers in best practices for code reviews and experiment tracking.
* **Collaborative Spirit:** The ability to explain complex model outputs to non\-technical stakeholders (Product Managers, Clinicians).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23">
      <c r="A123" t="inlineStr">
        <is>
          <t>in-a638b3f7553971bf</t>
        </is>
      </c>
      <c r="B123" t="inlineStr">
        <is>
          <t>Identity AI / ML Engineer</t>
        </is>
      </c>
      <c r="C123" t="inlineStr">
        <is>
          <t>Openkyber</t>
        </is>
      </c>
      <c r="D123" t="inlineStr">
        <is>
          <t>indeed</t>
        </is>
      </c>
      <c r="E123">
        <f>HYPERLINK("https://www.indeed.com/viewjob?jk=a638b3f7553971bf", "https://www.indeed.com/viewjob?jk=a638b3f7553971bf")</f>
        <v/>
      </c>
      <c r="F123">
        <f>HYPERLINK("https://candidateportalnew.ceipal.com/job-details/9ncUOXBBwlEXZwg8FNHoLBIfSIMPvqmaaxV5lV11L1U#.job_boards.Indeed", "https://candidateportalnew.ceipal.com/job-details/9ncUOXBBwlEXZwg8FNHoLBIfSIMPvqmaaxV5lV11L1U#.job_boards.Indeed")</f>
        <v/>
      </c>
      <c r="G123" t="inlineStr">
        <is>
          <t>CA, US</t>
        </is>
      </c>
      <c r="H123" s="3" t="n">
        <v>46047</v>
      </c>
      <c r="I123" t="inlineStr">
        <is>
          <t>**Job title:** Program Manager with AI/ML
**Location:** San Francisco, CA
**Job description:**
**Key Responsibilities (Execution First)**
**Agentic AI Execution \&amp; Workflow Building**
* Build, configure, and operate agentic workflows within AI tools (Open AI Tools, Claude, Jira automations, Power Platform, and internal AI agents etc.)
* Translate business needs into hands\-on automations, prototypes, and small\-scale agentic pilots.
* Maintain and improve automated processes fix issues, refine prompts, adjust logic, and optimize performance.
* Draft and refine AI playbooks, templates, and reusable components for PMO teams.
**Program Implementation \&amp; Delivery Support**
* Own the mechanics of program delivery: detailed planning, RAID logs, documentation, sprint alignment, and delivery tracking.
* Create and maintain execution\-level artifacts such as schedules, dependency maps, action trackers, and release plans.
* Directly update and manage Jira boards, Confluence pages, dashboards, and reporting tools to ensure real\-time accuracy.
* Dive into issues to unblock teams, identify root causes, surface gaps, and drive follow\-ups to completion.
**Operational Excellence \&amp; PMO Improvements**
* Redesign specific PMO workflows hands\-on rebuilding templates, creating automations, improving intake forms, and streamlining status reports.
* Manage tool configurations across Jira, Confluence, Workfront, and Microsoft 365 to improve hygiene and consistency.
* Build AI\-powered dashboards that consolidate delivery signals and provide visibility to leadership.
* Test, validate, and continuously enhance PMO processes through rapid iterations.
**AI Adoption \&amp; Enablement**
* Train teams through hands\-on demos, quick\-start guides, and in\-the\-moment support.
* Help PMs set up agentic workflows, automations, and copilots for their day\-to\-day work.
* Gather feedback and immediately turn it into refinements, updates, and improved tools.
* Act as the first line of execution for new AI capabilities, showing teams how to use them by doing the work alongside them.
**For applications and inquiries, contact:** hirings@openkyber.com</t>
        </is>
      </c>
    </row>
    <row r="124">
      <c r="A124" t="inlineStr">
        <is>
          <t>in-b1a3da25b93f1770</t>
        </is>
      </c>
      <c r="B124" t="inlineStr">
        <is>
          <t>Senior Machine Learning Engineer</t>
        </is>
      </c>
      <c r="C124" t="inlineStr">
        <is>
          <t>Canopy Tax</t>
        </is>
      </c>
      <c r="D124" t="inlineStr">
        <is>
          <t>indeed</t>
        </is>
      </c>
      <c r="E124">
        <f>HYPERLINK("https://www.indeed.com/viewjob?jk=b1a3da25b93f1770", "https://www.indeed.com/viewjob?jk=b1a3da25b93f1770")</f>
        <v/>
      </c>
      <c r="F124">
        <f>HYPERLINK("https://apply.workable.com/j/C0AF3958D1", "https://apply.workable.com/j/C0AF3958D1")</f>
        <v/>
      </c>
      <c r="G124" t="inlineStr">
        <is>
          <t>Detroit, MI, US</t>
        </is>
      </c>
      <c r="H124" s="3" t="n">
        <v>46047</v>
      </c>
      <c r="I124" t="inlineStr">
        <is>
          <t>As a Senior Machine Learning Engineer within the AI Squad at Canopy and reporting to the Director of AI Engineering, you’ll contribute to the development of cutting\-edge AI solutions to combat vehicle and content theft. In this senior role, you’ll play a pivotal part in shaping our AI roadmap, mentoring junior engineers, and influencing system architecture decisions. This is a high\-impact role with visibility across engineering and product leadership.
### **Responsibilities:**
* Contribute to the design, development, and deployment of robust machine learning models for production use in real\-world security applications.
* Develop within the full machine learning lifecycle; from problem definition to data pipeline design, model development, validation, deployment, and monitoring.
* Establish and refine best practices in our ML system architecture, CI/CD pipelines for ML, and reproducible research methodologies.
* Collaborate with cross\-functional stakeholders including product managers, data engineers, and MLOps teams to ensure seamless model integration and delivery.
* Perform advanced exploratory data analysis on large\-scale sensory datasets (image, audio, radar, accelerometer) to derive insights and guide modeling strategies.
* Stay ahead of industry advancements in machine learning, AI sensing, and signal processing, incorporating the latest innovations into Canopy’s technology stack.
* Mentor and guide junior engineers and contribute to the hiring process and technical reviews.
**Requirements**
* 5\+ years of professional experience developing and implementing ML for perception systems with expertise in at least one of either RADAR, camera, or LiDAR.
* Bachelor’s degree in Computer Science, Data Science, Engineering, or a related field.
* Expertise in Python with extensive experience in at least one deep learning framework (PyTorch or TensorFlow.
* Proven ability to develop production\-grade ML applications for training, evaluation and inference on large\-scale datasets.
* Experience creating C/C\+\+ applications utilizing modern language features and build systems, preferably for porting ML inference applications from Python to edge devices/embedded systems.
* White\-box understanding of classical ML algorithms (SVMs, HMMs, Decision Trees) and modern neural network models and architectures (CNNs, transformers) with significant experience applying them for perception systems.
* Experience implementing and applying dynamic object tracking, with experience using sensor fusion as a preference.
* Proficiency in Unix\-based environments (Linux, macOS) including working with remote servers and services, virtual computers and clusters.
* Proficiency in signal processing techniques such as time/frequency\-domain processing (e.g. Fourier Transform), filtering, and noise reduction.
### **Preferred Qualifications:**
* Experience in deploying models to edge hardware, including experience with PyTorch and ONNX and model compression techniques, e.g. quantisation and pruning.
* Experience using cloud computing platforms, e.g., AWS or GCP.
* Experience with MATLAB for algorithm prototyping and research.
* Experience with Docker or containerisation.
* Reside within the Detroit area or nearby, with the ability to work in a hybrid environment and regularly commute to our Detroit office as needed.
**Benefits**
* Comprehensive medical benefits coverage, dental plans and vision coverage.
* Health care and dependent care spending accounts.
* Employee and Family Assistance Program (EAP).
* Employee discount programs.
* Retirement plan with a generous company match.
* Generous Paid Time Off, Sick, and Holidays
* Family Leave (Maternity, Paternity)
* Short\- and long\-term disability
* Life insurance and accidental death \&amp; dismemberment insurance
Compensation Range  
Compensation may vary depending on skills and experience.  
**Base Salary: $126,000 \- $180,000**
 **Diversity, Equity and Inclusion:** At Canopy, we're on a mission to end theft from vehicles and revolutionize vehicle security by building cutting\-edge technology. We will achieve this by prioritizing individuals and staying attuned to the evolving needs of our people, users, and industry trends. We foster a workplace culture that embraces diversity and authenticity, enabling us to flourish as a team of exceptional individuals working towards a common purpose. We gain a deeper understanding of our users' experiences by continuously improving our skills and expanding our knowledge. A more diverse, equitable, and inclusive Canopy leads to greater innovation and success.
 **Equal Opportunity:** Canopy does not discriminate on the basis of race, sex, color, religion, age, national origin, marital status, disability, veteran status, genetic information, sexual orientation, gender identity or any other reason prohibited by law in provision of employment opportunities and benefits.</t>
        </is>
      </c>
    </row>
    <row r="125">
      <c r="A125" t="inlineStr">
        <is>
          <t>in-a2999534b63a62fb</t>
        </is>
      </c>
      <c r="B125" t="inlineStr">
        <is>
          <t>Sr. Applied Scientist, AGI Foundations</t>
        </is>
      </c>
      <c r="C125" t="inlineStr">
        <is>
          <t>Amazon.com</t>
        </is>
      </c>
      <c r="D125" t="inlineStr">
        <is>
          <t>indeed</t>
        </is>
      </c>
      <c r="E125">
        <f>HYPERLINK("https://www.indeed.com/viewjob?jk=a2999534b63a62fb", "https://www.indeed.com/viewjob?jk=a2999534b63a62fb")</f>
        <v/>
      </c>
      <c r="F125">
        <f>HYPERLINK("https://www.amazon.jobs/jobs/3128807/sr-applied-scientist-agi-foundations?cmpid=DA_INAD200785B", "https://www.amazon.jobs/jobs/3128807/sr-applied-scientist-agi-foundations?cmpid=DA_INAD200785B")</f>
        <v/>
      </c>
      <c r="G125" t="inlineStr">
        <is>
          <t>Boston, MA, US</t>
        </is>
      </c>
      <c r="H125" s="3" t="n">
        <v>45978</v>
      </c>
      <c r="I1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in-229f6b5b76f911c0</t>
        </is>
      </c>
      <c r="B126" t="inlineStr">
        <is>
          <t>Sr. Applied Scientist, AGI Foundations</t>
        </is>
      </c>
      <c r="C126" t="inlineStr">
        <is>
          <t>Amazon.com</t>
        </is>
      </c>
      <c r="D126" t="inlineStr">
        <is>
          <t>indeed</t>
        </is>
      </c>
      <c r="E126">
        <f>HYPERLINK("https://www.indeed.com/viewjob?jk=229f6b5b76f911c0", "https://www.indeed.com/viewjob?jk=229f6b5b76f911c0")</f>
        <v/>
      </c>
      <c r="F126">
        <f>HYPERLINK("https://www.amazon.jobs/jobs/3123268/sr-applied-scientist-agi-foundations?cmpid=DA_INAD200785B", "https://www.amazon.jobs/jobs/3123268/sr-applied-scientist-agi-foundations?cmpid=DA_INAD200785B")</f>
        <v/>
      </c>
      <c r="G126" t="inlineStr">
        <is>
          <t>New York, NY, US</t>
        </is>
      </c>
      <c r="H126" s="3" t="n">
        <v>45963</v>
      </c>
      <c r="I1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in-6b5a5012a8f447b7</t>
        </is>
      </c>
      <c r="B127" t="inlineStr">
        <is>
          <t>Sr. Applied Scientist, AGI Foundations</t>
        </is>
      </c>
      <c r="C127" t="inlineStr">
        <is>
          <t>Amazon.com</t>
        </is>
      </c>
      <c r="D127" t="inlineStr">
        <is>
          <t>indeed</t>
        </is>
      </c>
      <c r="E127">
        <f>HYPERLINK("https://www.indeed.com/viewjob?jk=6b5a5012a8f447b7", "https://www.indeed.com/viewjob?jk=6b5a5012a8f447b7")</f>
        <v/>
      </c>
      <c r="F127">
        <f>HYPERLINK("https://www.amazon.jobs/jobs/3123268/sr-applied-scientist-agi-foundations?cmpid=DA_INAD200785B", "https://www.amazon.jobs/jobs/3123268/sr-applied-scientist-agi-foundations?cmpid=DA_INAD200785B")</f>
        <v/>
      </c>
      <c r="G127" t="inlineStr">
        <is>
          <t>Bellevue, WA, US</t>
        </is>
      </c>
      <c r="H127" s="3" t="n">
        <v>45963</v>
      </c>
      <c r="I1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in-057450c30998ce39</t>
        </is>
      </c>
      <c r="B128" t="inlineStr">
        <is>
          <t>Sr. Applied Scientist, AGI Foundations</t>
        </is>
      </c>
      <c r="C128" t="inlineStr">
        <is>
          <t>Amazon.com</t>
        </is>
      </c>
      <c r="D128" t="inlineStr">
        <is>
          <t>indeed</t>
        </is>
      </c>
      <c r="E128">
        <f>HYPERLINK("https://www.indeed.com/viewjob?jk=057450c30998ce39", "https://www.indeed.com/viewjob?jk=057450c30998ce39")</f>
        <v/>
      </c>
      <c r="F128">
        <f>HYPERLINK("https://www.amazon.jobs/jobs/3123268/sr-applied-scientist-agi-foundations?cmpid=DA_INAD200785B", "https://www.amazon.jobs/jobs/3123268/sr-applied-scientist-agi-foundations?cmpid=DA_INAD200785B")</f>
        <v/>
      </c>
      <c r="G128" t="inlineStr">
        <is>
          <t>Boston, MA, US</t>
        </is>
      </c>
      <c r="H128" s="3" t="n">
        <v>45963</v>
      </c>
      <c r="I12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in-127e7f153832d3fa</t>
        </is>
      </c>
      <c r="B129" t="inlineStr">
        <is>
          <t>Applied Scientist II, Prime Video - Personalization and Discovery Science, Personalization and Discovery Science</t>
        </is>
      </c>
      <c r="C129" t="inlineStr">
        <is>
          <t>Amazon.com</t>
        </is>
      </c>
      <c r="D129" t="inlineStr">
        <is>
          <t>indeed</t>
        </is>
      </c>
      <c r="E129">
        <f>HYPERLINK("https://www.indeed.com/viewjob?jk=127e7f153832d3fa", "https://www.indeed.com/viewjob?jk=127e7f153832d3fa")</f>
        <v/>
      </c>
      <c r="F129">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29" t="inlineStr">
        <is>
          <t>New York, NY, US</t>
        </is>
      </c>
      <c r="H129" s="3" t="n">
        <v>45930</v>
      </c>
      <c r="I1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in-d42e8fb361fc06b5</t>
        </is>
      </c>
      <c r="B130" t="inlineStr">
        <is>
          <t>Applied Scientist II, Prime Video - Personalization and Discovery Science, Personalization and Discovery Science</t>
        </is>
      </c>
      <c r="C130" t="inlineStr">
        <is>
          <t>Amazon.com</t>
        </is>
      </c>
      <c r="D130" t="inlineStr">
        <is>
          <t>indeed</t>
        </is>
      </c>
      <c r="E130">
        <f>HYPERLINK("https://www.indeed.com/viewjob?jk=d42e8fb361fc06b5", "https://www.indeed.com/viewjob?jk=d42e8fb361fc06b5")</f>
        <v/>
      </c>
      <c r="F130">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0" t="inlineStr">
        <is>
          <t>Sunnyvale, CA, US</t>
        </is>
      </c>
      <c r="H130" s="3" t="n">
        <v>45930</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in-68e7b1ce7695feab</t>
        </is>
      </c>
      <c r="B131" t="inlineStr">
        <is>
          <t>Applied Scientist II, Prime Video - Personalization and Discovery Science, Personalization and Discovery Science</t>
        </is>
      </c>
      <c r="C131" t="inlineStr">
        <is>
          <t>Amazon.com</t>
        </is>
      </c>
      <c r="D131" t="inlineStr">
        <is>
          <t>indeed</t>
        </is>
      </c>
      <c r="E131">
        <f>HYPERLINK("https://www.indeed.com/viewjob?jk=68e7b1ce7695feab", "https://www.indeed.com/viewjob?jk=68e7b1ce7695feab")</f>
        <v/>
      </c>
      <c r="F13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1" t="inlineStr">
        <is>
          <t>Seattle, WA, US</t>
        </is>
      </c>
      <c r="H131" s="3" t="n">
        <v>45930</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in-9c89d8e54d52a3b9</t>
        </is>
      </c>
      <c r="B132" t="inlineStr">
        <is>
          <t>Applied Scientist II, Prime Video - Personalization and Discovery Science</t>
        </is>
      </c>
      <c r="C132" t="inlineStr">
        <is>
          <t>Amazon.com</t>
        </is>
      </c>
      <c r="D132" t="inlineStr">
        <is>
          <t>indeed</t>
        </is>
      </c>
      <c r="E132">
        <f>HYPERLINK("https://www.indeed.com/viewjob?jk=9c89d8e54d52a3b9", "https://www.indeed.com/viewjob?jk=9c89d8e54d52a3b9")</f>
        <v/>
      </c>
      <c r="F132">
        <f>HYPERLINK("https://www.amazon.jobs/jobs/3086060/applied-scientist-ii-prime-video--personalization-and-discovery-science?cmpid=DA_INAD200785B", "https://www.amazon.jobs/jobs/3086060/applied-scientist-ii-prime-video--personalization-and-discovery-science?cmpid=DA_INAD200785B")</f>
        <v/>
      </c>
      <c r="G132" t="inlineStr">
        <is>
          <t>New York, NY, US</t>
        </is>
      </c>
      <c r="H132" s="3" t="n">
        <v>45915</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in-5df985b35ed19409</t>
        </is>
      </c>
      <c r="B133" t="inlineStr">
        <is>
          <t>Applied Scientist II, Prime Video - Personalization and Discovery Science</t>
        </is>
      </c>
      <c r="C133" t="inlineStr">
        <is>
          <t>Amazon.com</t>
        </is>
      </c>
      <c r="D133" t="inlineStr">
        <is>
          <t>indeed</t>
        </is>
      </c>
      <c r="E133">
        <f>HYPERLINK("https://www.indeed.com/viewjob?jk=5df985b35ed19409", "https://www.indeed.com/viewjob?jk=5df985b35ed19409")</f>
        <v/>
      </c>
      <c r="F133">
        <f>HYPERLINK("https://www.amazon.jobs/jobs/3086060/applied-scientist-ii-prime-video--personalization-and-discovery-science?cmpid=DA_INAD200785B", "https://www.amazon.jobs/jobs/3086060/applied-scientist-ii-prime-video--personalization-and-discovery-science?cmpid=DA_INAD200785B")</f>
        <v/>
      </c>
      <c r="G133" t="inlineStr">
        <is>
          <t>Sunnyvale, CA, US</t>
        </is>
      </c>
      <c r="H133" s="3" t="n">
        <v>45915</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in-114c3d668fece917</t>
        </is>
      </c>
      <c r="B134" t="inlineStr">
        <is>
          <t>Applied Scientist II, Prime Video - Personalization and Discovery Science</t>
        </is>
      </c>
      <c r="C134" t="inlineStr">
        <is>
          <t>Amazon.com</t>
        </is>
      </c>
      <c r="D134" t="inlineStr">
        <is>
          <t>indeed</t>
        </is>
      </c>
      <c r="E134">
        <f>HYPERLINK("https://www.indeed.com/viewjob?jk=114c3d668fece917", "https://www.indeed.com/viewjob?jk=114c3d668fece917")</f>
        <v/>
      </c>
      <c r="F134">
        <f>HYPERLINK("https://www.amazon.jobs/jobs/3086060/applied-scientist-ii-prime-video--personalization-and-discovery-science?cmpid=DA_INAD200785B", "https://www.amazon.jobs/jobs/3086060/applied-scientist-ii-prime-video--personalization-and-discovery-science?cmpid=DA_INAD200785B")</f>
        <v/>
      </c>
      <c r="G134" t="inlineStr">
        <is>
          <t>Seattle, WA, US</t>
        </is>
      </c>
      <c r="H134" s="3" t="n">
        <v>45915</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in-e7b0d8e56c537a7a</t>
        </is>
      </c>
      <c r="B135" t="inlineStr">
        <is>
          <t>Sr. Applied Scientist, Prime Video - Personalization and Discovery Science</t>
        </is>
      </c>
      <c r="C135" t="inlineStr">
        <is>
          <t>Amazon.com</t>
        </is>
      </c>
      <c r="D135" t="inlineStr">
        <is>
          <t>indeed</t>
        </is>
      </c>
      <c r="E135">
        <f>HYPERLINK("https://www.indeed.com/viewjob?jk=e7b0d8e56c537a7a", "https://www.indeed.com/viewjob?jk=e7b0d8e56c537a7a")</f>
        <v/>
      </c>
      <c r="F135">
        <f>HYPERLINK("https://www.amazon.jobs/jobs/3059256/sr-applied-scientist-prime-video--personalization-and-discovery-science?cmpid=DA_INAD200785B", "https://www.amazon.jobs/jobs/3059256/sr-applied-scientist-prime-video--personalization-and-discovery-science?cmpid=DA_INAD200785B")</f>
        <v/>
      </c>
      <c r="G135" t="inlineStr">
        <is>
          <t>Seattle, WA, US</t>
        </is>
      </c>
      <c r="H135" s="3" t="n">
        <v>45881</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in-9ad0a621c1cba295</t>
        </is>
      </c>
      <c r="B136" t="inlineStr">
        <is>
          <t>Sr. Applied Scientist, Prime Video - Personalization and Discovery Science</t>
        </is>
      </c>
      <c r="C136" t="inlineStr">
        <is>
          <t>Amazon.com</t>
        </is>
      </c>
      <c r="D136" t="inlineStr">
        <is>
          <t>indeed</t>
        </is>
      </c>
      <c r="E136">
        <f>HYPERLINK("https://www.indeed.com/viewjob?jk=9ad0a621c1cba295", "https://www.indeed.com/viewjob?jk=9ad0a621c1cba295")</f>
        <v/>
      </c>
      <c r="F136">
        <f>HYPERLINK("https://www.amazon.jobs/jobs/3059256/sr-applied-scientist-prime-video--personalization-and-discovery-science?cmpid=DA_INAD200785B", "https://www.amazon.jobs/jobs/3059256/sr-applied-scientist-prime-video--personalization-and-discovery-science?cmpid=DA_INAD200785B")</f>
        <v/>
      </c>
      <c r="G136" t="inlineStr">
        <is>
          <t>New York, NY, US</t>
        </is>
      </c>
      <c r="H136" s="3" t="n">
        <v>45881</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in-787139365aad2861</t>
        </is>
      </c>
      <c r="B137" t="inlineStr">
        <is>
          <t>Sr. Applied Scientist, Prime Video - Personalization and Discovery Science</t>
        </is>
      </c>
      <c r="C137" t="inlineStr">
        <is>
          <t>Amazon.com</t>
        </is>
      </c>
      <c r="D137" t="inlineStr">
        <is>
          <t>indeed</t>
        </is>
      </c>
      <c r="E137">
        <f>HYPERLINK("https://www.indeed.com/viewjob?jk=787139365aad2861", "https://www.indeed.com/viewjob?jk=787139365aad2861")</f>
        <v/>
      </c>
      <c r="F137">
        <f>HYPERLINK("https://www.amazon.jobs/jobs/3059256/sr-applied-scientist-prime-video--personalization-and-discovery-science?cmpid=DA_INAD200785B", "https://www.amazon.jobs/jobs/3059256/sr-applied-scientist-prime-video--personalization-and-discovery-science?cmpid=DA_INAD200785B")</f>
        <v/>
      </c>
      <c r="G137" t="inlineStr">
        <is>
          <t>Sunnyvale, CA, US</t>
        </is>
      </c>
      <c r="H137" s="3" t="n">
        <v>45881</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in-a443faa3f403ed96</t>
        </is>
      </c>
      <c r="B138" t="inlineStr">
        <is>
          <t>Applied Scientist II, Prime Video - Personalization and Discovery Science</t>
        </is>
      </c>
      <c r="C138" t="inlineStr">
        <is>
          <t>Amazon.com</t>
        </is>
      </c>
      <c r="D138" t="inlineStr">
        <is>
          <t>indeed</t>
        </is>
      </c>
      <c r="E138">
        <f>HYPERLINK("https://www.indeed.com/viewjob?jk=a443faa3f403ed96", "https://www.indeed.com/viewjob?jk=a443faa3f403ed96")</f>
        <v/>
      </c>
      <c r="F138">
        <f>HYPERLINK("https://www.amazon.jobs/jobs/3059253/applied-scientist-ii-prime-video--personalization-and-discovery-science?cmpid=DA_INAD200785B", "https://www.amazon.jobs/jobs/3059253/applied-scientist-ii-prime-video--personalization-and-discovery-science?cmpid=DA_INAD200785B")</f>
        <v/>
      </c>
      <c r="G138" t="inlineStr">
        <is>
          <t>Sunnyvale, CA, US</t>
        </is>
      </c>
      <c r="H138" s="3" t="n">
        <v>45881</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in-5bf18034465ae02f</t>
        </is>
      </c>
      <c r="B139" t="inlineStr">
        <is>
          <t>Applied Scientist II, Prime Video - Personalization and Discovery Science</t>
        </is>
      </c>
      <c r="C139" t="inlineStr">
        <is>
          <t>Amazon.com</t>
        </is>
      </c>
      <c r="D139" t="inlineStr">
        <is>
          <t>indeed</t>
        </is>
      </c>
      <c r="E139">
        <f>HYPERLINK("https://www.indeed.com/viewjob?jk=5bf18034465ae02f", "https://www.indeed.com/viewjob?jk=5bf18034465ae02f")</f>
        <v/>
      </c>
      <c r="F139">
        <f>HYPERLINK("https://www.amazon.jobs/jobs/3059253/applied-scientist-ii-prime-video--personalization-and-discovery-science?cmpid=DA_INAD200785B", "https://www.amazon.jobs/jobs/3059253/applied-scientist-ii-prime-video--personalization-and-discovery-science?cmpid=DA_INAD200785B")</f>
        <v/>
      </c>
      <c r="G139" t="inlineStr">
        <is>
          <t>New York, NY, US</t>
        </is>
      </c>
      <c r="H139" s="3" t="n">
        <v>45881</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in-77c5c4d50b006e33</t>
        </is>
      </c>
      <c r="B140" t="inlineStr">
        <is>
          <t>Applied Scientist II, Prime Video - Personalization and Discovery Science</t>
        </is>
      </c>
      <c r="C140" t="inlineStr">
        <is>
          <t>Amazon.com</t>
        </is>
      </c>
      <c r="D140" t="inlineStr">
        <is>
          <t>indeed</t>
        </is>
      </c>
      <c r="E140">
        <f>HYPERLINK("https://www.indeed.com/viewjob?jk=77c5c4d50b006e33", "https://www.indeed.com/viewjob?jk=77c5c4d50b006e33")</f>
        <v/>
      </c>
      <c r="F140">
        <f>HYPERLINK("https://www.amazon.jobs/jobs/3059253/applied-scientist-ii-prime-video--personalization-and-discovery-science?cmpid=DA_INAD200785B", "https://www.amazon.jobs/jobs/3059253/applied-scientist-ii-prime-video--personalization-and-discovery-science?cmpid=DA_INAD200785B")</f>
        <v/>
      </c>
      <c r="G140" t="inlineStr">
        <is>
          <t>Seattle, WA, US</t>
        </is>
      </c>
      <c r="H140" s="3" t="n">
        <v>45881</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in-e974b1b746a704d9</t>
        </is>
      </c>
      <c r="B141" t="inlineStr">
        <is>
          <t>Applied Scientist, Prime Video - Personalization and Discovery Science</t>
        </is>
      </c>
      <c r="C141" t="inlineStr">
        <is>
          <t>Amazon.com</t>
        </is>
      </c>
      <c r="D141" t="inlineStr">
        <is>
          <t>indeed</t>
        </is>
      </c>
      <c r="E141">
        <f>HYPERLINK("https://www.indeed.com/viewjob?jk=e974b1b746a704d9", "https://www.indeed.com/viewjob?jk=e974b1b746a704d9")</f>
        <v/>
      </c>
      <c r="F141">
        <f>HYPERLINK("https://www.amazon.jobs/jobs/3033050/applied-scientist-prime-video--personalization-and-discovery-science?cmpid=DA_INAD200785B", "https://www.amazon.jobs/jobs/3033050/applied-scientist-prime-video--personalization-and-discovery-science?cmpid=DA_INAD200785B")</f>
        <v/>
      </c>
      <c r="G141" t="inlineStr">
        <is>
          <t>New York, NY, US</t>
        </is>
      </c>
      <c r="H141" s="3" t="n">
        <v>45845</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in-485513df326a4393</t>
        </is>
      </c>
      <c r="B142" t="inlineStr">
        <is>
          <t>Applied Scientist, Prime Video - Personalization and Discovery Science</t>
        </is>
      </c>
      <c r="C142" t="inlineStr">
        <is>
          <t>Amazon.com</t>
        </is>
      </c>
      <c r="D142" t="inlineStr">
        <is>
          <t>indeed</t>
        </is>
      </c>
      <c r="E142">
        <f>HYPERLINK("https://www.indeed.com/viewjob?jk=485513df326a4393", "https://www.indeed.com/viewjob?jk=485513df326a4393")</f>
        <v/>
      </c>
      <c r="F142">
        <f>HYPERLINK("https://www.amazon.jobs/jobs/3033050/applied-scientist-prime-video--personalization-and-discovery-science?cmpid=DA_INAD200785B", "https://www.amazon.jobs/jobs/3033050/applied-scientist-prime-video--personalization-and-discovery-science?cmpid=DA_INAD200785B")</f>
        <v/>
      </c>
      <c r="G142" t="inlineStr">
        <is>
          <t>Seattle, WA, US</t>
        </is>
      </c>
      <c r="H142" s="3" t="n">
        <v>45845</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in-684f884c52b6dc5b</t>
        </is>
      </c>
      <c r="B143" t="inlineStr">
        <is>
          <t>Applied Scientist, Prime Video - Personalization and Discovery Science</t>
        </is>
      </c>
      <c r="C143" t="inlineStr">
        <is>
          <t>Amazon.com</t>
        </is>
      </c>
      <c r="D143" t="inlineStr">
        <is>
          <t>indeed</t>
        </is>
      </c>
      <c r="E143">
        <f>HYPERLINK("https://www.indeed.com/viewjob?jk=684f884c52b6dc5b", "https://www.indeed.com/viewjob?jk=684f884c52b6dc5b")</f>
        <v/>
      </c>
      <c r="F143">
        <f>HYPERLINK("https://www.amazon.jobs/jobs/3033050/applied-scientist-prime-video--personalization-and-discovery-science?cmpid=DA_INAD200785B", "https://www.amazon.jobs/jobs/3033050/applied-scientist-prime-video--personalization-and-discovery-science?cmpid=DA_INAD200785B")</f>
        <v/>
      </c>
      <c r="G143" t="inlineStr">
        <is>
          <t>Sunnyvale, CA, US</t>
        </is>
      </c>
      <c r="H143" s="3" t="n">
        <v>45845</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in-ce694a0f70e9fe5b</t>
        </is>
      </c>
      <c r="B144" t="inlineStr">
        <is>
          <t>Identity AI / ML Engineer</t>
        </is>
      </c>
      <c r="C144" t="inlineStr">
        <is>
          <t>Openkyber</t>
        </is>
      </c>
      <c r="D144" t="inlineStr">
        <is>
          <t>indeed</t>
        </is>
      </c>
      <c r="E144">
        <f>HYPERLINK("https://www.indeed.com/viewjob?jk=ce694a0f70e9fe5b", "https://www.indeed.com/viewjob?jk=ce694a0f70e9fe5b")</f>
        <v/>
      </c>
      <c r="F144">
        <f>HYPERLINK("https://candidateportalnew.ceipal.com/job-details/d1SjP7KoXmFrPIDquyvBFq4n9YbQUnT1Q561P-s4WbU#.job_boards.Indeed", "https://candidateportalnew.ceipal.com/job-details/d1SjP7KoXmFrPIDquyvBFq4n9YbQUnT1Q561P-s4WbU#.job_boards.Indeed")</f>
        <v/>
      </c>
      <c r="G144" t="inlineStr">
        <is>
          <t>GA, US</t>
        </is>
      </c>
      <c r="H144" s="3" t="n">
        <v>46047</v>
      </c>
      <c r="I144" t="inlineStr">
        <is>
          <t>Position Overview The candidate will be responsible for designing, developing, and deploying machine learning models and AI\-driven solutions to support healthcare analytics, improve operational efficiency, and drive business insights. This role requires strong expertise in machine learning, data engineering, cloud platforms, and end\-to\-end model lifecycle management.
Key Responsibilities Develop and implement scalable machine learning models for predictive analytics, classification, NLP, and optimization use cases. Work closely with data engineers and analysts to gather requirements, understand business problems, and translate them into ML solutions. Perform data preprocessing, feature engineering, model tuning, and validation. Build reusable ML pipelines and automate workflows through MLOps frameworks. Deploy models into production using cloud\-native services (Azure, AWS, or Google Cloud Platform). Monitor and optimize model performance and ensure long\-term model stability. Collaborate cross\-functionally with product, engineering, and business stakeholders. Document solution designs, model behavior, and deployment architecture.
**Mandatory Skills** Strong programming skills in Python (NumPy, Pandas, Scikit\-learn, TensorFlow / PyTorch). Experience building ML models end\-to\-end, including training, validation, deployment, and monitoring. Hands\-on experience with NLP, LLMs, or generative AI technologies (Hugging Face, LangChain preferred). Knowledge of cloud platforms such as Azure, AWS, or Google Cloud Platform (Optum widely uses Azure \&amp; Google Cloud Platform). Familiarity with MLOps tools such as MLflow, Kubeflow, Vertex AI, SageMaker, or Azure ML Studio. Strong understanding of data structures, algorithms, and SQL/NoSQL databases.
**Good\-to\-Have Skills** Experience with deep learning architectures (CNNs, RNNs, Transformers). Healthcare domain experience (claims, EHR, risk scoring, utilization forecasting). Exposure to big data technologies (Spark, Databricks, Hadoop). Experience with API development and microservices for model deployment. Understanding of responsible AI, bias detection, fairness and model interpretability (SHAP, LIME).
Qualifications Bachelor s/Master s in Computer Science, Data Science, AI/ML, or related field. 3 7\+ years of experience in machine learning or AI development. Strong communication skills and ability to work independently in a remote environment
**For applications and inquiries, contact:** hirings@openkyber.com</t>
        </is>
      </c>
    </row>
    <row r="145">
      <c r="A145" t="inlineStr">
        <is>
          <t>in-974ed743b029aa40</t>
        </is>
      </c>
      <c r="B145" t="inlineStr">
        <is>
          <t>AI Engineer</t>
        </is>
      </c>
      <c r="C145" t="inlineStr">
        <is>
          <t>Legence</t>
        </is>
      </c>
      <c r="D145" t="inlineStr">
        <is>
          <t>indeed</t>
        </is>
      </c>
      <c r="E145">
        <f>HYPERLINK("https://www.indeed.com/viewjob?jk=974ed743b029aa40", "https://www.indeed.com/viewjob?jk=974ed743b029aa40")</f>
        <v/>
      </c>
      <c r="F145">
        <f>HYPERLINK("https://jobs.dayforcehcm.com/en-US/legence/CANDIDATEPORTAL/jobs/27516", "https://jobs.dayforcehcm.com/en-US/legence/CANDIDATEPORTAL/jobs/27516")</f>
        <v/>
      </c>
      <c r="G145" t="inlineStr">
        <is>
          <t>Minneapolis, MN, US</t>
        </is>
      </c>
      <c r="H145" s="3" t="n">
        <v>46047</v>
      </c>
      <c r="I145" t="inlineStr">
        <is>
          <t>About Legence
**Legence (Nasdaq:** LGN) is a leading provider of engineering, consulting, installation, and maintenance services for mission\-critical systems in buildings. The company specializes in designing, fabricating, and installing complex HVAC, process piping, and other mechanical, electrical, and plumbing (MEP) systems—enhancing energy efficiency, reliability, and sustainability in new and existing facilities. Legence also delivers long\-term performance through strategic upgrades and holistic solutions. Serving some of the world’s most technically demanding sectors, Legence counts over 60% of the Nasdaq\-100 Index among its clients.
**Location:** Remote
**Job Type:** Full\-Time
**Salary:** $75,000\-$80,000 per year, depending on experience
We are seeking a talented Junior AI Engineer to join our dynamic data and AI team. This role is an excellent opportunity for a recent graduate to launch their career working with cutting\-edge Microsoft technologies and building enterprise AI solutions.
**Job Summary:**  
The Junior AI Engineer will be responsible for designing, implementing, and maintaining AI solutions and data pipelines within the Microsoft Fabric/Foundry ecosystem. This role requires a strong foundation in machine learning, data engineering, and cloud technologies. The ideal candidate will work closely with cross\-functional teams to deliver AI\-powered solutions that meet business requirements and drive organizational value.
**Key Responsibilities:****1\. AI Solution Development:**  
* Develop and deploy machine learning models using Microsoft Data Science capabilities.
* Build and maintain data pipelines.
* Implement AI workflows and analytics solutions within the Microsoft platform.
**2\. Collaboration and Communication:**  
* Work closely with data engineers, data scientists, business analysts, and stakeholders to understand AI requirements and deliver solutions.
* Participate in team meetings, code reviews, and knowledge\-sharing sessions.
**3\. Troubleshooting and Support:**  
* Identify and resolve issues related to data pipelines, model performance, and integration challenges.
* Provide ongoing support and maintenance for deployed AI solutions and models in production.
* Provide technical support for AI solution inquiries from internal teams.4\. Continuous Improvement:
* Stay current with Microsoft Fabric updates, AI/ML trends, and best practices.
* Contribute to documentation and propose improvements to existing AI workflows and processes.
**Qualifications:**  
* Master's degree in Computer Science, Data Science, Artificial Intelligence, Machine Learning, or a related field (recent graduate).
* Strong programming skills in Python, Java, JavaScript and SQL.
* Foundational knowledge of machine learning algorithms and concepts.
* Familiarity with Microsoft Azure cloud services and architecture.
* Understanding of data engineering principles including ETL processes and data modeling.
* Knowledge of software development best practices and version control (Git).
* Excellent problem\-solving skills and attention to detail.
* Strong communication skills and ability to work collaboratively in a team environment.
**Preferred Qualifications:**  
* Hands\-on experience with Microsoft Fabric, Power BI, or Azure Analytics through coursework, internships, or personal projects.
* Knowledge of Apache Spark and distributed computing frameworks.
* Familiarity with MLOps practices and CI/CD pipelines.
* Experience with LLMs, generative AI, or Azure AI services.
* Understanding data security and governance best practices.
Immigration sponsorship is unavailable for this position.
\#LI\-JS1 \#LI\-Onsite
Benefits Overview
**401(k) Plan with Company Match:** Currently match contributions dollar\-for\-dollar up to 4% of eligible pay; immediate vesting.
**Health \&amp; Welfare Benefits:** Employer provided medical, dental, vision, prescription drug, Employee Assistance Program and accident \&amp; illness coverage.
**Life and Disability Insurance:** Employer provided basic life insurance and AD\&amp;D valued at 50K coverage amount with the option for voluntary buy up for additional coverage.
**Time Off:** Flexible non\-accrual vacation; company holidays per policy. (For California employees, this is separate from California paid sick leave, if applicable.)
**Expenses:** Business travel and related expenses reimbursed per company policy.
Reasonable Accommodations
If you need assistance or accommodations during the application or interview process, please contact us at ta@wearelegence.com or your dedicated recruiter with the job title and requisition number.
Employment Eligibility
Candidates must have current work authorization in the U.S.; visa sponsorship is not available for this position.
Third\-Party Recruiting Disclaimer
Legence and its affiliates do not accept unsolicited resumes from agencies; any such submissions without a prior signed agreement authorized by Legence Holdings LLC's CHRO or Director of Talent Acquisition will not incur fees and are considered property of Legence.
Pay Disclosure \&amp; Considerations
Where pay ranges are indicated, please note that a successful candidate’s exact pay will be determined based relevant job\-related factors, including any of the following: candidate’s experience, skills, and qualifications, as well as geographic and market considerations. We are committed to ensuring fair and competitive compensation for all employees and comply with all applicable salary transparency laws.
Equal Employment Opportunity Employer
Legence and its affiliate companies are proud to be an equal opportunity workplace. We are committed to equal employment opportunity regardless of race, color, religion, sex (including pregnancy, gender identity, and sexual orientation), marital or familial status, national origin, age, disability, genetic information (including family medical history), political affiliation, military service, other non\-merit\-based factors, and any other characteristic protected under applicable local, state or federal laws and regulations.
EEO is the Law</t>
        </is>
      </c>
    </row>
    <row r="146">
      <c r="A146" t="inlineStr">
        <is>
          <t>in-c0db1240591b512d</t>
        </is>
      </c>
      <c r="B146" t="inlineStr">
        <is>
          <t>AI Engineer</t>
        </is>
      </c>
      <c r="C146" t="inlineStr">
        <is>
          <t>Halma</t>
        </is>
      </c>
      <c r="D146" t="inlineStr">
        <is>
          <t>indeed</t>
        </is>
      </c>
      <c r="E146">
        <f>HYPERLINK("https://www.indeed.com/viewjob?jk=c0db1240591b512d", "https://www.indeed.com/viewjob?jk=c0db1240591b512d")</f>
        <v/>
      </c>
      <c r="F146">
        <f>HYPERLINK("https://halma.wd3.myworkdayjobs.com/en-US/Halma/job/Pennsylvania/AI-Engineer_JR26_000086-1", "https://halma.wd3.myworkdayjobs.com/en-US/Halma/job/Pennsylvania/AI-Engineer_JR26_000086-1")</f>
        <v/>
      </c>
      <c r="G146" t="inlineStr">
        <is>
          <t>PA, US</t>
        </is>
      </c>
      <c r="H146" s="3" t="n">
        <v>46041</v>
      </c>
      <c r="I146" t="inlineStr">
        <is>
          <t>It's fun to work in a company where people truly BELIEVE in what they are doing!
We're committed to bringing passion and customer focus to the business.
**Machine Learning / AI Engineer Role Overview**
================================================
We are seeking a Machine Learning / AI Engineer who will be responsible for designing, building, and scaling production\-grade machine learning systems with a strong focus on AI and MLOps for Real\-Time Location Systems (RTLS). In this role, you will take ownership of the entire delivery process. This includes managing data pipelines, developing models, deploying solutions, monitoring systems, and driving continuous improvement. You will collaborate closely with teams across Hardware, Software, and Product to ensure the successful release of reliable machine learning features that deliver positive business outcomes.
**Responsibilities**
--------------------
* **ML Development:** Design, train, and evaluate machine learning models tailored for location detection and other RTLS applications.
* **Build ML algorithms** from the ground up according to business requirements, or fine\-tune existing models—including those from open\-source sources or model repositories such as Hugging Face.
* **Own the full ML lifecycle:** Manage all stages including problem framing, data exploration, feature engineering, model training, evaluation, and integration into products.
* **AI / LLM / RAG–** To build, deploy and maintain LLM models which can retrieve data in Natural language from a large structured or unstructured data sources using RAG / Vector DB.
* **Gather data** from diverse sources, ensuring the accuracy and completeness of all collected information.
* **Utilize statistical** methods and machine learning techniques to analyze datasets, reveal patterns, and generate actionable insights.
* Create clear and compelling **visualizations** to communicate findings effectively to both technical and non\-technical stakeholders.
* Work closely with **cross\-functional teams** to understand data needs and deliver tailored solutions.
**Requirements**
----------------
* Minimum of 3 years of experience as a machine learning or data engineer, or a master's degree in Computer Science, Statistics, Mathematics, Data Science, or a related field with at least 1 year of relevant work experience.
* Proficiency in Python, with working knowledge of additional programming languages such as C\# and Rust considered a plus.
* Expertise in machine learning frameworks including PyTorch, TensorFlow, and AWS SageMaker Studio.
* Experience with MLOps tools such as MLflow, Kubeflow, Tecton/Feast (feature stores).
* Experience with deploying and hosting LLM on bare metal GPU / HW.
* Expertise in cost optimization for hosting LLM model on prem or on cloud.
* Experience building and operating REST or gRPC services.
* Experience with data manipulation and analysis tools, including SQL and data visualization libraries.
* Solid understanding of statistical methods and machine learning algorithms.
* Strong verbal and written communication skills, capable of conveying complex information clearly.
* Excellent analytical and problem\-solving abilities.
* Ability to work effectively as part of a collaborative team environment.
* Demonstrated capability to work independently.
**Preferred Qualifications**
----------------------------
* **Cloud:** Proficiency with platforms such as AWS SageMaker, Azure ML, or GCP Vertex AI.
* Experience in hosting and consuming Hugging Face models.
* **Infra:** Familiarity with Docker, Kubernetes, and CI/CD tools such as GitHub Actions, GitLab, or Azure DevOps.
* **Data visualization** expertise with tools such as Quicksight or Power BI.
* Building and deploying complex **Agentic AI and LLM**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is>
      </c>
    </row>
    <row r="147">
      <c r="A147" t="inlineStr">
        <is>
          <t>in-51c71d946799ffda</t>
        </is>
      </c>
      <c r="B147" t="inlineStr">
        <is>
          <t>Identity AI / ML Engineer</t>
        </is>
      </c>
      <c r="C147" t="inlineStr">
        <is>
          <t>Openkyber</t>
        </is>
      </c>
      <c r="D147" t="inlineStr">
        <is>
          <t>indeed</t>
        </is>
      </c>
      <c r="E147">
        <f>HYPERLINK("https://www.indeed.com/viewjob?jk=51c71d946799ffda", "https://www.indeed.com/viewjob?jk=51c71d946799ffda")</f>
        <v/>
      </c>
      <c r="F147">
        <f>HYPERLINK("https://candidateportalnew.ceipal.com/job-details/4YKyaRi_m55JXEhhenfsQGPTHI0SA_YWuXk0E-IcKUw#.job_boards.Indeed", "https://candidateportalnew.ceipal.com/job-details/4YKyaRi_m55JXEhhenfsQGPTHI0SA_YWuXk0E-IcKUw#.job_boards.Indeed")</f>
        <v/>
      </c>
      <c r="G147" t="inlineStr">
        <is>
          <t>TX, US</t>
        </is>
      </c>
      <c r="H147" s="3" t="n">
        <v>46047</v>
      </c>
      <c r="I147" t="inlineStr">
        <is>
          <t>**Data Scientist\- AI/ML , NLP focus As a Data Scientist with a focus on Artificial Intelligence/Machine Learning (AI/ML) and Natural Language Processing (NLP), you will play a key role in developing cutting\-edge AI models and leveraging advanced techniques to drive business impact.**
This position requires a strong background in time\-series modeling and a passion for utilizing data to solve complex business problems.
**Worksite:** Onsite mandatory Mon\-Thursday in Houston, TX, Friday work from home
**Responsibilities:**
* Develop time\-series models from business data
* Analyze diverse datasets and build machine learning models
* Deploy AI solutions for business value
* Work on deep learning, computer vision, NLP, LLMs, and multi\-agent systems
* Design, train, and deploy scalable time\-series models
* Turn data insights into actionable strategies
**Key Responsibilities:**
* Data Analysis \&amp; Feature Engineering
* Develop, train, and optimize machine learning models
* Build AI solutions using LLMs and multi\-agent systems
* Translate complex data science methodologies into actionable insights
* Develop clear presentations and dashboards for stakeholders
**Required Technical Skills:**
* Solid foundation in time\-series modeling and anomaly detection
* Proficiency in Python and experience with linear regression, random forest, and support vector machines
* Strong communication abilities
* Experience in deep learning, Generative AI, computer vision, data engineering, and ML Ops
**Required Soft Skills:**
* Curious \&amp; Innovative mindset
* Ownership \&amp; Initiative in driving projects
* Business Acumen to understand impact on business goals
* Effective Communication to explain technical concepts to non\-technical audiences
**Preferred Qualifications:**
* Graduate degree in a quantitative field (e.g., Computer Science, Data Science, Statistics, Engineering, Mathematics, Economics)
* Experience with time\-series modeling and abnormal detection
* Familiarity with deep learning and Generative AI
This role is ideal for a Data Scientist who wants to work at the cutting edge of AI and ML, leveraging LLMs, NLP, and predictive analytics to drive meaningful impact.
**For applications and inquiries, contact:** hirings@openkyber.com</t>
        </is>
      </c>
    </row>
    <row r="148">
      <c r="A148" t="inlineStr">
        <is>
          <t>in-e9b6e2307f8b12d1</t>
        </is>
      </c>
      <c r="B148" t="inlineStr">
        <is>
          <t>Identity AI / ML Engineer</t>
        </is>
      </c>
      <c r="C148" t="inlineStr">
        <is>
          <t>Openkyber</t>
        </is>
      </c>
      <c r="D148" t="inlineStr">
        <is>
          <t>indeed</t>
        </is>
      </c>
      <c r="E148">
        <f>HYPERLINK("https://www.indeed.com/viewjob?jk=e9b6e2307f8b12d1", "https://www.indeed.com/viewjob?jk=e9b6e2307f8b12d1")</f>
        <v/>
      </c>
      <c r="F148">
        <f>HYPERLINK("https://candidateportalnew.ceipal.com/job-details/l4X0WH8thD2lH6KYHlQz75znKxNEaNjXdnMt-dtrGJQ#.job_boards.Indeed", "https://candidateportalnew.ceipal.com/job-details/l4X0WH8thD2lH6KYHlQz75znKxNEaNjXdnMt-dtrGJQ#.job_boards.Indeed")</f>
        <v/>
      </c>
      <c r="G148" t="inlineStr">
        <is>
          <t>IN, US</t>
        </is>
      </c>
      <c r="H148" s="3" t="n">
        <v>46047</v>
      </c>
      <c r="I148" t="inlineStr">
        <is>
          <t>Title :\- Python Developer {AI/ML \&amp; Data Engineering experience needed.} Location :\- Columbus \- OH, 05 Days On\-Site Target Start Date / Urgency to Fill Role :\- As early as possible . Work Arrangement: Fully On\-Site from day one. Candidate Preference: Local candidates preferred. Duration :\- Contract (Minimum 06\+ Months)
Jr. Role :\- Foundational experience in AI/ML and data engineering. Candidate will support data pipelines, assist in ML model development, and work closely with senior engineers to deliver scalable data\-driven solutions.
Sr. Role :\- Strong experience in AI/ML and data engineering to design, build, and optimize scalable data platforms and machine learning solutions.
Lead Role :\- Lead Python Developer to drive AI/ML and data engineering initiatives, lead technical teams, and architect enterprise\-scale data and machine learning platforms.
Junior Role Senior Role Lead Role Responsibilities Develop and maintain Python\-based applications and data pipelines. Assist in building and training ML models under guidance. Work with structured and unstructured data sources. Perform data cleaning, transformation, and validation. Support ETL processes and basic cloud deployments. Collaborate with cross\-functional teams (Data, AI, Product). Design and develop scalable Python applications and data pipelines. Build, train, and deploy ML models in production environments. Optimize data workflows for performance and reliability. Work with big data technologies and distributed systems. Collaborate with data scientists and architects on solution design. Ensure code quality, security, and best practices. Lead end\-to\-end design and delivery of AI/ML and data engineering solutions. Architect scalable, secure, and high\-performance data platforms. Guide and mentor junior and senior developers. Define best practices, coding standards, and architecture guidelines. Work closely with stakeholders to translate business requirements into technical solutions. Oversee ML model lifecycle, deployment, and monitoring.
**Required Skills**
* Strong Python programming fundamentals.
* Basic understanding of ML concepts (regression, classification, clustering).
* Experience with Pandas, NumPy, Scikit\-learn.
* Knowledge of SQL and databases Exposure to ETL tools or data pipelines.
* Familiarity with cloud platforms (AWS/Azure/Google Cloud Platform basic).
* Advanced Python development experience.
* Strong hands\-on experience with ML frameworks (Scikit\-learn, TensorFlow, PyTorch).
* Data engineering experience using Spark/PySpark.
* Strong SQL and NoSQL database knowledge.
* Experience with ETL/ELT pipelines.
* Hands\-on cloud experience (AWS, Azure, or Google Cloud Platform).
* CI/CD and version control (Git).
* Expert\-level Python development.
* Strong architecture experience in AI/ML systems.
* Deep data engineering expertise (Spark, PySpark, Hadoop, Kafka).
* Production ML deployment and MLOps experience.
* Strong cloud architecture experience (AWS/Azure/Google Cloud Platform).
* Experience leading teams and technical decision\-making.
**Nice to Have**
* Exposure to PySpark or Spark.
* Basic knowledge of TensorFlow or PyTorch.
* Understanding of REST APIs and Git.
* Experience with MLOps tools (MLflow, Kubeflow, SageMaker).
* Knowledge of Kafka or real\-time data streaming.
* Exposure to containerization (Docker, Kubernetes).
* Experience with GenAI, LLMs, and vector databases.
* Exposure to Snowflake, Databricks, or BigQuery.
* Strong communication and stakeholder management skills.
**For applications and inquiries, contact:** hirings@openkyber.com</t>
        </is>
      </c>
    </row>
    <row r="149">
      <c r="A149" t="inlineStr">
        <is>
          <t>in-711904793ce3f601</t>
        </is>
      </c>
      <c r="B149" t="inlineStr">
        <is>
          <t>Applied Scientist, Amazon Special Projects</t>
        </is>
      </c>
      <c r="C149" t="inlineStr">
        <is>
          <t>Amazon.com</t>
        </is>
      </c>
      <c r="D149" t="inlineStr">
        <is>
          <t>indeed</t>
        </is>
      </c>
      <c r="E149">
        <f>HYPERLINK("https://www.indeed.com/viewjob?jk=711904793ce3f601", "https://www.indeed.com/viewjob?jk=711904793ce3f601")</f>
        <v/>
      </c>
      <c r="F149">
        <f>HYPERLINK("https://www.amazon.jobs/jobs/3152795/applied-scientist-amazon-special-projects?cmpid=DA_INAD200785B", "https://www.amazon.jobs/jobs/3152795/applied-scientist-amazon-special-projects?cmpid=DA_INAD200785B")</f>
        <v/>
      </c>
      <c r="G149" t="inlineStr">
        <is>
          <t>Boston, MA, US</t>
        </is>
      </c>
      <c r="H149" s="3" t="n">
        <v>46026</v>
      </c>
      <c r="I1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in-1c86cf19c82b2182</t>
        </is>
      </c>
      <c r="B150" t="inlineStr">
        <is>
          <t>Applied Scientist, Amazon Special Projects</t>
        </is>
      </c>
      <c r="C150" t="inlineStr">
        <is>
          <t>Amazon.com</t>
        </is>
      </c>
      <c r="D150" t="inlineStr">
        <is>
          <t>indeed</t>
        </is>
      </c>
      <c r="E150">
        <f>HYPERLINK("https://www.indeed.com/viewjob?jk=1c86cf19c82b2182", "https://www.indeed.com/viewjob?jk=1c86cf19c82b2182")</f>
        <v/>
      </c>
      <c r="F150">
        <f>HYPERLINK("https://www.amazon.jobs/jobs/3152795/applied-scientist-amazon-special-projects?cmpid=DA_INAD200785B", "https://www.amazon.jobs/jobs/3152795/applied-scientist-amazon-special-projects?cmpid=DA_INAD200785B")</f>
        <v/>
      </c>
      <c r="G150" t="inlineStr">
        <is>
          <t>Seattle, WA, US</t>
        </is>
      </c>
      <c r="H150" s="3" t="n">
        <v>46026</v>
      </c>
      <c r="I15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in-4cc6b8b1f9dc7113</t>
        </is>
      </c>
      <c r="B151" t="inlineStr">
        <is>
          <t>Senior Applied Scientist, Sponsored Products and Brands, Off-Search</t>
        </is>
      </c>
      <c r="C151" t="inlineStr">
        <is>
          <t>Amazon.com</t>
        </is>
      </c>
      <c r="D151" t="inlineStr">
        <is>
          <t>indeed</t>
        </is>
      </c>
      <c r="E151">
        <f>HYPERLINK("https://www.indeed.com/viewjob?jk=4cc6b8b1f9dc7113", "https://www.indeed.com/viewjob?jk=4cc6b8b1f9dc7113")</f>
        <v/>
      </c>
      <c r="F151">
        <f>HYPERLINK("https://www.amazon.jobs/jobs/3153569/senior-applied-scientist-sponsored-products-and-brands-offsearch?cmpid=DA_INAD200785B", "https://www.amazon.jobs/jobs/3153569/senior-applied-scientist-sponsored-products-and-brands-offsearch?cmpid=DA_INAD200785B")</f>
        <v/>
      </c>
      <c r="G151" t="inlineStr">
        <is>
          <t>New York, NY, US</t>
        </is>
      </c>
      <c r="H151" s="3" t="n">
        <v>46017</v>
      </c>
      <c r="I15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in-66036afc5372dac8</t>
        </is>
      </c>
      <c r="B152" t="inlineStr">
        <is>
          <t>Senior Applied Scientist, Sponsored Products and Brands, Off-Search</t>
        </is>
      </c>
      <c r="C152" t="inlineStr">
        <is>
          <t>Amazon.com</t>
        </is>
      </c>
      <c r="D152" t="inlineStr">
        <is>
          <t>indeed</t>
        </is>
      </c>
      <c r="E152">
        <f>HYPERLINK("https://www.indeed.com/viewjob?jk=66036afc5372dac8", "https://www.indeed.com/viewjob?jk=66036afc5372dac8")</f>
        <v/>
      </c>
      <c r="F152">
        <f>HYPERLINK("https://www.amazon.jobs/jobs/3153569/senior-applied-scientist-sponsored-products-and-brands-offsearch?cmpid=DA_INAD200785B", "https://www.amazon.jobs/jobs/3153569/senior-applied-scientist-sponsored-products-and-brands-offsearch?cmpid=DA_INAD200785B")</f>
        <v/>
      </c>
      <c r="G152" t="inlineStr">
        <is>
          <t>Seattle, WA, US</t>
        </is>
      </c>
      <c r="H152" s="3" t="n">
        <v>46017</v>
      </c>
      <c r="I152"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in-6c32da0193495698</t>
        </is>
      </c>
      <c r="B153" t="inlineStr">
        <is>
          <t>Sr. Applied Scientist, Amazon Ads</t>
        </is>
      </c>
      <c r="C153" t="inlineStr">
        <is>
          <t>Amazon.com</t>
        </is>
      </c>
      <c r="D153" t="inlineStr">
        <is>
          <t>indeed</t>
        </is>
      </c>
      <c r="E153">
        <f>HYPERLINK("https://www.indeed.com/viewjob?jk=6c32da0193495698", "https://www.indeed.com/viewjob?jk=6c32da0193495698")</f>
        <v/>
      </c>
      <c r="F153">
        <f>HYPERLINK("https://www.amazon.jobs/jobs/3139328/sr-applied-scientist-amazon-ads?cmpid=DA_INAD200785B", "https://www.amazon.jobs/jobs/3139328/sr-applied-scientist-amazon-ads?cmpid=DA_INAD200785B")</f>
        <v/>
      </c>
      <c r="G153" t="inlineStr">
        <is>
          <t>Palo Alto, CA, US</t>
        </is>
      </c>
      <c r="H153" s="3" t="n">
        <v>45998</v>
      </c>
      <c r="I1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4">
      <c r="A154" t="inlineStr">
        <is>
          <t>in-6845b75de9c3ae83</t>
        </is>
      </c>
      <c r="B154" t="inlineStr">
        <is>
          <t>Sr. Applied Scientist, Amazon Ads</t>
        </is>
      </c>
      <c r="C154" t="inlineStr">
        <is>
          <t>Amazon.com</t>
        </is>
      </c>
      <c r="D154" t="inlineStr">
        <is>
          <t>indeed</t>
        </is>
      </c>
      <c r="E154">
        <f>HYPERLINK("https://www.indeed.com/viewjob?jk=6845b75de9c3ae83", "https://www.indeed.com/viewjob?jk=6845b75de9c3ae83")</f>
        <v/>
      </c>
      <c r="F154">
        <f>HYPERLINK("https://www.amazon.jobs/jobs/3139328/sr-applied-scientist-amazon-ads?cmpid=DA_INAD200785B", "https://www.amazon.jobs/jobs/3139328/sr-applied-scientist-amazon-ads?cmpid=DA_INAD200785B")</f>
        <v/>
      </c>
      <c r="G154" t="inlineStr">
        <is>
          <t>New York, NY, US</t>
        </is>
      </c>
      <c r="H154" s="3" t="n">
        <v>45998</v>
      </c>
      <c r="I1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5">
      <c r="A155" t="inlineStr">
        <is>
          <t>in-36c779805c9bfbdc</t>
        </is>
      </c>
      <c r="B155" t="inlineStr">
        <is>
          <t>Sr. Applied Scientist, Amazon Ads</t>
        </is>
      </c>
      <c r="C155" t="inlineStr">
        <is>
          <t>Amazon.com</t>
        </is>
      </c>
      <c r="D155" t="inlineStr">
        <is>
          <t>indeed</t>
        </is>
      </c>
      <c r="E155">
        <f>HYPERLINK("https://www.indeed.com/viewjob?jk=36c779805c9bfbdc", "https://www.indeed.com/viewjob?jk=36c779805c9bfbdc")</f>
        <v/>
      </c>
      <c r="F155">
        <f>HYPERLINK("https://www.amazon.jobs/jobs/3139328/sr-applied-scientist-amazon-ads?cmpid=DA_INAD200785B", "https://www.amazon.jobs/jobs/3139328/sr-applied-scientist-amazon-ads?cmpid=DA_INAD200785B")</f>
        <v/>
      </c>
      <c r="G155" t="inlineStr">
        <is>
          <t>Santa Monica, CA, US</t>
        </is>
      </c>
      <c r="H155" s="3" t="n">
        <v>45998</v>
      </c>
      <c r="I1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6">
      <c r="A156" t="inlineStr">
        <is>
          <t>in-2597de68c2bebb23</t>
        </is>
      </c>
      <c r="B156" t="inlineStr">
        <is>
          <t>Sr. Applied Scientist, Amazon Ads</t>
        </is>
      </c>
      <c r="C156" t="inlineStr">
        <is>
          <t>Amazon.com</t>
        </is>
      </c>
      <c r="D156" t="inlineStr">
        <is>
          <t>indeed</t>
        </is>
      </c>
      <c r="E156">
        <f>HYPERLINK("https://www.indeed.com/viewjob?jk=2597de68c2bebb23", "https://www.indeed.com/viewjob?jk=2597de68c2bebb23")</f>
        <v/>
      </c>
      <c r="F156">
        <f>HYPERLINK("https://www.amazon.jobs/jobs/3139328/sr-applied-scientist-amazon-ads?cmpid=DA_INAD200785B", "https://www.amazon.jobs/jobs/3139328/sr-applied-scientist-amazon-ads?cmpid=DA_INAD200785B")</f>
        <v/>
      </c>
      <c r="G156" t="inlineStr">
        <is>
          <t>Corvallis, OR, US</t>
        </is>
      </c>
      <c r="H156" s="3" t="n">
        <v>45998</v>
      </c>
      <c r="I1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7">
      <c r="A157" t="inlineStr">
        <is>
          <t>in-3387c9ccd8ad59b0</t>
        </is>
      </c>
      <c r="B157" t="inlineStr">
        <is>
          <t>Sr. Applied Scientist, Amazon Ads</t>
        </is>
      </c>
      <c r="C157" t="inlineStr">
        <is>
          <t>Amazon.com</t>
        </is>
      </c>
      <c r="D157" t="inlineStr">
        <is>
          <t>indeed</t>
        </is>
      </c>
      <c r="E157">
        <f>HYPERLINK("https://www.indeed.com/viewjob?jk=3387c9ccd8ad59b0", "https://www.indeed.com/viewjob?jk=3387c9ccd8ad59b0")</f>
        <v/>
      </c>
      <c r="F157">
        <f>HYPERLINK("https://www.amazon.jobs/jobs/3139328/sr-applied-scientist-amazon-ads?cmpid=DA_INAD200785B", "https://www.amazon.jobs/jobs/3139328/sr-applied-scientist-amazon-ads?cmpid=DA_INAD200785B")</f>
        <v/>
      </c>
      <c r="G157" t="inlineStr">
        <is>
          <t>Sunnyvale, CA, US</t>
        </is>
      </c>
      <c r="H157" s="3" t="n">
        <v>45998</v>
      </c>
      <c r="I1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8">
      <c r="A158" t="inlineStr">
        <is>
          <t>in-0fbe49ff68e9fced</t>
        </is>
      </c>
      <c r="B158" t="inlineStr">
        <is>
          <t>Sr. Applied Scientist, Amazon Ads</t>
        </is>
      </c>
      <c r="C158" t="inlineStr">
        <is>
          <t>Amazon.com</t>
        </is>
      </c>
      <c r="D158" t="inlineStr">
        <is>
          <t>indeed</t>
        </is>
      </c>
      <c r="E158">
        <f>HYPERLINK("https://www.indeed.com/viewjob?jk=0fbe49ff68e9fced", "https://www.indeed.com/viewjob?jk=0fbe49ff68e9fced")</f>
        <v/>
      </c>
      <c r="F158">
        <f>HYPERLINK("https://www.amazon.jobs/jobs/3139328/sr-applied-scientist-amazon-ads?cmpid=DA_INAD200785B", "https://www.amazon.jobs/jobs/3139328/sr-applied-scientist-amazon-ads?cmpid=DA_INAD200785B")</f>
        <v/>
      </c>
      <c r="G158" t="inlineStr">
        <is>
          <t>Tukwila, WA, US</t>
        </is>
      </c>
      <c r="H158" s="3" t="n">
        <v>45998</v>
      </c>
      <c r="I1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9">
      <c r="A159" t="inlineStr">
        <is>
          <t>in-28b5cee3945d072d</t>
        </is>
      </c>
      <c r="B159" t="inlineStr">
        <is>
          <t>Sr. Applied Scientist, Amazon Ads</t>
        </is>
      </c>
      <c r="C159" t="inlineStr">
        <is>
          <t>Amazon.com</t>
        </is>
      </c>
      <c r="D159" t="inlineStr">
        <is>
          <t>indeed</t>
        </is>
      </c>
      <c r="E159">
        <f>HYPERLINK("https://www.indeed.com/viewjob?jk=28b5cee3945d072d", "https://www.indeed.com/viewjob?jk=28b5cee3945d072d")</f>
        <v/>
      </c>
      <c r="F159">
        <f>HYPERLINK("https://www.amazon.jobs/jobs/3139328/sr-applied-scientist-amazon-ads?cmpid=DA_INAD200785B", "https://www.amazon.jobs/jobs/3139328/sr-applied-scientist-amazon-ads?cmpid=DA_INAD200785B")</f>
        <v/>
      </c>
      <c r="G159" t="inlineStr">
        <is>
          <t>Brooklyn, NY, US</t>
        </is>
      </c>
      <c r="H159" s="3" t="n">
        <v>45998</v>
      </c>
      <c r="I1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0">
      <c r="A160" t="inlineStr">
        <is>
          <t>in-dc68366fff0508e1</t>
        </is>
      </c>
      <c r="B160" t="inlineStr">
        <is>
          <t>Sr. Applied Scientist, Amazon Ads</t>
        </is>
      </c>
      <c r="C160" t="inlineStr">
        <is>
          <t>Amazon.com</t>
        </is>
      </c>
      <c r="D160" t="inlineStr">
        <is>
          <t>indeed</t>
        </is>
      </c>
      <c r="E160">
        <f>HYPERLINK("https://www.indeed.com/viewjob?jk=dc68366fff0508e1", "https://www.indeed.com/viewjob?jk=dc68366fff0508e1")</f>
        <v/>
      </c>
      <c r="F160">
        <f>HYPERLINK("https://www.amazon.jobs/jobs/3139328/sr-applied-scientist-amazon-ads?cmpid=DA_INAD200785B", "https://www.amazon.jobs/jobs/3139328/sr-applied-scientist-amazon-ads?cmpid=DA_INAD200785B")</f>
        <v/>
      </c>
      <c r="G160" t="inlineStr">
        <is>
          <t>Boston, MA, US</t>
        </is>
      </c>
      <c r="H160" s="3" t="n">
        <v>45998</v>
      </c>
      <c r="I1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1">
      <c r="A161" t="inlineStr">
        <is>
          <t>in-f3c45df235828d6e</t>
        </is>
      </c>
      <c r="B161" t="inlineStr">
        <is>
          <t>Sr. Applied Scientist, Amazon Ads</t>
        </is>
      </c>
      <c r="C161" t="inlineStr">
        <is>
          <t>Amazon.com</t>
        </is>
      </c>
      <c r="D161" t="inlineStr">
        <is>
          <t>indeed</t>
        </is>
      </c>
      <c r="E161">
        <f>HYPERLINK("https://www.indeed.com/viewjob?jk=f3c45df235828d6e", "https://www.indeed.com/viewjob?jk=f3c45df235828d6e")</f>
        <v/>
      </c>
      <c r="F161">
        <f>HYPERLINK("https://www.amazon.jobs/jobs/3139328/sr-applied-scientist-amazon-ads?cmpid=DA_INAD200785B", "https://www.amazon.jobs/jobs/3139328/sr-applied-scientist-amazon-ads?cmpid=DA_INAD200785B")</f>
        <v/>
      </c>
      <c r="G161" t="inlineStr">
        <is>
          <t>Seattle, WA, US</t>
        </is>
      </c>
      <c r="H161" s="3" t="n">
        <v>45998</v>
      </c>
      <c r="I1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2">
      <c r="A162" t="inlineStr">
        <is>
          <t>in-f2595729fe930740</t>
        </is>
      </c>
      <c r="B162" t="inlineStr">
        <is>
          <t>Sr. Applied Scientist, Amazon Ads</t>
        </is>
      </c>
      <c r="C162" t="inlineStr">
        <is>
          <t>Amazon.com</t>
        </is>
      </c>
      <c r="D162" t="inlineStr">
        <is>
          <t>indeed</t>
        </is>
      </c>
      <c r="E162">
        <f>HYPERLINK("https://www.indeed.com/viewjob?jk=f2595729fe930740", "https://www.indeed.com/viewjob?jk=f2595729fe930740")</f>
        <v/>
      </c>
      <c r="F162">
        <f>HYPERLINK("https://www.amazon.jobs/jobs/3139328/sr-applied-scientist-amazon-ads?cmpid=DA_INAD200785B", "https://www.amazon.jobs/jobs/3139328/sr-applied-scientist-amazon-ads?cmpid=DA_INAD200785B")</f>
        <v/>
      </c>
      <c r="G162" t="inlineStr">
        <is>
          <t>Boulder, CO, US</t>
        </is>
      </c>
      <c r="H162" s="3" t="n">
        <v>45998</v>
      </c>
      <c r="I16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3">
      <c r="A163" t="inlineStr">
        <is>
          <t>in-fae35c686fb58d59</t>
        </is>
      </c>
      <c r="B163" t="inlineStr">
        <is>
          <t>Applied Scientist, ML Compiler</t>
        </is>
      </c>
      <c r="C163" t="inlineStr">
        <is>
          <t>Amazon Web Services</t>
        </is>
      </c>
      <c r="D163" t="inlineStr">
        <is>
          <t>indeed</t>
        </is>
      </c>
      <c r="E163">
        <f>HYPERLINK("https://www.indeed.com/viewjob?jk=fae35c686fb58d59", "https://www.indeed.com/viewjob?jk=fae35c686fb58d59")</f>
        <v/>
      </c>
      <c r="F163">
        <f>HYPERLINK("https://www.amazon.jobs/jobs/3136884/applied-scientist-ml-compiler?cmpid=DA_INAD200785B", "https://www.amazon.jobs/jobs/3136884/applied-scientist-ml-compiler?cmpid=DA_INAD200785B")</f>
        <v/>
      </c>
      <c r="G163" t="inlineStr">
        <is>
          <t>Cupertino, CA, US</t>
        </is>
      </c>
      <c r="H163" s="3" t="n">
        <v>45993</v>
      </c>
      <c r="I16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in-e4bc2bddbe24e27d</t>
        </is>
      </c>
      <c r="B164" t="inlineStr">
        <is>
          <t>Applied Scientist, ML Compiler</t>
        </is>
      </c>
      <c r="C164" t="inlineStr">
        <is>
          <t>Amazon Web Services</t>
        </is>
      </c>
      <c r="D164" t="inlineStr">
        <is>
          <t>indeed</t>
        </is>
      </c>
      <c r="E164">
        <f>HYPERLINK("https://www.indeed.com/viewjob?jk=e4bc2bddbe24e27d", "https://www.indeed.com/viewjob?jk=e4bc2bddbe24e27d")</f>
        <v/>
      </c>
      <c r="F164">
        <f>HYPERLINK("https://www.amazon.jobs/jobs/3136884/applied-scientist-ml-compiler?cmpid=DA_INAD200785B", "https://www.amazon.jobs/jobs/3136884/applied-scientist-ml-compiler?cmpid=DA_INAD200785B")</f>
        <v/>
      </c>
      <c r="G164" t="inlineStr">
        <is>
          <t>Seattle, WA, US</t>
        </is>
      </c>
      <c r="H164" s="3" t="n">
        <v>45993</v>
      </c>
      <c r="I16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in-7fe175730c9fe598</t>
        </is>
      </c>
      <c r="B165" t="inlineStr">
        <is>
          <t>Senior Applied Scientist, Locomotion, Amazon Industrial Robotics</t>
        </is>
      </c>
      <c r="C165" t="inlineStr">
        <is>
          <t>Amazon.com</t>
        </is>
      </c>
      <c r="D165" t="inlineStr">
        <is>
          <t>indeed</t>
        </is>
      </c>
      <c r="E165">
        <f>HYPERLINK("https://www.indeed.com/viewjob?jk=7fe175730c9fe598", "https://www.indeed.com/viewjob?jk=7fe175730c9fe598")</f>
        <v/>
      </c>
      <c r="F165">
        <f>HYPERLINK("https://www.amazon.jobs/jobs/3134751/senior-applied-scientist-locomotion-amazon-industrial-robotics?cmpid=DA_INAD200785B", "https://www.amazon.jobs/jobs/3134751/senior-applied-scientist-locomotion-amazon-industrial-robotics?cmpid=DA_INAD200785B")</f>
        <v/>
      </c>
      <c r="G165" t="inlineStr">
        <is>
          <t>Reading, MA, US</t>
        </is>
      </c>
      <c r="H165" s="3" t="n">
        <v>45992</v>
      </c>
      <c r="I1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in-bc916504104e1a00</t>
        </is>
      </c>
      <c r="B166" t="inlineStr">
        <is>
          <t>Senior Applied Scientist, Locomotion, Amazon Industrial Robotics</t>
        </is>
      </c>
      <c r="C166" t="inlineStr">
        <is>
          <t>Amazon.com</t>
        </is>
      </c>
      <c r="D166" t="inlineStr">
        <is>
          <t>indeed</t>
        </is>
      </c>
      <c r="E166">
        <f>HYPERLINK("https://www.indeed.com/viewjob?jk=bc916504104e1a00", "https://www.indeed.com/viewjob?jk=bc916504104e1a00")</f>
        <v/>
      </c>
      <c r="F166">
        <f>HYPERLINK("https://www.amazon.jobs/jobs/3134751/senior-applied-scientist-locomotion-amazon-industrial-robotics?cmpid=DA_INAD200785B", "https://www.amazon.jobs/jobs/3134751/senior-applied-scientist-locomotion-amazon-industrial-robotics?cmpid=DA_INAD200785B")</f>
        <v/>
      </c>
      <c r="G166" t="inlineStr">
        <is>
          <t>Reading, MA, US</t>
        </is>
      </c>
      <c r="H166" s="3" t="n">
        <v>45992</v>
      </c>
      <c r="I16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in-7320380d8bcba425</t>
        </is>
      </c>
      <c r="B167" t="inlineStr">
        <is>
          <t>Sr. Machine Learning Engineer, AGIF | Finetuning</t>
        </is>
      </c>
      <c r="C167" t="inlineStr">
        <is>
          <t>Amazon.com</t>
        </is>
      </c>
      <c r="D167" t="inlineStr">
        <is>
          <t>indeed</t>
        </is>
      </c>
      <c r="E167">
        <f>HYPERLINK("https://www.indeed.com/viewjob?jk=7320380d8bcba425", "https://www.indeed.com/viewjob?jk=7320380d8bcba425")</f>
        <v/>
      </c>
      <c r="F167">
        <f>HYPERLINK("https://www.amazon.jobs/jobs/3145989/sr-machine-learning-engineer-agif--finetuning?cmpid=DA_INAD200785B", "https://www.amazon.jobs/jobs/3145989/sr-machine-learning-engineer-agif--finetuning?cmpid=DA_INAD200785B")</f>
        <v/>
      </c>
      <c r="G167" t="inlineStr">
        <is>
          <t>New York, NY, US</t>
        </is>
      </c>
      <c r="H167" s="3" t="n">
        <v>45984</v>
      </c>
      <c r="I16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in-f7c0ee8248c2966a</t>
        </is>
      </c>
      <c r="B168" t="inlineStr">
        <is>
          <t>Sr. Machine Learning Engineer, AGIF | Finetuning</t>
        </is>
      </c>
      <c r="C168" t="inlineStr">
        <is>
          <t>Amazon.com</t>
        </is>
      </c>
      <c r="D168" t="inlineStr">
        <is>
          <t>indeed</t>
        </is>
      </c>
      <c r="E168">
        <f>HYPERLINK("https://www.indeed.com/viewjob?jk=f7c0ee8248c2966a", "https://www.indeed.com/viewjob?jk=f7c0ee8248c2966a")</f>
        <v/>
      </c>
      <c r="F168">
        <f>HYPERLINK("https://www.amazon.jobs/jobs/3145989/sr-machine-learning-engineer-agif--finetuning?cmpid=DA_INAD200785B", "https://www.amazon.jobs/jobs/3145989/sr-machine-learning-engineer-agif--finetuning?cmpid=DA_INAD200785B")</f>
        <v/>
      </c>
      <c r="G168" t="inlineStr">
        <is>
          <t>Bellevue, WA, US</t>
        </is>
      </c>
      <c r="H168" s="3" t="n">
        <v>45984</v>
      </c>
      <c r="I16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in-af3f984b2baac963</t>
        </is>
      </c>
      <c r="B169" t="inlineStr">
        <is>
          <t>Sr. Machine Learning Engineer, AGIF | Finetuning</t>
        </is>
      </c>
      <c r="C169" t="inlineStr">
        <is>
          <t>Amazon.com</t>
        </is>
      </c>
      <c r="D169" t="inlineStr">
        <is>
          <t>indeed</t>
        </is>
      </c>
      <c r="E169">
        <f>HYPERLINK("https://www.indeed.com/viewjob?jk=af3f984b2baac963", "https://www.indeed.com/viewjob?jk=af3f984b2baac963")</f>
        <v/>
      </c>
      <c r="F169">
        <f>HYPERLINK("https://www.amazon.jobs/jobs/3145989/sr-machine-learning-engineer-agif--finetuning?cmpid=DA_INAD200785B", "https://www.amazon.jobs/jobs/3145989/sr-machine-learning-engineer-agif--finetuning?cmpid=DA_INAD200785B")</f>
        <v/>
      </c>
      <c r="G169" t="inlineStr">
        <is>
          <t>Sunnyvale, CA, US</t>
        </is>
      </c>
      <c r="H169" s="3" t="n">
        <v>45984</v>
      </c>
      <c r="I16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in-71fa06e6643e9381</t>
        </is>
      </c>
      <c r="B170" t="inlineStr">
        <is>
          <t>Principal Applied Scientist, Amazon Special Projects</t>
        </is>
      </c>
      <c r="C170" t="inlineStr">
        <is>
          <t>Amazon.com</t>
        </is>
      </c>
      <c r="D170" t="inlineStr">
        <is>
          <t>indeed</t>
        </is>
      </c>
      <c r="E170">
        <f>HYPERLINK("https://www.indeed.com/viewjob?jk=71fa06e6643e9381", "https://www.indeed.com/viewjob?jk=71fa06e6643e9381")</f>
        <v/>
      </c>
      <c r="F170">
        <f>HYPERLINK("https://www.amazon.jobs/jobs/3132566/principal-applied-scientist-amazon-special-projects?cmpid=DA_INAD200785B", "https://www.amazon.jobs/jobs/3132566/principal-applied-scientist-amazon-special-projects?cmpid=DA_INAD200785B")</f>
        <v/>
      </c>
      <c r="G170" t="inlineStr">
        <is>
          <t>Boston, MA, US</t>
        </is>
      </c>
      <c r="H170" s="3" t="n">
        <v>45982</v>
      </c>
      <c r="I17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in-e0ab64bf7aeaeb78</t>
        </is>
      </c>
      <c r="B171" t="inlineStr">
        <is>
          <t>Principal Applied Scientist, Amazon Special Projects</t>
        </is>
      </c>
      <c r="C171" t="inlineStr">
        <is>
          <t>Amazon.com</t>
        </is>
      </c>
      <c r="D171" t="inlineStr">
        <is>
          <t>indeed</t>
        </is>
      </c>
      <c r="E171">
        <f>HYPERLINK("https://www.indeed.com/viewjob?jk=e0ab64bf7aeaeb78", "https://www.indeed.com/viewjob?jk=e0ab64bf7aeaeb78")</f>
        <v/>
      </c>
      <c r="F171">
        <f>HYPERLINK("https://www.amazon.jobs/jobs/3132566/principal-applied-scientist-amazon-special-projects?cmpid=DA_INAD200785B", "https://www.amazon.jobs/jobs/3132566/principal-applied-scientist-amazon-special-projects?cmpid=DA_INAD200785B")</f>
        <v/>
      </c>
      <c r="G171" t="inlineStr">
        <is>
          <t>Seattle, WA, US</t>
        </is>
      </c>
      <c r="H171" s="3" t="n">
        <v>45982</v>
      </c>
      <c r="I17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in-681fb6f424963045</t>
        </is>
      </c>
      <c r="B172" t="inlineStr">
        <is>
          <t>Sr. Applied Scientist, SPB Advertiser Guidance</t>
        </is>
      </c>
      <c r="C172" t="inlineStr">
        <is>
          <t>Amazon.com</t>
        </is>
      </c>
      <c r="D172" t="inlineStr">
        <is>
          <t>indeed</t>
        </is>
      </c>
      <c r="E172">
        <f>HYPERLINK("https://www.indeed.com/viewjob?jk=681fb6f424963045", "https://www.indeed.com/viewjob?jk=681fb6f424963045")</f>
        <v/>
      </c>
      <c r="F172">
        <f>HYPERLINK("https://www.amazon.jobs/jobs/3132336/sr-applied-scientist-spb-advertiser-guidance?cmpid=DA_INAD200785B", "https://www.amazon.jobs/jobs/3132336/sr-applied-scientist-spb-advertiser-guidance?cmpid=DA_INAD200785B")</f>
        <v/>
      </c>
      <c r="G172" t="inlineStr">
        <is>
          <t>Seattle, WA, US</t>
        </is>
      </c>
      <c r="H172" s="3" t="n">
        <v>45981</v>
      </c>
      <c r="I17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in-e3f82a702610f7f4</t>
        </is>
      </c>
      <c r="B173" t="inlineStr">
        <is>
          <t>Sr. Applied Scientist, SPB Advertiser Guidance</t>
        </is>
      </c>
      <c r="C173" t="inlineStr">
        <is>
          <t>Amazon.com</t>
        </is>
      </c>
      <c r="D173" t="inlineStr">
        <is>
          <t>indeed</t>
        </is>
      </c>
      <c r="E173">
        <f>HYPERLINK("https://www.indeed.com/viewjob?jk=e3f82a702610f7f4", "https://www.indeed.com/viewjob?jk=e3f82a702610f7f4")</f>
        <v/>
      </c>
      <c r="F173">
        <f>HYPERLINK("https://www.amazon.jobs/jobs/3132336/sr-applied-scientist-spb-advertiser-guidance?cmpid=DA_INAD200785B", "https://www.amazon.jobs/jobs/3132336/sr-applied-scientist-spb-advertiser-guidance?cmpid=DA_INAD200785B")</f>
        <v/>
      </c>
      <c r="G173" t="inlineStr">
        <is>
          <t>Palo Alto, CA, US</t>
        </is>
      </c>
      <c r="H173" s="3" t="n">
        <v>45981</v>
      </c>
      <c r="I17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in-128bd8d54874035c</t>
        </is>
      </c>
      <c r="B174" t="inlineStr">
        <is>
          <t>Sr. Applied Scientist, SPB Advertiser Guidance</t>
        </is>
      </c>
      <c r="C174" t="inlineStr">
        <is>
          <t>Amazon.com</t>
        </is>
      </c>
      <c r="D174" t="inlineStr">
        <is>
          <t>indeed</t>
        </is>
      </c>
      <c r="E174">
        <f>HYPERLINK("https://www.indeed.com/viewjob?jk=128bd8d54874035c", "https://www.indeed.com/viewjob?jk=128bd8d54874035c")</f>
        <v/>
      </c>
      <c r="F174">
        <f>HYPERLINK("https://www.amazon.jobs/jobs/3132336/sr-applied-scientist-spb-advertiser-guidance?cmpid=DA_INAD200785B", "https://www.amazon.jobs/jobs/3132336/sr-applied-scientist-spb-advertiser-guidance?cmpid=DA_INAD200785B")</f>
        <v/>
      </c>
      <c r="G174" t="inlineStr">
        <is>
          <t>New York, NY, US</t>
        </is>
      </c>
      <c r="H174" s="3" t="n">
        <v>45981</v>
      </c>
      <c r="I17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in-394452259a74a8a2</t>
        </is>
      </c>
      <c r="B175" t="inlineStr">
        <is>
          <t>Senior Applied Scientist, Artificial General Intelligence</t>
        </is>
      </c>
      <c r="C175" t="inlineStr">
        <is>
          <t>Amazon.com</t>
        </is>
      </c>
      <c r="D175" t="inlineStr">
        <is>
          <t>indeed</t>
        </is>
      </c>
      <c r="E175">
        <f>HYPERLINK("https://www.indeed.com/viewjob?jk=394452259a74a8a2", "https://www.indeed.com/viewjob?jk=394452259a74a8a2")</f>
        <v/>
      </c>
      <c r="F175">
        <f>HYPERLINK("https://www.amazon.jobs/jobs/3131971/senior-applied-scientist-artificial-general-intelligence?cmpid=DA_INAD200785B", "https://www.amazon.jobs/jobs/3131971/senior-applied-scientist-artificial-general-intelligence?cmpid=DA_INAD200785B")</f>
        <v/>
      </c>
      <c r="G175" t="inlineStr">
        <is>
          <t>Boston, MA, US</t>
        </is>
      </c>
      <c r="H175" s="3" t="n">
        <v>45980</v>
      </c>
      <c r="I17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in-ab8aadafa9106a5d</t>
        </is>
      </c>
      <c r="B176" t="inlineStr">
        <is>
          <t>Senior Applied Scientist, Artificial General Intelligence</t>
        </is>
      </c>
      <c r="C176" t="inlineStr">
        <is>
          <t>Amazon.com</t>
        </is>
      </c>
      <c r="D176" t="inlineStr">
        <is>
          <t>indeed</t>
        </is>
      </c>
      <c r="E176">
        <f>HYPERLINK("https://www.indeed.com/viewjob?jk=ab8aadafa9106a5d", "https://www.indeed.com/viewjob?jk=ab8aadafa9106a5d")</f>
        <v/>
      </c>
      <c r="F176">
        <f>HYPERLINK("https://www.amazon.jobs/jobs/3131971/senior-applied-scientist-artificial-general-intelligence?cmpid=DA_INAD200785B", "https://www.amazon.jobs/jobs/3131971/senior-applied-scientist-artificial-general-intelligence?cmpid=DA_INAD200785B")</f>
        <v/>
      </c>
      <c r="G176" t="inlineStr">
        <is>
          <t>New York, NY, US</t>
        </is>
      </c>
      <c r="H176" s="3" t="n">
        <v>45980</v>
      </c>
      <c r="I17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in-d326dda9d292c755</t>
        </is>
      </c>
      <c r="B177" t="inlineStr">
        <is>
          <t>Senior Applied Scientist, Artificial General Intelligence</t>
        </is>
      </c>
      <c r="C177" t="inlineStr">
        <is>
          <t>Amazon.com</t>
        </is>
      </c>
      <c r="D177" t="inlineStr">
        <is>
          <t>indeed</t>
        </is>
      </c>
      <c r="E177">
        <f>HYPERLINK("https://www.indeed.com/viewjob?jk=d326dda9d292c755", "https://www.indeed.com/viewjob?jk=d326dda9d292c755")</f>
        <v/>
      </c>
      <c r="F177">
        <f>HYPERLINK("https://www.amazon.jobs/jobs/3131971/senior-applied-scientist-artificial-general-intelligence?cmpid=DA_INAD200785B", "https://www.amazon.jobs/jobs/3131971/senior-applied-scientist-artificial-general-intelligence?cmpid=DA_INAD200785B")</f>
        <v/>
      </c>
      <c r="G177" t="inlineStr">
        <is>
          <t>Sunnyvale, CA, US</t>
        </is>
      </c>
      <c r="H177" s="3" t="n">
        <v>45980</v>
      </c>
      <c r="I17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in-f40476085bfe1e96</t>
        </is>
      </c>
      <c r="B178" t="inlineStr">
        <is>
          <t>Senior Applied Scientist, Artificial General Intelligence</t>
        </is>
      </c>
      <c r="C178" t="inlineStr">
        <is>
          <t>Amazon.com</t>
        </is>
      </c>
      <c r="D178" t="inlineStr">
        <is>
          <t>indeed</t>
        </is>
      </c>
      <c r="E178">
        <f>HYPERLINK("https://www.indeed.com/viewjob?jk=f40476085bfe1e96", "https://www.indeed.com/viewjob?jk=f40476085bfe1e96")</f>
        <v/>
      </c>
      <c r="F178">
        <f>HYPERLINK("https://www.amazon.jobs/jobs/3131971/senior-applied-scientist-artificial-general-intelligence?cmpid=DA_INAD200785B", "https://www.amazon.jobs/jobs/3131971/senior-applied-scientist-artificial-general-intelligence?cmpid=DA_INAD200785B")</f>
        <v/>
      </c>
      <c r="G178" t="inlineStr">
        <is>
          <t>Seattle, WA, US</t>
        </is>
      </c>
      <c r="H178" s="3" t="n">
        <v>45980</v>
      </c>
      <c r="I17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in-0d30b823e3d024c0</t>
        </is>
      </c>
      <c r="B179" t="inlineStr">
        <is>
          <t>Applied Scientist II, SPB Advertiser Guidance</t>
        </is>
      </c>
      <c r="C179" t="inlineStr">
        <is>
          <t>Amazon.com</t>
        </is>
      </c>
      <c r="D179" t="inlineStr">
        <is>
          <t>indeed</t>
        </is>
      </c>
      <c r="E179">
        <f>HYPERLINK("https://www.indeed.com/viewjob?jk=0d30b823e3d024c0", "https://www.indeed.com/viewjob?jk=0d30b823e3d024c0")</f>
        <v/>
      </c>
      <c r="F179">
        <f>HYPERLINK("https://www.amazon.jobs/jobs/3131876/applied-scientist-ii-spb-advertiser-guidance?cmpid=DA_INAD200785B", "https://www.amazon.jobs/jobs/3131876/applied-scientist-ii-spb-advertiser-guidance?cmpid=DA_INAD200785B")</f>
        <v/>
      </c>
      <c r="G179" t="inlineStr">
        <is>
          <t>Seattle, WA, US</t>
        </is>
      </c>
      <c r="H179" s="3" t="n">
        <v>45980</v>
      </c>
      <c r="I17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in-b6d7c34f837c2c6e</t>
        </is>
      </c>
      <c r="B180" t="inlineStr">
        <is>
          <t>Applied Scientist II, SPB Advertiser Guidance</t>
        </is>
      </c>
      <c r="C180" t="inlineStr">
        <is>
          <t>Amazon.com</t>
        </is>
      </c>
      <c r="D180" t="inlineStr">
        <is>
          <t>indeed</t>
        </is>
      </c>
      <c r="E180">
        <f>HYPERLINK("https://www.indeed.com/viewjob?jk=b6d7c34f837c2c6e", "https://www.indeed.com/viewjob?jk=b6d7c34f837c2c6e")</f>
        <v/>
      </c>
      <c r="F180">
        <f>HYPERLINK("https://www.amazon.jobs/jobs/3131876/applied-scientist-ii-spb-advertiser-guidance?cmpid=DA_INAD200785B", "https://www.amazon.jobs/jobs/3131876/applied-scientist-ii-spb-advertiser-guidance?cmpid=DA_INAD200785B")</f>
        <v/>
      </c>
      <c r="G180" t="inlineStr">
        <is>
          <t>Palo Alto, CA, US</t>
        </is>
      </c>
      <c r="H180" s="3" t="n">
        <v>45980</v>
      </c>
      <c r="I18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in-e418ea63ac3fb9c7</t>
        </is>
      </c>
      <c r="B181" t="inlineStr">
        <is>
          <t>Applied Scientist II, SPB Advertiser Guidance</t>
        </is>
      </c>
      <c r="C181" t="inlineStr">
        <is>
          <t>Amazon.com</t>
        </is>
      </c>
      <c r="D181" t="inlineStr">
        <is>
          <t>indeed</t>
        </is>
      </c>
      <c r="E181">
        <f>HYPERLINK("https://www.indeed.com/viewjob?jk=e418ea63ac3fb9c7", "https://www.indeed.com/viewjob?jk=e418ea63ac3fb9c7")</f>
        <v/>
      </c>
      <c r="F181">
        <f>HYPERLINK("https://www.amazon.jobs/jobs/3131876/applied-scientist-ii-spb-advertiser-guidance?cmpid=DA_INAD200785B", "https://www.amazon.jobs/jobs/3131876/applied-scientist-ii-spb-advertiser-guidance?cmpid=DA_INAD200785B")</f>
        <v/>
      </c>
      <c r="G181" t="inlineStr">
        <is>
          <t>New York, NY, US</t>
        </is>
      </c>
      <c r="H181" s="3" t="n">
        <v>45980</v>
      </c>
      <c r="I18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in-0f20d5c2d0e192a4</t>
        </is>
      </c>
      <c r="B182" t="inlineStr">
        <is>
          <t>Principal Applied Scientist, Sponsored Products and Brands</t>
        </is>
      </c>
      <c r="C182" t="inlineStr">
        <is>
          <t>Amazon.com</t>
        </is>
      </c>
      <c r="D182" t="inlineStr">
        <is>
          <t>indeed</t>
        </is>
      </c>
      <c r="E182">
        <f>HYPERLINK("https://www.indeed.com/viewjob?jk=0f20d5c2d0e192a4", "https://www.indeed.com/viewjob?jk=0f20d5c2d0e192a4")</f>
        <v/>
      </c>
      <c r="F182">
        <f>HYPERLINK("https://www.amazon.jobs/jobs/3130855/principal-applied-scientist-sponsored-products-and-brands?cmpid=DA_INAD200785B", "https://www.amazon.jobs/jobs/3130855/principal-applied-scientist-sponsored-products-and-brands?cmpid=DA_INAD200785B")</f>
        <v/>
      </c>
      <c r="G182" t="inlineStr">
        <is>
          <t>Seattle, WA, US</t>
        </is>
      </c>
      <c r="H182" s="3" t="n">
        <v>45979</v>
      </c>
      <c r="I1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in-a99274996bd6d6e7</t>
        </is>
      </c>
      <c r="B183" t="inlineStr">
        <is>
          <t>Principal Applied Scientist, Sponsored Products and Brands</t>
        </is>
      </c>
      <c r="C183" t="inlineStr">
        <is>
          <t>Amazon.com</t>
        </is>
      </c>
      <c r="D183" t="inlineStr">
        <is>
          <t>indeed</t>
        </is>
      </c>
      <c r="E183">
        <f>HYPERLINK("https://www.indeed.com/viewjob?jk=a99274996bd6d6e7", "https://www.indeed.com/viewjob?jk=a99274996bd6d6e7")</f>
        <v/>
      </c>
      <c r="F183">
        <f>HYPERLINK("https://www.amazon.jobs/jobs/3130855/principal-applied-scientist-sponsored-products-and-brands?cmpid=DA_INAD200785B", "https://www.amazon.jobs/jobs/3130855/principal-applied-scientist-sponsored-products-and-brands?cmpid=DA_INAD200785B")</f>
        <v/>
      </c>
      <c r="G183" t="inlineStr">
        <is>
          <t>New York, NY, US</t>
        </is>
      </c>
      <c r="H183" s="3" t="n">
        <v>45979</v>
      </c>
      <c r="I1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in-83233e273ccbd0d8</t>
        </is>
      </c>
      <c r="B184" t="inlineStr">
        <is>
          <t>Sr. Applied Scientist, AGI Foundations</t>
        </is>
      </c>
      <c r="C184" t="inlineStr">
        <is>
          <t>Amazon.com</t>
        </is>
      </c>
      <c r="D184" t="inlineStr">
        <is>
          <t>indeed</t>
        </is>
      </c>
      <c r="E184">
        <f>HYPERLINK("https://www.indeed.com/viewjob?jk=83233e273ccbd0d8", "https://www.indeed.com/viewjob?jk=83233e273ccbd0d8")</f>
        <v/>
      </c>
      <c r="F184">
        <f>HYPERLINK("https://www.amazon.jobs/jobs/3128807/sr-applied-scientist-agi-foundations?cmpid=DA_INAD200785B", "https://www.amazon.jobs/jobs/3128807/sr-applied-scientist-agi-foundations?cmpid=DA_INAD200785B")</f>
        <v/>
      </c>
      <c r="G184" t="inlineStr">
        <is>
          <t>Sunnyvale, CA, US</t>
        </is>
      </c>
      <c r="H184" s="3" t="n">
        <v>45978</v>
      </c>
      <c r="I18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in-7344a45e0eb3213b</t>
        </is>
      </c>
      <c r="B185" t="inlineStr">
        <is>
          <t>Sr. Applied Scientist, AGI Foundations</t>
        </is>
      </c>
      <c r="C185" t="inlineStr">
        <is>
          <t>Amazon.com</t>
        </is>
      </c>
      <c r="D185" t="inlineStr">
        <is>
          <t>indeed</t>
        </is>
      </c>
      <c r="E185">
        <f>HYPERLINK("https://www.indeed.com/viewjob?jk=7344a45e0eb3213b", "https://www.indeed.com/viewjob?jk=7344a45e0eb3213b")</f>
        <v/>
      </c>
      <c r="F185">
        <f>HYPERLINK("https://www.amazon.jobs/jobs/3128807/sr-applied-scientist-agi-foundations?cmpid=DA_INAD200785B", "https://www.amazon.jobs/jobs/3128807/sr-applied-scientist-agi-foundations?cmpid=DA_INAD200785B")</f>
        <v/>
      </c>
      <c r="G185" t="inlineStr">
        <is>
          <t>Bellevue, WA, US</t>
        </is>
      </c>
      <c r="H185" s="3" t="n">
        <v>45978</v>
      </c>
      <c r="I18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in-461fbad3cc1f20d1</t>
        </is>
      </c>
      <c r="B186" t="inlineStr">
        <is>
          <t>Sr. Applied Scientist, AGI Foundations</t>
        </is>
      </c>
      <c r="C186" t="inlineStr">
        <is>
          <t>Amazon.com</t>
        </is>
      </c>
      <c r="D186" t="inlineStr">
        <is>
          <t>indeed</t>
        </is>
      </c>
      <c r="E186">
        <f>HYPERLINK("https://www.indeed.com/viewjob?jk=461fbad3cc1f20d1", "https://www.indeed.com/viewjob?jk=461fbad3cc1f20d1")</f>
        <v/>
      </c>
      <c r="F186">
        <f>HYPERLINK("https://www.amazon.jobs/jobs/3128807/sr-applied-scientist-agi-foundations?cmpid=DA_INAD200785B", "https://www.amazon.jobs/jobs/3128807/sr-applied-scientist-agi-foundations?cmpid=DA_INAD200785B")</f>
        <v/>
      </c>
      <c r="G186" t="inlineStr">
        <is>
          <t>New York, NY, US</t>
        </is>
      </c>
      <c r="H186" s="3" t="n">
        <v>45978</v>
      </c>
      <c r="I18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in-bd787ed354295e3a</t>
        </is>
      </c>
      <c r="B187" t="inlineStr">
        <is>
          <t>Applied Scientist II, Robotics and ML, Amazon Industrial Robotics</t>
        </is>
      </c>
      <c r="C187" t="inlineStr">
        <is>
          <t>Amazon.com</t>
        </is>
      </c>
      <c r="D187" t="inlineStr">
        <is>
          <t>indeed</t>
        </is>
      </c>
      <c r="E187">
        <f>HYPERLINK("https://www.indeed.com/viewjob?jk=bd787ed354295e3a", "https://www.indeed.com/viewjob?jk=bd787ed354295e3a")</f>
        <v/>
      </c>
      <c r="F187">
        <f>HYPERLINK("https://www.amazon.jobs/jobs/3128219/applied-scientist-ii-robotics-and-ml-amazon-industrial-robotics?cmpid=DA_INAD200785B", "https://www.amazon.jobs/jobs/3128219/applied-scientist-ii-robotics-and-ml-amazon-industrial-robotics?cmpid=DA_INAD200785B")</f>
        <v/>
      </c>
      <c r="G187" t="inlineStr">
        <is>
          <t>Reading, MA, US</t>
        </is>
      </c>
      <c r="H187" s="3" t="n">
        <v>45975</v>
      </c>
      <c r="I187"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in-27376eb39db82f51</t>
        </is>
      </c>
      <c r="B188" t="inlineStr">
        <is>
          <t>Applied Scientist II, Robotics and ML, Amazon Industrial Robotics</t>
        </is>
      </c>
      <c r="C188" t="inlineStr">
        <is>
          <t>Amazon.com</t>
        </is>
      </c>
      <c r="D188" t="inlineStr">
        <is>
          <t>indeed</t>
        </is>
      </c>
      <c r="E188">
        <f>HYPERLINK("https://www.indeed.com/viewjob?jk=27376eb39db82f51", "https://www.indeed.com/viewjob?jk=27376eb39db82f51")</f>
        <v/>
      </c>
      <c r="F188">
        <f>HYPERLINK("https://www.amazon.jobs/jobs/3128219/applied-scientist-ii-robotics-and-ml-amazon-industrial-robotics?cmpid=DA_INAD200785B", "https://www.amazon.jobs/jobs/3128219/applied-scientist-ii-robotics-and-ml-amazon-industrial-robotics?cmpid=DA_INAD200785B")</f>
        <v/>
      </c>
      <c r="G188" t="inlineStr">
        <is>
          <t>Reading, MA, US</t>
        </is>
      </c>
      <c r="H188" s="3" t="n">
        <v>45975</v>
      </c>
      <c r="I18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in-2677234412df7ae9</t>
        </is>
      </c>
      <c r="B189" t="inlineStr">
        <is>
          <t>Sr. Applied Scientist, Amazon Industrial Robotics</t>
        </is>
      </c>
      <c r="C189" t="inlineStr">
        <is>
          <t>Amazon.com</t>
        </is>
      </c>
      <c r="D189" t="inlineStr">
        <is>
          <t>indeed</t>
        </is>
      </c>
      <c r="E189">
        <f>HYPERLINK("https://www.indeed.com/viewjob?jk=2677234412df7ae9", "https://www.indeed.com/viewjob?jk=2677234412df7ae9")</f>
        <v/>
      </c>
      <c r="F189">
        <f>HYPERLINK("https://www.amazon.jobs/jobs/3128751/sr-applied-scientist-amazon-industrial-robotics?cmpid=DA_INAD200785B", "https://www.amazon.jobs/jobs/3128751/sr-applied-scientist-amazon-industrial-robotics?cmpid=DA_INAD200785B")</f>
        <v/>
      </c>
      <c r="G189" t="inlineStr">
        <is>
          <t>Reading, MA, US</t>
        </is>
      </c>
      <c r="H189" s="3" t="n">
        <v>45973</v>
      </c>
      <c r="I18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in-b5d269e4024f226e</t>
        </is>
      </c>
      <c r="B190" t="inlineStr">
        <is>
          <t>Sr. Applied Scientist, Amazon Industrial Robotics</t>
        </is>
      </c>
      <c r="C190" t="inlineStr">
        <is>
          <t>Amazon.com</t>
        </is>
      </c>
      <c r="D190" t="inlineStr">
        <is>
          <t>indeed</t>
        </is>
      </c>
      <c r="E190">
        <f>HYPERLINK("https://www.indeed.com/viewjob?jk=b5d269e4024f226e", "https://www.indeed.com/viewjob?jk=b5d269e4024f226e")</f>
        <v/>
      </c>
      <c r="F190">
        <f>HYPERLINK("https://www.amazon.jobs/jobs/3128751/sr-applied-scientist-amazon-industrial-robotics?cmpid=DA_INAD200785B", "https://www.amazon.jobs/jobs/3128751/sr-applied-scientist-amazon-industrial-robotics?cmpid=DA_INAD200785B")</f>
        <v/>
      </c>
      <c r="G190" t="inlineStr">
        <is>
          <t>Reading, MA, US</t>
        </is>
      </c>
      <c r="H190" s="3" t="n">
        <v>45973</v>
      </c>
      <c r="I19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in-8c71d0bba06660b1</t>
        </is>
      </c>
      <c r="B191" t="inlineStr">
        <is>
          <t>Senior Applied Scientist, Planning and Controls, Amazon Industrial Robotics</t>
        </is>
      </c>
      <c r="C191" t="inlineStr">
        <is>
          <t>Amazon.com</t>
        </is>
      </c>
      <c r="D191" t="inlineStr">
        <is>
          <t>indeed</t>
        </is>
      </c>
      <c r="E191">
        <f>HYPERLINK("https://www.indeed.com/viewjob?jk=8c71d0bba06660b1", "https://www.indeed.com/viewjob?jk=8c71d0bba06660b1")</f>
        <v/>
      </c>
      <c r="F191">
        <f>HYPERLINK("https://www.amazon.jobs/jobs/3127891/senior-applied-scientist-planning-and-controls-amazon-industrial-robotics?cmpid=DA_INAD200785B", "https://www.amazon.jobs/jobs/3127891/senior-applied-scientist-planning-and-controls-amazon-industrial-robotics?cmpid=DA_INAD200785B")</f>
        <v/>
      </c>
      <c r="G191" t="inlineStr">
        <is>
          <t>Reading, MA, US</t>
        </is>
      </c>
      <c r="H191" s="3" t="n">
        <v>45972</v>
      </c>
      <c r="I19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in-bb8341dc2bd164e6</t>
        </is>
      </c>
      <c r="B192" t="inlineStr">
        <is>
          <t>Senior Applied Scientist, Planning and Controls, Amazon Industrial Robotics</t>
        </is>
      </c>
      <c r="C192" t="inlineStr">
        <is>
          <t>Amazon.com</t>
        </is>
      </c>
      <c r="D192" t="inlineStr">
        <is>
          <t>indeed</t>
        </is>
      </c>
      <c r="E192">
        <f>HYPERLINK("https://www.indeed.com/viewjob?jk=bb8341dc2bd164e6", "https://www.indeed.com/viewjob?jk=bb8341dc2bd164e6")</f>
        <v/>
      </c>
      <c r="F192">
        <f>HYPERLINK("https://www.amazon.jobs/jobs/3127891/senior-applied-scientist-planning-and-controls-amazon-industrial-robotics?cmpid=DA_INAD200785B", "https://www.amazon.jobs/jobs/3127891/senior-applied-scientist-planning-and-controls-amazon-industrial-robotics?cmpid=DA_INAD200785B")</f>
        <v/>
      </c>
      <c r="G192" t="inlineStr">
        <is>
          <t>Reading, MA, US</t>
        </is>
      </c>
      <c r="H192" s="3" t="n">
        <v>45972</v>
      </c>
      <c r="I19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in-75afa2197a014017</t>
        </is>
      </c>
      <c r="B193" t="inlineStr">
        <is>
          <t>Principal Applied Scientist, Amazon AGI</t>
        </is>
      </c>
      <c r="C193" t="inlineStr">
        <is>
          <t>Amazon.com</t>
        </is>
      </c>
      <c r="D193" t="inlineStr">
        <is>
          <t>indeed</t>
        </is>
      </c>
      <c r="E193">
        <f>HYPERLINK("https://www.indeed.com/viewjob?jk=75afa2197a014017", "https://www.indeed.com/viewjob?jk=75afa2197a014017")</f>
        <v/>
      </c>
      <c r="F193">
        <f>HYPERLINK("https://www.amazon.jobs/jobs/3128808/principal-applied-scientist-amazon-agi?cmpid=DA_INAD200785B", "https://www.amazon.jobs/jobs/3128808/principal-applied-scientist-amazon-agi?cmpid=DA_INAD200785B")</f>
        <v/>
      </c>
      <c r="G193" t="inlineStr">
        <is>
          <t>San Francisco, CA, US</t>
        </is>
      </c>
      <c r="H193" s="3" t="n">
        <v>45964</v>
      </c>
      <c r="I19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in-53709aea234ef56b</t>
        </is>
      </c>
      <c r="B194" t="inlineStr">
        <is>
          <t>Principal Applied Scientist, Amazon AGI</t>
        </is>
      </c>
      <c r="C194" t="inlineStr">
        <is>
          <t>Amazon.com</t>
        </is>
      </c>
      <c r="D194" t="inlineStr">
        <is>
          <t>indeed</t>
        </is>
      </c>
      <c r="E194">
        <f>HYPERLINK("https://www.indeed.com/viewjob?jk=53709aea234ef56b", "https://www.indeed.com/viewjob?jk=53709aea234ef56b")</f>
        <v/>
      </c>
      <c r="F194">
        <f>HYPERLINK("https://www.amazon.jobs/jobs/3128808/principal-applied-scientist-amazon-agi?cmpid=DA_INAD200785B", "https://www.amazon.jobs/jobs/3128808/principal-applied-scientist-amazon-agi?cmpid=DA_INAD200785B")</f>
        <v/>
      </c>
      <c r="G194" t="inlineStr">
        <is>
          <t>Boston, MA, US</t>
        </is>
      </c>
      <c r="H194" s="3" t="n">
        <v>45964</v>
      </c>
      <c r="I194"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in-49c19c1d111c09b4</t>
        </is>
      </c>
      <c r="B195" t="inlineStr">
        <is>
          <t>Principal Applied Scientist, AWS Agentic AI Science</t>
        </is>
      </c>
      <c r="C195" t="inlineStr">
        <is>
          <t>Amazon Web Services</t>
        </is>
      </c>
      <c r="D195" t="inlineStr">
        <is>
          <t>indeed</t>
        </is>
      </c>
      <c r="E195">
        <f>HYPERLINK("https://www.indeed.com/viewjob?jk=49c19c1d111c09b4", "https://www.indeed.com/viewjob?jk=49c19c1d111c09b4")</f>
        <v/>
      </c>
      <c r="F195">
        <f>HYPERLINK("https://www.amazon.jobs/jobs/3132887/principal-applied-scientist-aws-agentic-ai-science?cmpid=DA_INAD200785B", "https://www.amazon.jobs/jobs/3132887/principal-applied-scientist-aws-agentic-ai-science?cmpid=DA_INAD200785B")</f>
        <v/>
      </c>
      <c r="G195" t="inlineStr">
        <is>
          <t>Santa Clara, CA, US</t>
        </is>
      </c>
      <c r="H195" s="3" t="n">
        <v>45963</v>
      </c>
      <c r="I19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in-db85615a7401a40e</t>
        </is>
      </c>
      <c r="B196" t="inlineStr">
        <is>
          <t>Principal Applied Scientist, AWS Agentic AI Science</t>
        </is>
      </c>
      <c r="C196" t="inlineStr">
        <is>
          <t>Amazon Web Services</t>
        </is>
      </c>
      <c r="D196" t="inlineStr">
        <is>
          <t>indeed</t>
        </is>
      </c>
      <c r="E196">
        <f>HYPERLINK("https://www.indeed.com/viewjob?jk=db85615a7401a40e", "https://www.indeed.com/viewjob?jk=db85615a7401a40e")</f>
        <v/>
      </c>
      <c r="F196">
        <f>HYPERLINK("https://www.amazon.jobs/jobs/3132887/principal-applied-scientist-aws-agentic-ai-science?cmpid=DA_INAD200785B", "https://www.amazon.jobs/jobs/3132887/principal-applied-scientist-aws-agentic-ai-science?cmpid=DA_INAD200785B")</f>
        <v/>
      </c>
      <c r="G196" t="inlineStr">
        <is>
          <t>New York, NY, US</t>
        </is>
      </c>
      <c r="H196" s="3" t="n">
        <v>45963</v>
      </c>
      <c r="I19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in-d0385f72e0b21bc9</t>
        </is>
      </c>
      <c r="B197" t="inlineStr">
        <is>
          <t>Sr. Applied Scientist, Sponsored Product Off-Search</t>
        </is>
      </c>
      <c r="C197" t="inlineStr">
        <is>
          <t>Amazon.com</t>
        </is>
      </c>
      <c r="D197" t="inlineStr">
        <is>
          <t>indeed</t>
        </is>
      </c>
      <c r="E197">
        <f>HYPERLINK("https://www.indeed.com/viewjob?jk=d0385f72e0b21bc9", "https://www.indeed.com/viewjob?jk=d0385f72e0b21bc9")</f>
        <v/>
      </c>
      <c r="F197">
        <f>HYPERLINK("https://www.amazon.jobs/jobs/3120815/sr-applied-scientist-sponsored-product-offsearch-?cmpid=DA_INAD200785B", "https://www.amazon.jobs/jobs/3120815/sr-applied-scientist-sponsored-product-offsearch-?cmpid=DA_INAD200785B")</f>
        <v/>
      </c>
      <c r="G197" t="inlineStr">
        <is>
          <t>New York, NY, US</t>
        </is>
      </c>
      <c r="H197" s="3" t="n">
        <v>45963</v>
      </c>
      <c r="I19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in-e00d9bc9064cbebf</t>
        </is>
      </c>
      <c r="B198" t="inlineStr">
        <is>
          <t>Sr. Applied Scientist, Sponsored Product Off-Search</t>
        </is>
      </c>
      <c r="C198" t="inlineStr">
        <is>
          <t>Amazon.com</t>
        </is>
      </c>
      <c r="D198" t="inlineStr">
        <is>
          <t>indeed</t>
        </is>
      </c>
      <c r="E198">
        <f>HYPERLINK("https://www.indeed.com/viewjob?jk=e00d9bc9064cbebf", "https://www.indeed.com/viewjob?jk=e00d9bc9064cbebf")</f>
        <v/>
      </c>
      <c r="F198">
        <f>HYPERLINK("https://www.amazon.jobs/jobs/3120815/sr-applied-scientist-sponsored-product-offsearch-?cmpid=DA_INAD200785B", "https://www.amazon.jobs/jobs/3120815/sr-applied-scientist-sponsored-product-offsearch-?cmpid=DA_INAD200785B")</f>
        <v/>
      </c>
      <c r="G198" t="inlineStr">
        <is>
          <t>Seattle, WA, US</t>
        </is>
      </c>
      <c r="H198" s="3" t="n">
        <v>45963</v>
      </c>
      <c r="I19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in-a723e3890bebc668</t>
        </is>
      </c>
      <c r="B199" t="inlineStr">
        <is>
          <t>Applied Scientist, AWS Agentic AI</t>
        </is>
      </c>
      <c r="C199" t="inlineStr">
        <is>
          <t>Amazon Web Services</t>
        </is>
      </c>
      <c r="D199" t="inlineStr">
        <is>
          <t>indeed</t>
        </is>
      </c>
      <c r="E199">
        <f>HYPERLINK("https://www.indeed.com/viewjob?jk=a723e3890bebc668", "https://www.indeed.com/viewjob?jk=a723e3890bebc668")</f>
        <v/>
      </c>
      <c r="F199">
        <f>HYPERLINK("https://www.amazon.jobs/jobs/3141517/applied-scientist-aws-agentic-ai-?cmpid=DA_INAD200785B", "https://www.amazon.jobs/jobs/3141517/applied-scientist-aws-agentic-ai-?cmpid=DA_INAD200785B")</f>
        <v/>
      </c>
      <c r="G199" t="inlineStr">
        <is>
          <t>New York, NY, US</t>
        </is>
      </c>
      <c r="H199" s="3" t="n">
        <v>45962</v>
      </c>
      <c r="I1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in-e4a48c38dd2a176f</t>
        </is>
      </c>
      <c r="B200" t="inlineStr">
        <is>
          <t>Applied Scientist, AWS Agentic AI</t>
        </is>
      </c>
      <c r="C200" t="inlineStr">
        <is>
          <t>Amazon Web Services</t>
        </is>
      </c>
      <c r="D200" t="inlineStr">
        <is>
          <t>indeed</t>
        </is>
      </c>
      <c r="E200">
        <f>HYPERLINK("https://www.indeed.com/viewjob?jk=e4a48c38dd2a176f", "https://www.indeed.com/viewjob?jk=e4a48c38dd2a176f")</f>
        <v/>
      </c>
      <c r="F200">
        <f>HYPERLINK("https://www.amazon.jobs/jobs/3141517/applied-scientist-aws-agentic-ai-?cmpid=DA_INAD200785B", "https://www.amazon.jobs/jobs/3141517/applied-scientist-aws-agentic-ai-?cmpid=DA_INAD200785B")</f>
        <v/>
      </c>
      <c r="G200" t="inlineStr">
        <is>
          <t>Santa Clara, CA, US</t>
        </is>
      </c>
      <c r="H200" s="3" t="n">
        <v>45962</v>
      </c>
      <c r="I2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in-cfd26e90f64cbb60</t>
        </is>
      </c>
      <c r="B201" t="inlineStr">
        <is>
          <t>Applied Scientist, AWS Agentic AI</t>
        </is>
      </c>
      <c r="C201" t="inlineStr">
        <is>
          <t>Amazon Web Services</t>
        </is>
      </c>
      <c r="D201" t="inlineStr">
        <is>
          <t>indeed</t>
        </is>
      </c>
      <c r="E201">
        <f>HYPERLINK("https://www.indeed.com/viewjob?jk=cfd26e90f64cbb60", "https://www.indeed.com/viewjob?jk=cfd26e90f64cbb60")</f>
        <v/>
      </c>
      <c r="F201">
        <f>HYPERLINK("https://www.amazon.jobs/jobs/3141517/applied-scientist-aws-agentic-ai-?cmpid=DA_INAD200785B", "https://www.amazon.jobs/jobs/3141517/applied-scientist-aws-agentic-ai-?cmpid=DA_INAD200785B")</f>
        <v/>
      </c>
      <c r="G201" t="inlineStr">
        <is>
          <t>Seattle, WA, US</t>
        </is>
      </c>
      <c r="H201" s="3" t="n">
        <v>45962</v>
      </c>
      <c r="I2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in-21f21b9c49a8fa4e</t>
        </is>
      </c>
      <c r="B202" t="inlineStr">
        <is>
          <t>Principal Applied Scientist, Advertiser Growth, Amazon Sponsored Products &amp; Brands</t>
        </is>
      </c>
      <c r="C202" t="inlineStr">
        <is>
          <t>Amazon.com</t>
        </is>
      </c>
      <c r="D202" t="inlineStr">
        <is>
          <t>indeed</t>
        </is>
      </c>
      <c r="E202">
        <f>HYPERLINK("https://www.indeed.com/viewjob?jk=21f21b9c49a8fa4e", "https://www.indeed.com/viewjob?jk=21f21b9c49a8fa4e")</f>
        <v/>
      </c>
      <c r="F202">
        <f>HYPERLINK("https://www.amazon.jobs/jobs/3115279/principal-applied-scientist-advertiser-growth-amazon-sponsored-products--brands?cmpid=DA_INAD200785B", "https://www.amazon.jobs/jobs/3115279/principal-applied-scientist-advertiser-growth-amazon-sponsored-products--brands?cmpid=DA_INAD200785B")</f>
        <v/>
      </c>
      <c r="G202" t="inlineStr">
        <is>
          <t>Seattle, WA, US</t>
        </is>
      </c>
      <c r="H202" s="3" t="n">
        <v>45942</v>
      </c>
      <c r="I20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in-d98328cdc460be9c</t>
        </is>
      </c>
      <c r="B203" t="inlineStr">
        <is>
          <t>Principal Applied Scientist, Advertiser Growth, Amazon Sponsored Products &amp; Brands</t>
        </is>
      </c>
      <c r="C203" t="inlineStr">
        <is>
          <t>Amazon.com</t>
        </is>
      </c>
      <c r="D203" t="inlineStr">
        <is>
          <t>indeed</t>
        </is>
      </c>
      <c r="E203">
        <f>HYPERLINK("https://www.indeed.com/viewjob?jk=d98328cdc460be9c", "https://www.indeed.com/viewjob?jk=d98328cdc460be9c")</f>
        <v/>
      </c>
      <c r="F203">
        <f>HYPERLINK("https://www.amazon.jobs/jobs/3115279/principal-applied-scientist-advertiser-growth-amazon-sponsored-products--brands?cmpid=DA_INAD200785B", "https://www.amazon.jobs/jobs/3115279/principal-applied-scientist-advertiser-growth-amazon-sponsored-products--brands?cmpid=DA_INAD200785B")</f>
        <v/>
      </c>
      <c r="G203" t="inlineStr">
        <is>
          <t>New York, NY, US</t>
        </is>
      </c>
      <c r="H203" s="3" t="n">
        <v>45942</v>
      </c>
      <c r="I20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in-2966b5b641745388</t>
        </is>
      </c>
      <c r="B204" t="inlineStr">
        <is>
          <t>Principal Applied Scientist, Advertiser Growth, Amazon Sponsored Products &amp; Brands</t>
        </is>
      </c>
      <c r="C204" t="inlineStr">
        <is>
          <t>Amazon.com</t>
        </is>
      </c>
      <c r="D204" t="inlineStr">
        <is>
          <t>indeed</t>
        </is>
      </c>
      <c r="E204">
        <f>HYPERLINK("https://www.indeed.com/viewjob?jk=2966b5b641745388", "https://www.indeed.com/viewjob?jk=2966b5b641745388")</f>
        <v/>
      </c>
      <c r="F204">
        <f>HYPERLINK("https://www.amazon.jobs/jobs/3115279/principal-applied-scientist-advertiser-growth-amazon-sponsored-products--brands?cmpid=DA_INAD200785B", "https://www.amazon.jobs/jobs/3115279/principal-applied-scientist-advertiser-growth-amazon-sponsored-products--brands?cmpid=DA_INAD200785B")</f>
        <v/>
      </c>
      <c r="G204" t="inlineStr">
        <is>
          <t>Palo Alto, CA, US</t>
        </is>
      </c>
      <c r="H204" s="3" t="n">
        <v>45942</v>
      </c>
      <c r="I2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in-eb8225767c687c3d</t>
        </is>
      </c>
      <c r="B205" t="inlineStr">
        <is>
          <t>Sr. Applied Scientist, SPB Advertiser Guidance</t>
        </is>
      </c>
      <c r="C205" t="inlineStr">
        <is>
          <t>Amazon.com</t>
        </is>
      </c>
      <c r="D205" t="inlineStr">
        <is>
          <t>indeed</t>
        </is>
      </c>
      <c r="E205">
        <f>HYPERLINK("https://www.indeed.com/viewjob?jk=eb8225767c687c3d", "https://www.indeed.com/viewjob?jk=eb8225767c687c3d")</f>
        <v/>
      </c>
      <c r="F205">
        <f>HYPERLINK("https://www.amazon.jobs/jobs/3106497/sr-applied-scientist-spb-advertiser-guidance?cmpid=DA_INAD200785B", "https://www.amazon.jobs/jobs/3106497/sr-applied-scientist-spb-advertiser-guidance?cmpid=DA_INAD200785B")</f>
        <v/>
      </c>
      <c r="G205" t="inlineStr">
        <is>
          <t>Palo Alto, CA, US</t>
        </is>
      </c>
      <c r="H205" s="3" t="n">
        <v>45939</v>
      </c>
      <c r="I20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in-b9f08d3fc5e24639</t>
        </is>
      </c>
      <c r="B206" t="inlineStr">
        <is>
          <t>Applied Scientist</t>
        </is>
      </c>
      <c r="C206" t="inlineStr">
        <is>
          <t>Amazon.com</t>
        </is>
      </c>
      <c r="D206" t="inlineStr">
        <is>
          <t>indeed</t>
        </is>
      </c>
      <c r="E206">
        <f>HYPERLINK("https://www.indeed.com/viewjob?jk=b9f08d3fc5e24639", "https://www.indeed.com/viewjob?jk=b9f08d3fc5e24639")</f>
        <v/>
      </c>
      <c r="F206">
        <f>HYPERLINK("https://www.amazon.jobs/jobs/3106501/applied-scientist?cmpid=DA_INAD200785B", "https://www.amazon.jobs/jobs/3106501/applied-scientist?cmpid=DA_INAD200785B")</f>
        <v/>
      </c>
      <c r="G206" t="inlineStr">
        <is>
          <t>Palo Alto, CA, US</t>
        </is>
      </c>
      <c r="H206" s="3" t="n">
        <v>45939</v>
      </c>
      <c r="I20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in-e86e75c094792807</t>
        </is>
      </c>
      <c r="B207" t="inlineStr">
        <is>
          <t>Sr. Applied Scientist, SPB Advertiser Guidance</t>
        </is>
      </c>
      <c r="C207" t="inlineStr">
        <is>
          <t>Amazon.com</t>
        </is>
      </c>
      <c r="D207" t="inlineStr">
        <is>
          <t>indeed</t>
        </is>
      </c>
      <c r="E207">
        <f>HYPERLINK("https://www.indeed.com/viewjob?jk=e86e75c094792807", "https://www.indeed.com/viewjob?jk=e86e75c094792807")</f>
        <v/>
      </c>
      <c r="F207">
        <f>HYPERLINK("https://www.amazon.jobs/jobs/3106497/sr-applied-scientist-spb-advertiser-guidance?cmpid=DA_INAD200785B", "https://www.amazon.jobs/jobs/3106497/sr-applied-scientist-spb-advertiser-guidance?cmpid=DA_INAD200785B")</f>
        <v/>
      </c>
      <c r="G207" t="inlineStr">
        <is>
          <t>Seattle, WA, US</t>
        </is>
      </c>
      <c r="H207" s="3" t="n">
        <v>45939</v>
      </c>
      <c r="I20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in-793ee1cc5b593cdb</t>
        </is>
      </c>
      <c r="B208" t="inlineStr">
        <is>
          <t>Applied Scientist</t>
        </is>
      </c>
      <c r="C208" t="inlineStr">
        <is>
          <t>Amazon.com</t>
        </is>
      </c>
      <c r="D208" t="inlineStr">
        <is>
          <t>indeed</t>
        </is>
      </c>
      <c r="E208">
        <f>HYPERLINK("https://www.indeed.com/viewjob?jk=793ee1cc5b593cdb", "https://www.indeed.com/viewjob?jk=793ee1cc5b593cdb")</f>
        <v/>
      </c>
      <c r="F208">
        <f>HYPERLINK("https://www.amazon.jobs/jobs/3106501/applied-scientist?cmpid=DA_INAD200785B", "https://www.amazon.jobs/jobs/3106501/applied-scientist?cmpid=DA_INAD200785B")</f>
        <v/>
      </c>
      <c r="G208" t="inlineStr">
        <is>
          <t>New York, NY, US</t>
        </is>
      </c>
      <c r="H208" s="3" t="n">
        <v>45939</v>
      </c>
      <c r="I20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in-b2becab259b05a47</t>
        </is>
      </c>
      <c r="B209" t="inlineStr">
        <is>
          <t>Applied Scientist</t>
        </is>
      </c>
      <c r="C209" t="inlineStr">
        <is>
          <t>Amazon.com</t>
        </is>
      </c>
      <c r="D209" t="inlineStr">
        <is>
          <t>indeed</t>
        </is>
      </c>
      <c r="E209">
        <f>HYPERLINK("https://www.indeed.com/viewjob?jk=b2becab259b05a47", "https://www.indeed.com/viewjob?jk=b2becab259b05a47")</f>
        <v/>
      </c>
      <c r="F209">
        <f>HYPERLINK("https://www.amazon.jobs/jobs/3106501/applied-scientist?cmpid=DA_INAD200785B", "https://www.amazon.jobs/jobs/3106501/applied-scientist?cmpid=DA_INAD200785B")</f>
        <v/>
      </c>
      <c r="G209" t="inlineStr">
        <is>
          <t>Seattle, WA, US</t>
        </is>
      </c>
      <c r="H209" s="3" t="n">
        <v>45939</v>
      </c>
      <c r="I20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in-7407edd3127e6e2c</t>
        </is>
      </c>
      <c r="B210" t="inlineStr">
        <is>
          <t>Sr. Applied Scientist, SPB Advertiser Guidance</t>
        </is>
      </c>
      <c r="C210" t="inlineStr">
        <is>
          <t>Amazon.com</t>
        </is>
      </c>
      <c r="D210" t="inlineStr">
        <is>
          <t>indeed</t>
        </is>
      </c>
      <c r="E210">
        <f>HYPERLINK("https://www.indeed.com/viewjob?jk=7407edd3127e6e2c", "https://www.indeed.com/viewjob?jk=7407edd3127e6e2c")</f>
        <v/>
      </c>
      <c r="F210">
        <f>HYPERLINK("https://www.amazon.jobs/jobs/3106497/sr-applied-scientist-spb-advertiser-guidance?cmpid=DA_INAD200785B", "https://www.amazon.jobs/jobs/3106497/sr-applied-scientist-spb-advertiser-guidance?cmpid=DA_INAD200785B")</f>
        <v/>
      </c>
      <c r="G210" t="inlineStr">
        <is>
          <t>New York, NY, US</t>
        </is>
      </c>
      <c r="H210" s="3" t="n">
        <v>45939</v>
      </c>
      <c r="I21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in-bb36f87ecc82e826</t>
        </is>
      </c>
      <c r="B211" t="inlineStr">
        <is>
          <t>Senior Applied Scientist, Sponsored Products and Brands</t>
        </is>
      </c>
      <c r="C211" t="inlineStr">
        <is>
          <t>Amazon.com</t>
        </is>
      </c>
      <c r="D211" t="inlineStr">
        <is>
          <t>indeed</t>
        </is>
      </c>
      <c r="E211">
        <f>HYPERLINK("https://www.indeed.com/viewjob?jk=bb36f87ecc82e826", "https://www.indeed.com/viewjob?jk=bb36f87ecc82e826")</f>
        <v/>
      </c>
      <c r="F211">
        <f>HYPERLINK("https://www.amazon.jobs/jobs/3094886/senior-applied-scientist-sponsored-products-and-brands?cmpid=DA_INAD200785B", "https://www.amazon.jobs/jobs/3094886/senior-applied-scientist-sponsored-products-and-brands?cmpid=DA_INAD200785B")</f>
        <v/>
      </c>
      <c r="G211" t="inlineStr">
        <is>
          <t>New York, NY, US</t>
        </is>
      </c>
      <c r="H211" s="3" t="n">
        <v>45922</v>
      </c>
      <c r="I21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in-47709f5651350865</t>
        </is>
      </c>
      <c r="B212" t="inlineStr">
        <is>
          <t>Senior Applied Scientist, Sponsored Products and Brands</t>
        </is>
      </c>
      <c r="C212" t="inlineStr">
        <is>
          <t>Amazon.com</t>
        </is>
      </c>
      <c r="D212" t="inlineStr">
        <is>
          <t>indeed</t>
        </is>
      </c>
      <c r="E212">
        <f>HYPERLINK("https://www.indeed.com/viewjob?jk=47709f5651350865", "https://www.indeed.com/viewjob?jk=47709f5651350865")</f>
        <v/>
      </c>
      <c r="F212">
        <f>HYPERLINK("https://www.amazon.jobs/jobs/3094886/senior-applied-scientist-sponsored-products-and-brands?cmpid=DA_INAD200785B", "https://www.amazon.jobs/jobs/3094886/senior-applied-scientist-sponsored-products-and-brands?cmpid=DA_INAD200785B")</f>
        <v/>
      </c>
      <c r="G212" t="inlineStr">
        <is>
          <t>Seattle, WA, US</t>
        </is>
      </c>
      <c r="H212" s="3" t="n">
        <v>45922</v>
      </c>
      <c r="I2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in-23d888f6391a070e</t>
        </is>
      </c>
      <c r="B213" t="inlineStr">
        <is>
          <t>Applied Scientist, Workplace Health &amp; Safety</t>
        </is>
      </c>
      <c r="C213" t="inlineStr">
        <is>
          <t>Amazon.com</t>
        </is>
      </c>
      <c r="D213" t="inlineStr">
        <is>
          <t>indeed</t>
        </is>
      </c>
      <c r="E213">
        <f>HYPERLINK("https://www.indeed.com/viewjob?jk=23d888f6391a070e", "https://www.indeed.com/viewjob?jk=23d888f6391a070e")</f>
        <v/>
      </c>
      <c r="F213">
        <f>HYPERLINK("https://www.amazon.jobs/jobs/3144886/applied-scientist-workplace-health--safety-?cmpid=DA_INAD200785B", "https://www.amazon.jobs/jobs/3144886/applied-scientist-workplace-health--safety-?cmpid=DA_INAD200785B")</f>
        <v/>
      </c>
      <c r="G213" t="inlineStr">
        <is>
          <t>Bellevue, WA, US</t>
        </is>
      </c>
      <c r="H213" s="3" t="n">
        <v>45917</v>
      </c>
      <c r="I21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in-f1142fe9667a7a81</t>
        </is>
      </c>
      <c r="B214" t="inlineStr">
        <is>
          <t>Applied Scientist, Workplace Health &amp; Safety</t>
        </is>
      </c>
      <c r="C214" t="inlineStr">
        <is>
          <t>Amazon.com</t>
        </is>
      </c>
      <c r="D214" t="inlineStr">
        <is>
          <t>indeed</t>
        </is>
      </c>
      <c r="E214">
        <f>HYPERLINK("https://www.indeed.com/viewjob?jk=f1142fe9667a7a81", "https://www.indeed.com/viewjob?jk=f1142fe9667a7a81")</f>
        <v/>
      </c>
      <c r="F214">
        <f>HYPERLINK("https://www.amazon.jobs/jobs/3144886/applied-scientist-workplace-health--safety-?cmpid=DA_INAD200785B", "https://www.amazon.jobs/jobs/3144886/applied-scientist-workplace-health--safety-?cmpid=DA_INAD200785B")</f>
        <v/>
      </c>
      <c r="G214" t="inlineStr">
        <is>
          <t>Nashville, TN, US</t>
        </is>
      </c>
      <c r="H214" s="3" t="n">
        <v>45917</v>
      </c>
      <c r="I21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in-1f1f2dd47cc44b89</t>
        </is>
      </c>
      <c r="B215" t="inlineStr">
        <is>
          <t>Sr. Applied Scientist, Amazon Advertising</t>
        </is>
      </c>
      <c r="C215" t="inlineStr">
        <is>
          <t>Amazon.com</t>
        </is>
      </c>
      <c r="D215" t="inlineStr">
        <is>
          <t>indeed</t>
        </is>
      </c>
      <c r="E215">
        <f>HYPERLINK("https://www.indeed.com/viewjob?jk=1f1f2dd47cc44b89", "https://www.indeed.com/viewjob?jk=1f1f2dd47cc44b89")</f>
        <v/>
      </c>
      <c r="F215">
        <f>HYPERLINK("https://www.amazon.jobs/jobs/3035686/sr-applied-scientist-amazon-advertising?cmpid=DA_INAD200785B", "https://www.amazon.jobs/jobs/3035686/sr-applied-scientist-amazon-advertising?cmpid=DA_INAD200785B")</f>
        <v/>
      </c>
      <c r="G215" t="inlineStr">
        <is>
          <t>West Hollywood, CA, US</t>
        </is>
      </c>
      <c r="H215" s="3"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in-7816656ee79d99b5</t>
        </is>
      </c>
      <c r="B216" t="inlineStr">
        <is>
          <t>Sr. Applied Scientist, Amazon Advertising</t>
        </is>
      </c>
      <c r="C216" t="inlineStr">
        <is>
          <t>Amazon.com</t>
        </is>
      </c>
      <c r="D216" t="inlineStr">
        <is>
          <t>indeed</t>
        </is>
      </c>
      <c r="E216">
        <f>HYPERLINK("https://www.indeed.com/viewjob?jk=7816656ee79d99b5", "https://www.indeed.com/viewjob?jk=7816656ee79d99b5")</f>
        <v/>
      </c>
      <c r="F216">
        <f>HYPERLINK("https://www.amazon.jobs/jobs/3035686/sr-applied-scientist-amazon-advertising?cmpid=DA_INAD200785B", "https://www.amazon.jobs/jobs/3035686/sr-applied-scientist-amazon-advertising?cmpid=DA_INAD200785B")</f>
        <v/>
      </c>
      <c r="G216" t="inlineStr">
        <is>
          <t>Simi Valley, CA, US</t>
        </is>
      </c>
      <c r="H216" s="3"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in-d0ea6dd92b7d52f2</t>
        </is>
      </c>
      <c r="B217" t="inlineStr">
        <is>
          <t>Sr. Applied Scientist, Amazon Advertising</t>
        </is>
      </c>
      <c r="C217" t="inlineStr">
        <is>
          <t>Amazon.com</t>
        </is>
      </c>
      <c r="D217" t="inlineStr">
        <is>
          <t>indeed</t>
        </is>
      </c>
      <c r="E217">
        <f>HYPERLINK("https://www.indeed.com/viewjob?jk=d0ea6dd92b7d52f2", "https://www.indeed.com/viewjob?jk=d0ea6dd92b7d52f2")</f>
        <v/>
      </c>
      <c r="F217">
        <f>HYPERLINK("https://www.amazon.jobs/jobs/3035686/sr-applied-scientist-amazon-advertising?cmpid=DA_INAD200785B", "https://www.amazon.jobs/jobs/3035686/sr-applied-scientist-amazon-advertising?cmpid=DA_INAD200785B")</f>
        <v/>
      </c>
      <c r="G217" t="inlineStr">
        <is>
          <t>Austin, TX, US</t>
        </is>
      </c>
      <c r="H217" s="3"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in-6280be0f2932fce9</t>
        </is>
      </c>
      <c r="B218" t="inlineStr">
        <is>
          <t>Sr. Applied Scientist, Amazon Advertising</t>
        </is>
      </c>
      <c r="C218" t="inlineStr">
        <is>
          <t>Amazon.com</t>
        </is>
      </c>
      <c r="D218" t="inlineStr">
        <is>
          <t>indeed</t>
        </is>
      </c>
      <c r="E218">
        <f>HYPERLINK("https://www.indeed.com/viewjob?jk=6280be0f2932fce9", "https://www.indeed.com/viewjob?jk=6280be0f2932fce9")</f>
        <v/>
      </c>
      <c r="F218">
        <f>HYPERLINK("https://www.amazon.jobs/jobs/3035686/sr-applied-scientist-amazon-advertising?cmpid=DA_INAD200785B", "https://www.amazon.jobs/jobs/3035686/sr-applied-scientist-amazon-advertising?cmpid=DA_INAD200785B")</f>
        <v/>
      </c>
      <c r="G218" t="inlineStr">
        <is>
          <t>Seattle, WA, US</t>
        </is>
      </c>
      <c r="H218" s="3"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in-a11dbfa1cc9834ab</t>
        </is>
      </c>
      <c r="B219" t="inlineStr">
        <is>
          <t>Sr. Applied Scientist, Amazon Advertising</t>
        </is>
      </c>
      <c r="C219" t="inlineStr">
        <is>
          <t>Amazon.com</t>
        </is>
      </c>
      <c r="D219" t="inlineStr">
        <is>
          <t>indeed</t>
        </is>
      </c>
      <c r="E219">
        <f>HYPERLINK("https://www.indeed.com/viewjob?jk=a11dbfa1cc9834ab", "https://www.indeed.com/viewjob?jk=a11dbfa1cc9834ab")</f>
        <v/>
      </c>
      <c r="F219">
        <f>HYPERLINK("https://www.amazon.jobs/jobs/3035686/sr-applied-scientist-amazon-advertising?cmpid=DA_INAD200785B", "https://www.amazon.jobs/jobs/3035686/sr-applied-scientist-amazon-advertising?cmpid=DA_INAD200785B")</f>
        <v/>
      </c>
      <c r="G219" t="inlineStr">
        <is>
          <t>Arlington, VA, US</t>
        </is>
      </c>
      <c r="H219" s="3"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in-b5ae6bcde060f029</t>
        </is>
      </c>
      <c r="B220" t="inlineStr">
        <is>
          <t>Sr. Applied Scientist, Amazon Advertising</t>
        </is>
      </c>
      <c r="C220" t="inlineStr">
        <is>
          <t>Amazon.com</t>
        </is>
      </c>
      <c r="D220" t="inlineStr">
        <is>
          <t>indeed</t>
        </is>
      </c>
      <c r="E220">
        <f>HYPERLINK("https://www.indeed.com/viewjob?jk=b5ae6bcde060f029", "https://www.indeed.com/viewjob?jk=b5ae6bcde060f029")</f>
        <v/>
      </c>
      <c r="F220">
        <f>HYPERLINK("https://www.amazon.jobs/jobs/3035686/sr-applied-scientist-amazon-advertising?cmpid=DA_INAD200785B", "https://www.amazon.jobs/jobs/3035686/sr-applied-scientist-amazon-advertising?cmpid=DA_INAD200785B")</f>
        <v/>
      </c>
      <c r="G220" t="inlineStr">
        <is>
          <t>Los Angeles, CA, US</t>
        </is>
      </c>
      <c r="H220" s="3" t="n">
        <v>45851</v>
      </c>
      <c r="I2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in-3f3bf07cb7545f19</t>
        </is>
      </c>
      <c r="B221" t="inlineStr">
        <is>
          <t>Sr. Applied Scientist, Amazon Advertising</t>
        </is>
      </c>
      <c r="C221" t="inlineStr">
        <is>
          <t>Amazon.com</t>
        </is>
      </c>
      <c r="D221" t="inlineStr">
        <is>
          <t>indeed</t>
        </is>
      </c>
      <c r="E221">
        <f>HYPERLINK("https://www.indeed.com/viewjob?jk=3f3bf07cb7545f19", "https://www.indeed.com/viewjob?jk=3f3bf07cb7545f19")</f>
        <v/>
      </c>
      <c r="F221">
        <f>HYPERLINK("https://www.amazon.jobs/jobs/3035686/sr-applied-scientist-amazon-advertising?cmpid=DA_INAD200785B", "https://www.amazon.jobs/jobs/3035686/sr-applied-scientist-amazon-advertising?cmpid=DA_INAD200785B")</f>
        <v/>
      </c>
      <c r="G221" t="inlineStr">
        <is>
          <t>New York, NY, US</t>
        </is>
      </c>
      <c r="H221" s="3" t="n">
        <v>45851</v>
      </c>
      <c r="I22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in-b3af8f50b1e647b8</t>
        </is>
      </c>
      <c r="B222" t="inlineStr">
        <is>
          <t>Sr. Applied Scientist, Amazon Advertising</t>
        </is>
      </c>
      <c r="C222" t="inlineStr">
        <is>
          <t>Amazon.com</t>
        </is>
      </c>
      <c r="D222" t="inlineStr">
        <is>
          <t>indeed</t>
        </is>
      </c>
      <c r="E222">
        <f>HYPERLINK("https://www.indeed.com/viewjob?jk=b3af8f50b1e647b8", "https://www.indeed.com/viewjob?jk=b3af8f50b1e647b8")</f>
        <v/>
      </c>
      <c r="F222">
        <f>HYPERLINK("https://www.amazon.jobs/jobs/3035686/sr-applied-scientist-amazon-advertising?cmpid=DA_INAD200785B", "https://www.amazon.jobs/jobs/3035686/sr-applied-scientist-amazon-advertising?cmpid=DA_INAD200785B")</f>
        <v/>
      </c>
      <c r="G222" t="inlineStr">
        <is>
          <t>Palo Alto, CA, US</t>
        </is>
      </c>
      <c r="H222" s="3" t="n">
        <v>45851</v>
      </c>
      <c r="I22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in-6e5f7a17673e0062</t>
        </is>
      </c>
      <c r="B223" t="inlineStr">
        <is>
          <t>Senior Applied Scientist, Artificial General Intelligence</t>
        </is>
      </c>
      <c r="C223" t="inlineStr">
        <is>
          <t>Amazon.com</t>
        </is>
      </c>
      <c r="D223" t="inlineStr">
        <is>
          <t>indeed</t>
        </is>
      </c>
      <c r="E223">
        <f>HYPERLINK("https://www.indeed.com/viewjob?jk=6e5f7a17673e0062", "https://www.indeed.com/viewjob?jk=6e5f7a17673e0062")</f>
        <v/>
      </c>
      <c r="F223">
        <f>HYPERLINK("https://www.amazon.jobs/jobs/3032183/senior-applied-scientist-artificial-general-intelligence?cmpid=DA_INAD200785B", "https://www.amazon.jobs/jobs/3032183/senior-applied-scientist-artificial-general-intelligence?cmpid=DA_INAD200785B")</f>
        <v/>
      </c>
      <c r="G223" t="inlineStr">
        <is>
          <t>Sunnyvale, CA, US</t>
        </is>
      </c>
      <c r="H223" s="3" t="n">
        <v>45838</v>
      </c>
      <c r="I22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in-555aa9492cb77340</t>
        </is>
      </c>
      <c r="B224" t="inlineStr">
        <is>
          <t>Senior Applied Scientist, Artificial General Intelligence</t>
        </is>
      </c>
      <c r="C224" t="inlineStr">
        <is>
          <t>Amazon.com</t>
        </is>
      </c>
      <c r="D224" t="inlineStr">
        <is>
          <t>indeed</t>
        </is>
      </c>
      <c r="E224">
        <f>HYPERLINK("https://www.indeed.com/viewjob?jk=555aa9492cb77340", "https://www.indeed.com/viewjob?jk=555aa9492cb77340")</f>
        <v/>
      </c>
      <c r="F224">
        <f>HYPERLINK("https://www.amazon.jobs/jobs/3032183/senior-applied-scientist-artificial-general-intelligence?cmpid=DA_INAD200785B", "https://www.amazon.jobs/jobs/3032183/senior-applied-scientist-artificial-general-intelligence?cmpid=DA_INAD200785B")</f>
        <v/>
      </c>
      <c r="G224" t="inlineStr">
        <is>
          <t>Boston, MA, US</t>
        </is>
      </c>
      <c r="H224" s="3" t="n">
        <v>45838</v>
      </c>
      <c r="I22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in-832d3c5400fd656d</t>
        </is>
      </c>
      <c r="B225" t="inlineStr">
        <is>
          <t>Senior Applied Scientist, Artificial General Intelligence</t>
        </is>
      </c>
      <c r="C225" t="inlineStr">
        <is>
          <t>Amazon.com</t>
        </is>
      </c>
      <c r="D225" t="inlineStr">
        <is>
          <t>indeed</t>
        </is>
      </c>
      <c r="E225">
        <f>HYPERLINK("https://www.indeed.com/viewjob?jk=832d3c5400fd656d", "https://www.indeed.com/viewjob?jk=832d3c5400fd656d")</f>
        <v/>
      </c>
      <c r="F225">
        <f>HYPERLINK("https://www.amazon.jobs/jobs/3032183/senior-applied-scientist-artificial-general-intelligence?cmpid=DA_INAD200785B", "https://www.amazon.jobs/jobs/3032183/senior-applied-scientist-artificial-general-intelligence?cmpid=DA_INAD200785B")</f>
        <v/>
      </c>
      <c r="G225" t="inlineStr">
        <is>
          <t>New York, NY, US</t>
        </is>
      </c>
      <c r="H225" s="3" t="n">
        <v>45838</v>
      </c>
      <c r="I22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in-dbfeaaf121afc913</t>
        </is>
      </c>
      <c r="B226" t="inlineStr">
        <is>
          <t>Sr. Applied Scientist, Sales AI</t>
        </is>
      </c>
      <c r="C226" t="inlineStr">
        <is>
          <t>Amazon.com</t>
        </is>
      </c>
      <c r="D226" t="inlineStr">
        <is>
          <t>indeed</t>
        </is>
      </c>
      <c r="E226">
        <f>HYPERLINK("https://www.indeed.com/viewjob?jk=dbfeaaf121afc913", "https://www.indeed.com/viewjob?jk=dbfeaaf121afc913")</f>
        <v/>
      </c>
      <c r="F226">
        <f>HYPERLINK("https://www.amazon.jobs/jobs/3020528/sr-applied-scientist-sales-ai?cmpid=DA_INAD200785B", "https://www.amazon.jobs/jobs/3020528/sr-applied-scientist-sales-ai?cmpid=DA_INAD200785B")</f>
        <v/>
      </c>
      <c r="G226" t="inlineStr">
        <is>
          <t>Seattle, WA, US</t>
        </is>
      </c>
      <c r="H226" s="3" t="n">
        <v>45830</v>
      </c>
      <c r="I22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in-8a02322ca613b627</t>
        </is>
      </c>
      <c r="B227" t="inlineStr">
        <is>
          <t>Sr. Applied Scientist, Sales AI</t>
        </is>
      </c>
      <c r="C227" t="inlineStr">
        <is>
          <t>Amazon.com</t>
        </is>
      </c>
      <c r="D227" t="inlineStr">
        <is>
          <t>indeed</t>
        </is>
      </c>
      <c r="E227">
        <f>HYPERLINK("https://www.indeed.com/viewjob?jk=8a02322ca613b627", "https://www.indeed.com/viewjob?jk=8a02322ca613b627")</f>
        <v/>
      </c>
      <c r="F227">
        <f>HYPERLINK("https://www.amazon.jobs/jobs/3020528/sr-applied-scientist-sales-ai?cmpid=DA_INAD200785B", "https://www.amazon.jobs/jobs/3020528/sr-applied-scientist-sales-ai?cmpid=DA_INAD200785B")</f>
        <v/>
      </c>
      <c r="G227" t="inlineStr">
        <is>
          <t>New York, NY, US</t>
        </is>
      </c>
      <c r="H227" s="3" t="n">
        <v>45830</v>
      </c>
      <c r="I22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in-d8403fe3e17a8654</t>
        </is>
      </c>
      <c r="B228" t="inlineStr">
        <is>
          <t>Sr. Applied Scientist, Sales AI</t>
        </is>
      </c>
      <c r="C228" t="inlineStr">
        <is>
          <t>Amazon.com</t>
        </is>
      </c>
      <c r="D228" t="inlineStr">
        <is>
          <t>indeed</t>
        </is>
      </c>
      <c r="E228">
        <f>HYPERLINK("https://www.indeed.com/viewjob?jk=d8403fe3e17a8654", "https://www.indeed.com/viewjob?jk=d8403fe3e17a8654")</f>
        <v/>
      </c>
      <c r="F228">
        <f>HYPERLINK("https://www.amazon.jobs/jobs/3020528/sr-applied-scientist-sales-ai?cmpid=DA_INAD200785B", "https://www.amazon.jobs/jobs/3020528/sr-applied-scientist-sales-ai?cmpid=DA_INAD200785B")</f>
        <v/>
      </c>
      <c r="G228" t="inlineStr">
        <is>
          <t>Sunnyvale, CA, US</t>
        </is>
      </c>
      <c r="H228" s="3" t="n">
        <v>45830</v>
      </c>
      <c r="I22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in-f09ebf91cc78a0c5</t>
        </is>
      </c>
      <c r="B229" t="inlineStr">
        <is>
          <t>Sr. Applied Scientist, AGI Info</t>
        </is>
      </c>
      <c r="C229" t="inlineStr">
        <is>
          <t>Amazon.com</t>
        </is>
      </c>
      <c r="D229" t="inlineStr">
        <is>
          <t>indeed</t>
        </is>
      </c>
      <c r="E229">
        <f>HYPERLINK("https://www.indeed.com/viewjob?jk=f09ebf91cc78a0c5", "https://www.indeed.com/viewjob?jk=f09ebf91cc78a0c5")</f>
        <v/>
      </c>
      <c r="F229">
        <f>HYPERLINK("https://www.amazon.jobs/jobs/2999351/sr-applied-scientist-agi-info?cmpid=DA_INAD200785B", "https://www.amazon.jobs/jobs/2999351/sr-applied-scientist-agi-info?cmpid=DA_INAD200785B")</f>
        <v/>
      </c>
      <c r="G229" t="inlineStr">
        <is>
          <t>Bellevue, WA, US</t>
        </is>
      </c>
      <c r="H229" s="3" t="n">
        <v>45811</v>
      </c>
      <c r="I229"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in-cf016dc076b36bb6</t>
        </is>
      </c>
      <c r="B230" t="inlineStr">
        <is>
          <t>Sr. Applied Scientist, AGI Info</t>
        </is>
      </c>
      <c r="C230" t="inlineStr">
        <is>
          <t>Amazon.com</t>
        </is>
      </c>
      <c r="D230" t="inlineStr">
        <is>
          <t>indeed</t>
        </is>
      </c>
      <c r="E230">
        <f>HYPERLINK("https://www.indeed.com/viewjob?jk=cf016dc076b36bb6", "https://www.indeed.com/viewjob?jk=cf016dc076b36bb6")</f>
        <v/>
      </c>
      <c r="F230">
        <f>HYPERLINK("https://www.amazon.jobs/jobs/2999351/sr-applied-scientist-agi-info?cmpid=DA_INAD200785B", "https://www.amazon.jobs/jobs/2999351/sr-applied-scientist-agi-info?cmpid=DA_INAD200785B")</f>
        <v/>
      </c>
      <c r="G230" t="inlineStr">
        <is>
          <t>Sunnyvale, CA, US</t>
        </is>
      </c>
      <c r="H230" s="3" t="n">
        <v>45811</v>
      </c>
      <c r="I23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in-be7ed8af75376156</t>
        </is>
      </c>
      <c r="B231" t="inlineStr">
        <is>
          <t>Principal Applied Scientist, Delivery Foundation Model</t>
        </is>
      </c>
      <c r="C231" t="inlineStr">
        <is>
          <t>Amazon.com</t>
        </is>
      </c>
      <c r="D231" t="inlineStr">
        <is>
          <t>indeed</t>
        </is>
      </c>
      <c r="E231">
        <f>HYPERLINK("https://www.indeed.com/viewjob?jk=be7ed8af75376156", "https://www.indeed.com/viewjob?jk=be7ed8af75376156")</f>
        <v/>
      </c>
      <c r="F231">
        <f>HYPERLINK("https://www.amazon.jobs/jobs/3006938/principal-applied-scientist-delivery-foundation-model-?cmpid=DA_INAD200785B", "https://www.amazon.jobs/jobs/3006938/principal-applied-scientist-delivery-foundation-model-?cmpid=DA_INAD200785B")</f>
        <v/>
      </c>
      <c r="G231" t="inlineStr">
        <is>
          <t>Santa Clara, CA, US</t>
        </is>
      </c>
      <c r="H231" s="3" t="n">
        <v>45810</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in-fbca9417243c3f1b</t>
        </is>
      </c>
      <c r="B232" t="inlineStr">
        <is>
          <t>Principal Applied Scientist, Delivery Foundation Model</t>
        </is>
      </c>
      <c r="C232" t="inlineStr">
        <is>
          <t>Amazon.com</t>
        </is>
      </c>
      <c r="D232" t="inlineStr">
        <is>
          <t>indeed</t>
        </is>
      </c>
      <c r="E232">
        <f>HYPERLINK("https://www.indeed.com/viewjob?jk=fbca9417243c3f1b", "https://www.indeed.com/viewjob?jk=fbca9417243c3f1b")</f>
        <v/>
      </c>
      <c r="F232">
        <f>HYPERLINK("https://www.amazon.jobs/jobs/3006938/principal-applied-scientist-delivery-foundation-model-?cmpid=DA_INAD200785B", "https://www.amazon.jobs/jobs/3006938/principal-applied-scientist-delivery-foundation-model-?cmpid=DA_INAD200785B")</f>
        <v/>
      </c>
      <c r="G232" t="inlineStr">
        <is>
          <t>Austin, TX, US</t>
        </is>
      </c>
      <c r="H232" s="3" t="n">
        <v>45810</v>
      </c>
      <c r="I2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in-080a18bd8f852b1f</t>
        </is>
      </c>
      <c r="B233" t="inlineStr">
        <is>
          <t>Principal Applied Scientist, Delivery Foundation Model</t>
        </is>
      </c>
      <c r="C233" t="inlineStr">
        <is>
          <t>Amazon.com</t>
        </is>
      </c>
      <c r="D233" t="inlineStr">
        <is>
          <t>indeed</t>
        </is>
      </c>
      <c r="E233">
        <f>HYPERLINK("https://www.indeed.com/viewjob?jk=080a18bd8f852b1f", "https://www.indeed.com/viewjob?jk=080a18bd8f852b1f")</f>
        <v/>
      </c>
      <c r="F233">
        <f>HYPERLINK("https://www.amazon.jobs/jobs/3006938/principal-applied-scientist-delivery-foundation-model-?cmpid=DA_INAD200785B", "https://www.amazon.jobs/jobs/3006938/principal-applied-scientist-delivery-foundation-model-?cmpid=DA_INAD200785B")</f>
        <v/>
      </c>
      <c r="G233" t="inlineStr">
        <is>
          <t>New York, NY, US</t>
        </is>
      </c>
      <c r="H233" s="3" t="n">
        <v>45810</v>
      </c>
      <c r="I2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in-af7532153c254105</t>
        </is>
      </c>
      <c r="B234" t="inlineStr">
        <is>
          <t>Principal Applied Scientist, Delivery Foundation Model</t>
        </is>
      </c>
      <c r="C234" t="inlineStr">
        <is>
          <t>Amazon.com</t>
        </is>
      </c>
      <c r="D234" t="inlineStr">
        <is>
          <t>indeed</t>
        </is>
      </c>
      <c r="E234">
        <f>HYPERLINK("https://www.indeed.com/viewjob?jk=af7532153c254105", "https://www.indeed.com/viewjob?jk=af7532153c254105")</f>
        <v/>
      </c>
      <c r="F234">
        <f>HYPERLINK("https://www.amazon.jobs/jobs/3006938/principal-applied-scientist-delivery-foundation-model-?cmpid=DA_INAD200785B", "https://www.amazon.jobs/jobs/3006938/principal-applied-scientist-delivery-foundation-model-?cmpid=DA_INAD200785B")</f>
        <v/>
      </c>
      <c r="G234" t="inlineStr">
        <is>
          <t>Bellevue, WA, US</t>
        </is>
      </c>
      <c r="H234" s="3" t="n">
        <v>45810</v>
      </c>
      <c r="I2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in-b86963d5e0e71d44</t>
        </is>
      </c>
      <c r="B235" t="inlineStr">
        <is>
          <t>Senior Applied Scientist, Delivery Foundation Model</t>
        </is>
      </c>
      <c r="C235" t="inlineStr">
        <is>
          <t>Amazon.com</t>
        </is>
      </c>
      <c r="D235" t="inlineStr">
        <is>
          <t>indeed</t>
        </is>
      </c>
      <c r="E235">
        <f>HYPERLINK("https://www.indeed.com/viewjob?jk=b86963d5e0e71d44", "https://www.indeed.com/viewjob?jk=b86963d5e0e71d44")</f>
        <v/>
      </c>
      <c r="F235">
        <f>HYPERLINK("https://www.amazon.jobs/jobs/2998435/senior-applied-scientist-delivery-foundation-model-?cmpid=DA_INAD200785B", "https://www.amazon.jobs/jobs/2998435/senior-applied-scientist-delivery-foundation-model-?cmpid=DA_INAD200785B")</f>
        <v/>
      </c>
      <c r="G235" t="inlineStr">
        <is>
          <t>New York, NY, US</t>
        </is>
      </c>
      <c r="H235" s="3" t="n">
        <v>45806</v>
      </c>
      <c r="I23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in-1f6aab6107eeeb5a</t>
        </is>
      </c>
      <c r="B236" t="inlineStr">
        <is>
          <t>Senior Applied Scientist, Delivery Foundation Model</t>
        </is>
      </c>
      <c r="C236" t="inlineStr">
        <is>
          <t>Amazon.com</t>
        </is>
      </c>
      <c r="D236" t="inlineStr">
        <is>
          <t>indeed</t>
        </is>
      </c>
      <c r="E236">
        <f>HYPERLINK("https://www.indeed.com/viewjob?jk=1f6aab6107eeeb5a", "https://www.indeed.com/viewjob?jk=1f6aab6107eeeb5a")</f>
        <v/>
      </c>
      <c r="F236">
        <f>HYPERLINK("https://www.amazon.jobs/jobs/2998435/senior-applied-scientist-delivery-foundation-model-?cmpid=DA_INAD200785B", "https://www.amazon.jobs/jobs/2998435/senior-applied-scientist-delivery-foundation-model-?cmpid=DA_INAD200785B")</f>
        <v/>
      </c>
      <c r="G236" t="inlineStr">
        <is>
          <t>Bellevue, WA, US</t>
        </is>
      </c>
      <c r="H236" s="3" t="n">
        <v>45806</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in-aa5d86924d21c39a</t>
        </is>
      </c>
      <c r="B237" t="inlineStr">
        <is>
          <t>Senior Applied Scientist, Delivery Foundation Model</t>
        </is>
      </c>
      <c r="C237" t="inlineStr">
        <is>
          <t>Amazon.com</t>
        </is>
      </c>
      <c r="D237" t="inlineStr">
        <is>
          <t>indeed</t>
        </is>
      </c>
      <c r="E237">
        <f>HYPERLINK("https://www.indeed.com/viewjob?jk=aa5d86924d21c39a", "https://www.indeed.com/viewjob?jk=aa5d86924d21c39a")</f>
        <v/>
      </c>
      <c r="F237">
        <f>HYPERLINK("https://www.amazon.jobs/jobs/2998435/senior-applied-scientist-delivery-foundation-model-?cmpid=DA_INAD200785B", "https://www.amazon.jobs/jobs/2998435/senior-applied-scientist-delivery-foundation-model-?cmpid=DA_INAD200785B")</f>
        <v/>
      </c>
      <c r="G237" t="inlineStr">
        <is>
          <t>Santa Clara, CA, US</t>
        </is>
      </c>
      <c r="H237" s="3" t="n">
        <v>45806</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in-d95722dd41893ead</t>
        </is>
      </c>
      <c r="B238" t="inlineStr">
        <is>
          <t>Principal Applied Scientist, Delivery Foundation Model</t>
        </is>
      </c>
      <c r="C238" t="inlineStr">
        <is>
          <t>Amazon.com</t>
        </is>
      </c>
      <c r="D238" t="inlineStr">
        <is>
          <t>indeed</t>
        </is>
      </c>
      <c r="E238">
        <f>HYPERLINK("https://www.indeed.com/viewjob?jk=d95722dd41893ead", "https://www.indeed.com/viewjob?jk=d95722dd41893ead")</f>
        <v/>
      </c>
      <c r="F238">
        <f>HYPERLINK("https://www.amazon.jobs/jobs/2998635/principal-applied-scientist-delivery-foundation-model-?cmpid=DA_INAD200785B", "https://www.amazon.jobs/jobs/2998635/principal-applied-scientist-delivery-foundation-model-?cmpid=DA_INAD200785B")</f>
        <v/>
      </c>
      <c r="G238" t="inlineStr">
        <is>
          <t>Bellevue, WA, US</t>
        </is>
      </c>
      <c r="H238" s="3" t="n">
        <v>45757</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in-b4e897c738e2862f</t>
        </is>
      </c>
      <c r="B239" t="inlineStr">
        <is>
          <t>Principal Applied Scientist, Delivery Foundation Model</t>
        </is>
      </c>
      <c r="C239" t="inlineStr">
        <is>
          <t>Amazon.com</t>
        </is>
      </c>
      <c r="D239" t="inlineStr">
        <is>
          <t>indeed</t>
        </is>
      </c>
      <c r="E239">
        <f>HYPERLINK("https://www.indeed.com/viewjob?jk=b4e897c738e2862f", "https://www.indeed.com/viewjob?jk=b4e897c738e2862f")</f>
        <v/>
      </c>
      <c r="F239">
        <f>HYPERLINK("https://www.amazon.jobs/jobs/2998635/principal-applied-scientist-delivery-foundation-model-?cmpid=DA_INAD200785B", "https://www.amazon.jobs/jobs/2998635/principal-applied-scientist-delivery-foundation-model-?cmpid=DA_INAD200785B")</f>
        <v/>
      </c>
      <c r="G239" t="inlineStr">
        <is>
          <t>New York, NY, US</t>
        </is>
      </c>
      <c r="H239" s="3" t="n">
        <v>45757</v>
      </c>
      <c r="I23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in-f7fc011c6b8c3a33</t>
        </is>
      </c>
      <c r="B240" t="inlineStr">
        <is>
          <t>Principal Applied Scientist, Delivery Foundation Model</t>
        </is>
      </c>
      <c r="C240" t="inlineStr">
        <is>
          <t>Amazon.com</t>
        </is>
      </c>
      <c r="D240" t="inlineStr">
        <is>
          <t>indeed</t>
        </is>
      </c>
      <c r="E240">
        <f>HYPERLINK("https://www.indeed.com/viewjob?jk=f7fc011c6b8c3a33", "https://www.indeed.com/viewjob?jk=f7fc011c6b8c3a33")</f>
        <v/>
      </c>
      <c r="F240">
        <f>HYPERLINK("https://www.amazon.jobs/jobs/2998635/principal-applied-scientist-delivery-foundation-model-?cmpid=DA_INAD200785B", "https://www.amazon.jobs/jobs/2998635/principal-applied-scientist-delivery-foundation-model-?cmpid=DA_INAD200785B")</f>
        <v/>
      </c>
      <c r="G240" t="inlineStr">
        <is>
          <t>Santa Clara, CA, US</t>
        </is>
      </c>
      <c r="H240" s="3" t="n">
        <v>45757</v>
      </c>
      <c r="I24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in-d25f9d1a873947a6</t>
        </is>
      </c>
      <c r="B241" t="inlineStr">
        <is>
          <t>Principal Applied Scientist, FAR (Frontier AI &amp; Robotics)</t>
        </is>
      </c>
      <c r="C241" t="inlineStr">
        <is>
          <t>Amazon.com</t>
        </is>
      </c>
      <c r="D241" t="inlineStr">
        <is>
          <t>indeed</t>
        </is>
      </c>
      <c r="E241">
        <f>HYPERLINK("https://www.indeed.com/viewjob?jk=d25f9d1a873947a6", "https://www.indeed.com/viewjob?jk=d25f9d1a873947a6")</f>
        <v/>
      </c>
      <c r="F241">
        <f>HYPERLINK("https://www.amazon.jobs/jobs/2938625/principal-applied-scientist-far-frontier-ai--robotics?cmpid=DA_INAD200785B", "https://www.amazon.jobs/jobs/2938625/principal-applied-scientist-far-frontier-ai--robotics?cmpid=DA_INAD200785B")</f>
        <v/>
      </c>
      <c r="G241" t="inlineStr">
        <is>
          <t>Seattle, WA, US</t>
        </is>
      </c>
      <c r="H241" s="3" t="n">
        <v>45740</v>
      </c>
      <c r="I24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in-795e904dfd48c548</t>
        </is>
      </c>
      <c r="B242" t="inlineStr">
        <is>
          <t>Principal Applied Scientist, FAR (Frontier AI &amp; Robotics)</t>
        </is>
      </c>
      <c r="C242" t="inlineStr">
        <is>
          <t>Amazon.com</t>
        </is>
      </c>
      <c r="D242" t="inlineStr">
        <is>
          <t>indeed</t>
        </is>
      </c>
      <c r="E242">
        <f>HYPERLINK("https://www.indeed.com/viewjob?jk=795e904dfd48c548", "https://www.indeed.com/viewjob?jk=795e904dfd48c548")</f>
        <v/>
      </c>
      <c r="F242">
        <f>HYPERLINK("https://www.amazon.jobs/jobs/2938625/principal-applied-scientist-far-frontier-ai--robotics?cmpid=DA_INAD200785B", "https://www.amazon.jobs/jobs/2938625/principal-applied-scientist-far-frontier-ai--robotics?cmpid=DA_INAD200785B")</f>
        <v/>
      </c>
      <c r="G242" t="inlineStr">
        <is>
          <t>San Francisco, CA, US</t>
        </is>
      </c>
      <c r="H242" s="3" t="n">
        <v>45740</v>
      </c>
      <c r="I242"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in-be8cbb732956298d</t>
        </is>
      </c>
      <c r="B243" t="inlineStr">
        <is>
          <t>Applied AI Engineer</t>
        </is>
      </c>
      <c r="C243" t="inlineStr">
        <is>
          <t>Fusion Health</t>
        </is>
      </c>
      <c r="D243" t="inlineStr">
        <is>
          <t>indeed</t>
        </is>
      </c>
      <c r="E243">
        <f>HYPERLINK("https://www.indeed.com/viewjob?jk=be8cbb732956298d", "https://www.indeed.com/viewjob?jk=be8cbb732956298d")</f>
        <v/>
      </c>
      <c r="F243">
        <f>HYPERLINK("https://ats.rippling.com/fusion-health/jobs/07459327-71cf-49a4-882b-0e42f3556175?jobSite=Indeed", "https://ats.rippling.com/fusion-health/jobs/07459327-71cf-49a4-882b-0e42f3556175?jobSite=Indeed")</f>
        <v/>
      </c>
      <c r="G243" t="inlineStr">
        <is>
          <t>Woodbridge, NJ, US</t>
        </is>
      </c>
      <c r="H243" s="3" t="n">
        <v>46048</v>
      </c>
      <c r="I243" t="inlineStr">
        <is>
          <t>Fusion Health is seeking a bright, motivated, and outgoing **Applied AI Engineer** to join our **Value and Automation** team at our **Woodbridge, NJ** location! We are looking for an ambitious team player who is target driven and passionate about achieving results.
 **About Us:**
Fusion Health was founded in 2006 and provides HealthTech solutions that proactively manage the quality of life for underserved patients managed by government agencies such as Public Health, Rehabilitation \&amp; Corrections. Our mission is to deliver impactful solutions that drive efficiency for clinicians in movement\-restricted communities.
Fusion Health has been recognized by INC as one of the fastest\-growing private companies in the United States for four consecutive years, \#38 in the NY Tri\-State area, and \#8 in New Jersey. Fusion has also been recognized by Deloitte on its Fast 500 list of fastest\-growing technology companies in the United States.
Building a quality team takes a lot of work. Our founder and CEO, Bryan Jakovcic (EY Entrepreneur of the Year) works hand in hand with our Human Resources team and we are searching the globe for the Fusionite of tomorrow. Our team is among some of the brightest and most inspiring in the industry. To boot, they love working at Fusion so much that we have been certified as a Great Place to Work by Fortune!
We pride ourselves on our modern company culture as a vibrant and diverse group. Guided by our shared values, we thrive in an environment where collaboration and openness are valued. Our headquarters is located in Woodbridge, New Jersey, just minutes from several major train stations. Lovingly known as HQ4, it features high\-tech open working spaces, multiple meeting areas, café, a gym, and an arcade! Our satellite office locations are also equipped with state\-of\-the\-art technologies and similar amenities.
A positive culture is a core fundamental at Fusion. While we are looking for the brightest minds around, ideal Fusionites should be strong problem solvers, be able to work independently, have great communication skills, and have a fun/energetic personality. To date, Fusion has phenomenal retention of our team members. Our fundamental belief is that employee satisfaction is critical to achieving our mission/vision, so we provide competitive compensation, professional development, career advancement opportunities, and a supportive team\-based atmosphere. We also provide a full range of health\-related benefits, including medical, dental, vision, life insurance, and 401K.
We also offer numerous work\-life enhancements such as:
* Work From Anywhere (WFA) program (up to 100 days WFA per year)
* 20 PTO Days to start, with an additional PTO day per year for each year you are a Fusionite (up to 30 PTO days max/year)
* Business casual dress code
* Easy\-going corporate structure. We hate red tape.
* Accessible leadership.
* A REALLY COOL OFFICE (Click for Photos)
 **What You'll Do:**
This role is vital to our organization's mission and growth, and if selected, you'll work on the following challenging and interesting projects:
* Design, build, and maintain applied AI solutions that streamline operational workflows, such as automating document generation, request intake, data extraction, decision support, and internal knowledge retrieval
* Develop and manage automation pipelines using platforms like Make.com (and similar tools) to connect systems such as Jira, Confluence, Microsoft Teams, databases, and internal applications
* Identify, evaluate, and prioritize automation and AI opportunities across Operations, Implementation, Support, and Clinical teams, focusing on measurable efficiency gains and risk reduction
* Build AI\-powered tools (e.g., internal chatbots, RAG\-based knowledge assistants, automated review or validation processes) that support staff in executing complex, compliance\-driven workflows
* Partner closely with subject matter experts (clinical, operational, technical) to translate real business problems into scalable automation and AI solutions
* Prototype and iterate quickly, balancing speed with reliability, security, and maintainability
* Monitor, optimize, and continuously improve existing automations and AI solutions to ensure accuracy, performance, and long\-term value
* Document solutions and establish best practices to ensure maintainability, transparency, and knowledge sharing across the organization
* Stay current on applied AI and automation trends, recommending practical tools and approaches that can be safely and effectively adopted
 **Who You Are:**
We believe in harnessing diverse talents and perspectives, and if you believe you have what it takes to excel in this role, we want to hear from you. We look forward to reviewing your application if you have the following qualifications and experience:
* Bachelor’s degree in Computer Science, Engineering, Data Science, or a related field (or equivalent practical experience)
* 3\+ years of experience building automation, applied AI, or systems integration solutions in a professional setting
* Hands\-on experience with automation platforms or integration tools (e.g., Make.com, Zapier, n8n, or similar)
* Working knowledge of modern AI tools and services, such as large language models (LLMs), prompt engineering, or retrieval\-based approaches
* Proficiency in a scripting or programming language (e.g., Python, JavaScript) for API integration and data processing
* Ability to translate operational and business needs into scalable technical solutions, collaborating effectively with cross\-functional teams
* Strong communication and documentation skills, with comfort operating in evolving and ambiguous environments
 **Additional Details:**
* This is an on\-site, hybrid full time, salaried role, based out of our Woodbridge, NJ office location
* Our normal hours of operation are Monday – Friday, 8:00 AM – 4:00 PM.
* This position description is not intended to be exhaustive, and other duties may be assigned as they arise.
* It is not expected that applicants have any familiarity with Fusion’s proprietary applications, Healthcare software, or Corrections/Public Health business processes. Qualified candidates will be able to demonstrate related experience and transferable skills that will work well with the Fusion team.
* At this time, this position is not eligible for employment sponsorship.
* Fusion is an equal employment opportunity employer.
 **Compensation:**
* Salary Range: $75,000 \- $100,000
* At Fusion, our salary ranges are designed to be competitive within our size and industry. Compensation is just one component of a comprehensive total rewards package that also includes benefits, flexibility, and growth opportunities.
* Individual pay decisions are informed by several factors, including location, experience, qualifications, skillset, and internal equity across the organization. While we expect most offers to fall within the stated range, each compensation decision is made thoughtfully, with consideration for both the candidate’s unique profile and our commitment to pay parity.
 *For Internal Use only: In reference to our Employee Referral Program,* *this opening is: Level 4*</t>
        </is>
      </c>
    </row>
    <row r="244">
      <c r="A244" t="inlineStr">
        <is>
          <t>in-0ac21ea0bd820fa4</t>
        </is>
      </c>
      <c r="B244" t="inlineStr">
        <is>
          <t>Identity AI / ML Engineer</t>
        </is>
      </c>
      <c r="C244" t="inlineStr">
        <is>
          <t>Openkyber</t>
        </is>
      </c>
      <c r="D244" t="inlineStr">
        <is>
          <t>indeed</t>
        </is>
      </c>
      <c r="E244">
        <f>HYPERLINK("https://www.indeed.com/viewjob?jk=0ac21ea0bd820fa4", "https://www.indeed.com/viewjob?jk=0ac21ea0bd820fa4")</f>
        <v/>
      </c>
      <c r="F244">
        <f>HYPERLINK("https://candidateportalnew.ceipal.com/job-details/0tqAqe3WwHDawr1thMSzgzsgY1ISB9_RWnLGt43WoE4#.job_boards.Indeed", "https://candidateportalnew.ceipal.com/job-details/0tqAqe3WwHDawr1thMSzgzsgY1ISB9_RWnLGt43WoE4#.job_boards.Indeed")</f>
        <v/>
      </c>
      <c r="G244" t="inlineStr">
        <is>
          <t>CA, US</t>
        </is>
      </c>
      <c r="H244" s="3" t="n">
        <v>46047</v>
      </c>
      <c r="I244" t="inlineStr">
        <is>
          <t>**Job title:** Identity AI / ML Engineer  
**Location:** San Francisco, CA Hybrid  
**Job description:**
**Key Responsibilities**
**Agentic AI Execution \&amp; Workflow Building**
* Build, configure, and operate agentic workflows within AI tools (Open AI Tools, Claude, Jira automations, Power Platform, and internal AI agents etc.)
* Translate business needs into hands\-on automations, prototypes, and small\-scale agentic pilots.
* Maintain and improve automated processes\-fix issues, refine prompts, adjust logic, and optimize performance.
* Draft and refine AI playbooks, templates, and reusable components for PMO teams.
**Program Implementation \&amp; Delivery Support**
* Own the mechanics of program delivery: detailed planning, RAID logs, documentation, sprint alignment, and delivery tracking.
* Create and maintain execution\-level artifacts such as schedules, dependency maps, action trackers, and release plans.
* Directly update and manage Jira boards, Confluence pages, dashboards, and reporting tools to ensure real\-time accuracy.
* Dive into issues to unblock teams, identify root causes, surface gaps, and drive follow\-ups to completion.
**Operational Excellence \&amp; PMO Improvements**
* Redesign specific PMO workflows hands\-on\-rebuilding templates, creating automations, improving intake forms, and streamlining status reports.
* Manage tool configurations across Jira, Confluence, Workfront, and Microsoft 365 to improve hygiene and consistency.
* Build AI\-powered dashboards that consolidate delivery signals and provide visibility to leadership.
* Test, validate, and continuously enhance PMO processes through rapid iterations.
**AI Adoption \&amp; Enablement**
* Train teams through hands\-on demos, quick\-start guides, and in\-the\-moment support.
* Help PMs set up agentic workflows, automations, and copilots for their day\-to\-day work.
* Gather feedback and immediately turn it into refinements, updates, and improved tools.
* Act as the "first line of execution" for new AI capabilities, showing teams how to use them by doing the work alongside them.
**For applications and inquiries, contact:** hirings@openkyber.com</t>
        </is>
      </c>
    </row>
    <row r="245">
      <c r="A245" t="inlineStr">
        <is>
          <t>in-7374d3f4ab4b5335</t>
        </is>
      </c>
      <c r="B245" t="inlineStr">
        <is>
          <t>Identity AI / ML Engineer</t>
        </is>
      </c>
      <c r="C245" t="inlineStr">
        <is>
          <t>Openkyber</t>
        </is>
      </c>
      <c r="D245" t="inlineStr">
        <is>
          <t>indeed</t>
        </is>
      </c>
      <c r="E245">
        <f>HYPERLINK("https://www.indeed.com/viewjob?jk=7374d3f4ab4b5335", "https://www.indeed.com/viewjob?jk=7374d3f4ab4b5335")</f>
        <v/>
      </c>
      <c r="F245">
        <f>HYPERLINK("https://candidateportalnew.ceipal.com/job-details/4aYz4mZ5Nc1kd7lTr70Uf61kZMWgyORbYbYHA67wBn0#.job_boards.Indeed", "https://candidateportalnew.ceipal.com/job-details/4aYz4mZ5Nc1kd7lTr70Uf61kZMWgyORbYbYHA67wBn0#.job_boards.Indeed")</f>
        <v/>
      </c>
      <c r="G245" t="inlineStr">
        <is>
          <t>GA, US</t>
        </is>
      </c>
      <c r="H245" s="3" t="n">
        <v>46047</v>
      </c>
      <c r="I245" t="inlineStr">
        <is>
          <t>Job Description: As a Generative AI Engineer, you'll be a core member of this pod, building and integrating agentic systems powered by cutting\-edge LLM and GenAI technologies. You'll work closely with Tech Leads and Full Stack Engineers to turn AI capabilities into production\-ready enterprise solutions.
**Core Skills \&amp; Experience Must Haves:**
* 8 years of software engineering experience with at least 2\-3 years in AI/ML or GenAI systems in production
* Hands\-on experience with Python only for AI/ML model integration.
* Experience with LLM frameworks (LangChain, LlamaIndex is a must)
* Exposure to agentic frameworks (Langgraph, Google ADK, is a must)
* Understanding of Git, CI/CD, DevOps, and production\-grade GenAI deployment practices.
* Familiarity with Google Cloud Platform (Google Cloud Platform) \- e.g. Vertex AI, Cloud Run, and GKE.
**Good\-to\-Have:**
* Experience building AI APIs, embeddings, vector search, and integrating them into applications.
* Experience fine\-tuning open\-source models (LLaMA, Mistral, etc.) or working with OpenAI APIs.
* Exposure to multi\-modal AI systems (text, image, or voice).
**For applications and inquiries, contact:** hirings@openkyber.com</t>
        </is>
      </c>
    </row>
    <row r="246">
      <c r="A246" t="inlineStr">
        <is>
          <t>in-54138cb2af21ca1c</t>
        </is>
      </c>
      <c r="B246" t="inlineStr">
        <is>
          <t>Identity AI / ML Engineer</t>
        </is>
      </c>
      <c r="C246" t="inlineStr">
        <is>
          <t>Openkyber</t>
        </is>
      </c>
      <c r="D246" t="inlineStr">
        <is>
          <t>indeed</t>
        </is>
      </c>
      <c r="E246">
        <f>HYPERLINK("https://www.indeed.com/viewjob?jk=54138cb2af21ca1c", "https://www.indeed.com/viewjob?jk=54138cb2af21ca1c")</f>
        <v/>
      </c>
      <c r="F246">
        <f>HYPERLINK("https://candidateportalnew.ceipal.com/job-details/v6YiP5ATt-sB40gYMOl8sDv9F_AlurbBz6HihxumHNw#.job_boards.Indeed", "https://candidateportalnew.ceipal.com/job-details/v6YiP5ATt-sB40gYMOl8sDv9F_AlurbBz6HihxumHNw#.job_boards.Indeed")</f>
        <v/>
      </c>
      <c r="G246" t="inlineStr">
        <is>
          <t>GA, US</t>
        </is>
      </c>
      <c r="H246" s="3" t="n">
        <v>46047</v>
      </c>
      <c r="I246" t="inlineStr">
        <is>
          <t>**Position:** AI Cyber Defense Engineer
**Location:** Remote
**Duration:** 12\+ Months (Possible Extensions)
**TECHNICAL SKILLS Must Have:**
* 2 5 years of experience in AI/ML engineering, data engineering, or software engineering roles
* AWS Bedrock (model provisioning, API integration, prompt configuration, model evaluation)
* AWS (Lambda, S3, CloudWatch, Step Functions, or DynamoDB)
* Experience implementing workflows that incorporate humanintheloop validation or approval steps
* Exposure to cyber security concepts such as detection engineering, incident response, threat intelligence, or security operations
* Python (interacting with AI/LLM APIs and building smallscale automation or orchestration components)
* Understanding of secure AI development practices, including safe prompt design and datahandling minimization
**Nice To Have:**
**JOB SUMMARY**
AI Cyber Defense Engineer JOB DESCRIPTION Job Summary We are seeking a midlevel AI Cyber Defense Engineer (Contractor) to support our Cyber Threat Interdiction team with the development and execution of AI experiments using AWS Bedrock . The contractor will collaborate with engineering and a cross\-functional threat interdiction team with building secure, costefficient AI workflows and prototype solutions that advance the bank s cyber defense mission. This role is wellsuited for someone with handson AWS Bedrock experience, solid data engineering or data science foundations, and an interest in applying AI capabilities to cyber security use cases.
**Key Responsibilities**
* Assist in designing, building, and testing AI experiments leveraging AWS Bedrock and external lab environments , including model selection, prompting strategies, and orchestration patterns.
* Develop AI and MCPrelated code using secure practices to minimize risks related to model context sharing and tool invocation.
* Implement and maintain humanintheloop processes to ensure responsible oversight of AI and agent workflows.
* Support data preparation, pipeline construction, and costmonitoring tasks to ensure experiments run within allocated usage budgets.
* Apply cyber security knowledge to help shape experiments that support threat detection, interdiction, and operational security goals.
* Document experiment configurations, testing outcomes, risks, and recommended next steps.
* Contribute to reusable templates, runbooks, and guardrails that help the team scale its AI experimentation safely.
**Required Skills**
* 2 5 years of experience in AI/ML engineering, data engineering, or software engineering roles.
* Handson experience working with AWS Bedrock (model provisioning, API integration, prompt configuration, model evaluation).
* Proficiency in Python , including interacting with AI/LLM APIs and building smallscale automation or orchestration components.
* Understanding of secure AI development practices, including safe prompt design and datahandling minimization.
* Experience implementing workflows that incorporate humanintheloop validation or approval steps.
* Exposure to cyber security concepts such as detection engineering, incident response, threat intelligence, or security operations.
* Experience working with AWS services such as Lambda, S3, CloudWatch, Step Functions, or DynamoDB.
**NicetoHave Skills**
* Experience with RAG patterns, vector databases, or embeddings.
* Familiarity with model safety evaluations or responsible AI frameworks.
* Prior work building prototypes or proofofconcept AI tools.
* Understanding of secure coding principles and adversarial AI risks.
**For applications and inquiries, contact:** hirings@openkyber.com</t>
        </is>
      </c>
    </row>
    <row r="247">
      <c r="A247" t="inlineStr">
        <is>
          <t>in-a2007c5d213956a3</t>
        </is>
      </c>
      <c r="B247" t="inlineStr">
        <is>
          <t>Identity AI / ML Engineer</t>
        </is>
      </c>
      <c r="C247" t="inlineStr">
        <is>
          <t>Openkyber</t>
        </is>
      </c>
      <c r="D247" t="inlineStr">
        <is>
          <t>indeed</t>
        </is>
      </c>
      <c r="E247">
        <f>HYPERLINK("https://www.indeed.com/viewjob?jk=a2007c5d213956a3", "https://www.indeed.com/viewjob?jk=a2007c5d213956a3")</f>
        <v/>
      </c>
      <c r="F247">
        <f>HYPERLINK("https://candidateportalnew.ceipal.com/job-details/OBDrMdKM_z-g5SMA8qWsqvPjBrV_KQiek3Oj2qvJhYI#.job_boards.Indeed", "https://candidateportalnew.ceipal.com/job-details/OBDrMdKM_z-g5SMA8qWsqvPjBrV_KQiek3Oj2qvJhYI#.job_boards.Indeed")</f>
        <v/>
      </c>
      <c r="G247" t="inlineStr">
        <is>
          <t>TX, US</t>
        </is>
      </c>
      <c r="H247" s="3" t="n">
        <v>46047</v>
      </c>
      <c r="I247" t="inlineStr">
        <is>
          <t>**RESPONSIBILITIES:** OpenKyber has a client that is seeking an AI Engineer in Plano, TX. Summary: We are looking for a driven and technically proficient AI Engineer who thrives on the latest AI innovations, quick iteration, and converting innovative concepts into practical applications that enhance AI integration throughout our client's business processes. This position reports to the AI Product \&amp; Research Manager and involves investigating advancements in Generative AI, creating initial prototypes, and partnering with development teams to evolve these into robust, deployable solutions.
**Key Responsibilities:**
* AI Innovation and Technology Assessment: \* Assess new technologies, libraries, and interfaces including platforms like ChatGPT, GitHub Copilot, LangChain, LangSmith, CrewAI, vector stores, retrieval\-augmented generation tools, workflow managers, and model deployment services \* Pinpoint areas where innovative AI features can address operational challenges or improve efficiency in the client's environment
* Rapid Prototyping \&amp; Hands\-On Development: \* Construct efficient, operational prototypes with a strong hands\-on coding approach in Python, utilizing contemporary AI toolkits and model APIs \* Create trial functionalities and ideas to confirm viability prior to handover to production engineering groups
* Experimentation and Evaluation: \* Perform comparative testing, model assessments, prompt optimization, and adjustment trials to measure effectiveness \* Analyze various models, tools, and designs to suggest optimal solutions for implementation teams \* Record outcomes clearly, including experiment records, performance overviews, replicable scripts, and detailed technical write\-ups
* Teamwork with Developers and Partners: \* Collaborate directly with development groups to convert prototypes into reliable, production\-grade platforms
**REQUIREMENTS:**
* Technical Proficiency and Investigative Skills: \* Degree in Computer Science, Artificial Intelligence, Data Analytics, or equivalent field (or comparable background) \* Over 5 years of direct involvement in AI development, investigative roles, ML experimentation, or related positions \* Advanced coding skills in Python and knowledge of primary AI/ML environments (e.g., TensorFlow, PyTorch) \* Hands\-on involvement with LLMs, prompt refinement, retrieval\-augmented systems, LangChain, LangSmith, CrewAI, vector databases, and similar contemporary Generative AI resources \* Track record in developing rapid prototypes, proofs\-of\-concept, and trial AI tools
* Practical AI and Ecosystem Familiarity: \* Experience with development aids such as GitHub Copilot, AI\-assisted coding tools, and current MLOps practices \* Thorough insight into AI landscapes like OpenAI, Anthropic, Hugging Face, Azure AI, AWS Bedrock, and comparable services \* Ease in delving into model mechanics, tuning parameters, integrating APIs, and using assessment tools
* Interpersonal Abilities and Team Dynamics: \* Proven skill in adapting advanced research ideas into viable technical implementations \* Superior writing and presentation abilities for audiences ranging from experts to generalists \* Inquisitive approach with dedication to ongoing exploration, testing, and skill enhancement \* Capacity to handle various investigative paths, iterations, and evolving priorities
**Preferred Qualifications:**
* Certifications in specialized AI/ML subjects or cloud\-based AI environments \* Background in model customization, LoRA techniques, or custom model training \* Prior experience publishing research insights or contributing to open\-source AI projects \* Expertise in agentic AI systems, automation frameworks, and workflow orchestration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**For applications and inquiries, contact:** hirings@openkyber.com</t>
        </is>
      </c>
    </row>
    <row r="248">
      <c r="A248" t="inlineStr">
        <is>
          <t>in-ca138bd2054c464e</t>
        </is>
      </c>
      <c r="B248" t="inlineStr">
        <is>
          <t>Identity AI / ML Engineer</t>
        </is>
      </c>
      <c r="C248" t="inlineStr">
        <is>
          <t>Openkyber</t>
        </is>
      </c>
      <c r="D248" t="inlineStr">
        <is>
          <t>indeed</t>
        </is>
      </c>
      <c r="E248">
        <f>HYPERLINK("https://www.indeed.com/viewjob?jk=ca138bd2054c464e", "https://www.indeed.com/viewjob?jk=ca138bd2054c464e")</f>
        <v/>
      </c>
      <c r="F248">
        <f>HYPERLINK("https://candidateportalnew.ceipal.com/job-details/pIY0WRRsI8JoawHodt3inGaGoUY3frNyJkiLyR-ZBkg#.job_boards.Indeed", "https://candidateportalnew.ceipal.com/job-details/pIY0WRRsI8JoawHodt3inGaGoUY3frNyJkiLyR-ZBkg#.job_boards.Indeed")</f>
        <v/>
      </c>
      <c r="G248" t="inlineStr">
        <is>
          <t>GA, US</t>
        </is>
      </c>
      <c r="H248" s="3" t="n">
        <v>46047</v>
      </c>
      <c r="I248" t="inlineStr">
        <is>
          <t>AI/ML Engineer (5 12 years) Mandatory Skills: \- Model development \&amp; deployment \- REST API integration for ML models Preferred Skills: \- Experience with NLP, deep learning \- Cloud ML platforms (AWS SageMaker, Azure AI)
Expert (12\+ years) Mandatory Skills: \- Designing scalable ML systems \- Advanced statistical modeling Preferred Skills: \- Leadership in AI strategy
**For applications and inquiries, contact:** hirings@openkyber.com</t>
        </is>
      </c>
    </row>
    <row r="249">
      <c r="A249" t="inlineStr">
        <is>
          <t>in-34292dfa47611b45</t>
        </is>
      </c>
      <c r="B249" t="inlineStr">
        <is>
          <t>Identity AI / ML Engineer</t>
        </is>
      </c>
      <c r="C249" t="inlineStr">
        <is>
          <t>Openkyber</t>
        </is>
      </c>
      <c r="D249" t="inlineStr">
        <is>
          <t>indeed</t>
        </is>
      </c>
      <c r="E249">
        <f>HYPERLINK("https://www.indeed.com/viewjob?jk=34292dfa47611b45", "https://www.indeed.com/viewjob?jk=34292dfa47611b45")</f>
        <v/>
      </c>
      <c r="F249">
        <f>HYPERLINK("https://candidateportalnew.ceipal.com/job-details/kKM-8yJTjSMUP1WdN5nYbeRC2v_kUpEb1HRqVdkrJuo#.job_boards.Indeed", "https://candidateportalnew.ceipal.com/job-details/kKM-8yJTjSMUP1WdN5nYbeRC2v_kUpEb1HRqVdkrJuo#.job_boards.Indeed")</f>
        <v/>
      </c>
      <c r="G249" t="inlineStr">
        <is>
          <t>TX, US</t>
        </is>
      </c>
      <c r="H249" s="3" t="n">
        <v>46047</v>
      </c>
      <c r="I249" t="inlineStr">
        <is>
          <t>Role\- Google Cloud ML Engineer\- Vertex AI \&amp; CCAI Chat Virtual Agent Expert with Agentic AI Location\- Dallas, TX (Day1 Onsite)
Note\- Looking for Hands\-on experience with Implementing of Agentic AI and good with designing in ML/LLM Architecture. We seek an experienced developer to design, build, and deploy advanced conversational AI solutions on Google Cloud. You will leverage Vertex AI, CCAI, and Dialogflow to create intelligent, scalable chatbots that enhance digital customer engagement.
**Key Responsibilities:**
* Experience architecting, designing, and developing scalable chat Virtual Agent frameworks using Google Vertex AI, with proficiency in Vertex AI Agent Engine and Google Agent Development Kit (ADK).
* Expertise in building, customizing, and optimizing chatbots and conversational flows with Dialogflow CX/ES, including implementation of advanced intent detection, context management, slot filling, and rich fulfillment.
* Demonstrated ability to leverage state\-of\-the\-art NLP, LLM, and GenAI models on Vertex AI to enhance chatbot capabilities, such as complex intent handling, summarization, entity extraction, and response generation.
* Hands\-on experience building and maintaining cloud\-native chat Virtual Agent solutions using Google Cloud Platform services including CCAI, Vertex AI, Pub/Sub, Cloud Functions, Cloud Run, Cloud Storage, and BigQuery for real\-time data processing, analytics, and reporting.
* Proficiency in training, fine\-tuning, and deploying custom LLMs, transformer models, and Retrieval Augmented Generation (RAG) pipelines to advance chat Virtual Agent intelligence.
* Solid understanding and practical application of MLOps best practices for chatbot pipelines, including automation of training, deployment, testing, monitoring, and versioning with Vertex AI Pipelines, Docker, Kubernetes, and CI/CD workflows.
* Strong experience developing REST APIs, gRPC, and JSON\-based communication for seamless system integration.
**Required Qualifications:** 6\+ years in software development (4\+ in NLP/NLU for chat). Advanced Python skills; experience with ML/NLP libraries (Hugging Face, TensorFlow, PyTorch). Proven success building conversational agents with Vertex AI and Dialogflow CX/ES. Proficiency in Google Cloud Platform services and cloud\-native architectures. Solid MLOps understanding (Docker, Kubernetes, CI/CD, Git). Experience with Agent Assist functionality is a plus.
**Preferred Qualifications:** Master's/PhD in Computer Science, AI/ML, or related field. Google Cloud Platform certifications (e.g., Google Cloud Certified Professional ML Engineer). Experience with GenAI frameworks (PaLM, Gemini). Integration with CRM, knowledge bases, and live agent systems. Knowledge of security and compliance in chat AI.
**Soft Skills:** Excellent communication and collaboration. Strong ownership and end\-to\-end project delivery. Leadership in cross\-functional environments. Team Leading and Management.
**Capability Area Key Skills/Tools**
* Conversational AI Design Vertex AI, Dialogflow CX/ES, LLMs, RAG
* NLP/ML/GenAI Google ADK, NLU/NLG, fine\-tuning, GenAI (PaLM/Gemini)
* Google Cloud Platform Engineering CCAI, Cloud Functions, Pub/Sub, BigQuery, Cloud Run
* MLOps \&amp; Automation Vertex AI Pipelines, Docker, Kubernetes, CI/CD
* API Development \&amp; Integration Python, RESTful APIs, backend integration
**For applications and inquiries, contact:** hirings@openkyber.com</t>
        </is>
      </c>
    </row>
    <row r="250">
      <c r="A250" t="inlineStr">
        <is>
          <t>in-d9bcd15a6e48e10d</t>
        </is>
      </c>
      <c r="B250" t="inlineStr">
        <is>
          <t>Identity AI / ML Engineer</t>
        </is>
      </c>
      <c r="C250" t="inlineStr">
        <is>
          <t>Openkyber</t>
        </is>
      </c>
      <c r="D250" t="inlineStr">
        <is>
          <t>indeed</t>
        </is>
      </c>
      <c r="E250">
        <f>HYPERLINK("https://www.indeed.com/viewjob?jk=d9bcd15a6e48e10d", "https://www.indeed.com/viewjob?jk=d9bcd15a6e48e10d")</f>
        <v/>
      </c>
      <c r="F250">
        <f>HYPERLINK("https://candidateportalnew.ceipal.com/job-details/gpiRpLW5p0NoRoYjMdgNdmyEMWoy45EINdL4hGkNQog#.job_boards.Indeed", "https://candidateportalnew.ceipal.com/job-details/gpiRpLW5p0NoRoYjMdgNdmyEMWoy45EINdL4hGkNQog#.job_boards.Indeed")</f>
        <v/>
      </c>
      <c r="G250" t="inlineStr">
        <is>
          <t>TX, US</t>
        </is>
      </c>
      <c r="H250" s="3" t="n">
        <v>46047</v>
      </c>
      <c r="I250" t="inlineStr">
        <is>
          <t>Applied AI Engineer, Senior or Mid\-Level Hybrid in just East Downtown Austin, TX Only \- 2 days on\-site, 3 Remote
This is an exclusive, off\-market opportunity. Our executive client searches are confidential. Apply now to learn more about this unique new position!
**What's in it for you:**
* Opportunity to work on cutting\-edge AI solutions in a fast\-paced environment
* Collaborate with a skilled team on innovative AI\-driven applications
**What you get to do:**
* Design, develop, and deploy AI\-powered applications, chatbots, and automation tools
* Build and maintain backend systems using Python, with a focus on FastAPI (or similar frameworks like Flask/Django)
* Optimize AI model inference and integrate large language models (LLMs) into scalable production environments
* Work with tools like LangChain and LangGraph to create intelligent AI solutions
* Collaborate with cross\-functional teams to integrate LLM APIs and applications into complex systems
* Participate in Agile development processes, including sprint planning and daily stand\-ups
* Ensure performance, scalability, and reliability of AI applications
**What you need to succeed:**
* 2\+ years of development experience, ideally in AI/ML\-focused roles
* Proficiency in Python and TypeScript, with experience using Next.js for frontend development
* Strong API development skills and experience deploying applications in cloud environments (AWS, Google Cloud Platform, or Azure)
* Familiarity with LLM frameworks and AI tools such as LangChain and LangGraph
* Experience working in Agile/Scrum environments
* Exposure to containerization (Docker) and CI/CD best practices is a plus
**Bonus Perks:** As a valuable new member of the team, you will have access to a collaborative and innovative work environment, opportunities to expand your AI expertise, and the support of a highly skilled technical team.
**For applications and inquiries, contact:** hirings@openkyber.com</t>
        </is>
      </c>
    </row>
    <row r="251">
      <c r="A251" t="inlineStr">
        <is>
          <t>in-323a90961d336939</t>
        </is>
      </c>
      <c r="B251" t="inlineStr">
        <is>
          <t>Identity AI / ML Engineer</t>
        </is>
      </c>
      <c r="C251" t="inlineStr">
        <is>
          <t>Openkyber</t>
        </is>
      </c>
      <c r="D251" t="inlineStr">
        <is>
          <t>indeed</t>
        </is>
      </c>
      <c r="E251">
        <f>HYPERLINK("https://www.indeed.com/viewjob?jk=323a90961d336939", "https://www.indeed.com/viewjob?jk=323a90961d336939")</f>
        <v/>
      </c>
      <c r="F251">
        <f>HYPERLINK("https://candidateportalnew.ceipal.com/job-details/bJgwD4rqaD5k_jS5JwkVlg6Jv12qg5U_bjI4NFmRaD4#.job_boards.Indeed", "https://candidateportalnew.ceipal.com/job-details/bJgwD4rqaD5k_jS5JwkVlg6Jv12qg5U_bjI4NFmRaD4#.job_boards.Indeed")</f>
        <v/>
      </c>
      <c r="G251" t="inlineStr">
        <is>
          <t>TX, US</t>
        </is>
      </c>
      <c r="H251" s="3" t="n">
        <v>46047</v>
      </c>
      <c r="I251" t="inlineStr">
        <is>
          <t>Role: DevOps Engineer Location: Dallas TX Mandatory Skills: AWS, exposure of doing migration with AI \&amp; Automation 6\+ Months Job Description: Advanced knowledge of TFE capabilities including workspace orchestration, Sentinel policy\-as\-code enforcement, remote state management, variable sets, and dynamic provider configurations. Designed, implemented, and governed multi\-cloud network topologies using Terraform modules, enabling standardized, automated provisioning of environments: AWS: VPCs, subnets, NAT/IGWs, route tables, security groups, transit gateways, load balancers, VPN/Direct Connect, and PrivateLink. Proven experience in building and managing CI/CD pipelines using GitLab, automating builds, testing, and infrastructure deployments. Proficient in containerization and orchestration, with production experience in Docker, Helm, and Kubernetes, including deployment automation, cluster scaling, ingress configuration, and secret management. Expert\-level scripting and automation skills using Python, Golang, Bash, and PowerShell to build custom tools, automation scripts, and API integrations with cloud services, ticketing systems, and internal tools. Strong focus on monitoring, logging, and observability, using tools like Prometheus, Grafana, ELK Stack, CloudWatch, Azure Monitor, and Google Cloud Platform Operations Suite to support infrastructure health and compliance.
**For applications and inquiries, contact:** hirings@openkyber.com</t>
        </is>
      </c>
    </row>
    <row r="252">
      <c r="A252" t="inlineStr">
        <is>
          <t>in-100baec710cda914</t>
        </is>
      </c>
      <c r="B252" t="inlineStr">
        <is>
          <t>Identity AI / ML Engineer</t>
        </is>
      </c>
      <c r="C252" t="inlineStr">
        <is>
          <t>Openkyber</t>
        </is>
      </c>
      <c r="D252" t="inlineStr">
        <is>
          <t>indeed</t>
        </is>
      </c>
      <c r="E252">
        <f>HYPERLINK("https://www.indeed.com/viewjob?jk=100baec710cda914", "https://www.indeed.com/viewjob?jk=100baec710cda914")</f>
        <v/>
      </c>
      <c r="F252">
        <f>HYPERLINK("https://candidateportalnew.ceipal.com/job-details/E4lC7tiPEs5rm7SPTsXR8ifUhp1LBLUSEEUOjSo-lJU#.job_boards.Indeed", "https://candidateportalnew.ceipal.com/job-details/E4lC7tiPEs5rm7SPTsXR8ifUhp1LBLUSEEUOjSo-lJU#.job_boards.Indeed")</f>
        <v/>
      </c>
      <c r="G252" t="inlineStr">
        <is>
          <t>GA, US</t>
        </is>
      </c>
      <c r="H252" s="3" t="n">
        <v>46047</v>
      </c>
      <c r="I252" t="inlineStr">
        <is>
          <t>Role\-AI/ML Location\- Alpharetta, GA/ New York City, NY (Need Only locals)
* 10\+ years \- Designing scalable ML systems
* Advanced statistical modeling
**Preferred Skills:**
* Leadership in AI strategy
* Cutting\-edge frameworks (Transformers, LLMs)
**Mandatory Skills:**
* Model development \&amp; deployment
* REST API integration for ML models
**Preferred Skills:**
* Experience with NLP, deep learning
* Cloud ML platforms (AWS SageMaker, Azure AI)
**For applications and inquiries, contact:** hirings@openkyber.com</t>
        </is>
      </c>
    </row>
    <row r="253">
      <c r="A253" t="inlineStr">
        <is>
          <t>in-4c7e9b9771b327b1</t>
        </is>
      </c>
      <c r="B253" t="inlineStr">
        <is>
          <t>Identity AI / ML Engineer</t>
        </is>
      </c>
      <c r="C253" t="inlineStr">
        <is>
          <t>Openkyber</t>
        </is>
      </c>
      <c r="D253" t="inlineStr">
        <is>
          <t>indeed</t>
        </is>
      </c>
      <c r="E253">
        <f>HYPERLINK("https://www.indeed.com/viewjob?jk=4c7e9b9771b327b1", "https://www.indeed.com/viewjob?jk=4c7e9b9771b327b1")</f>
        <v/>
      </c>
      <c r="F253">
        <f>HYPERLINK("https://candidateportalnew.ceipal.com/job-details/NznuxZOny435OQd99gjVXyKlovYJ9Ay2lZR_n1Xbj_Y#.job_boards.Indeed", "https://candidateportalnew.ceipal.com/job-details/NznuxZOny435OQd99gjVXyKlovYJ9Ay2lZR_n1Xbj_Y#.job_boards.Indeed")</f>
        <v/>
      </c>
      <c r="G253" t="inlineStr">
        <is>
          <t>TX, US</t>
        </is>
      </c>
      <c r="H253" s="3" t="n">
        <v>46047</v>
      </c>
      <c r="I253" t="inlineStr">
        <is>
          <t>Immediate need \- Sr. Full Stack Engineer AI/ML \- Need ppl on our W2 Client \- OpenKyber \- 5 days a week onsite Job Title: Senior Full Stack Engineer AI/ML Location: Dallas, TX (Day 1 onsite) Duration: 12\+ Months Role summary: As a Senior Software Engineer, you will contribute to the design, development, and delivery of scalable software solutions by collaborating with cross\-functional teams. This role involves writing clean, efficient code, driving full lifecycle development, and integrating advanced technologies including AI and machine learning components. You will provide technical guidance, participate in solution design, and ensure quality through testing and monitoring. The position requires strong problem\-solving skills, adaptability to evolving technologies, and effective communication with stakeholders to meet business objectives and support continuous improvement initiatives. About the team: The team focuses on delivering high\-quality software solutions through collaborative engineering efforts. Members engage in full lifecycle development, including design, implementation, testing, and continuous improvement of services and APIs. Emphasizing software quality testing and enhancement, the team integrates modern practices such as continuous integration and automated testing. They work closely with product and business partners to translate requirements into scalable, maintainable solutions. The group values technical excellence, innovation, and effective communication to meet business objectives while supporting ongoing learning and process improvements in a dynamic environment. What you'll do:
* Develop, implement, and maintain software components, APIs, and user interfaces with clean, efficient, and reliable code.
* Collaborate with cross\-functional teams to design scalable, secure, and maintainable solutions aligned with business requirements.
* Participate in project discovery and translate technical requirements into detailed designs and functional logic.
* Drive full software development lifecycle activities including continuous integration, automated testing, deployment, and monitoring.
* Integrate AI/ML components and leverage advanced tools to enhance development efficiency and innovation.
* Provide technical guidance to small engineering teams and support knowledge sharing.
* Monitor application performance and ensure adherence to project timelines and quality standards.
What you'll bring:
* Proficiency in software development using languages such as JavaScript, TypeScript, Python, Java, Rust, Dart, or C\+\+.
* 5\+ years experience with full software development lifecycle including embedded software development, continuous integration, automated testing, and deployment.
* Strong understanding of software architecture, platform design, and cloud engineering principles.
* Ability to translate business requirements into scalable, secure, and maintainable technical solutions.
* Familiarity with Agile methodologies and version control systems.
* Demonstrated skills in collaboration, technical leadership, and effective communication with cross\-functional teams. Aptitude for problem\-solving, innovation, and continuous process improvement.
**For applications and inquiries, contact:** hirings@openkyber.com</t>
        </is>
      </c>
    </row>
    <row r="254">
      <c r="A254" t="inlineStr">
        <is>
          <t>in-9ba5e098e26b6b62</t>
        </is>
      </c>
      <c r="B254" t="inlineStr">
        <is>
          <t>Identity AI / ML Engineer</t>
        </is>
      </c>
      <c r="C254" t="inlineStr">
        <is>
          <t>Openkyber</t>
        </is>
      </c>
      <c r="D254" t="inlineStr">
        <is>
          <t>indeed</t>
        </is>
      </c>
      <c r="E254">
        <f>HYPERLINK("https://www.indeed.com/viewjob?jk=9ba5e098e26b6b62", "https://www.indeed.com/viewjob?jk=9ba5e098e26b6b62")</f>
        <v/>
      </c>
      <c r="F254">
        <f>HYPERLINK("https://candidateportalnew.ceipal.com/job-details/2Mln04ZSKpR6MdeliGraALYcyhVb-2NaCTHAgZuk0jE#.job_boards.Indeed", "https://candidateportalnew.ceipal.com/job-details/2Mln04ZSKpR6MdeliGraALYcyhVb-2NaCTHAgZuk0jE#.job_boards.Indeed")</f>
        <v/>
      </c>
      <c r="G254" t="inlineStr">
        <is>
          <t>IL, US</t>
        </is>
      </c>
      <c r="H254" s="3" t="n">
        <v>46047</v>
      </c>
      <c r="I254" t="inlineStr">
        <is>
          <t>We have an immediate opening for Lead AI/ML Engineer Generative AI \- Hartford, CT 6156
**Job Title:** Lead AI/ML Engineer Generative AI
**Work Location:** Hartford, CT 6156
**Contract duration:** 6months
**Implementation Partner:** /End client will be disclosed in the interview.
**Interview mode:** Video
**Visa Independent candidates are acceptable**
**Job Details:**
**Must Have Skills**
* Strong proficiency in Python
* Generative AI (GenAI)
* Machine Learning (ML)
* Model Fine Tuning techniques (PEFT, LoRA)
**Nice to have skills**
* PyTorch
* TensorFlow
**Familiarity with ML algorithms (e.g., Random Forest, XGBoost)**
Detailed Job Description
* Collaborate with clients and business teams to identify opportunities for AI driven transformation development.
* Design and propose end\-to\-end AI solutions aligned with business objectives.
* Lead technical discussions and provide thought leadership in AIML and Generative AI.
* Develop prototypes and proof of concepts using modern AI frameworks and tools.
* Guide teams on best practices for model development, finetuning, and deployment.
* Stay updated with emerging AI technologies and trends to drive innovation.
**Minimum years of experience \&gt;10 years**
**For applications and inquiries, contact:** hirings@openkyber.com</t>
        </is>
      </c>
    </row>
    <row r="255">
      <c r="A255" t="inlineStr">
        <is>
          <t>in-d8ea9261b1e555ef</t>
        </is>
      </c>
      <c r="B255" t="inlineStr">
        <is>
          <t>Senior LLM / Machine Learning Engineer – Clinical Platforms</t>
        </is>
      </c>
      <c r="C255" t="inlineStr">
        <is>
          <t>Boston Children's Hospital</t>
        </is>
      </c>
      <c r="D255" t="inlineStr">
        <is>
          <t>indeed</t>
        </is>
      </c>
      <c r="E255">
        <f>HYPERLINK("https://www.indeed.com/viewjob?jk=d8ea9261b1e555ef", "https://www.indeed.com/viewjob?jk=d8ea9261b1e555ef")</f>
        <v/>
      </c>
      <c r="F255">
        <f>HYPERLINK("https://sjobs.brassring.com/TGnewUI/Search/home/HomeWithPreLoad?partnerid=368&amp;siteid=5205&amp;PageType=JobDetails&amp;jobid=3706146", "https://sjobs.brassring.com/TGnewUI/Search/home/HomeWithPreLoad?partnerid=368&amp;siteid=5205&amp;PageType=JobDetails&amp;jobid=3706146")</f>
        <v/>
      </c>
      <c r="G255" t="inlineStr">
        <is>
          <t>Boston, MA, US</t>
        </is>
      </c>
      <c r="H255" s="3" t="n">
        <v>46047</v>
      </c>
      <c r="I255" t="inlineStr">
        <is>
          <t>The Computational Health Informatics Program (www.chip.org) at Boston Children’s Hospital, a Harvard Medical School affiliate, is seeking an experienced Machine Learning Engineer to join the SMART Health IT team (http://smarthealthit.org). In this role, you will design, build, and deploy LLM pipelines that operate on real\-world clinical data and support model validation and care delivery at scale. You will join the team that helped define national standards for healthcare data APIs and population\-scale clinical data exchange, and that maintains widely adopted open\-source platforms used by hospitals, researchers, and technology partners worldwide. Your work will sit at the center of healthcare data innovation, translating modern AI methods into durable, production\-grade tools used in clinical environments.  
**Key Responsibilities*** Develop repeatable pipelines in Python using pandas, scikit\-learn, and other statistical tools for data structuring, extraction and validation.
* Develop, analyze, and interpret large clinical text datasets using the latest natural language processing (NLP/LLM) methods to extract and validate insights to support clinical research and predictive modeling.
* Query and manage health datasets using SQL on AWS cloud
* Produce innovative solutions driven by exploratory data analysis from complex and high\-dimensional datasets. Applies knowledge of statistics, machine learning, programming, data modeling, simulation, and advanced mathematics to recognize patterns, identify opportunities, pose questions, and make discoveries. Using a flexible, analytical approach to design, develop, and evaluate predictive models and advanced algorithms that lead to optimal value extraction from the data. Generates and tests hypotheses and analyzing and interpreting the results of experiments
* With minimal supervision and direction, completes assignments in the required timeframe; consistently adhering to and promoting standard operating procedures and best practices; maintaining and upgrading biomedical informatics tools, methods, and technologies; migrating data, documenting changes, and adjusting internal processes; resolving problems associated with assignments and seeking supervisor assistance when needed.
* Routinely leads, co\-leads, or participates in biomedical informatics projects with other members from the BCH research community and external collaborators; setting goals and objectives for projects and demonstrating achievement of those goals and objectives; coordinating work activities with other stakeholders; contributing to the resulting presentations and/or publications.
* Trains staff and researchers; effectively tailoring presentations; developing, implementing, and maintaining knowledge management systems.
* Creates or contributes to a range of compelling communications (e.g., PowerPoint presentations, e\-mails, memos, scientific presentations, and publications) that clearly deliver content; preparing communications appropriate for management and internal distributions.
* Presents at project meetings; effectively conveying progress and asserting point of view; constructively discussing issues and providing facts; building credibility and trust by asking thoughtful questions and actively listening; running productive project meetings that advance problem\-solving.
**Minimum Qualifications**  
**Education:*** Bachelor's degree in a STEM; PhD, MD, MPH or MS preferred
**Experience:*** 2\-3 years of experience in a professional work environment outside of academic setting.
* Demonstrated proficiency in Python and SQL and/or numpy libraries for natural language processing and validation.
* Strong foundation in statistics and applied quantitative methods.
* Familiarity with fast healthcare interoperability resources (FHIR) is a plus and can be learned on the job.
* Excellent communication, teamwork, and problem\-solving skills.
* Excellent problem\-solving ability, collaborative spirit, and scientific curiosity.
**Status**
Full\-Time
**Regular, Temporary, Per Diem**
Regular
**Standard Hours per Week**
40
**Pay Range**
$78540\.80\-$125652\.80 Annual
**Office/Site Location**
Boston
**Job Posting Category**
Information Technology
**Remote Eligibility**
Part Remote/Hybrid</t>
        </is>
      </c>
    </row>
    <row r="256">
      <c r="A256" t="inlineStr">
        <is>
          <t>in-a07ba215d5ec4caf</t>
        </is>
      </c>
      <c r="B256" t="inlineStr">
        <is>
          <t>Staff Machine Learning Engineer</t>
        </is>
      </c>
      <c r="C256" t="inlineStr">
        <is>
          <t>mPulse Mobile</t>
        </is>
      </c>
      <c r="D256" t="inlineStr">
        <is>
          <t>indeed</t>
        </is>
      </c>
      <c r="E256">
        <f>HYPERLINK("https://www.indeed.com/viewjob?jk=a07ba215d5ec4caf", "https://www.indeed.com/viewjob?jk=a07ba215d5ec4caf")</f>
        <v/>
      </c>
      <c r="F256">
        <f>HYPERLINK("https://mpulseportal.rec.pro.ukg.net/MPU1000PULSE/JobBoard/dc48557c-996a-4e30-a53d-fd3dfb186808/OpportunityDetail?opportunityId=6e94c896-f9fe-43c1-9e1e-b7024d26e046", "https://mpulseportal.rec.pro.ukg.net/MPU1000PULSE/JobBoard/dc48557c-996a-4e30-a53d-fd3dfb186808/OpportunityDetail?opportunityId=6e94c896-f9fe-43c1-9e1e-b7024d26e046")</f>
        <v/>
      </c>
      <c r="G256" t="inlineStr">
        <is>
          <t>Remote, US</t>
        </is>
      </c>
      <c r="H256" s="3" t="n">
        <v>46047</v>
      </c>
      <c r="I256" t="inlineStr">
        <is>
          <t>Staff Machine Learning Engineer
**Job Category****:** Data and Tech
**Requisition Number****:** STAFF001275  
Posting Details
Posted: January 26, 2026
Full\-Time
Remote
Locations
Remote  
Remote, USA  
Job Details
Description
**Job Summary:**
We are seeking a Staff Machine Learning Engineer to help establish and lead our Machine Learning Engineering function. This role will be instrumental in shaping the future of our ML and LLM capabilities, driving innovation across traditional ML pipelines, AI/LLM applications, and ensuring fairness, scalability, and cost\-efficiency in our systems.
You'll work directly with the Director of Data, AI, and ML and partner closely with engineering and product leadership to grow and mentor a team of Machine Learning Engineers. Your impact will shape both the technical direction of our ML systems and the culture of our growing team.
**Duties/Responsibilities:**
* Architect and lead the development of scalable ML infrastructure for training, inference, and model lifecycle management.
* Design and implement systems for ML experiment tracking, model registry, and feature store integration.
* Establish frameworks for bias and fairness assessment across ML models and ensure compliance with internal and external standards.
* Develop infrastructure and tooling for real\-time and batch model inference.
* Collaborate with data scientists, engineers, and product teams to translate business needs into new ML solutions.
* Support Software Engineering teams in their development of LLM products by establishing and managing shared LLM infrastructure for governance, observability, and cost management.
* Mentor and guide a team of ML engineers, fostering a culture of innovation, transparency, and technical excellence.
**Skills/Abilities/Experience:**
* 7\+ years of experience in Machine Learning Engineering or Applied ML, with 2\+ years of leadership experience.
* Expertise in ML infrastructure, model lifecycle management, and experiment tracking tools (e.g., MLflow, Weights \&amp; Biases).
* Hands\-on experience with LLM development, including prompt tuning, RAG architectures, and vector databases (e.g., Qdrant, Pinecone).
* Strong understanding of bias and fairness metrics, and experience implementing auditing frameworks.
* Proficiency in big data tools and cloud platforms (e.g., AWS, GCP, Azure, Snowflake, Spark).
* Strong software engineering skills in Python and experience with containerization and orchestration (e.g., Docker, Kubernetes).
* Experience managing ML costs and optimizing cloud resource usage.
* Excellent communication and collaboration skills, with a track record of cross\-functional leadership.
* Passion for building scalable, transparent, and impactful ML systems.  
The most important skills for this position is deep expertise in Fortran. Make sure to describe your Fortran experience.
**Preferred Experience:**
* Experience in a startup environment
* Bachelor's Degree in Computer Science or similar degree
* Experience with boosted models like XGBoost
* Experience with LLM Voice agents
* Familiarity with Healthcare data
Equal Opportunity Employer  
This employer is required to notify all applicants of their rights pursuant to federal employment laws. For further information, please review the Know Your Rights notice from the Department of Labor.</t>
        </is>
      </c>
    </row>
    <row r="257">
      <c r="A257" t="inlineStr">
        <is>
          <t>in-427ea33cfead0b7d</t>
        </is>
      </c>
      <c r="B257" t="inlineStr">
        <is>
          <t>AI Engineer</t>
        </is>
      </c>
      <c r="C257" t="inlineStr">
        <is>
          <t>Cloudflare</t>
        </is>
      </c>
      <c r="D257" t="inlineStr">
        <is>
          <t>indeed</t>
        </is>
      </c>
      <c r="E257">
        <f>HYPERLINK("https://www.indeed.com/viewjob?jk=427ea33cfead0b7d", "https://www.indeed.com/viewjob?jk=427ea33cfead0b7d")</f>
        <v/>
      </c>
      <c r="F257">
        <f>HYPERLINK("https://grnh.se/j1dbpam71us", "https://grnh.se/j1dbpam71us")</f>
        <v/>
      </c>
      <c r="G257" t="inlineStr">
        <is>
          <t>Austin, TX, US</t>
        </is>
      </c>
      <c r="H257" s="3" t="n">
        <v>46047</v>
      </c>
      <c r="I257"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 **Available Locations: Austin, TX**
### **About the Department**
Emerging Technologies \&amp; Incubation (ETI) is where new and bold products are built and released within Cloudflare. Rather than being constrained by the structures which make Cloudflare a massively successful business, we are able to leverage them to deliver entirely new tools and products to our customers. Cloudflare's edge and network make it possible to solve problems at massive scale and efficiency which would be impossible for almost any other organization.
### **What you'll do**
In this role you will design, build, and ship AI\-powered product features. You will often collaborate across disciplines by partnering with engineers, data scientists, designers, and stakeholders to integrate AI seamlessly into existing systems and workflows. As the landscape for AI continues to change you will be expected to stay current on emerging AI techniques and tooling, experiment rapidly, and bring forward ideas that are practical, maintainable, and impactful. Applying AI to existing products as well as new products will be an important part of this role and your ability to ship production\-grade systems will be an expected requisite. On any given day you might be benchmarking various AI models, writing evals, collaborating with other AI teams on novel solutions, or developing a net\-new product to release to Cloudflare customers.
### **Examples of desirable skills, knowledge and experience**
* 5\+ years of experience working with distributed systems.
* Experience designing and building frontend applications.
* Solid understanding of cloud primitives and how they work together to build distributed systems.
* Knowledge of at least one modern strongly\-typed programming language: we primarily use TypeScript.
* Experience debugging, optimizing and identifying failure modes in large\-scale frontend applications.
* Experience developing and deploying AI solutions
**What Makes Cloudflare Special?**
We're not just a highly ambitious, large\-scale technology company. We're a highly ambitious, large\-scale technology company with a soul. Fundamental to our mission to help build a better Internet is protecting the free and open Internet.
**Project Galileo**: Since 2014, we've equipped more than 2,400 journalism and civil society organizations in 111 countries with powerful tools to defend themselves against attacks that would otherwise censor their work, technology already used by Cloudflare's enterprise customers\-at no cost.
**Athenian Project**: In 2017, we created the Athenian Project to ensure that state and local governments have the highest level of protection and reliability for free, so that their constituents have access to election information and voter registration. Since the project, we've provided services to more than 425 local government election websites in 33 states.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row>
    <row r="258">
      <c r="A258" t="inlineStr">
        <is>
          <t>in-33842aeff758ad85</t>
        </is>
      </c>
      <c r="B258" t="inlineStr">
        <is>
          <t>AI engineer</t>
        </is>
      </c>
      <c r="C258" t="inlineStr">
        <is>
          <t>Gridium</t>
        </is>
      </c>
      <c r="D258" t="inlineStr">
        <is>
          <t>indeed</t>
        </is>
      </c>
      <c r="E258">
        <f>HYPERLINK("https://www.indeed.com/viewjob?jk=33842aeff758ad85", "https://www.indeed.com/viewjob?jk=33842aeff758ad85")</f>
        <v/>
      </c>
      <c r="F258">
        <f>HYPERLINK("https://jobs.ashbyhq.com/Gridium/f0e16774-e7c1-4fa6-a0bf-fcc220051a7f?utm_source=2jydyQW7gz", "https://jobs.ashbyhq.com/Gridium/f0e16774-e7c1-4fa6-a0bf-fcc220051a7f?utm_source=2jydyQW7gz")</f>
        <v/>
      </c>
      <c r="G258" t="inlineStr">
        <is>
          <t>Chicago, IL, US</t>
        </is>
      </c>
      <c r="H258" s="3" t="n">
        <v>46047</v>
      </c>
      <c r="I258" t="inlineStr">
        <is>
          <t>Gridium helps commercial building owners cut energy use and carbon emissions. We are a profitable, venture\-backed company with real customers, real data, and real energy savings. Now we're launching a new AI\-powered product line—and we're looking for a founding engineer to help build it.
**The opportunity**
-------------------
This is a unique opportunity to have a major impact: you'll own a greenfield product initiative while benefiting from an established customer base and a decade of operational building data. You'll work directly with a company founder to ship a v1 this year, going from concept to prototype to production to iteration.
This position is based in Chicago. We have a hybrid structure that flexibly combines remote work with in\-person collaboration.
Our technical stack is primarily Python and AWS, but there is plenty of room to shape the architecture as we go.
**What you'll do**
------------------
Build and ship AI\-powered features from prototype to production. Evaluate and integrate frontier models and tools. Design eval frameworks for monitoring and improving system quality. Develop agent architectures that balance reliability with autonomy. Work across the stack—primarily backend, with some frontend as needed. Collaborate closely with product and customers to shape what we build.
**Who you are**
---------------
You are a product\-minded engineer motivated by Gridium’s mission and the opportunity to build something from the ground up. You enjoy moving quickly and flexibly as we work directly with customer design partners to uncover user needs.
You bring:
* A track record of defining milestones, shipping production software, and taking responsibility for results.
* Strong engineering fundamentals: system design, code reviews, test coverage, CI/CD, all the things.
* Clear written communication: specs, decision records, and crisp technical explanations.
You are excited about the current moment in AI and you've been building with it, not just reading about it. You're fluent with AI coding tools, understand their capabilities and limitations, and bring a learning mindset to the rapidly shifting technology landscape.
You are comfortable owning technical decisions and bringing a critical perspective on technical cost and feasibility to questions of product strategy. You thrive in a collaborative environment where we share ideas openly and respectfully, and work with creativity and purpose.
**Why Gridium**
---------------
Most people are aware that data centers use a lot of electricity. Fewer realize that data centers represent only a small sliver of the energy footprint of buildings in general, which account for \~40% of global carbon emissions. Much of that energy is wasted. We're working on the problem because it matters, and we’ve been growing faster than ever as demand for genuine energy solutions increases.
We offer competitive salary; equity; 401(k) with match; premium medical, dental, vision, life, and disability insurance; generous parental leave; flexible vacation; and a great work environment.
**To apply**
------------
You must currently reside in the U.S. and have the legal right to work here.
We're an equal opportunity employer and value diversity. We don't discriminate on the basis of race, religion, color, national origin, gender, sexual orientation, age, marital status, veteran status, or disability status.
Compensation Range: $200K \- $300K</t>
        </is>
      </c>
    </row>
    <row r="259">
      <c r="A259" t="inlineStr">
        <is>
          <t>in-41c1f1220a373dc1</t>
        </is>
      </c>
      <c r="B259" t="inlineStr">
        <is>
          <t>Staff Robotics AI Engineer</t>
        </is>
      </c>
      <c r="C259" t="inlineStr">
        <is>
          <t>Analog Devices</t>
        </is>
      </c>
      <c r="D259" t="inlineStr">
        <is>
          <t>indeed</t>
        </is>
      </c>
      <c r="E259">
        <f>HYPERLINK("https://www.indeed.com/viewjob?jk=41c1f1220a373dc1", "https://www.indeed.com/viewjob?jk=41c1f1220a373dc1")</f>
        <v/>
      </c>
      <c r="F259">
        <f>HYPERLINK("https://analogdevices.wd1.myworkdayjobs.com/en-US/External/job/US-CA-San-Jose-Rio-Robles/Staff-Robotics-AI-Engineer_R260374", "https://analogdevices.wd1.myworkdayjobs.com/en-US/External/job/US-CA-San-Jose-Rio-Robles/Staff-Robotics-AI-Engineer_R260374")</f>
        <v/>
      </c>
      <c r="G259" t="inlineStr">
        <is>
          <t>San Jose, CA, US</t>
        </is>
      </c>
      <c r="H259" s="3" t="n">
        <v>46047</v>
      </c>
      <c r="I259"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Staff AI/ML Software Engineer  
About the Role  
The Staff AI/ML Software Engineer serves as a technical leader responsible for architecting complex AI/ML systems and driving technical strategy. In this role, you will lead multiple initiatives, define vision and direction, and solve highly complex problems requiring in\-depth analysis. You will establish best practices, mentor team members, and drive innovation in ML methodologies while working closely with cross\-functional leadership to align technical solutions with business objectives.  
Key Responsibilities* Architect complex AI/ML systems that scale across multiple products or services
* Drive technical strategy for ML systems and set direction for implementation teams
* Lead multiple technical initiatives simultaneously with high business impact
* Solve complex problems requiring in\-depth analysis and novel approaches
* Establish best practices, standards, and frameworks for ML development
* Mentor and develop team capabilities in advanced ML techniques
* Influence technical decisions across teams and organizational boundaries
Must Have Skills* ML Systems Architecture: Deep expertise in designing large\-scale, robust ML systems with complex requirements
* Advanced ML Algorithms: Mastery of ML algorithms, optimization techniques, and their practical applications
* Technical Leadership: Proven ability to lead technical teams and drive consensus on complex ML approaches
* System Optimization: Expert knowledge in optimizing ML systems for performance, cost, and scalability
* Innovation in ML: Ability to explore and apply cutting\-edge ML research to solve difficult business problems
* Cross\-Functional Collaboration: Experience working with product, business, and engineering stakeholders at senior levels
Preferred Education and Experience* Master's or PhD in Computer Science, AI/ML, or related field
* 8\+ years of relevant experience in machine learning engineering
* Demonstrated track record of leading complex ML projects with significant business impact
Why You’ll Love Working at ADI  
At Analog Devices, you'll be part of a collaborative and innovative team that's shaping the future of technology. We offer a supportive environment focused on professional growth, competitive compensation and benefits, work\-life balance, and the opportunity to work on cutting\-edge projects that make a real impact on the world.  
Your expertise will shape the future of technology, and you’ll be supported by a culture that values continuous advancement and professional growth. Join us and help create the technologies that bridge the physical and digital worlds, making a tangible difference in how people live, work, and connect.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group.**EEO is the Law:* *Notice of Applicant Rights Under the Law**.*
Job Req Type: Experienced  
Required Travel: Yes, 10% of the time  
Shift Type: 1st Shift/Days
The expected wage range for a new hire into this position is $144,038 to $216,056\.*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260">
      <c r="A260" t="inlineStr">
        <is>
          <t>in-5a360df56c577f95</t>
        </is>
      </c>
      <c r="B260" t="inlineStr">
        <is>
          <t>Machine Learning Engineer</t>
        </is>
      </c>
      <c r="C260" t="inlineStr">
        <is>
          <t>ExxonMobil</t>
        </is>
      </c>
      <c r="D260" t="inlineStr">
        <is>
          <t>indeed</t>
        </is>
      </c>
      <c r="E260">
        <f>HYPERLINK("https://www.indeed.com/viewjob?jk=5a360df56c577f95", "https://www.indeed.com/viewjob?jk=5a360df56c577f95")</f>
        <v/>
      </c>
      <c r="F260">
        <f>HYPERLINK("https://jobs.exxonmobil.com/ExxonMobil/job/Spring-Machine-Learning-Engineer-TX-77024/1338308500/?feedId=204100&amp;utm_source=Indeed&amp;utm_campaign=XOM_Indeed", "https://jobs.exxonmobil.com/ExxonMobil/job/Spring-Machine-Learning-Engineer-TX-77024/1338308500/?feedId=204100&amp;utm_source=Indeed&amp;utm_campaign=XOM_Indeed")</f>
        <v/>
      </c>
      <c r="G260" t="inlineStr">
        <is>
          <t>Spring, TX, US</t>
        </is>
      </c>
      <c r="H260" s="3" t="n">
        <v>46047</v>
      </c>
      <c r="I260"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**Job Role Summary**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**Employee equal opportunity**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
\#LI\-Onsite</t>
        </is>
      </c>
    </row>
    <row r="261">
      <c r="A261" t="inlineStr">
        <is>
          <t>in-c6d9a6ff7ff49114</t>
        </is>
      </c>
      <c r="B261" t="inlineStr">
        <is>
          <t>Distinguished Machine Learning Engineer</t>
        </is>
      </c>
      <c r="C261" t="inlineStr">
        <is>
          <t>Cisco</t>
        </is>
      </c>
      <c r="D261" t="inlineStr">
        <is>
          <t>indeed</t>
        </is>
      </c>
      <c r="E261">
        <f>HYPERLINK("https://www.indeed.com/viewjob?jk=c6d9a6ff7ff49114", "https://www.indeed.com/viewjob?jk=c6d9a6ff7ff49114")</f>
        <v/>
      </c>
      <c r="F261">
        <f>HYPERLINK("https://careers.cisco.com/global/en/job/2004071", "https://careers.cisco.com/global/en/job/2004071")</f>
        <v/>
      </c>
      <c r="G261" t="inlineStr">
        <is>
          <t>San Jose, CA, US</t>
        </is>
      </c>
      <c r="H261" s="3" t="n">
        <v>46047</v>
      </c>
      <c r="I261" t="inlineStr">
        <is>
          <t>**The application window is expected to close on:** Job posting may be removed earlier if the position is filled or if a sufficient number of applications are received.
Application Deadline expected to close 02/13/26\.
Job posting may be removed earlier if the position is filled or if a sufficient number of applications are received.
We will consider candidates based anywhere in the U.S.
Meet the Team
Splunk, a Cisco company, is building a safer, more resilient digital world with an end‑to‑end, full‑stack platform designed for hybrid, multi‑cloud environments. Join the AI team at Splunk, where we advance the state of AI for high‑volume, real‑time, multi‑modal machine‑generated data — including logs, time series, traces, and events. We combine deep AI research expertise with the scale and operational excellence of Splunk and Cisco’s global engineering capabilities. Our work spans networking, security, observability, and customer experience — designing and deploying foundation models that enhance reliability, strengthen security, prevent downtime, and deliver predictive insights across Splunk Observability, Security, and Platform at enterprise scale. You’ll be part of a culture that values technical excellence, impact‑driven innovation, and cross‑functional collaboration — all within a flexible, growth‑oriented environment.
Your Impact
* Define and evolve the technical vision and strategy for AI/ML capabilities across our product portfolio.
* Shape and drive our AI technology roadmap with cutting\-edge innovations to deliver best\-in\-class AI solutions to our customers.
* Work with the senior leadership team to build awareness and alignment to accelerate the rollout and adoption of AI technologies.
* Effectively communicate with and influence key stakeholders across the enterprise, at all levels of the organization.
* Provide technical guidance and mentorship to the cross\-functional teamand promote a culture of engineering excellence.
* Collaborate with fellow technical leaders to ensure the successful and timely delivery of AI/ML models and service integration.
* Identify and mitigate risks in our plans and executions, especially at the intersection of business and engineering.
**Minimum Qualifications:**  
* PhD in Computer Science, or related quantitative field, plus 12\+ years of industry research experience.
* Proven track record in at least one of the following areas: deep learning, reinforcement learning, unsupervised learning, natural language processing, time series modeling.
* Proven track record in Generative AI technology including Large Language Models (LLM), Retrieval\-Augmented Generation (RAG), Fine Tuning, and Agentic AI.
* Proven track record in working with large\-scale production systems across model trainingand inference.
**Preferred Qualifications:**  
* Deep NLP\&amp; Domain‑Adapted LLMs: Background in building and adapting large‑scale language models (e.g., T5, BERT, LLaMA, GPTs) for specialized domains including structured/unstructured logs, text, and event sequences.
* Multi‑Modal AI Modeling – Strong track record fusing logs, time series, traces, tabular data, and graphs for foundation models tackling complex operational insights.
* Large‑Scale Training\&amp; Optimization – Experience optimizing model architectures, distributed training pipelines, and inference efficiency to minimize cost and latency while preserving accuracy.
* Strong Research Track Record – Publications in top AI/ML conferences or journals (e.g., NeurIPS, ICML, ICLR, AAAI, CVPR, ACL, KDD) demonstrating contributions to state‑of‑the‑art methods and real‑world applications.
* Demonstrated experience in leading impactful AI product development at scale.
* Demonstrated experience in developing large\-scale, complex models and deploying them in production systems.
* Demonstrated experience in large\-scale data processing and parallel computing – GPU, multi\-GPU and distributed training
* Demonstrated experience in building strong internal and external partnerships.
* Strong problem\-solving skills and the ability to translate research insights into practical solutions that address real\-world challenges.
* Excellent communication skills with the ability to articulate complex technical concepts to both technical and non\-technical audiences.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Simply put – we power the future.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$337,100\.00 to $426,700\.00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$337,100\.00 \- $490,700\.00
**Non\-Metro New York state\&amp; Washington state:**  
$299,900\.00 \- $436,700\.00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62">
      <c r="A262" t="inlineStr">
        <is>
          <t>in-5779979c9e0dd040</t>
        </is>
      </c>
      <c r="B262" t="inlineStr">
        <is>
          <t>Staff Machine Learning Engineer</t>
        </is>
      </c>
      <c r="C262" t="inlineStr">
        <is>
          <t>Paylocity</t>
        </is>
      </c>
      <c r="D262" t="inlineStr">
        <is>
          <t>indeed</t>
        </is>
      </c>
      <c r="E262">
        <f>HYPERLINK("https://www.indeed.com/viewjob?jk=5779979c9e0dd040", "https://www.indeed.com/viewjob?jk=5779979c9e0dd040")</f>
        <v/>
      </c>
      <c r="F262">
        <f>HYPERLINK("https://2000recruiting.paylocity.com/recruiting/jobs/Details/42124/PAYLOCITY-CORPORATION/Staff-Machine-Learning-Engineer?source=Indeed_Feed", "https://2000recruiting.paylocity.com/recruiting/jobs/Details/42124/PAYLOCITY-CORPORATION/Staff-Machine-Learning-Engineer?source=Indeed_Feed")</f>
        <v/>
      </c>
      <c r="G262" t="inlineStr">
        <is>
          <t>US</t>
        </is>
      </c>
      <c r="H262" s="3" t="n">
        <v>46047</v>
      </c>
      <c r="I262" t="inlineStr">
        <is>
          <t>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Paylocity is growing its Machine Learning Engineering organization! Our machine learning engineering team is responsible for developing infrastructure and tooling to help enable data driven decisions and insights at scale for millions of Paylocity users.
As a Staff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Bachelor’s degree with 8 years of machine learning engineering or similar experience at software companies; or, advanced degree (master’s or PhD) in machine learning engineering, data engineering, computer science, engineering, statistics, mathematics, data science, or other quantitative field, with 3 years of demonstrated machine learning engineering success or similar experience.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$146,600 \- $272,200 /yr; however, base pay offered may vary depending on job\-related knowledge, skills, and experience. This position is eligible for an annual bonus and restricted stock unit grant based on individual performance in addition to a full range of benefits . This information is provided per the relevant state and local pay transparency laws for the location in which this position will be performed. Base pay information is based on market location. Applicants should apply via www.paylocity.com/careers.</t>
        </is>
      </c>
    </row>
    <row r="263">
      <c r="A263" t="inlineStr">
        <is>
          <t>in-af895f39f6629931</t>
        </is>
      </c>
      <c r="B263" t="inlineStr">
        <is>
          <t>Sr. Machine Learning Engineer (pharma/healthcare/life sciences background)</t>
        </is>
      </c>
      <c r="C263" t="inlineStr">
        <is>
          <t>The Evolvers Group</t>
        </is>
      </c>
      <c r="D263" t="inlineStr">
        <is>
          <t>indeed</t>
        </is>
      </c>
      <c r="E263">
        <f>HYPERLINK("https://www.indeed.com/viewjob?jk=af895f39f6629931", "https://www.indeed.com/viewjob?jk=af895f39f6629931")</f>
        <v/>
      </c>
      <c r="F263">
        <f>HYPERLINK("https://evolversgroup.com/jobs.php?id=1288", "https://evolversgroup.com/jobs.php?id=1288")</f>
        <v/>
      </c>
      <c r="G263" t="inlineStr">
        <is>
          <t>Rockville, MD, US</t>
        </is>
      </c>
      <c r="H263" s="3" t="n">
        <v>46047</v>
      </c>
      <c r="I263" t="inlineStr">
        <is>
          <t>### **Jobs Description**
Role: Senior Machine Learning Engineer Work Location: Rockville, MD (Remote) Contract Length: 6\+Months (Possible to extend) \*The total number of working hours per week is 37\.5 Hours Note: Remote We are seeking a highly skilled Senior Machine Learning Engineer for the Medicine Supply Map, which identifies, characterizes, and quantifies risk in the upstream pharmaceutical supply chain. We want to proactively protect patient access to quality medicines through the implementation of a directed acyclic graph, lots of string matching, and an interactive website. If big data, advanced machine learning algorithms, and front\-end application development in a collaborative startup environment excite you, please reach out!
### **Responsibilities**
* 30% Model Development \&amp; ML Systems: Lead the design, development, and deployment of machine learning models and data pipelines to support the Medicine Supply Map and other strategic initiatives.
* 25% Data \&amp; Feature Engineering: Write and maintain high\-quality, scalable Python code, contributing directly to feature engineering, data integration, and algorithm optimization.
* 25% Model Explainability \&amp; Stakeholder Enablement: Design and implement model explainability frameworks that translate model behavior into intuitive, customer\-facing insights. Partner closely with the product to ensure model outputs can be clearly explained to users.
* 10% Cross\-Functional Collaboration: Collaborate with cross\-functional teams, including IT, product, and external stakeholders, to define requirements, prioritize projects, and ensure successful delivery of data\-driven solutions.
* 10% Represent the team in strategic planning, stakeholder meetings, and external engagements, effectively communicating technical insights and project impact.
### **Qualifications**
* Professional experience in data science, machine learning, or software engineering, including experience leading technical projects or teams.
* At least two (2\) years of experience working with data in the pharmaceutical, healthcare, or life sciences industry.
* Demonstrated ability to lead the end\-to\-end development of machine learning solutions—from stakeholder engagement and data sourcing to modeling, evaluation, and deployment.
* Proficiency in Python and experience with scalable, production\-level code development.
* Familiarity with modern data engineering tools and frameworks such as Kedro and PySpark.
* Experience working in cloud environments (e.g., AWS) and with version control systems like Git.
* Strong project management and organizational skills, with the ability to manage multiple priorities in a dynamic, startup\-like environment.
* Excellent communication skills, with the ability to translate complex technical concepts for diverse audiences and contribute to thought leadership through publications or presentations.
* Education: An advanced degree (Master’s or higher) in computer science, data science, health informatics, statistics, or a related technical field.
* Thank you for your time and I look forward to receiving your reply today.</t>
        </is>
      </c>
    </row>
    <row r="264">
      <c r="A264" t="inlineStr">
        <is>
          <t>in-726e3a2d65d7aa9d</t>
        </is>
      </c>
      <c r="B264" t="inlineStr">
        <is>
          <t>Data and AI Engineer</t>
        </is>
      </c>
      <c r="C264" t="inlineStr">
        <is>
          <t>Team One Credit Union</t>
        </is>
      </c>
      <c r="D264" t="inlineStr">
        <is>
          <t>indeed</t>
        </is>
      </c>
      <c r="E264">
        <f>HYPERLINK("https://www.indeed.com/viewjob?jk=726e3a2d65d7aa9d", "https://www.indeed.com/viewjob?jk=726e3a2d65d7aa9d")</f>
        <v/>
      </c>
      <c r="F264">
        <f>HYPERLINK("https://recruitingbypaycor.com/career/JobIntroduction.action?id=8a78839e9b137672019bc79a02777c19&amp;source=Indeed+Free", "https://recruitingbypaycor.com/career/JobIntroduction.action?id=8a78839e9b137672019bc79a02777c19&amp;source=Indeed+Free")</f>
        <v/>
      </c>
      <c r="G264" t="inlineStr">
        <is>
          <t>Saginaw, MI, US</t>
        </is>
      </c>
      <c r="H264" s="3" t="n">
        <v>46047</v>
      </c>
      <c r="I264" t="inlineStr">
        <is>
          <t>**Data and AI Engineer**
========================
**Location: Saginaw, MI, 48601**
--------------------------------
### **Position Summary**
The Data \&amp; AI Engineer will lead the development and management of the credit union’s data infrastructure, analytics tools, and artificial intelligence initiatives. This role combines business intelligence, data engineering, and AI integration to enhance decision\-making, member engagement, and operational efficiency. The ideal candidate has a strong technical foundation, strategic mindset, and passion for transforming financial services through data\-driven innovation.
### **Job Responsibilities**
* **Data Architecture \&amp; Integration**
	+ Design, build, and maintain ETL/ELT pipelines to ensure reliable data flow between core systems (e.g., Symitar, CRM, digital banking platforms).
	+ Manage data warehouse and data lake environments for structured and unstructured data.
	+ Implement data governance, quality assurance, and compliance with industry standards (NCUA, GLBA, etc.).
* **Business Intelligence \&amp; Reporting**
	+ Develop and optimize dashboards and visualizations using Power BI, Tableau, or similar tools.
	+ Partner with business units to define KPIs and analytical needs for lending, marketing, operations, and member experience.
	+ Automate recurring reports and improve data self\-service capabilities across the organization.
* **AI \&amp; Machine Learning Initiatives**
	+ Build and deploy predictive models to support member segmentation, credit risk assessment, and fraud detection.
	+ Collaborate on AI\-driven chatbots, recommendation engines, and personalized financial insights.
	+ Evaluate emerging AI tools and integrate them securely within the credit union’s environment.
* **Collaboration \&amp; Strategy**
	+ Work closely with IT, Finance, and Marketing teams to translate business challenges into data solutions.
	+ Support strategic planning through analytics and forecasting.
	+ Train and mentor staff on data literacy and AI use cases.
**Qualifications:**
* Bachelor’s degree in Computer Science, Data Engineering, AI, or related field.
* 5\+ years of experience in data engineering, BI development, or applied AI.
* Proficiency in SQL, Python and data visualization platforms.
* Experience with cloud platforms (Azure, AWS, or GCP).
* Familiarity with API’s, RESTful services, and data security best practices.
* Excellent communication and collaboration skills.
**Preferred Skills:**
* Master’s degree preferred.
* Financial services or credit union experience strongly preferred.
* Experience with NLP, LLMs, or generative AI tools.
* Familiarity with predictive analytics for member behavior or lending decisions.
* Knowledge of regulatory data requirements for credit unions.
* Background in MLOps, data pipelines, or real\-time analytics.
### **Vision**
Empowering financial dreams anywhere – for ALL.
### **Mission**
Partnering with our members along their journey toward financial well\-being by cultivating lifelong relationships.
### **Core Values**
* Collaborative – Understand that as a team, we can accomplish far greater feats than we can individually.
* Accountable – Take ownership of our actions. We celebrate our successes and learn from our mistakes.
* Honest – Speak the truth, even when it is difficult.
* Courageous – Choose to embrace challenges. Growth comes through navigating adversity.
* Transparent – Share your thoughts and speak with candor.
* Open\-Minded – Be open to personal growth, change, and learning from others. Treats individuals with kindness and respect.
* Member\-Focused – Invest in our membership. Member success is our success.
Disclaimer: Team One Core Competencies/Job Descriptions are not designed to cover or contain a comprehensive listing of activities, duties, or responsibilities required of an employee. Duties, responsibilities, and activities may change or be newly assigned at any time with or without notice. Team One Credit Union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265">
      <c r="A265" t="inlineStr">
        <is>
          <t>in-85acc34c530d1e02</t>
        </is>
      </c>
      <c r="B265" t="inlineStr">
        <is>
          <t>Senior Machine Learning Engineer</t>
        </is>
      </c>
      <c r="C265" t="inlineStr">
        <is>
          <t>Zanskar</t>
        </is>
      </c>
      <c r="D265" t="inlineStr">
        <is>
          <t>indeed</t>
        </is>
      </c>
      <c r="E265">
        <f>HYPERLINK("https://www.indeed.com/viewjob?jk=85acc34c530d1e02", "https://www.indeed.com/viewjob?jk=85acc34c530d1e02")</f>
        <v/>
      </c>
      <c r="F265">
        <f>HYPERLINK("https://jobs.lever.co/Zanskar/8aa1e9f8-ce58-4d6a-b715-664cfaa80288?lever-source=Indeed", "https://jobs.lever.co/Zanskar/8aa1e9f8-ce58-4d6a-b715-664cfaa80288?lever-source=Indeed")</f>
        <v/>
      </c>
      <c r="G265" t="inlineStr">
        <is>
          <t>Salt Lake City, UT, US</t>
        </is>
      </c>
      <c r="H265" s="3" t="n">
        <v>46047</v>
      </c>
      <c r="I265" t="inlineStr">
        <is>
          <t>Role Overview**Title**: Senior Machine Learning Engineer**Hours**: Full\-Time, Salaried**Location**: Salt Lake City, UT, On\-Site**Benefits Eligible**: Yes**Manager**: Prospect Generation Manager  
Mission – Why we exist and why we need you
Geothermal energy is the most abundant renewable energy source in the world. There is 2,300 times more energy in geothermal heat in the ground than in oil, gas, coal, and methane combined. However, historically it’s been hard to find and expensive to develop. At Zanskar, we’re using better technology to find and develop new geothermal resources in order to make geothermal a cheap and vital contributor to a carbon\-free electrical grid. We are revolutionizing the exploration process, setting new industry standards for discovery rates and finding new prospects at an unprecedented scale. To reduce risk and improve outcomes, we rely on novel machine learning modeling.  
The Senior Machine Learning Engineer will design, build, and operate production\-grade geospatial machine learning models within the Prospect Generation team to uncover hidden geothermal systems and drive real\-world exploration decisions. A successful candidate will be a hands\-on contributor, an experienced innovator, and a technical leader with an ability to grow deep learning expertise across teams. Strong communication skills are essential, as this role requires close collaboration with research, engineering, geoscience, land, and field teams. Startup experience is a strong plus.  
### **Competencies – What we’re looking for**
* 6\+ years professional experience in machine learning engineering, preferably in a business environment
**Proven technical skills**:* Deep expertise in modern deep learning and statistical methods
* Proven experience developing, deploying, and maintaining production\-grade machine learning models
* Strong software and infrastructure fluency. Our tech stack includes Python, SQL, PyTorch, GitHub, and Docker. (Familiarity with GCP, Dagster, Terraform, and QGIS is a plus.)
* Ability to work closely and collaboratively with engineers, domain experts, and non\-technical stakeholders
* Strong plus: computer vision expertise; experience with geospatial, remote sensing, or geophysical data
### **Location and Benefits**
* The position is based out of our headquarters in Salt Lake City, Utah, and is a hybrid position
**Benefits include:*** Paid holidays
* 15 days PTO \+ PTO accrual increase based on tenure
* Medical, dental, and vision coverage
* 401k
* Stock options
* Growth opportunities at a company with a direct impact in displacing carbon emissions
Equal Opportunity Employer  
Zanskar is an equal\-opportunity employer and complies with all applicable federal, state, and local fair employment practice laws.</t>
        </is>
      </c>
    </row>
    <row r="266">
      <c r="A266" t="inlineStr">
        <is>
          <t>in-a5038a67fa162e0c</t>
        </is>
      </c>
      <c r="B266" t="inlineStr">
        <is>
          <t>Sr. Staff AI/ML Engineer</t>
        </is>
      </c>
      <c r="C266" t="inlineStr">
        <is>
          <t>Kraken</t>
        </is>
      </c>
      <c r="D266" t="inlineStr">
        <is>
          <t>indeed</t>
        </is>
      </c>
      <c r="E266">
        <f>HYPERLINK("https://www.indeed.com/viewjob?jk=a5038a67fa162e0c", "https://www.indeed.com/viewjob?jk=a5038a67fa162e0c")</f>
        <v/>
      </c>
      <c r="F266">
        <f>HYPERLINK("https://jobs.ashbyhq.com/kraken.com/c53e92af-dec3-4b0a-b719-bb00f351919c", "https://jobs.ashbyhq.com/kraken.com/c53e92af-dec3-4b0a-b719-bb00f351919c")</f>
        <v/>
      </c>
      <c r="G266" t="inlineStr">
        <is>
          <t>US</t>
        </is>
      </c>
      <c r="H266" s="3" t="n">
        <v>46047</v>
      </c>
      <c r="I266" t="inlineStr">
        <is>
          <t>Location
United States
Employment Type
Full time
Location Type
Remote
Department
Engineering
AI \&amp; Machine Learning
Compensation
$161\.2K – $358\.9K
This is the target annual salary range for this role. This range is not inclusive of other additional compensation elements, such as our Bonus program, Equity program, Wellness allowance, and other benefits \[US Only] (including medical, dental, vision and 401(k)).
The compensation range provided is influenced by various factors and represents the initial target range. Our salary offerings are dynamic and we strive to ensure that our base salary and total compensation package aligns and recognizes the top talent we aim to attract and retain. The compensation package of the successful candidate is based on various factors such as their skillset, experience, and job scope.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Kraken’s Data org and own the Machine Learning platforms and systems used across the company. The team operates at company\-wide scope, enabling multiple product and engineering teams to build, deploy, and operate ML models reliably in production. We work closely with product, engineering, data science, security, and compliance partners to ensure ML systems are scalable, observable, and aligned with Kraken’s business and regulatory requirements. Engineers on the team are expected to operate with high autonomy, handle broad problem spaces, and drive technical clarity in ambiguous environments. The team values deep technical expertise, strong ownership, and mentorship, with an emphasis on raising the bar across the organization.
The opportunity
Set long\-term technical direction for Kraken’s AI/ML strategy, influencing multiple teams and initiatives.
Own the architecture and evolution of core AI/ML systems, including training, feature management, serving, experimentation, and monitoring.
Lead cross\-team efforts to standardize ML development and operational practices across the company.
Drive the design and delivery of complex, high\-impact ML systems for use cases such as fraud, risk, personalization, and recommendations.
Partner with senior engineering, product, and data leaders to identify where ML can unlock step\-change improvements in scalability and efficiency.
Balance hands\-on technical contributions with architectural leadership and design review responsibilities.
Evaluate emerging ML and GenAI technologies and lead their adoption when they provide durable platform\-level value.
Mentor Staff and Senior engineers, shaping technical culture and raising the overall quality of ML engineering at Kraken.
Skills you should HODL
10\+ years of experience building and operating large\-scale production Machine Learning systems.
Proven track record of owning ML platforms or infrastructure used by multiple teams or products.
Strong system design skills, with experience making long\-term architectural tradeoffs in complex environments.
Expert\-level proficiency in Python and strong experience with additional languages such as Scala, Go, or Rust.
Deep hands\-on experience with ML frameworks (PyTorch, TensorFlow, scikit\-learn) and model lifecycle management.
Extensive experience with MLOps practices, including experimentation frameworks, CI/CD, model monitoring, and reliability.
Strong background in data\-intensive and distributed systems (Spark, object storage, large\-scale batch and streaming).
Demonstrated ability to lead through influence, mentor senior engineers, and communicate technical strategy to diverse stakeholders.
Unless a specific deadline is stated in the job posting, 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li-4320212970</t>
        </is>
      </c>
      <c r="B2" t="inlineStr">
        <is>
          <t>Forward Deployed AI Engineer-Palantir Foundry-Senior Associate</t>
        </is>
      </c>
      <c r="C2" t="inlineStr">
        <is>
          <t>PwC</t>
        </is>
      </c>
      <c r="D2" t="inlineStr">
        <is>
          <t>linkedin</t>
        </is>
      </c>
      <c r="E2" t="inlineStr"/>
      <c r="F2" t="inlineStr"/>
      <c r="G2" t="inlineStr">
        <is>
          <t>Grand Rapids, MI</t>
        </is>
      </c>
      <c r="H2" t="inlineStr"/>
      <c r="I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li-4320282774</t>
        </is>
      </c>
      <c r="B3" t="inlineStr">
        <is>
          <t>Forward Deployed AI Engineer-Palantir Foundry-Senior Associate</t>
        </is>
      </c>
      <c r="C3" t="inlineStr">
        <is>
          <t>PwC</t>
        </is>
      </c>
      <c r="D3" t="inlineStr">
        <is>
          <t>linkedin</t>
        </is>
      </c>
      <c r="E3" t="inlineStr"/>
      <c r="F3" t="inlineStr"/>
      <c r="G3" t="inlineStr">
        <is>
          <t>Columbus, OH</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li-4320143102</t>
        </is>
      </c>
      <c r="B4" t="inlineStr">
        <is>
          <t>Forward Deployed AI Engineer-Palantir Foundry-Senior Associate</t>
        </is>
      </c>
      <c r="C4" t="inlineStr">
        <is>
          <t>PwC</t>
        </is>
      </c>
      <c r="D4" t="inlineStr">
        <is>
          <t>linkedin</t>
        </is>
      </c>
      <c r="E4" t="inlineStr"/>
      <c r="F4" t="inlineStr"/>
      <c r="G4" t="inlineStr">
        <is>
          <t>Little Rock, AR</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li-4320133158</t>
        </is>
      </c>
      <c r="B5" t="inlineStr">
        <is>
          <t>Forward Deployed AI Engineer-Palantir Foundry-Senior Associate</t>
        </is>
      </c>
      <c r="C5" t="inlineStr">
        <is>
          <t>PwC</t>
        </is>
      </c>
      <c r="D5" t="inlineStr">
        <is>
          <t>linkedin</t>
        </is>
      </c>
      <c r="E5" t="inlineStr"/>
      <c r="F5" t="inlineStr"/>
      <c r="G5" t="inlineStr">
        <is>
          <t>Phoenix, AZ</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li-4320133151</t>
        </is>
      </c>
      <c r="B6" t="inlineStr">
        <is>
          <t>Forward Deployed AI Engineer-Palantir Foundry-Senior Associate</t>
        </is>
      </c>
      <c r="C6" t="inlineStr">
        <is>
          <t>PwC</t>
        </is>
      </c>
      <c r="D6" t="inlineStr">
        <is>
          <t>linkedin</t>
        </is>
      </c>
      <c r="E6" t="inlineStr"/>
      <c r="F6" t="inlineStr"/>
      <c r="G6" t="inlineStr">
        <is>
          <t>Cleveland, OH</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li-4320242927</t>
        </is>
      </c>
      <c r="B7" t="inlineStr">
        <is>
          <t>Forward Deployed AI Engineer-Palantir Foundry-Senior Associate</t>
        </is>
      </c>
      <c r="C7" t="inlineStr">
        <is>
          <t>PwC</t>
        </is>
      </c>
      <c r="D7" t="inlineStr">
        <is>
          <t>linkedin</t>
        </is>
      </c>
      <c r="E7" t="inlineStr"/>
      <c r="F7" t="inlineStr"/>
      <c r="G7" t="inlineStr">
        <is>
          <t>Toledo, OH</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li-4320232797</t>
        </is>
      </c>
      <c r="B8" t="inlineStr">
        <is>
          <t>Forward Deployed AI Engineer-Palantir Foundry-Senior Associate</t>
        </is>
      </c>
      <c r="C8" t="inlineStr">
        <is>
          <t>PwC</t>
        </is>
      </c>
      <c r="D8" t="inlineStr">
        <is>
          <t>linkedin</t>
        </is>
      </c>
      <c r="E8" t="inlineStr"/>
      <c r="F8" t="inlineStr"/>
      <c r="G8" t="inlineStr">
        <is>
          <t>Montpelier, VT</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li-4366173842</t>
        </is>
      </c>
      <c r="B9" t="inlineStr">
        <is>
          <t>Applied Scientist, Post-training (LLM, VLM, MLLM)</t>
        </is>
      </c>
      <c r="C9" t="inlineStr">
        <is>
          <t>techire ai</t>
        </is>
      </c>
      <c r="D9" t="inlineStr">
        <is>
          <t>linkedin</t>
        </is>
      </c>
      <c r="E9" t="inlineStr"/>
      <c r="F9" t="inlineStr"/>
      <c r="G9" t="inlineStr"/>
      <c r="H9" t="inlineStr"/>
      <c r="I9" t="inlineStr">
        <is>
          <t>**Teach AI how to reason — safely, transparently, and at scale.** 
 How do we move beyond pattern\-matching into true machine reasoning? This Applied Scientist role puts you at the centre of that challenge — developing models that can reason, explain their logic, and make verifiable decisions across complex, high\-stakes industries.
 You’ll join a well\-funded startup building domain\-specific reasoning systems and agentic AI for sectors where reliability and interpretability aren’t optional.
 Your work will focus on post\-training large multimodal models, applying the latest techniques in RLHF, DPO, and preference learning to make AI systems more consistent, factual, and aligned with human reasoning. You’ll design the frameworks that turn raw model potential into transparent, trustworthy intelligence.
 You’ll develop and optimise post\-training pipelines, implement reward modelling for reasoning depth and factual accuracy, and build evaluation frameworks for verifiable, human\-aligned behaviour. Working with proprietary and synthetic datasets, you’ll run end\-to\-end experiments and deploy your methods directly into production.
 You’ll bring a background in transformer\-based model training (LLM, VLM, MLLM), post\-training or alignment (RLHF, DPO, reward modelling), and strong practical skills in Python and PyTorch. Curiosity about reasoning agents, hybrid learning, and interpretability research will help you thrive here.
 Bonus points for experience in multimodal reasoning, evaluation and verification, or prior research contributions in alignment or reasoning systems.
 The company has raised $20M\+ (Series A announcement imminent) and already partners with Fortune 100 and 500 customers. Founded by an entrepreneur with a prior billion\-dollar exit, the AI team alone is scaling from 11 to 40\+ this year.
**Comp:** 
 $200K–$320K base (negotiable) \+ bonus \+ stock \+ benefits
**Location:** 
 SF Bay Area (remote for now; hybrid later in 2026\)
 If you’re excited about defining how AI systems reason, decide, and explain themselves — we’d love to hear from you.
*All applicants receive a response.*</t>
        </is>
      </c>
    </row>
    <row r="10">
      <c r="A10" t="inlineStr">
        <is>
          <t>li-4313454772</t>
        </is>
      </c>
      <c r="B10" t="inlineStr">
        <is>
          <t>Senior Applied Scientist, Generative AI Innovation Center</t>
        </is>
      </c>
      <c r="C10" t="inlineStr">
        <is>
          <t>Amazon Web Services (AWS)</t>
        </is>
      </c>
      <c r="D10" t="inlineStr">
        <is>
          <t>linkedin</t>
        </is>
      </c>
      <c r="E10" t="inlineStr"/>
      <c r="F10" t="inlineStr"/>
      <c r="G10" t="inlineStr">
        <is>
          <t>New York, United States</t>
        </is>
      </c>
      <c r="H10" t="inlineStr"/>
      <c r="I10" t="inlineStr">
        <is>
          <t>**Description**
 Application deadline: Jan 30,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11">
      <c r="A11" t="inlineStr">
        <is>
          <t>li-4313468276</t>
        </is>
      </c>
      <c r="B11" t="inlineStr">
        <is>
          <t>Senior Applied Scientist, Generative AI Innovation Center</t>
        </is>
      </c>
      <c r="C11" t="inlineStr">
        <is>
          <t>Amazon Web Services (AWS)</t>
        </is>
      </c>
      <c r="D11" t="inlineStr">
        <is>
          <t>linkedin</t>
        </is>
      </c>
      <c r="E11" t="inlineStr"/>
      <c r="F11" t="inlineStr"/>
      <c r="G11" t="inlineStr">
        <is>
          <t>Boston, MA</t>
        </is>
      </c>
      <c r="H11" t="inlineStr"/>
      <c r="I11" t="inlineStr">
        <is>
          <t>**Description**
 Application deadline: Jan 30, 2026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
**Company** 
 \- Amazon Web Services, Inc.
 Job ID: A3106302</t>
        </is>
      </c>
    </row>
    <row r="12">
      <c r="A12" t="inlineStr">
        <is>
          <t>li-4310741174</t>
        </is>
      </c>
      <c r="B12" t="inlineStr">
        <is>
          <t>Machine Learning Engineer</t>
        </is>
      </c>
      <c r="C12" t="inlineStr">
        <is>
          <t>FanDuel</t>
        </is>
      </c>
      <c r="D12" t="inlineStr">
        <is>
          <t>linkedin</t>
        </is>
      </c>
      <c r="E12" t="inlineStr"/>
      <c r="F12" t="inlineStr"/>
      <c r="G12" t="inlineStr">
        <is>
          <t>New York, NY</t>
        </is>
      </c>
      <c r="H12" t="inlineStr"/>
      <c r="I12" t="inlineStr">
        <is>
          <t>**THE POSITION**
 Our roster has an opening with your name on it
 We’re looking for a Machine Learning Engineer to join our growing team and help design, build, and deploy machine learning systems that power real\-world applications. In this role, you’ll work closely with data scientists, engineers, and product managers to bring models from experimentation to production and ensure they perform reliably at scale.
 You’ll contribute across the ML lifecycle—including feature engineering, model training, evaluation, deployment, and monitoring—while growing your skills in software development, ML Ops, and scalable infrastructure.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ML Pipeline Development
* Collaborate with data scientists to implement and optimize machine learning models for production use.
* Develop and maintain pipelines for data preparation, training, and model deployment.
* Build tools and services to support real\-time and batch inference workloads.
 Collaboration \&amp; Execution
* Translate product and business requirements into ML\-driven solutions.
* Participate in agile workflows, including sprint planning, code reviews, and design discussions.
* Work with engineers and analysts to ensure data integrity and efficient feature computation.
 Quality \&amp; Reliability
* Implement monitoring and alerting to track model performance and detect issues such as data drift.
* Write maintainable, testable code and follow best practices in version control and documentation.
* Help automate training, deployment, and retraining workflows using ML Ops tools.
**THE ST** 
**ACK** 
 : Databricks, AWS, Spark, Python, MLFlow, (Generally available ML Libraries), Terraform, Github, Buildkite
**THE STATS**
 What we're looking for in our next teammate
* 2–4 years of experience in software engineering, machine learning, or data science.
* Proficiency in Python, with exposure to ML libraries (Scikit\-learn, TensorFlow, or PyTorch).
* Solid understanding of data structures, algorithms, and software engineering principles.
* Hands\-on with SQL and comfortable working with large datasets.
* Familiarity with distributed computing (Apache Spark preferred).
* Exposure to ML deployment \&amp; monitoring practices or strong interest in learning them.
* Bonus: experience with Databricks, MLflow, or similar ML Ops tools.
* Experience with cloud services (AWS preferred, GCP or Azure also valuable).
**Preferred Qualifications**
* Experience with containerization (Docker, Kubernetes is a plus).
* Familiarity with orchestration/ML Ops tooling (SageMaker, MLflow).
* Understanding of model evaluation metrics and techniques for improving generalization.
* Interest in or experience with real\-time ML systems, recommendation engines, or NLP.
**About You**
 You might be a great fit if you often ask yourself questions like:
* “How do complex systems actually work end to end, and how can I make them better?”
* “What makes software reliable, and how do you design for that from the start?”
* “Where’s the balance between moving fast and building things that last?”
* “How do small changes in code or data ripple out into big user or business impacts?”
* “What can I automate today that will save everyone headaches tomorrow?”
* “How do different roles (engineers, data scientists, product managers, etc.) fit together to ship something meaningful?”
* “What skills should I grow next if I want to level up from strong engineer to strong ML engineer?”
 This role will join our Personalization team, working directly with senior engineers to:
* Build and optimize ML pipelines and feedback loops for our flagship recommender systems.
* Improve observability, monitoring, and on\-call reliability across models.
* Partner with FinOps to optimize Spark jobs and cloud resource usage.
* Adopt and integrate AI Foundations platform tools into workflows.
 This person will have mentorship from Staff ICs and the opportunity to grow, directly contributing to the revenue\-driving backbone of the company.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3">
      <c r="A13" t="inlineStr">
        <is>
          <t>li-4366164568</t>
        </is>
      </c>
      <c r="B13" t="inlineStr">
        <is>
          <t>Machine Learning Engineer</t>
        </is>
      </c>
      <c r="C13" t="inlineStr">
        <is>
          <t>Plaid</t>
        </is>
      </c>
      <c r="D13" t="inlineStr">
        <is>
          <t>linkedin</t>
        </is>
      </c>
      <c r="E13" t="inlineStr"/>
      <c r="F13" t="inlineStr"/>
      <c r="G13" t="inlineStr"/>
      <c r="H13" t="inlineStr"/>
      <c r="I13" t="inlineStr">
        <is>
          <t>**About The Company** 
 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**About The Role** 
 As a Staff Machine Learning Engineer within Plaid’s Fraud Data team, you will play a pivotal role in designing and building scalable machine learning infrastructure that underpins our industry\-leading fraud detection products. Your expertise will help evolve our model deployment, monitoring, and observability frameworks to ensure high reliability and performance at scale. You will collaborate closely with cross\-functional teams, including ML Infrastructure, Product, and Engineering, to deliver robust systems that safeguard users and customers from fraud. Additionally, you will provide mentorship to other engineers and contribute to shaping the long\-term technical vision and strategy of the Fraud Data team. This role offers the flexibility of remote work and is ideal for candidates who are passionate about leveraging data and ML to prevent fraud and enhance financial security.
**Qualifications** 
* 8\+ years of total professional experience.
* At least 5 years of experience building and deploying production machine learning systems.
* Proven expertise in machine learning infrastructure and operations.
* Strong technical leadership and architectural vision, with a track record of driving systems from concept to production.
* Proficiency in Python, PyTorch, Spark, SageMaker, and Airflow, or equivalent technologies.
* Experience working in fraud detection, risk modeling, or financial security domains is a plus.
* Background in graph machine learning or related techniques is advantageous.
**Responsibilities** 
* Design and develop scalable machine learning infrastructure to support Plaid’s fraud detection products.
* Build and maintain robust systems that enable proactive fraud prevention using large\-scale financial datasets.
* Solve complex problems at the intersection of ML systems, data management, and system reliability.
* Lead efforts to improve model deployment, monitoring, and observability frameworks to ensure high system reliability and performance.
* Collaborate with talented engineers and data scientists across the organization to develop innovative solutions.
* Mentor junior engineers and contribute to the technical growth of the team.
* Contribute to the long\-term technical strategy and vision for the Fraud Data team.
**Benefits** 
* Competitive salary range of $253,200 \- $400,000 annually.
* Comprehensive health, dental, and vision insurance plans.
* Flexible remote work options to support work\-life balance.
* Generous paid time off and holidays.
* Opportunities for professional development and continuous learning.
* Inclusive and diverse work environment fostering innovation and collaboration.
* Employee wellness programs and resources.
 Equal Opportunity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legally protected characteristics.</t>
        </is>
      </c>
    </row>
    <row r="14">
      <c r="A14" t="inlineStr">
        <is>
          <t>li-4355797539</t>
        </is>
      </c>
      <c r="B14" t="inlineStr">
        <is>
          <t>Machine Learning Engineer I</t>
        </is>
      </c>
      <c r="C14" t="inlineStr">
        <is>
          <t>Scowtt</t>
        </is>
      </c>
      <c r="D14" t="inlineStr">
        <is>
          <t>linkedin</t>
        </is>
      </c>
      <c r="E14" t="inlineStr"/>
      <c r="F14" t="inlineStr"/>
      <c r="G14" t="inlineStr">
        <is>
          <t>Seattle, WA</t>
        </is>
      </c>
      <c r="H14" t="inlineStr"/>
      <c r="I14" t="inlineStr">
        <is>
          <t>**About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motivated, entry\-level Machine Learning Engineer to help build, train, and deploy ML models that power our Marketing AI and AI Sales Agent products. This role is ideal for new graduates or early\-career engineers who want hands\-on experience working on real ML systems in a fast\-paced, collaborative startup environment.
**What You’ll Do**
* Assist in training, evaluating, and deploying ML models
* Work with structured and behavioral data used in marketing and sales systems
* Help automate and maintain data and ML pipelines
* Collaborate with engineers to integrate ML models into AI agents
* Debug, optimize, and improve model and pipeline performance
* Learn how ML systems operate in real production environments (cloud, monitoring, iteration)
**Qualifications**
**Must Have**
* Bachelor’s degree in Computer Science, ML, Data Science, or equivalent
* 1\-3 years of experience in data structures, algorithms
* 1\-3 years of experience with machine learning concepts and workflows
* 1\-3 years of experience in coding using Python with demonstrated strong coding skills
**Should Have**
* Exposure to ML frameworks through coursework, projects, or internships
* Curiosity, ownership mindset, and eagerness to learn
**Nice to Have**
* Hands\-on project or internship experience with real datasets
* Exposure to cloud platforms (GCP or AWS)
* Familiarity with tools like BigQuery, notebooks, or basic data pipelines
**What Success Looks Like**
* You contribute to shipping ML models with guidance
* You learn to debug data and model issues
* You steadily increase independence and ownership
* You build strong foundations in applied ML engineering
**Pay Range And Compensation Package**
 Based on the level hired at, the cash compensation for this role ranges between $100,000 to $150,000\. Selected candidate/s will be eligible for standard benefits and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t>
        </is>
      </c>
    </row>
    <row r="15">
      <c r="A15" t="inlineStr">
        <is>
          <t>li-4366146532</t>
        </is>
      </c>
      <c r="B15" t="inlineStr">
        <is>
          <t>Machine Learning Engineer</t>
        </is>
      </c>
      <c r="C15" t="inlineStr">
        <is>
          <t>Goliath Partners</t>
        </is>
      </c>
      <c r="D15" t="inlineStr">
        <is>
          <t>linkedin</t>
        </is>
      </c>
      <c r="E15" t="inlineStr"/>
      <c r="F15" t="inlineStr"/>
      <c r="G15" t="inlineStr"/>
      <c r="H15" t="inlineStr"/>
      <c r="I15" t="inlineStr">
        <is>
          <t>A well\-funded AI startup (Series A, backed by top\-tier investors and led by ex\-DeepMind / Anthropic / OpenAI engineers) is building next\-generation agentic systems — intelligent, autonomous software agents that can reason, plan, and act across browsers, operating systems, and enterprise environments.
 They’re hiring a Machine Learning Engineer to help shape and scale this frontier technology, blending LLMs, multimodal models, and secure runtime environments into real, production\-grade systems.
 The Role
 You’ll be a core contributor, designing and implementing the foundation for a next\-generation desktop and browser\-based agent capable of:
* Autonomously navigating web environments, local filesystems, and complex user workflows
* Integrating vision and language models for multimodal reasoning
* Operating safely within secure, virtualized runtimes
 You’ll work across:
* Agentic architecture: systems that interact with browsers, OS APIs, and enterprise data
* Search and retrieval: pipelines spanning large\-scale structured \&amp; unstructured data
* Model integration: combining LLMs, vision models, and reinforcement learning for multi\-step reasoning
* Backend infrastructure: secure containerized execution and scalable serving frameworks
 What They’re Looking For
* Strong Python skills and comfort building/debugging complex ML applications
* Experience with desktop OS APIs (Windows/macOS) for screen reading, file access, and accessibility frameworks
* Background in browser automation or extensions (Playwright, Puppeteer, DOM manipulation)
* Understanding of LLM prompting, orchestration, and reasoning frameworks
* Experience building secure, sandboxed, or containerized runtimes
* Ability to work across research and production teams in a fast\-moving, ambiguous environment
 Bonus Points For
* Retrieval\-augmented generation (RAG) systems
* Vector databases and large\-scale indexing
* Enterprise security/compliance familiarity (SOC 2, etc.)
* OCR, UI understanding, or screen\-reading models
* Human\-Computer Interaction (HCI) or agentic workflow design
 Total comp: 500,000\-1,000,000 (200\-300k base \+ equity)
 Why It’s Exciting
 This is an opportunity to help define the next era of intelligent software — where agents reason, learn, and execute complex goals autonomously. You’ll join a small, elite team operating at the intersection of ML research, systems engineering, and human\-AI collaboration, with meaningful ownership and rapid iteration.</t>
        </is>
      </c>
    </row>
    <row r="16">
      <c r="A16" t="inlineStr">
        <is>
          <t>li-4337407786</t>
        </is>
      </c>
      <c r="B16" t="inlineStr">
        <is>
          <t>Machine Learning Engineer</t>
        </is>
      </c>
      <c r="C16" t="inlineStr">
        <is>
          <t>Provenir</t>
        </is>
      </c>
      <c r="D16" t="inlineStr">
        <is>
          <t>linkedin</t>
        </is>
      </c>
      <c r="E16" t="inlineStr"/>
      <c r="F16" t="inlineStr"/>
      <c r="G16" t="inlineStr">
        <is>
          <t>New York, NY</t>
        </is>
      </c>
      <c r="H16" t="inlineStr"/>
      <c r="I16" t="inlineStr">
        <is>
          <t>**Who We Are**
 Provenir is a global fintech company with offices across North America, the UK, and Singapore. Provenir helps fintechs, financial institutions, and payment providers make smarter decisions, faster. We are passionate about technology and empowering businesses to become industry leaders. As a leading provider of decisioning and analytics products for financial services and other industries, we empower businesses to create digital\-first decisioning solutions that drive business growth. If you’d like to work at an innovative fintech with a global footprint that is redefining the industry, then we want you!
**What We’re Looking For**
 We are seeking a highly skilled and motivated Machine Learning Engineer to join our team. You will design, develop, and deploy machine learning models and AI systems that solve real\-world problems. You’ll work closely with data scientists, engineers, and product teams to turn data into actionable insights and intelligent solutions.
 This is a
 **remote role** 
 , ideally suited for candidates based in the
 **U.S. East Coast** 
 time zone, to support better alignment with our core team.
*We are only considering candidates who are authorized to work in the United States without the need for current or future visa sponsorship.*
**Key Responsibilities And Experience**
* Strong Python development skills, including experience with modern frameworks (FastAPI preferred) and testing practices (pytest, unittest)
* Proven ability to take ML/LLM models from prototype to production in containerized, cloud\-native environments
* Hands\-on experience with deploying and managing services on Kubernetes (EKS) and Docker\-based workflows
* Expertise with AWS services: Bedrock, SageMaker, Lambda, EKS, S3, IAM, CloudWatch
* Familiarity with Generative AI frameworks (LangChain, LlamaIndex) and Agent development (tool integration, RAG workflows)
* Knowledge of vector databases and embeddings (e.g., Pinecone, FAISS, OpenSearch)
* Experience with CI/CD pipelines (GitHub Actions preferred) and Infrastructure as Code (Terraform, CloudFormation)
* Solid foundation in object\-oriented programming with a language such as Java, C\#, or C\+\+ (in addition to Python)
* Understanding of MLOps practices including monitoring, logging, scaling, and secure deployment in production
**What You’ll Be Doing**
* Designing and developing APIs and reusable components for ML and GenAI deployment
* Building and scaling ML/GenAI pipelines on AWS (Bedrock, SageMaker, Step Functions, Argo, Kubeflow on EKS)
* Productionising LLMs, generative AI applications, and predictive models on Amazon Bedrock
* Developing and integrating AI Agents with frameworks like LangChain for orchestration and tool use
* Writing robust, testable, and maintainable Python code for backend services, SDKs, and ML workflows
* Packaging and deploying containerized services on Kubernetes (EKS) with attention to scalability, resilience, and observability
* Working in a modern MLOps environment with CI/CD, monitoring, and version control best practices
* Supporting and maintaining cloud\-native SaaS solutions at scale on AWS
 Our employees are our top priority; we offer comprehensive health and wellness plans. You will enjoy paid time off and company holidays, flexible and remote\-friendly opportunities, and maternity/paternity leave.
*At Provenir, we recognize that diversity and inclusion make our teams stronger. We are committed to equal employment opportunity and welcome everyone regardless of race, colour, ancestry, religion, national origin, age, sex, gender identity, sexual orientation, disability, marital status, domestic partner status, citizenship, or veteran status or medical condition. We encourage people from all backgrounds to apply.*</t>
        </is>
      </c>
    </row>
    <row r="17">
      <c r="A17" t="inlineStr">
        <is>
          <t>li-4366176168</t>
        </is>
      </c>
      <c r="B17" t="inlineStr">
        <is>
          <t>Machine Learning Engineer</t>
        </is>
      </c>
      <c r="C17" t="inlineStr">
        <is>
          <t>James Search Group</t>
        </is>
      </c>
      <c r="D17" t="inlineStr">
        <is>
          <t>linkedin</t>
        </is>
      </c>
      <c r="E17" t="inlineStr"/>
      <c r="F17" t="inlineStr"/>
      <c r="G17" t="inlineStr">
        <is>
          <t>New York, NY</t>
        </is>
      </c>
      <c r="H17" t="inlineStr"/>
      <c r="I17"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8">
      <c r="A18" t="inlineStr">
        <is>
          <t>li-4366181153</t>
        </is>
      </c>
      <c r="B18" t="inlineStr">
        <is>
          <t>Machine Learning Engineer</t>
        </is>
      </c>
      <c r="C18" t="inlineStr">
        <is>
          <t>Stealth Startup (Health-Tech)</t>
        </is>
      </c>
      <c r="D18" t="inlineStr">
        <is>
          <t>linkedin</t>
        </is>
      </c>
      <c r="E18" t="inlineStr"/>
      <c r="F18" t="inlineStr"/>
      <c r="G18" t="inlineStr">
        <is>
          <t>Newtown Square, PA</t>
        </is>
      </c>
      <c r="H18" t="inlineStr"/>
      <c r="I18" t="inlineStr">
        <is>
          <t>ML Engineer \- Stealth Healthcare AI Startup
 We're building an AI\-powered platform that helps commercial teams in the medical device industry make smarter pricing and deal decisions. Pre\-seed startup working with major MedTech companies.
 Looking for a founding ML engineer to shape the core intelligence layer—explainable models, sparse healthcare data, real\-time decision support.
**What you'll work on:** 
* Models that recommend pricing strategies and deal structures
* Explainable AI that commercial teams actually trust
* Scoring and risk frameworks for complex healthcare contracts
**What we're looking for:** 
* 3\+ years experience in ML/statistical modeling
* Strong Python skills; experience with modern ML tooling (PyTorch, scikit\-learn, or similar)
* Experience deploying models to production (not just notebooks)
* Familiarity with cloud ML infrastructure (AWS SageMaker, Vertex AI, or similar)
* Experience with messy, real\-world data (not just clean benchmark datasets)
* Comfort with ambiguity and early\-stage pace
* Customer\-facing ability—you'll be in conversations with MedTech companies
* Potential to build and lead a team as we grow
**Nice to have:** 
* Startup or early\-stage experience
* Healthcare, pricing, or multi\-tenant SaaS background
**Foundational role. Competitive comp.** 
* DM for details.</t>
        </is>
      </c>
    </row>
    <row r="19">
      <c r="A19" t="inlineStr">
        <is>
          <t>li-4366158485</t>
        </is>
      </c>
      <c r="B19" t="inlineStr">
        <is>
          <t>Applied AI Engineer</t>
        </is>
      </c>
      <c r="C19" t="inlineStr">
        <is>
          <t>Squint</t>
        </is>
      </c>
      <c r="D19" t="inlineStr">
        <is>
          <t>linkedin</t>
        </is>
      </c>
      <c r="E19" t="inlineStr"/>
      <c r="F19" t="inlineStr"/>
      <c r="G19" t="inlineStr">
        <is>
          <t>San Francisco, CA</t>
        </is>
      </c>
      <c r="H19" t="inlineStr"/>
      <c r="I19" t="inlineStr">
        <is>
          <t>**About Us**
 At Squint, we're building technology that matters. While many tech companies focus on digital\-first industries, we've set our sights on empowering the 80% of the global workforce that keeps our world running: frontline manufacturing operators. From soda cans to tires, toothpaste to chocolate bars, chips to napkin holders, these are the people who build the things you touch and see every single day. Our platform transforms manufacturing operations by putting AI and AR capabilities directly at workers' fingertips, creating what we call "agentic manufacturing" – where every team member has the power to make informed decisions in real\-time using practical, applied artificial intelligence tools.
**Proven Impact with Industry Leaders**
 Our technology serves Fortune 500 leaders across Automotive, Consumer Packaged Goods, and Life Sciences industries. These companies trust Squint to capture and activate their essential operational know\-how, resulting in measurable improvements: reduced downtime, minimized waste, and optimized productivity at scale.
**Backed and Built by the Best**
 We raised a $40m Series B at a $265m valuation and are backed by elite investors including Sequoia Capital, Menlo Ventures, TCV and The Westly Group. Our co\-founders have been recognized on Forbes' 30 Under 30 for Manufacturing and Industry, and Fast Company named us one of the most innovative augmented and virtual reality companies of 2025\.
**About The Job**
 Squint is looking for AI Engineers to turn the messy, fractured world of manufacturing knowledge into real intelligence that changes the industry. You’ll build the capabilities that transform real\-world inputs—tribal knowledge, video, images, documents, and more—into differentiated insights and structured workflows for frontline manufacturing teams. If you love shipping fast, owning problems end\-to\-end, and iterating with real users, you’ll fit right in.
**What You’ll Do**
 Ship AI\-powered features rapidly—from prototype to production to customer reality. This includes work such as:
* Transform unstructured manufacturing inputs into structured knowledge. Build and iterate on systems capable of semantically understanding a wide variety of manufacturing material (documents, media, and more) and representing them with high fidelity on the Squint platform.
* Develop best\-in\-class reasoning experiences. Build systems that leverage this structured knowledge serve fast, accurate answers directly to the shop floor–where there is no margin for error.
* Leverage differentiated data to produce novel, domain\-specific insights for manufacturers. Create methods that synthesize information and surface meaningful signals for customers.
* Build advanced photo\- and video\-based visual understanding. Iterate on AI systems that interpret manufacturing environments and actions, improving accuracy, speed, and robustness across varied conditions.
* Creating evaluation and feedback loops. Build generic, reusable tooling for evaluating AI systems over time. Instrument product flows to gather automatic feedback and continually improve correctness, prevent regressions, and accelerate iteration.
**What You’ll Bring**
* 8\+ years shipping production software, with significant experience deploying AI/ML systems. Staff\-level capability in applied AI/ML is expected.
* Deep understanding of the transformer architecture and modern LLM techniques. You can explain how attention mechanisms work and stay current with the latest research and techniques.
* Production experience with ML frameworks (PyTorch preferred). You're comfortable with loss functions, training loops, optimization, and the practical details of getting models into production.
* Experience fine\-tuning and deploying LLMs in production environments. You've shipped LLM\-powered features and understand the tradeoffs between prompt engineering, fine\-tuning, and RAG approaches.
* A builder’s mindset. You move fast, pick up new skills, and take ownership from “why” to “shipped”.
* Strong product intuition and customer empathy. You care about trust, failure modes, and real\-world workflows.
* Comfort with ambiguity and a bias toward action, iteration, and measurable results.
**Why You’ll Love This Role**
* You are the limit of your impact. You’ll own problems end\-to\-end, drive outcomes for the business, and change an industry.
* Real\-world results. You’ll build AI systems that are used in production every day at the world’s largest manufacturers.
* High product ownership. You’ll work closely with customers and GTM, iterating fast based on what matters most.
* Unparalleled learning curve. You’ll work across AI, product, and systems with huge ownership.
**Benefits**
 Based out of our office in San Francisco, we love the energy of in\-person collaboration.
* Competitive Salary and Equity
* Comprehensive Medical, Vision, and Dental care
* Flexible PTO Policy
* Lunch and Dinner Service
* Wellness Benefit
* Maven Family Planning Benefits
* Partnership with Care.com
* Mental Health Services
* 401(k) Retirement Plan
* Pre\-Tax Commuter Benefit for Parking \&amp; Public Transit
* Company\-wide Retreats
**A Final Note**
 We are committed to creating a diverse and inclusive workplace. Squint is an equal opportunity employer, welcoming applicants from all backgrounds without regard to race, gender, age, or any other protected characteristic.
 Ready to redefine the future? Join us at Squint and be a part of something revolutionary.
 Compensation Range: $200K \- $270K</t>
        </is>
      </c>
    </row>
    <row r="20">
      <c r="A20" t="inlineStr">
        <is>
          <t>li-4355728653</t>
        </is>
      </c>
      <c r="B20" t="inlineStr">
        <is>
          <t>AI/ML Engineer (Member of the Technical Staff)</t>
        </is>
      </c>
      <c r="C20" t="inlineStr">
        <is>
          <t>Breakout Ventures</t>
        </is>
      </c>
      <c r="D20" t="inlineStr">
        <is>
          <t>linkedin</t>
        </is>
      </c>
      <c r="E20" t="inlineStr"/>
      <c r="F20" t="inlineStr"/>
      <c r="G20" t="inlineStr">
        <is>
          <t>Cambridge, MA</t>
        </is>
      </c>
      <c r="H20" t="inlineStr"/>
      <c r="I20" t="inlineStr">
        <is>
          <t>* Portfolio
* Team
* Jobs
* News
* Contact
* Portfolio
* Team
* Jobs
* News
* Contact
 Jobs
 Passionate about building a future powered by science?
 Check out the opportunities in our portfolio companies.
 Search
 jobs
 Explore
 companies
 Join talent network
 Talent
 My job alerts
 AI/ML Engineer (Member of the Technical Staff)
 Transfyr Bio
 Software Engineering, IT, Data Science
 Cambridge, MA, USA
 Posted on Jan 26, 2026
 Apply now
**Member of the Technical Staff \- AI/ML Engineer**
**About Transfyr**
 Transfyr is building physical AI for science.
 Why is it that a professional athlete has dramatically more information about every play they make than a scientist has about the cause of any experimental failure? At Transfyr, we are building the infrastructure to make real\-world scientific work legible, transferable, and reproducible.
 Modern science is capable of extraordinary outcomes, but much of the most important insights never become explicit: how experiments are
 *actually* 
 executed, protocols drift, how experts make gametime decisions on the fly, why experiments fail on Tuesdays. This tacit knowledge is rarely captured, making it difficult to reliably reproduce results, much less hand off protocols to new team members or collaborators. We believe our systematic failure to capture tacit knowledge is holding back the entire industry.
 We’re building systems that operate directly in real laboratory environments to elucidate, capture, and interpret this missing information. Our platform records and analyzes multimodal data about
 *how* 
 scientific work is performed and turns it into durable, operational knowledge. In doing so, we are also building the world’s largest commercial dataset on real\-world scientific execution.
 This foundation is critical not only for driving elite human performance today, but for enabling meaningful automation tomorrow. Physical AI systems cannot learn from outcomes alone; they require rich, grounded records of how work is actually done in the real world.
 Want to learn more? You can read some of our writings here.
**The Role**
 AI/ML engineers at Transfyr build the learning systems that turn raw observations of scientific work into usable insight, feedback, and automation.
 You will work on end\-to\-end ML systems that learn from messy, real\-world data captured in active laboratory environments. This is not leaderboard\-driven modeling or offline benchmark work. Your models must contend with partial observability, execution noise, changing protocols, and ambiguous outcomes and still produce signal that scientists and downstream systems can trust.
 The role demands strong ML fundamentals, solid software engineering judgment, and high agency. You will work closely with perception engineers, software engineers, and scientists to ensure models are grounded in reality and tightly integrated into real workflows. We’re tackling frontier\-hard AI problems and applying those models to frontier science.
 We're building a team, and we have needs across levels, from hands\-on builders early in their careers to senior engineers who enjoy shaping learning architectures and technical direction.
 This role is in\-person in Cambridge, MA (other locations may open in the future, feel free to reach out even if Boston is not currently an option for you).
**What You’ll Accomplish With Us**
* Learn from Messy Reality: Build ML systems that learn from real\-world scientific execution data where feedback is delayed, labels are incomplete, and outcomes are confounded by how work was actually done.
* Fuse the World: Collaborate with perception engineers to design multimodal learning pipelines that combine vision, audio, sensor data, metadata, and outcomes into coherent representations of scientific workflows.
* Solve Credit Assignment: Develop models that can reason about why an experiment succeeded or failed when intent, execution, environment, and outcome are tightly entangled.
* Know When the Model Is Unsure: Build systems that surface model confidence / uncertainty, enabling scientists to understand when to trust a recommendation and when to intervene.
* Close the Loop: Integrate models into real workflows where outputs influence both human decisions and robotic actions, and model behavior must remain robust as protocols, operators, and environments change.
* Generalize, Don’t Memorize: Ensure models learn transferable structure rather than lab\- or site\-specific artifacts, enabling insights to carry across experiments, teams, and geographies.
* Lay the Groundwork for Automation: Enable future physical AI systems by ensuring models learn from execution\-level data, not just outcomes, building foundations for automation that can work in the real world.
**Who You Are**
* High agency. You don’t wait for perfect datasets or well\-posed problems. You identify what needs to be learned, build the right scaffolding, and push work forward.
* Biased toward action. You prototype quickly, test assumptions against real data, and iterate based on failure rather than waiting for theoretical certainty.
* Successful in ambiguity. You can make progress when labels are incomplete, feedback is delayed, and success criteria evolve over time.
* Thoughtful. You understand when sophistication helps and when it obscures, and you make deliberate tradeoffs between model complexity, robustness, and operational cost.
* Clear, direct communicator. You can explain model performance and limitations to collaborators across engineering, science, and operations.
* Intense. You care deeply about the mission, work hard when it matters, and help keep the team oriented toward what actually moves the needle.
**What You Know**
* Great programmer: Strong programming expertise with experience in software engineering, data systems, and AI/ML product development.
* ML Fundamentals: Strong grounding in machine learning, with experience building models that learn from noisy, real\-world data rather than clean, static datasets.
* Multimodal Learning: Experience working with or reasoning about multimodal systems (e.g., vision, audio, sensor data, metadata, text), and an intuition for how different signals complement or confound each other.
* Python \&amp; Frameworks: Fluency in Python and modern ML frameworks (e.g., PyTorch), with experience training, evaluating, and iterating on models in real systems.
* Data \&amp; Pipelines: Experience designing data pipelines and training/evaluation infrastructure that evolve over time as new data arrives and assumptions change.
* Production Awareness: Understanding of what it takes to move from prototype to production, including monitoring, iteration, and maintaining models as environments drift.
* Systems Mindset: Ability to work across the stack in close collaboration with software and perception engineers, understanding that model performance depends on the surrounding system.
* Learning Velocity: Strong fundamentals, curiosity, and the ability to quickly learn new tools, models, or domains as the problem demands.
**Other Things We Like To See**
* A passion for and experience in science
* A passion for and experience with AI
* Demonstrated experience working in fast\-moving/ambiguous environments (like startups!)
**The Basics**
* Competitive compensation (cash \+ equity)
* Full benefits (low/no\-cost health insurance options, HSA, 401K with matching, lunch subsidy, etc.)
 Apply now
 See more open positions at Transfyr Bio
 Privacy policyCookie policy
* Portfolio
* Team
* Jobs
* News
* Contact
* INVESTORS
 We’re moving fast. Sign up for our newsletter to stay updated.
 Copyright © 2022 Breakout Ventures. All rights reserved.
 Privacy Policy
 Top</t>
        </is>
      </c>
    </row>
    <row r="21">
      <c r="A21" t="inlineStr">
        <is>
          <t>li-4340290419</t>
        </is>
      </c>
      <c r="B21" t="inlineStr">
        <is>
          <t>Machine Learning Engineer</t>
        </is>
      </c>
      <c r="C21" t="inlineStr">
        <is>
          <t>Parker B Associates</t>
        </is>
      </c>
      <c r="D21" t="inlineStr">
        <is>
          <t>linkedin</t>
        </is>
      </c>
      <c r="E21" t="inlineStr"/>
      <c r="F21" t="inlineStr"/>
      <c r="G21" t="inlineStr"/>
      <c r="H21" t="inlineStr"/>
      <c r="I21" t="inlineStr">
        <is>
          <t>Machine Learning Engineer (Green card holder / US Citizen ONLY)
 New York City
 Permanent
 €130,000 – €250,000 \+ Bens
 Our client is a global Insurance business seeking a Machine Learning Engineer to join the team on a permanent basis.
 Are you interested in working on a brand\-new, greenfield AI project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22">
      <c r="A22" t="inlineStr">
        <is>
          <t>li-4355728197</t>
        </is>
      </c>
      <c r="B22" t="inlineStr">
        <is>
          <t>Senior AI/ML Engineer</t>
        </is>
      </c>
      <c r="C22" t="inlineStr">
        <is>
          <t>Recruits Lab</t>
        </is>
      </c>
      <c r="D22" t="inlineStr">
        <is>
          <t>linkedin</t>
        </is>
      </c>
      <c r="E22" t="inlineStr"/>
      <c r="F22" t="inlineStr"/>
      <c r="G22" t="inlineStr"/>
      <c r="H22" t="inlineStr"/>
      <c r="I22" t="inlineStr">
        <is>
          <t>🚀 About the Company
 We’re partnering with a well\-funded, early\-stage startup that’s revolutionizing residential real estate with an AI\-powered platform unifying e\-signatures, payments, compliance workflows, and intelligent automation. Backed by
 **$6M in seed funding** 
 and an elite investor network, the team is now building its founding engineering team from scratch.
 🧠 The Opportunity
 We’re seeking 1–3
 **Senior AI/ML Engineers** 
 to work closely with the CTO and CEO to
 **design and build** 
 advanced machine learning systems that power automation across real estate workflows. This is a rare opportunity to
 **architect, design, and implement** 
 NLP, document understanding, and AI\-driven automation from the ground up, with direct ownership over the models and systems that will shape the product and technical trajectory of the company.
 🔧 What You’ll Do
* **Design, develop, and deploy** 
 production\-ready machine learning models for NLP, document parsing, and workflow automation, establishing best practices for model lifecycle management.
* **Lead the technical implementation** 
 of AI\-driven contract creation, e\-signature verification, and payment automation systems.
* **Integrate complex ML solutions** 
 with modern web technologies using React, Next.js, TypeScript, and Node.js.
* **Architect scalable AI services** 
 in a microservices framework, leveraging Supabase, Vercel, and other modern dev tools, while mentoring junior team members.
* **Establish and maintain robust ML pipelines,** 
 model monitoring, and CI/CD for AI systems.
* **Research and implement state\-of\-the\-art algorithms** 
 in NLP, embeddings, LLMs, and structured data to maintain a competitive edge.
* **Drive technical decision\-making** 
 and contribute significantly to the overall product and engineering strategy.
 💡 What We’re Looking For
* **5\+ years** 
 of professional experience in AI/ML or related software engineering roles, with a track record of deploying systems to production.
* **Expert proficiency** 
 in Python, PyTorch/TensorFlow, and core ML frameworks.
* **Deep experience** 
 with NLP, OCR, or document understanding systems, ideally in a regulated or high\-accuracy domain.
* **Proven ability to architect and scale** 
 ML systems in a cloud environment (AWS, GCP, or Azure).
* Experience with React, Next.js, TypeScript, and Node.js preferred for seamless integration with production platforms.
* Comfortable taking
 **high\-level ownership** 
 in zero\-to\-one environments with high ambiguity and significant impact.
* **Bonus:** 
 Experience in proptech, fintech, or compliance automation, and working with production\-level LLMs, embeddings, or generative AI.
* Must be U.S.\-based (remote\-first, with hubs in Miami, NYC, SF, or LA preferred).
 🎁 What You’ll Get
* Competitive salary \+
 **meaningful early equity** 
 reflective of a senior, founding role.
* **Direct technical and architectural ownership** 
 of AI/ML systems that impact real\-world workflows.
* A chance to
 **shape product architecture and engineering culture** 
 from the ground up.
* Remote flexibility with high autonomy and purpose.
* Work on a fast\-moving, mission\-driven team solving complex real\-world problems.
 Ready to build and architect AI systems that redefine real estate workflows? Apply now and join a founding team driving innovation from day one.</t>
        </is>
      </c>
    </row>
    <row r="23">
      <c r="A23" t="inlineStr">
        <is>
          <t>li-4366168962</t>
        </is>
      </c>
      <c r="B23" t="inlineStr">
        <is>
          <t>Applied AI Engineer</t>
        </is>
      </c>
      <c r="C23" t="inlineStr">
        <is>
          <t>Arlo</t>
        </is>
      </c>
      <c r="D23" t="inlineStr">
        <is>
          <t>linkedin</t>
        </is>
      </c>
      <c r="E23" t="inlineStr"/>
      <c r="F23" t="inlineStr"/>
      <c r="G23" t="inlineStr">
        <is>
          <t>New York, NY</t>
        </is>
      </c>
      <c r="H23" t="inlineStr"/>
      <c r="I23" t="inlineStr">
        <is>
          <t>Arlo is rebuilding health insurance from the ground up using AI. The healthcare experience today is expensive, confusing, and often so frustrating that people delay the care they need. We’re changing that by reimagining what a health plan should be: a proactive partner that enables health rather than denying it. Our AI\-native platform delivers continuous, personalized support for members—helping them navigate benefits, schedule appointments, access high\-quality care, and avoid financial fear. Powered by the industry’s most advanced risk\-pricing engine, Arlo is already scaling fast: we’ve grown to $XXXM in premiums, cover tens of thousands of people, and see accelerating demand across brokers, employers, and partners. Backed by Upfront Ventures, 8VC, and General Catalyst, our team combines deep industry expertise (Palantir, YC) with the ambition to modernize a $1T market.
**About The Role**
 As an Applied AI Engineer, you will own the end\-to\-end development of core product experiences that redefine how our members interact with their healthcare.
* Architect and ship new AI\-native features that serve tens of thousands of members.
* Build and deploy sophisticated LLM\-powered agents that autonomously reason through complex healthcare workflows.
* Evolve our core AI stack by advancing our capabilities in prompt orchestration, context engineering, retrieval systems, and evaluations.
 What You Will Do
 To give you a sense of the impact you'll have, here are some initial projects you could own:
* AI\-Powered Triage: Develop an intelligent experience that helps patients understand their symptoms and guides them to the right setting of care (ER, Urgent Care, or PCP). You’ll prevent costly, unnecessary visits and directly save members thousands in out\-of\-pocket costs.
* An Infinitely Scalable Care Partner: Build a conversational AI to help patients understand their health, from decoding lab results to clarifying treatment plans. You'll give members the 24/7 support and infinite patience that the traditional system simply cannot offer.
* Proactive Health Engine: Pioneer an outreach tool that analyzes claims data to send personalized, timely campaigns for preventive screenings and medication adherence. You’ll transform healthcare from a system of static, soulless emails into one of dynamic, personal engagement.
**What We’re Looking For**
 This role is a great fit if you are a product\-minded engineer who thrives on building with the latest AI technology.
* Demonstrated experience shipping full\-stack AI products, from backend infrastructure (Python, Postgres) to production LLM applications.
* A strong product intuition and deep intellectual curiosity, with a passion for building 0\-to\-1 experiences in a fast\-paced startup environment. You own problems end\-to\-end.
* A pragmatic approach to LLM safety and reliability, with hands\-on experience implementing guardrails, red\-teaming, and creating evaluation frameworks to manage trade\-offs between performance, cost, and latency.
* Fluency with AI\-assisted engineering tools (e.g., Cursor, Copilot) to accelerate your development workflow.
**Nice to Haves**
* Experience with our front\-end stack (TypeScript, React).
* Familiarity with deploying AI workloads on a major cloud platform (AWS, etc.).
**Target Compensation Range**
 $210,000 – $230,000 \+ performance bonus \+ equity
**Why Join Arlo:**
* High ownership: You’ll get real responsibility from day one—our high\-trust team empowers you to run with big problems and shape core parts of the company.
* Join an important mission: Your work directly influences how people access care and improves lives at scale.
* Growth \&amp; expansion: We’re moving fast, and as we grow, your scope will grow with us—new challenges, bigger opportunities, and rapid career velocity.
* Apply AI to a problem that matters: Instead of optimizing ads or cutting labor costs, you’ll use AI to fundamentally reimagine how people get healthcare.
* High pace, high collaboration: We operate with velocity, first\-principles thinking, and a team that works closely, openly, and with ambition.
 Exact compensation inclusive of salary and any bonuses is determined based on a number of factors including experience and skill level, location, and qualifications which are assessed during the interview process.
 Arlo is an equal opportunity employer. We do not discriminate based on age, race, color, creed or religion, national origin, sexual orientation, gender identity or expression, military status, sex, disability, predisposing genetic characteristics, marital status, familial status, status as a victim of domestic violence, or arrest or conviction record, as defined under New York State law.</t>
        </is>
      </c>
    </row>
    <row r="24">
      <c r="A24" t="inlineStr">
        <is>
          <t>li-4344354585</t>
        </is>
      </c>
      <c r="B24" t="inlineStr">
        <is>
          <t>Applied ML Engineer</t>
        </is>
      </c>
      <c r="C24" t="inlineStr">
        <is>
          <t>Glocomms</t>
        </is>
      </c>
      <c r="D24" t="inlineStr">
        <is>
          <t>linkedin</t>
        </is>
      </c>
      <c r="E24" t="inlineStr"/>
      <c r="F24" t="inlineStr"/>
      <c r="G24" t="inlineStr">
        <is>
          <t>New York, NY</t>
        </is>
      </c>
      <c r="H24" t="inlineStr"/>
      <c r="I24" t="inlineStr">
        <is>
          <t>Applied Machine Learning Engineer
 We're seeking an
 **Applied Machine Learning Engineer** 
 to design and deploy intelligent systems that streamline infrastructure workflows. This role involves working hands\-on with advanced technologies\-such as large language models (LLMs), knowledge graphs, and modern retrieval systems\-to build scalable, agent\-based solutions.
 You'll prototype rapidly, experiment with emerging approaches, and take projects from concept through production. If you thrive in dynamic environments and are passionate about applying AI to real\-world challenges, this position is for you.
 What You'll Do
* Design and implement large\-scale machine learning systems that deliver measurable product value.
* Build and maintain end\-to\-end evaluation pipelines using real\-world data.
* Collaborate cross\-functionally to translate business needs into ML\-driven solutions.
* Prototype and iterate quickly, adapting to feedback and evolving requirements.
 What We're Looking For
* **Experience** 
 : 5\+ years in applied machine learning or a related role, ideally in a fast\-paced or high\-growth environment.
* **Technical Skills** 
 :
	+ Strong ML fundamentals: classification/regression, clustering, dimensionality reduction, evaluation, probabilistic modeling.
	+ Expertise in at least one applied ML domain (e.g., NLP, search, statistical modeling).
	+ Proficiency in Python and TypeScript; familiarity with common ML libraries and data engineering tools.
* **Mindset** 
 : Problem\-solving focus, strong communication skills, and comfort with iterative development.
* **Bonus** 
 :
	+ Experience with vector/hybrid search.
	+ Dataset curation or synthetic data generation.
	+ Contributions to open\-source ML tools.
	+ Familiarity with Go or other systems languages.
 Who You Are
* A builder who thrives in collaborative, fast\-paced environments.
* Excited about working in\-person at a modern office.
* Passionate about startups and zero\-to\-one product development.
* Enjoys working with ambitious, systems\-thinking teammates.
 What We Offer
* Competitive compensation and equity.
* Comprehensive health, dental, and vision coverage, plus retirement benefits.
* Unlimited PTO and wellness perks.
* Support for late\-night work and commuting.
* Tools and resources to help you do your best work.
 Interview Process
1. Application Review
2. Introductory Chat
3. Leadership Interview
4. Technical Assessment
5. Onsite Team Interviews
6. Fast Decision</t>
        </is>
      </c>
    </row>
    <row r="25">
      <c r="A25" t="inlineStr">
        <is>
          <t>li-4366171371</t>
        </is>
      </c>
      <c r="B25" t="inlineStr">
        <is>
          <t>AI Engineer, Deployment</t>
        </is>
      </c>
      <c r="C25" t="inlineStr">
        <is>
          <t>OpenAI</t>
        </is>
      </c>
      <c r="D25" t="inlineStr">
        <is>
          <t>linkedin</t>
        </is>
      </c>
      <c r="E25" t="inlineStr"/>
      <c r="F25" t="inlineStr"/>
      <c r="G25" t="inlineStr"/>
      <c r="H25" t="inlineStr"/>
      <c r="I25" t="inlineStr">
        <is>
          <t>**About The Company** 
 OpenAI is a leading artificial intelligence research and deployment organization committed to ensuring that artificial general intelligence (AGI) benefits all of humanity. Our mission is to develop safe and powerful AI systems, pushing the boundaries of technological innovation while prioritizing safety, ethics, and inclusivity. We strive to create transformative AI products that address global challenges and enhance human capabilities. As an organization, we value diverse perspectives, collaborative efforts, and responsible deployment of AI technologies. Our work spans cutting\-edge research, product development, and strategic partnerships, all aimed at making AI accessible and beneficial across industries and communities.
**About The Role** 
 We are seeking a solutions\-oriented AI Deployment Engineer to join our team. In this role, you will serve as a trusted technical advisor to our customers, helping them deploy Generative AI applications effectively and securely. Your primary responsibility will be to work closely with clients across various industries to translate their business needs into scalable AI solutions, from initial prototypes to enterprise\-grade deployments. You will leverage your expertise in AI systems, infrastructure, and architecture to design tailored solutions that maximize the value of OpenAI’s models and APIs. This role involves collaborating with cross\-functional teams including Sales, Solutions Engineering, Applied Research, and Product Management, reporting directly to the Head of Solutions Architecture. The position is primarily remote, with periodic travel to our headquarters and client sites as needed.
**Qualifications** 
* Minimum of 5\+ years of experience in technical consulting, post\-sales engineering, or solutions architecture.
* Proven experience in deploying Generative AI or machine learning systems at scale.
* Strong understanding of AI infrastructure, network architecture, and deployment considerations.
* Excellent communication skills, capable of explaining complex technical concepts to both technical and non\-technical audiences.
* Demonstrated ability to lead and manage complex projects from inception to completion.
* Proactive learner with a passion for acquiring new skills and knowledge.
* Collaborative mindset with the ability to work effectively in fast\-paced, dynamic environments.
* Experience working with ChatGPT, OpenAI APIs, or similar AI platforms is preferred.
**Responsibilities** 
* Engage with customers post\-sale to understand their business needs and technical environments.
* Develop and execute AI deployment strategies tailored to each customer’s industry and goals.
* Design and implement scalable AI solutions leveraging OpenAI's models, APIs, and ecosystem tools.
* Guide customers through the entire deployment lifecycle, from prototyping to production.
* Collaborate with cross\-functional teams to ensure successful integration and adoption of AI solutions.
* Provide technical guidance, best practices, and hands\-on support to customer teams and internal stakeholders.
* Identify potential challenges and proactively develop mitigation strategies.
* Stay current with advancements in AI technology and incorporate relevant innovations into deployment practices.
* Document deployment processes, technical architectures, and lessons learned for continuous improvement.
**Benefits** 
* Competitive salary and comprehensive health benefits.
* Flexible remote work environment with opportunities for periodic travel.
* Professional development programs and continuous learning opportunities.
* Collaborative and inclusive company culture.
* Access to cutting\-edge AI technologies and resources.
* Opportunities to work on impactful projects that address global challenges.
 Equal Opportunity
 OpenAI is an equal opportunity employer. We do not discriminate on the basis of race, religion, color, national origin, sex, sexual orientation, age, veteran status, disability, genetic information, or any other legally protected characteristic. We are committed to fostering an inclusive environment where all employees and applicants are valued and respected.</t>
        </is>
      </c>
    </row>
    <row r="26">
      <c r="A26" t="inlineStr">
        <is>
          <t>li-4366152540</t>
        </is>
      </c>
      <c r="B26" t="inlineStr">
        <is>
          <t>Applied AI Engineer (Remote from US)</t>
        </is>
      </c>
      <c r="C26" t="inlineStr">
        <is>
          <t>Jobgether</t>
        </is>
      </c>
      <c r="D26" t="inlineStr">
        <is>
          <t>linkedin</t>
        </is>
      </c>
      <c r="E26" t="inlineStr"/>
      <c r="F26" t="inlineStr"/>
      <c r="G26" t="inlineStr"/>
      <c r="H26" t="inlineStr"/>
      <c r="I26" t="inlineStr">
        <is>
          <t>**This position is posted by Jobgether on behalf of a partner company. We are currently looking for an Applied AI Engineer in United States.**
 We are seeking an innovative Applied AI Engineer to design and deploy AI\-powered features used by millions of people worldwide. In this role, you will work across a diverse ecosystem of products, embedding AI into user experiences that enhance content creation, commerce, messaging, and more. You will collaborate closely with product managers, designers, and engineers—either in\-person in NYC or fully remotely—to iterate rapidly on prototypes and scale successful AI solutions to production. The position offers autonomy to focus on high\-impact projects without bureaucratic constraints, along with the opportunity to stay at the forefront of AI innovation while shaping products that matter globally.
**Accountabilities**
* Design, develop, and ship AI\-powered user\-facing features across multiple product lines, including site building tools, ecommerce recommendations, and messaging experiences.
* Collaborate with cross\-functional teams (PMs, designers, engineers) to define, prototype, and scale AI solutions that enhance user engagement.
* Experiment with new AI capabilities and iterate on prototypes to deliver meaningful user experiences.
* Embed AI solutions into existing products and services, ensuring high performance and reliability at scale.
* Stay current with developments in AI and machine learning, applying new techniques to unlock innovative user experiences.
* Contribute to technical leadership and knowledge sharing within the engineering organization.
**Requirements**
* Hands\-on experience shipping production AI features that are actively used by end users.
* Strong full\-stack development skills, preferably with PHP, TypeScript, and React.
* Experience with large\-scale AI models, LLMs, or custom AI implementations.
* Solid understanding of machine learning fundamentals and AI deployment at scale.
* Ability to prototype quickly while building for performance, reliability, and scalability.
* Strong problem\-solving skills, technical leadership experience, and the ability to influence high\-performing teams.
* Excellent collaboration and communication skills for distributed and in\-person teams.
**Bonus Points**
* Experience developing consumer AI products that scaled to significant user numbers.
* Familiarity with WordPress, ecommerce, or messaging platforms.
* Open source contributions or technical publications.
* Previous startup experience as a founder or early engineer.
* Willingness to work in NYC or collaborate closely with NYC\-based teams.
**Benefits**
* Competitive salary range of $70,000 to $170,000 USD (adjusted to local currency for global hires).
* Fully remote work with the option to collaborate in\-person in NYC.
* Open vacation policy and flexible work arrangements.
* Opportunity to work on high\-impact AI products used by millions of people worldwide.
* Supportive, innovative, and mission\-driven work environment with global colleagues.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
      <c r="A27" t="inlineStr">
        <is>
          <t>li-4366180026</t>
        </is>
      </c>
      <c r="B27" t="inlineStr">
        <is>
          <t>AI/ML Engineer</t>
        </is>
      </c>
      <c r="C27" t="inlineStr">
        <is>
          <t>micro1</t>
        </is>
      </c>
      <c r="D27" t="inlineStr">
        <is>
          <t>linkedin</t>
        </is>
      </c>
      <c r="E27" t="inlineStr"/>
      <c r="F27" t="inlineStr"/>
      <c r="G27" t="inlineStr"/>
      <c r="H27" t="inlineStr"/>
      <c r="I27" t="inlineStr">
        <is>
          <t>**Job Title:** 
 AI/ML Engineer
**Job Type:** 
 Full\-Time, Contractual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8">
      <c r="A28" t="inlineStr">
        <is>
          <t>li-4347449532</t>
        </is>
      </c>
      <c r="B28" t="inlineStr">
        <is>
          <t>Senior Machine Learning Engineer</t>
        </is>
      </c>
      <c r="C28" t="inlineStr">
        <is>
          <t>Parker B Associates</t>
        </is>
      </c>
      <c r="D28" t="inlineStr">
        <is>
          <t>linkedin</t>
        </is>
      </c>
      <c r="E28" t="inlineStr"/>
      <c r="F28" t="inlineStr"/>
      <c r="G28" t="inlineStr"/>
      <c r="H28" t="inlineStr"/>
      <c r="I28" t="inlineStr">
        <is>
          <t>Senior Machine Learning Engineer (Green card holder / US Citizen ONLY)
 New York
 Permanent
 €190,000 – €250,000
 Our client, a global financial services firm, is seeking a Senior Machine Learning Engineer to join the team permanently.
 Wouldn’t it be great to work on AI projects that actually have a big impact?
 This opportunity is to build advanced insurance capabilities across the enterprise and develop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across underwriting, claims, and risk management
* Translate complex concepts into actionable business insights
* Research and apply the latest advancements for continuous improvement
 Full job spec will be provided upon request.
 Skills/ Experience:
* Masters degree
* Background in data science \&amp; machine learning techniques
* Generative AI/ LLM \- bonus
* Python \&amp; SQL
* Developed end\-to\-end AI solutions
* Cloud expertise
 If interested or for further information, please apply asap.
 Keywords – Senior Data Scientist, Senior AI engineer, AI engineer, Senior ML Engineer,</t>
        </is>
      </c>
    </row>
    <row r="29">
      <c r="A29" t="inlineStr">
        <is>
          <t>li-4366169118</t>
        </is>
      </c>
      <c r="B29" t="inlineStr">
        <is>
          <t>Software AI Engineer</t>
        </is>
      </c>
      <c r="C29" t="inlineStr">
        <is>
          <t>micro1</t>
        </is>
      </c>
      <c r="D29" t="inlineStr">
        <is>
          <t>linkedin</t>
        </is>
      </c>
      <c r="E29" t="inlineStr"/>
      <c r="F29" t="inlineStr"/>
      <c r="G29" t="inlineStr"/>
      <c r="H29" t="inlineStr"/>
      <c r="I29"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row r="30">
      <c r="A30" t="inlineStr">
        <is>
          <t>li-4355887904</t>
        </is>
      </c>
      <c r="B30" t="inlineStr">
        <is>
          <t>AI/ML Engineer / Defence / $500k+ / NYC</t>
        </is>
      </c>
      <c r="C30" t="inlineStr">
        <is>
          <t>Open Talent</t>
        </is>
      </c>
      <c r="D30" t="inlineStr">
        <is>
          <t>linkedin</t>
        </is>
      </c>
      <c r="E30" t="inlineStr"/>
      <c r="F30" t="inlineStr"/>
      <c r="G30" t="inlineStr">
        <is>
          <t>New York, United States</t>
        </is>
      </c>
      <c r="H30" t="inlineStr"/>
      <c r="I30"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31">
      <c r="A31" t="inlineStr">
        <is>
          <t>li-4355888391</t>
        </is>
      </c>
      <c r="B31" t="inlineStr">
        <is>
          <t>AI Engineer (Natural Language Processing)</t>
        </is>
      </c>
      <c r="C31" t="inlineStr">
        <is>
          <t>Skyryse</t>
        </is>
      </c>
      <c r="D31" t="inlineStr">
        <is>
          <t>linkedin</t>
        </is>
      </c>
      <c r="E31" t="inlineStr"/>
      <c r="F31" t="inlineStr"/>
      <c r="G31" t="inlineStr">
        <is>
          <t>El Segundo, CA</t>
        </is>
      </c>
      <c r="H31" t="inlineStr"/>
      <c r="I31" t="inlineStr">
        <is>
          <t>Our mission at Skyryse is nothing less than a new era in flight, where fatalities are nearly zero, piloting any aircraft is simple and safe, and the sky is accessible to all. SkyOS, our industry\-first universal operating system for flight, provides any airplane or helicopter with a fly\-by\-wire flight management solution that significantly reduces the complexity of flying. Skyryse One, our first production aircraft powered by SkyOS, was unveiled in 2024 and features the simplest, safest, and most intuitive flight controls in general aviation.
**AI ENGINEER \- EL SEGUNDO, CA**
 As an AI Engineer on our Advanced Technology Team, you will take part in designing, developing and integrating our SkyOS AI assistant. You will be given projects and tasks to develop new features, enhance throughput, and optimize architecture for this flight enhancing software.
 This is a full\-time onsite opportunity based out of El Segundo, CA. 
**RESPONSIBILITIES:** 
* Conduct cutting\-edge generative AI and NLP research in a fast\-paced, collaborative environment
* Contribute to the design of AI\-driven features that enhance user experience and product functionality for aerospace applications
* Design new agent architectures to improve end\-to\-end performance of AI workflows
* Develop high fidelity, application specific AI applications that can be locally hosted
* Design, run, and evaluate experiments to improve LLMs on various NLP benchmarks
* Execute data engineering tasks to curate data for LLM pre\-training, fine\-tuning, RAG
* Help develop roadmaps that utilize generative AI and knowledge retrieval to understand and integrate new research in the product roadmap
* Understand and apply responsible AI practices, including considerations of bias, fairness, and data privacy
**MINIMUM QUALIFICATIONS:** 
* Bachelor’s or Master’s degree in an engineering discipline (Computer Science, Software Engineering, or similar)
* 3\+ years of professional experience in AI and voice\-to\-text algorithms.
* Proficiency in Natural Language Processing
* Proficiency in Digital Signal Processing
* Proficiency in ML/Deep Learning Frameworks and frameworks like PyTorch or TensorFlow
**PREFERRED QUALIFICATIONS:** 
* PhD in Computer Science (focus in AI, ML, or similar)
* Expertise in speech recognition models
* Real\-time and edge deployment experience
* Piloting experience a bonus
**WHY SKYRYSE?** 
* The opportunity to change the world through improving aviation safety and accessibility
* Salary: $140,000 \- $180,000
* Valuable stock option plan
* Heavily subsidized medical, dental and vision plans
* Full\-time employees are eligible for 20 days of paid time off (PTO) and 5 sick days annually.  PTO and sick days must be used in accordance with Company policy.
* A company with an ambitious vision, a dynamic work environment, and a team of smart, motivated, and fun to work\-with colleagues!
*The posted salary range reflects the potential base pay for this role, adjusted to account for varying geographic markets. Final compensation will be based on factors such as your location, job\-related skills, experience, and internal alignment, including equity and benefits.* 
**WE WELCOME ALL**
 Skyryse is an equal opportunity employer. We value diversity. We do not discriminate on the basis of race, religion, color, national origin, gender, sexual orientation, age, marital status, veteran status, or disability status.
 NO AGENCY CANDIDATES WILL BE CONSIDERED.</t>
        </is>
      </c>
    </row>
    <row r="32">
      <c r="A32" t="inlineStr">
        <is>
          <t>li-4366193159</t>
        </is>
      </c>
      <c r="B32" t="inlineStr">
        <is>
          <t>Staff Machine Learning Engineer</t>
        </is>
      </c>
      <c r="C32" t="inlineStr">
        <is>
          <t>Paylocity</t>
        </is>
      </c>
      <c r="D32" t="inlineStr">
        <is>
          <t>linkedin</t>
        </is>
      </c>
      <c r="E32" t="inlineStr"/>
      <c r="F32" t="inlineStr"/>
      <c r="G32" t="inlineStr"/>
      <c r="H32" t="inlineStr"/>
      <c r="I32"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Paylocity is growing its Machine Learning Engineering organization! Our machine learning engineering team is responsible for developing infrastructure and tooling to help enable data driven decisions and insights at scale for millions of Paylocity users.
 As a Staff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 Bachelor’s degree with 8 years of machine learning engineering or similar experience at software companies; or, advanced degree (master’s or PhD) in machine learning engineering, data engineering, computer science, engineering, statistics, mathematics, data science, or other quantitative field, with 3 years of demonstrated machine learning engineering success or similar experience.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$146,600 \- $272,200 /yr; however, base pay offered may vary depending on job\-related knowledge, skills, and experience. This position is eligible for an annual bonus and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33">
      <c r="A33" t="inlineStr">
        <is>
          <t>li-4366158126</t>
        </is>
      </c>
      <c r="B33" t="inlineStr">
        <is>
          <t>Machine Learning Engineer - Credit Risk</t>
        </is>
      </c>
      <c r="C33" t="inlineStr">
        <is>
          <t>Harnham</t>
        </is>
      </c>
      <c r="D33" t="inlineStr">
        <is>
          <t>linkedin</t>
        </is>
      </c>
      <c r="E33" t="inlineStr"/>
      <c r="F33" t="inlineStr"/>
      <c r="G33" t="inlineStr"/>
      <c r="H33" t="inlineStr"/>
      <c r="I33" t="inlineStr">
        <is>
          <t>**Machine Learning Engineer \- Credit Risk** 
**Foundational Hire \| Early\-Stage Fintech (US Remote)** 
**Up to circa $200,000 \+ Founder Equity** 
**Remote within USA** 
 A high‑growth, YC‑backed startup (seed stage) is hiring its
 **first ML Engineer** 
 to build the entire intelligence layer behind a product already scaling fast across the US.
 They’re solving a
 *hair‑on‑fire* 
 problem affecting millions of small and medium businesses: cash‑flow volatility. The platform helps business owners smooth out mission‑critical expenses using real‑time financial insights and flexible repayment structures. They’ve launched, are growing rapidly, and have early partnerships with major industry platforms.
 This is a
 **foundational role** 
 —you’ll be designing and shipping models that directly control real financial decisions in production. Think underwriting, risk modelling, cash‑flow intelligence, and decisioning systems that will scale with the company.
**What You’ll Do** 
* Build clean, production\-ready ML systems and underwriting models
* Analyse historical and transaction‑level data to surface patterns, risk signals, and predictors of performance
* Develop and iterate on adaptive underwriting (elastic, feedback‑driven, behaviour‑based)
* Own risk scoring, threshold optimisation, and decisioning logic
* Implement continuous learning loops to refine model behaviour month over month
* Work cross‑functionally with founders to influence product, risk, and roadmap decisions
**What They’re Looking For** 
* **2\+ years of experience** 
 (not fresh\-grad; able to operate independently)
* Experience deploying ML models into production environments
* Strong data analysis skills (messy, noisy financial data a plus)
* Comfort working with LLMs/prompting for categorisation and pattern detection
* Experience in
 **credit risk / underwriting / financial modelling** 
 is a major advantage
* Someone who thrives in ambiguity, ownership, and early‑stage environments
**Tech Environment** 
* **ML:** 
 Python, production model deployment, risk scoring
* **Backend/frontend:** 
 TypeScript (Node/Express, Next.js, React Native)
* **Cloud \&amp; data:** 
 PostgreSQL, Supabase, GCP
* **Integrations:** 
 Plaid, Stripe
**Why This Role Is Rare** 
* You’re the
 **first ML hire** 
 — nothing is rigid, everything you build becomes the foundation
* Your models impact
 **real money and real outcomes**
* Direct exposure and collaboration with founders
* Meaningful equity \+ high‑ownership environment
* A chance to define the ML direction and eventually grow into a team lead
**Compensation** 
* **Base:** 
 $150k–$200k (DOE)
* **Equity:** 
 Founding‑level equity
**Location** 
* **Remote (US)** 
 — founders are East Coast–based but open on location
 If you want to own ML at a fast‑scaling fintech and build systems that make real financial decisions from day one, this is a standout opportunity.</t>
        </is>
      </c>
    </row>
    <row r="34">
      <c r="A34" t="inlineStr">
        <is>
          <t>li-4366167709</t>
        </is>
      </c>
      <c r="B34" t="inlineStr">
        <is>
          <t>Principal Machine Learning Engineer</t>
        </is>
      </c>
      <c r="C34" t="inlineStr">
        <is>
          <t>ServiceNow</t>
        </is>
      </c>
      <c r="D34" t="inlineStr">
        <is>
          <t>linkedin</t>
        </is>
      </c>
      <c r="E34" t="inlineStr"/>
      <c r="F34" t="inlineStr"/>
      <c r="G34" t="inlineStr">
        <is>
          <t>Santa Clara, CA</t>
        </is>
      </c>
      <c r="H34" t="inlineStr"/>
      <c r="I3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PLATO (Platform Engineering and AI Technology Organization) at ServiceNow is a customer\-focused innovative group building intelligent software using a variety of technology stacks to enable end\-to\-end, industry\-leading work experiences for our customers. We are a group of people deeply invested in the success of our customers that happen to have expertise and knowledge in advanced technologies and software engineering best practices. We are data driven, structured, committed and we enjoy what we are doing. We prioritize robustness, performance and user experience over the technology stack and tools.
 This role will help build the strong technical AI trust foundation which includes driving architectural decisions, ensuring critical workflow product security, establishing AI quality assurance methodologies and the trusted compliance workflow. The principal engineer will bring deep technical leadership and hands\-on expertise to accelerate time\-to\-market since we have already released hundreds of GenAI and Agentic AI Agents onto the ServiceNow Platform and with more AI solutions that will come to market.
 You will play a major part in building AI and Machine Learning (ML) solutions that transform the user experience and workflow efficiency of enterprise services. Traditional analytical tools tend to require a technically knowledgeable user to produce even simple results. We are taking a completely fresh approach with the expectation that any user, regardless of technical knowledge, can use the AI/ML solutions we develop to operate the services in the enterprise setting in a thoughtful and scalable manner. We are just getting started with our early\-adopter customers and we need your help in building and making available an amazing range of solutions to our 5k\+ enterprise customers around the world.
**What You Get To Do In This Role**
* Build the best cloud\-based AI/ML solutions to power intelligent enterprise services
* Collaborate daily with a team of like\-minded developers, product managers and quality engineers to produce quality software
* Work with product owners to understand detailed requirements and own your code from design, implementation, testing and delivery of high\-quality solutions to our users
* Help devise adversarial machine learning defense strategies.
* Develop Secure model deployment.
* Ensure compliance with emerging AI safety regulations (e.g., EU AI Act, NIST AI Risk Management Framework).
* Capable of delivering MVP and production systems more quickly due to working experience with the ServiceNow Platform.
* Can make trade\-off decisions that reduce rework and technical debt.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Proficient in prompt engineering and developing LLM based features
* Experience with methods of training and fine\-tuning large language models, such as distillation, supervised fine\-tunning and policy optimization
* Experience in using AI productivity tools such as Cursor, Windsurf, etc
* Demonstrate technical leadership: experience in developing architecture and owned complex systems
* Expertise in Python, GO, OOP, Design Patterns, time and space\-efficient algorithms
* Experience building prototypes, proof of concepts to prove ideas and working with engineering teams to productionize them
* Expertise in coding efficiently, object\-oriented, modularized and quality software
* Knowledge of core AI/ML techniques and algorithms
* Knowledge of unit testing, profiling, and code tuning
* Experience with Kubernetes and container technologies.
 For positions in this location, we offer a base pay of $236,000 \- $413,000,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35">
      <c r="A35" t="inlineStr">
        <is>
          <t>li-4366182018</t>
        </is>
      </c>
      <c r="B35" t="inlineStr">
        <is>
          <t>Machine Learning Engineer</t>
        </is>
      </c>
      <c r="C35" t="inlineStr">
        <is>
          <t>Apex Systems</t>
        </is>
      </c>
      <c r="D35" t="inlineStr">
        <is>
          <t>linkedin</t>
        </is>
      </c>
      <c r="E35" t="inlineStr"/>
      <c r="F35" t="inlineStr"/>
      <c r="G35" t="inlineStr">
        <is>
          <t>Minneapolis–Saint Paul, WI</t>
        </is>
      </c>
      <c r="H35" t="inlineStr"/>
      <c r="I35" t="inlineStr">
        <is>
          <t>**Job\#: 3013061**
**Job Description:**
 Apex Systems is partnering with one of our top Financial Services clients to find a talented Senior Machine Learning Engineer to join their growing team in St. Paul, MN.
 If you're looking for a role where you can make an impact, grow your skills, and work with a respected organization—this could be the perfect fit!
**Position Summary**
 We are seeking a
 **Senior Machine Learning Engineer** 
 to design, build, and implement machine learning solutions that address key business challenges. This role involves creating and deploying ML pipelines, operationalizing models in production environments, and establishing monitoring systems to ensure ongoing performance and reliability.
**Key Responsibilities**
* Architect and deploy end\-to\-end ML pipelines to deliver solutions for business needs.
* Collaborate with data scientists and subject matter experts to identify and engineer features that enhance model accuracy and resilience.
* Partner with product managers, software engineers, and stakeholders to gather requirements, set priorities, and deliver ML\-driven outcomes aligned with organizational goals.
* Develop real\-time monitoring and logging tools to track model health and quickly resolve performance issues.
* Perform hyperparameter tuning to optimize models for accuracy and generalization on unseen datasets.
* Design and prototype ML systems, frameworks, and utilities capable of processing large\-scale data efficiently.
* Convert experimental data science models into robust, scalable production implementations.
* Work closely with data scientists to troubleshoot and refine complex data workflows.
**Qualifications**
* Bachelor’s degree in Computer Science, Data Science, Mathematics, Statistics, or a related quantitative field (preferred).
* 2–3\+ years of hands\-on experience coding in languages such as Python or Java.
**Core Skills**
* Strong background in data preprocessing, feature engineering, and model evaluation.
* Proficiency with containerization tools like Docker and Kubernetes.
* Experience working with cloud platforms (AWS, GCP, or Azure).
* Knowledge of ML frameworks and libraries (TensorFlow, PyTorch, scikit\-learn, etc.).
* SQL expertise for data extraction and manipulation.
* Ability to thrive in fast\-paced, agile environments both independently and collaboratively.
**Preferred Skills**
* AWS Cloud certification.
* Experience with Spark and Java development.
* Familiarity with insurance or financial services industries.
**Soft Skills**
* Excellent communication and collaboration skills for working with cross\-functional teams, vendors, and stakeholders.
* Strong analytical and problem\-solving abilities for structured and unstructured data.
* Demonstrated leadership in driving initiatives and delivering results.
* Detail\-oriented with a continuous learning mindset.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36">
      <c r="A36" t="inlineStr">
        <is>
          <t>li-4355916875</t>
        </is>
      </c>
      <c r="B36" t="inlineStr">
        <is>
          <t>Staff Machine Learning Engineer</t>
        </is>
      </c>
      <c r="C36" t="inlineStr">
        <is>
          <t>Scowtt</t>
        </is>
      </c>
      <c r="D36" t="inlineStr">
        <is>
          <t>linkedin</t>
        </is>
      </c>
      <c r="E36" t="inlineStr"/>
      <c r="F36" t="inlineStr"/>
      <c r="G36" t="inlineStr">
        <is>
          <t>Seattle, WA</t>
        </is>
      </c>
      <c r="H36" t="inlineStr"/>
      <c r="I36" t="inlineStr">
        <is>
          <t>**About Scowtt**
 Scowtt is an early\-stage startup transforming the way businesses convert leads into customers through AI/ML marketing optimization and fully autonomous sales experiences. By integrating CRM, web signals, and product interaction data into a real\-time conversion model, we help businesses turn interest into action—immediately. We’re growing fast, and onboarding new customers quickly and cleanly is core to our success.
**About The Role**
 We are looking for a
 **Staff\+ Machine Learning Engineer** 
 to lead and evolve the ML systems that power our
 **Marketing AI and AI Sales Agents** 
 .
 This is a
 **hands\-on technical leadership role** 
 owning ML end\-to\-end \- from model architecture and experimentation to production, scale, and long\-term system health. You will build
 **core IP** 
 : models that directly influence conversion rates, ROAS, and customer value across major ad networks.
**What You’ll Do**
* End\-to\-end ownership of ML systems, from research and modeling to deployment and scale
* Design and evolve next\-generation conversion and value prediction models using behavioral, CRM, and engagement data
* Fine\-tune and specialize LLMs (e.g., SFT, LoRA, PEFT) to power AI Sales Agents focused on reasoning, persona alignment, and long\-term conversion outcomes
* Drive high\-speed feedback loops between ML systems and ad platforms
* Design systems for continuous training, monitoring, and rapid experimentation
* Solve systemic ML problems around data quality, drift, reliability, and velocity
* Mentor senior ML engineers and raise the organization’s ML bar
**Qualifications**
**Must Have**
* Bachelor’s degree in Computer Science, ML, Data Science, or equivalent
* 6\-10 years of experience in applied machine learning and production ML systems
* 6\-10 years of experience in deploying and operating ML models at scale
* 6\-10 years of experience and strong hands\-on skills with Python and modern ML frameworks (PyTorch, TensorFlow)
**Should Have**
* Experience designing models for prediction, ranking, recommendation, or personalization
* Strong understanding of LLM fine\-tuning techniques and production usage
* Ability to operate across research, experimentation, and high\-scale production systems
* Proven ability to influence technical direction through architecture and execution
**Nice to Have**
* Experience with transformer\-based sequence models or multimodal architectures
* Familiarity with ad\-tech, mar\-tech, sales\-tech, or CRM ecosystems
* Experience building ML platforms, experimentation systems, or MLOps tooling
* Experience leading multi\-quarter ML initiatives
**What Success Looks Like**
* ML systems materially improve customer ROI and conversion outcomes
* Teams move faster because of your systems and decisions
* Technical architecture scales cleanly with product ambition
* You create durable ML leverage across the company
**Pay Range And Compensation Package**
 Based on the level hired at and location, the cash compensation for this role ranges between $190,000 to $250,000\. Selected candidate/s will be eligible for standard benefits and attractive startup equity.
**Equal Opportunity \&amp; E\-Verify Employer**
 Scowtt is an Equal Opportunity Employer. All qualified applicants will receive consideration for employment without regard to race, color, religion, sex, sexual orientation, gender identity, national origin, age, disability, or veteran status. We are committed to providing a workplace free of discrimination and harassment.
 This employer participates in E\-Verify and will provide the federal government with your Form I\-9 information to confirm that you are authorized to work in the U.S. For more information, please visit www.e\-verify.gov.</t>
        </is>
      </c>
    </row>
    <row r="37">
      <c r="A37" t="inlineStr">
        <is>
          <t>li-4355797791</t>
        </is>
      </c>
      <c r="B37" t="inlineStr">
        <is>
          <t>Senior ML Engineer (LLMs) / Frontier Tech / Seattle, WA / $350k+</t>
        </is>
      </c>
      <c r="C37" t="inlineStr">
        <is>
          <t>Open Talent</t>
        </is>
      </c>
      <c r="D37" t="inlineStr">
        <is>
          <t>linkedin</t>
        </is>
      </c>
      <c r="E37" t="inlineStr"/>
      <c r="F37" t="inlineStr"/>
      <c r="G37" t="inlineStr">
        <is>
          <t>Seattle, WA</t>
        </is>
      </c>
      <c r="H37" t="inlineStr"/>
      <c r="I37" t="inlineStr">
        <is>
          <t>**Senior ML/AI Engineer / Frontier Tech / Seattle, WA / $350k** 
**IMPORTANT:**
 Due to the nature of the company’s work, only U.S. citizens can be considered for this position.
**We’re hiring for a frontier aerospace company in Seattle that’s redefining how AI powers real\-world missions.** 
 Backed by top\-tier investors, they build
 **mission\-critical GenAI systems** 
 used in environments where
 **accuracy, reliability \&amp; latency literally matter.** 
 This isn’t a big corporate lab. It’s a
 **tight, elite engineering team** 
 where you’ll have
 **ownership, equity \&amp; autonomy** 
 to build from the ground up \- and see your work directly influence live aerospace operations.
 They’re seeking a
 **Senior or Lead AI Engineer** 
 to take full ownership of a
 **retrieval and evaluation pipeline** 
 already powering production systems. You’ll fine\-tune, optimise, and scale LLM\-driven intelligence that sits at the core of aerospace decision\-making.
**What You’ll Do** 
* **Own and evolve** 
 a production\-grade
 **GenAI retrieval \&amp; evaluation pipeline** 
 — hybrid vector \+ keyword retrieval (FAISS/BM25\) tuned for precision, recall, and sub\-100ms latency
* **Optimise RAG performance** 
 across the stack — prompt routing, context compression, reranking, and answer grounding under strict reliability thresholds
* **Design \&amp; implement** 
 scalable architectures for inference, caching, and continuous evaluation – your decisions will directly shape live aerospace intelligence systems
* **Debug \&amp; deploy** 
 in high\-stakes production – profiling token usage, batching inference, automating evals with LangSmith or custom metrics suites
* **Collaborate directly** 
 with technical founders \&amp; aerospace engineers to align
 **LLM performance with real\-world mission data**
**You’re a Fit If You Have** 
* Proven experience deploying
 **LLM or RAG\-based systems** 
 into production
* Strong grasp of
 **retrieval, ranking, and evaluation** 
 under real constraints
* Hands\-on with
 **Python, PyTorch, LangChain, Hugging Face, vector DBs**
* You’ve
 **shipped systems that work in production** 
 , not research demos
* Background in
 **high\-performance or regulated environments** 
 (defence, aerospace, fintech, etc.)
* Ownership mindset \- fast, curious \&amp; comfortable building 0→1 systems
**Tech Stack** 
 Python, PyTorch, FastAPI, Hugging Face, Postgres, Redis, Docker, Kubernetes, Vector Databases
**Offer** 
* Up to
 **$350,000\+ base** 
 plus
 **meaningful equity (already doing exceptionally)**
* Medical \&amp; dental (full coverage)
* **Backed by top\-tier investors** 
 with serious long\-term conviction
* **Onsite in downtown Seattle \- relo offered**
* Join a
 **small, elite team** 
 tackling problems few can even attempt
* **0 bureaucracy, 0 noise** 
 \- just hard problems, fast decisions, real impact
**Interview Process** 
1. Technical Deep Dive
2. Assessment or Live Pair
3. Team Fit \&amp; Mindset Panel
**Fast:** 
 2 weeks total
**TL;DR** 
* Join a frontier tech company with real customers and real systems in production
* Work onsite in Seattle, directly with senior engineers \&amp; technical founders
* Own performance\-critical ML pipelines where speed and precision matter
* This is real product work, not research or prototypes
* Up to $350K\+ base salary with meaningful equity
* U.S. Citizenship required due to the nature of the work
**Must be onsite in Seattle. Relocation support available for exceptional candidates.** 
**Our client is an Equal Opportunity employer.** 
 If you're a Senior ML engineer ready to build systems that matter, apply now.
**Our new NYC roles here 1st:** 
 linkedin.com/in/sufyanbashir</t>
        </is>
      </c>
    </row>
    <row r="38">
      <c r="A38" t="inlineStr">
        <is>
          <t>li-4355788698</t>
        </is>
      </c>
      <c r="B38" t="inlineStr">
        <is>
          <t>Sr AI Engineer</t>
        </is>
      </c>
      <c r="C38" t="inlineStr">
        <is>
          <t>Paycom</t>
        </is>
      </c>
      <c r="D38" t="inlineStr">
        <is>
          <t>linkedin</t>
        </is>
      </c>
      <c r="E38" t="inlineStr"/>
      <c r="F38" t="inlineStr"/>
      <c r="G38" t="inlineStr">
        <is>
          <t>Oklahoma City, OK</t>
        </is>
      </c>
      <c r="H38" t="inlineStr"/>
      <c r="I38" t="inlineStr">
        <is>
          <t>Paycom is seeking a motivated AI Engineer with a passion for building practical, innovative solutions. In this role, you will work closely with software engineers to design and implement AI features that enhance our products and improve client experience. You will contribute to the development of AI applications, collaborate with a team of skilled technologists, and gain hands\-on experience in applying AI strategies to real\-world challenges.
**Responsibilities**
* Develop, maintain, and improve AI/ML codebases, services and APIs with a focus on reliability and scalability.
* Collaborate with cross\-functional teams including engineers, data scientists, and domain experts to deliver impactful AI solutions.
* Implement and support AI/ML pipelines for deployment, monitoring and lifecycle management.
* Automate batch inference workflows and integrate AI features into both internal tools and customer\-facing products.
* Collaborate with engineers, data scientists, and domain experts to deliver impactful AI solutions.
* Write, clean, testable, and well\-documented code to help the team build AI\-integrated solutions with confidence.
* Define architectural changes that can be implemented incrementally, while minimizing risk.
* Define and evolve model governance, monitoring, drift detection and re\-training workflows.
* Advocate for security and ethical AI practices in compliance with OWASP ML Top 10 and relevant standards.</t>
        </is>
      </c>
    </row>
    <row r="39">
      <c r="A39" t="inlineStr">
        <is>
          <t>li-4303045626</t>
        </is>
      </c>
      <c r="B39" t="inlineStr">
        <is>
          <t>Staff Machine Learning Engineer - Search</t>
        </is>
      </c>
      <c r="C39" t="inlineStr">
        <is>
          <t>Warner Bros. Discovery</t>
        </is>
      </c>
      <c r="D39" t="inlineStr">
        <is>
          <t>linkedin</t>
        </is>
      </c>
      <c r="E39" t="inlineStr"/>
      <c r="F39" t="inlineStr"/>
      <c r="G39" t="inlineStr">
        <is>
          <t>San Francisco, CA</t>
        </is>
      </c>
      <c r="H39" t="inlineStr"/>
      <c r="I39"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At HBO Max, storytelling takes center stage. We’re one of the world’s most iconic entertainment brands — home to bold originals and unforgettable characters. While audiences binge award\-winning content, breaking news, and sports around the clock, our teams stay busy at work creating what’s next in streaming. From Succession, Euphoria, and The Sopranos to global franchises like Game of Thrones and Harry Potter, our content sparks conversation and shapes culture.
 HBO Max delivers boundary\-pushing stories across genres and platforms, connecting millions of viewers across 90 countries globally— and we’re just getting started. We're home to the most talked about shows and movies, granting audiences access to the worlds of HBO, Harry Potter, DC, Warner Bros., ID, Adult Swim, A24, and more. Turn your streaming obsession into a career— we’re hiring!
**Staff MLE
 , Personalization, Content Discovery**
**Location:
 Seattle,
 San Francisco Bay Area, New York**
 Every
 great story
 has a new beginning.
 Warner Bros. Discovery
 is
 a premier global media and entertainment company offering audiences the world's most differentiated and complete portfolio of content, brands and franchises across television, film, sports, news, streaming and gaming. Our mission is simple. To be the world's best storytellers with world\-class products for consumers.
 From brilliant creatives to technology trailblazers and beyond, join us as we step into the next chapter. 
 Warner Bros. Discovery's DTC technology and product organization sits at the intersection of tech, entertainment, and everyday utility. We are continuously
 leveraging
 new technology
 to build immersive and interactive viewing experiences. Our platform covers everything from search, content
 catalog,
 video transcoding, to personalization, global subscriptions, and more. We are committed to delivering unique and quality user experiences, ranging from video streaming to applications across connected TV, mobile, web and consoles. As a pure tech organization, we are essential to Warner Bros. Discovery’s continued growth, building world\-class streaming products from the ground\-up for our iconic brands like HBO Max, Discovery Channel, CNN, Food Network, HGTV, Eurosport,
 MotorTrend
 , and many more.
**About You:**
 We are looking for a passionate Machine Learning Engineer to build and scale the DTC personalization
 models and
 algorithms for
 our new global streaming app, Max, as well as any future DTC streaming apps. You are excited about working in an environment that fosters innovation via prototyping, development,
 experimentation,
 and
 productionization
 . You will bring the right balance between rapid feature iteration and building a common set of platforms and tools to move quickly in the future.
 In your role, you will be working alongside a team of passionate machine learning engineers and applied
 Machine Learning
 researchers
 to build and contribute to architecting a system that serves millions of users worldwide.
**Responsibilities:**
* Architect, build and scale a recommendation system that powers
 the
 state\-of\-the\-art
 personalization experience to users across Max, HBO, Discovery\+ and other WBD offerings
* Collaborate with
 ML/Ops engineers to develop and improve core components,
 infrastructure
 and architecture to train, deploy and serve models at scale
* Collaborate with
 other
 data scientists, engineers, product teams and other key stakeholders and drive ML projects from conception to completion
* Author, test, review, and optimize production\-level code in Python, Go and Java while executing best practices in version control and code integration
* Use and build upon open\-source cloud computing technologies
* Participate and support engineering leaders in strategic planning and
 demonstrate
 good judgment in setting and delivering against strategic goals for the team
* Motivate,
 inspire
 and create a culture of experimentation and data\-driven innovation while constantly striving to be an advocate for doing what is right for our customers
**Requirements:**
* 8
 \+ years of industry experience, with 4\+ years as tech lead experience (preferred)
* Deep practical knowledge
 of
 modern machine learning lifecycle.
* Deep practical knowledge of large\-scale recommender systems, or
 large\-scale
 ML
 ranking/retrieval/targeting systems and familiarity with A/B Tests and hypothesis testing is preferred
* Experience with design, implementation, and performance tuning of ML models.
* 5\+ years of programming experience in at least one of the following: Python/Java/Go with ability to rapidly prototype
 ideas and
 refine towards production.
* Deep practical knowledge of
 large\-scale
 recommender
 models
 and systems
 ,
 or
 large\-scale
 ML
 ranking/retrieval/targeting systems
 .
* Experience with one of the cloud platforms AWS/GCP/Azure
* Good practical knowledge of
 SQL
 and relational databases
 .
* Experience with CI/CD tools like GitHub Actions,
 Jenkins,
 etc.
* Excellent written and verbal communications skills, be comfortable presenting to large audiences
 .
* Advanced degree (M.S.), or equivalent industry experience in
 statistics, computer
 science, machine
 learning
 or related fields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40">
      <c r="A40" t="inlineStr">
        <is>
          <t>li-4302594609</t>
        </is>
      </c>
      <c r="B40" t="inlineStr">
        <is>
          <t>Staff Machine Learning Engineer (India based, relocation provided)</t>
        </is>
      </c>
      <c r="C40" t="inlineStr">
        <is>
          <t>Agoda</t>
        </is>
      </c>
      <c r="D40" t="inlineStr">
        <is>
          <t>linkedin</t>
        </is>
      </c>
      <c r="E40" t="inlineStr"/>
      <c r="F40" t="inlineStr"/>
      <c r="G40" t="inlineStr">
        <is>
          <t>Houston, TX</t>
        </is>
      </c>
      <c r="H40" t="inlineStr"/>
      <c r="I4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41">
      <c r="A41" t="inlineStr">
        <is>
          <t>li-4366210595</t>
        </is>
      </c>
      <c r="B41" t="inlineStr">
        <is>
          <t>Machine Learning Engineer / Data Scientist</t>
        </is>
      </c>
      <c r="C41" t="inlineStr">
        <is>
          <t>Fusemachines</t>
        </is>
      </c>
      <c r="D41" t="inlineStr">
        <is>
          <t>linkedin</t>
        </is>
      </c>
      <c r="E41">
        <f>HYPERLINK("https://www.linkedin.com/jobs/view/4366210595", "https://www.linkedin.com/jobs/view/4366210595")</f>
        <v/>
      </c>
      <c r="F41" t="inlineStr"/>
      <c r="G41" t="inlineStr">
        <is>
          <t>New York, NY</t>
        </is>
      </c>
      <c r="H41" t="inlineStr"/>
      <c r="I41" t="inlineStr">
        <is>
          <t>**About Fusemachines**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**Type: Full\-time, Remote**
**Role Overview**
 We’re hiring a mid\-to\-senior Machine Learning Engineer / Data Scientist to build and deploy machine learning solutions that drive measurable business impact. You’ll work across the ML lifecycle—from problem framing and data exploration to model development, evaluation, deployment, and monitoring—often in partnership with client stakeholders and internal delivery teams.
 You should be strong in core data science and applied machine learning, comfortable working with real\-world data, and capable of turning modeling work into production\-ready systems.
**Key Responsibilities**
* Problem Framing \&amp; Stakeholder Partnership
+ Translate business questions into ML problem statements (classification, regression, time series forecasting, clustering, anomaly detection, recommendation, etc.)
+ Collaborate with stakeholders to define success metrics, evaluation plans, and practical constraints (latency, interpretability, cost, data availability)
* Data Analysis \&amp; Feature Engineering
+ Use SQL and Python to extract, join, and analyze data from relational databases and data warehouses
+ Perform data profiling, missingness analysis, leakage checks, and exploratory analysis to guide modeling choices
+ Build robust feature pipelines (aggregation, encoding, scaling, embeddings where appropriate) and document assumptions
* Model Development (Core ML)
+ Train and tune supervised learning models for tabular data (e.g., logistic/linear models, tree\-based methods, gradient boosting such as XGBoost/LightGBM/CatBoost, and neural nets for structured data)
+ Apply strong tabular modeling practices: handling missing data, categorical encoding, leakage prevention, class imbalance strategies, calibration, and robust cross\-validation
+ Build time series models (statistical and ML/DL approaches) and validate with proper backtesting
+ Apply clustering and segmentation techniques (k\-means, hierarchical, DBSCAN, Gaussian mixtures) and evaluate stability and usefulness
+ Apply statistics in practice (hypothesis testing, confidence intervals, sampling, experiment design) to support inference and decision\-making
* Deep Learning
+ Build and train deep learning models using PyTorch or TensorFlow/Keras
+ Use best practices for training (regularization, calibration, class imbalance handling, reproducibility, sound train/val/test design)
* Evaluation, Explainability, and Iteration
+ Choose appropriate metrics (AUC/F1/PR, RMSE/MAE/MAPE, calibration, lift, and business KPIs) and create evaluation reports
+ Perform error analysis and interpretation (feature importance/SHAP, cohort slicing) and iterate based on evidence
* Productionization \&amp; MLOps (Project\-Dependent)
+ Package models for deployment (batch scoring pipelines or real\-time APIs) and collaborate with engineers on integration
+ Implement practical MLOps: versioning, reproducible training, automated evaluation, monitoring for drift/performance, and retraining plans
* Documentation \&amp; Communication
+ Communicate tradeoffs and recommendations clearly to technical and non\-technical stakeholders
+ Create documentation and lightweight demos that make results actionable
 Success in This Role Looks Like
* You deliver models that perform well and move business metrics (revenue lift, cost reduction, risk reduction, improved forecast accuracy, operational efficiency)
* Your work is reproducible and production\-aware: clear data lineage, robust evaluation, and a credible path to deployment/monitoring
* Stakeholders trust your judgment in selecting methods and communicating uncertainty honestly
**Required Qualifications**
* 3–8 years of experience in data science, machine learning engineering, or applied ML (mid\-to\-senior)
* Strong Python skills for data analysis and modeling (pandas/numpy/scikit\-learn or equivalent)
* Strong SQL skills (joins, window functions, aggregation, performance awareness)
* Solid foundation in statistics (hypothesis testing, uncertainty, bias/variance, sampling) and practical experimentation mindset
* Hands\-on experience across multiple model types, including:
+ Classification \&amp; regression
+ Time series forecasting
+ Clustering/segmentation
* Experience with deep learning in PyTorch or TensorFlow/Keras
* Strong problem\-solving skills: ability to work with ambiguous goals and messy data
* Clear communication skills and ability to translate analysis into decisions
**Preferred Qualifications**
* Experience with Databricks for applied ML (e.g., Spark, Delta Lake, MLflow, Databricks Jobs/Workflows)
* Experience deploying models to production (APIs, batch pipelines) and maintaining them over time (monitoring, retraining)
* Experience with orchestration tools (Airflow, Prefect, Dagster) and modern data stacks (Snowflake/BigQuery/Redshift/Databricks)
* Experience with cloud platforms (AWS/GCP/Azure/IBM) and containerization (Docker)
* Experience with responsible AI and governance best practices (privacy/PII handling, auditability, access controls)
* Consulting or client\-facing delivery experience
**Certifications (Strong Plus)**
 Candidates with at least one relevant certification are especially encouraged to apply:
* Cloud certifications: AWS, Google Cloud, Microsoft Azure, or IBM (data/AI/ML tracks)
* Databricks certifications (Data Scientist, Data Engineer, or related)
**Nice\-to\-Have**
* Causal inference experience (e.g., quasi\-experimental methods, propensity scores, uplift/heterogeneous treatment effects, experimentation beyond A/B tests)
* Agentic development experience: designing and evaluating agentic workflows (tool use, planning, memory/state, guardrails) and integrating them into products
* Deep familiarity with agentic coding tools and workflows for accelerated product development (e.g., AI\-assisted IDEs, code agents, automated testing/refactoring, repo\-aware assistants), including strong judgment on quality, security, and maintainability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qUN1H2divA</t>
        </is>
      </c>
    </row>
    <row r="42">
      <c r="A42" t="inlineStr">
        <is>
          <t>li-4366209986</t>
        </is>
      </c>
      <c r="B42" t="inlineStr">
        <is>
          <t>Applied Scientist (Contract), Artificial General Intelligence</t>
        </is>
      </c>
      <c r="C42" t="inlineStr">
        <is>
          <t>Amazon</t>
        </is>
      </c>
      <c r="D42" t="inlineStr">
        <is>
          <t>linkedin</t>
        </is>
      </c>
      <c r="E42">
        <f>HYPERLINK("https://www.linkedin.com/jobs/view/4366209986", "https://www.linkedin.com/jobs/view/4366209986")</f>
        <v/>
      </c>
      <c r="F42">
        <f>HYPERLINK("https://www.amazon.jobs/jobs/3166403/applied-scientist-contract-artificial-general-intelligence?cmpid=SPLICX0248M&amp;utm_source=linkedin.com&amp;utm_campaign=cxro&amp;utm_medium=social_media&amp;utm_content=job_posting&amp;ss=paid&amp;urlHash=KpRq", "https://www.amazon.jobs/jobs/3166403/applied-scientist-contract-artificial-general-intelligence?cmpid=SPLICX0248M&amp;utm_source=linkedin.com&amp;utm_campaign=cxro&amp;utm_medium=social_media&amp;utm_content=job_posting&amp;ss=paid&amp;urlHash=KpRq")</f>
        <v/>
      </c>
      <c r="G42" t="inlineStr">
        <is>
          <t>Bellevue, WA</t>
        </is>
      </c>
      <c r="H42" t="inlineStr"/>
      <c r="I42"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43">
      <c r="A43" t="inlineStr">
        <is>
          <t>li-4366225208</t>
        </is>
      </c>
      <c r="B43" t="inlineStr">
        <is>
          <t>Applied Scientist (Contract), Artificial General Intelligence</t>
        </is>
      </c>
      <c r="C43" t="inlineStr">
        <is>
          <t>Amazon</t>
        </is>
      </c>
      <c r="D43" t="inlineStr">
        <is>
          <t>linkedin</t>
        </is>
      </c>
      <c r="E43">
        <f>HYPERLINK("https://www.linkedin.com/jobs/view/4366225208", "https://www.linkedin.com/jobs/view/4366225208")</f>
        <v/>
      </c>
      <c r="F43" t="inlineStr"/>
      <c r="G43" t="inlineStr">
        <is>
          <t>Boston, MA</t>
        </is>
      </c>
      <c r="H43" t="inlineStr"/>
      <c r="I43"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44">
      <c r="A44" t="inlineStr">
        <is>
          <t>li-4321509487</t>
        </is>
      </c>
      <c r="B44" t="inlineStr">
        <is>
          <t>Junior AI/ML Engineer - Remote</t>
        </is>
      </c>
      <c r="C44" t="inlineStr">
        <is>
          <t>Jobs via Dice</t>
        </is>
      </c>
      <c r="D44" t="inlineStr">
        <is>
          <t>linkedin</t>
        </is>
      </c>
      <c r="E44">
        <f>HYPERLINK("https://www.linkedin.com/jobs/view/4321509487", "https://www.linkedin.com/jobs/view/4321509487")</f>
        <v/>
      </c>
      <c r="F44">
        <f>HYPERLINK("https://click.appcast.io/t/OP8rXhY6MISGiMCug16TErN99cHwDTMpwCSZgXUpZAQ=&amp;urlHash=kk8t", "https://click.appcast.io/t/OP8rXhY6MISGiMCug16TErN99cHwDTMpwCSZgXUpZAQ=&amp;urlHash=kk8t")</f>
        <v/>
      </c>
      <c r="G44" t="inlineStr"/>
      <c r="H44" t="inlineStr"/>
      <c r="I44" t="inlineStr">
        <is>
          <t>Dice is the leading career destination for tech experts at every stage of their careers. Our client, FlairTech Solutions, is seeking the following. Apply via Dice today!
***Role: AI/ML Engineer***
***Location: Remote***
***Duration: Long Term***
 Min Exp: 4\+ Years required
 Strong programming skills in SQL and Python
 Strong AI/ML Data Scientist skills
 Good exp with Cloud AWS, Google Cloud Platform or Azure.</t>
        </is>
      </c>
    </row>
    <row r="45">
      <c r="A45" t="inlineStr">
        <is>
          <t>li-4366214408</t>
        </is>
      </c>
      <c r="B45" t="inlineStr">
        <is>
          <t>Applied Scientist (Contract), Artificial General Intelligence</t>
        </is>
      </c>
      <c r="C45" t="inlineStr">
        <is>
          <t>Amazon</t>
        </is>
      </c>
      <c r="D45" t="inlineStr">
        <is>
          <t>linkedin</t>
        </is>
      </c>
      <c r="E45">
        <f>HYPERLINK("https://www.linkedin.com/jobs/view/4366214408", "https://www.linkedin.com/jobs/view/4366214408")</f>
        <v/>
      </c>
      <c r="F45" t="inlineStr"/>
      <c r="G45" t="inlineStr">
        <is>
          <t>Boston, MA</t>
        </is>
      </c>
      <c r="H45" t="inlineStr"/>
      <c r="I45"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A3166403</t>
        </is>
      </c>
    </row>
    <row r="46">
      <c r="A46" t="inlineStr">
        <is>
          <t>li-4366227179</t>
        </is>
      </c>
      <c r="B46" t="inlineStr">
        <is>
          <t>Applied Scientist (Contract), Artificial General Intelligence</t>
        </is>
      </c>
      <c r="C46" t="inlineStr">
        <is>
          <t>Amazon</t>
        </is>
      </c>
      <c r="D46" t="inlineStr">
        <is>
          <t>linkedin</t>
        </is>
      </c>
      <c r="E46">
        <f>HYPERLINK("https://www.linkedin.com/jobs/view/4366227179", "https://www.linkedin.com/jobs/view/4366227179")</f>
        <v/>
      </c>
      <c r="F46" t="inlineStr"/>
      <c r="G46" t="inlineStr">
        <is>
          <t>Boston, MA</t>
        </is>
      </c>
      <c r="H46" t="inlineStr"/>
      <c r="I46"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A3166405</t>
        </is>
      </c>
    </row>
    <row r="47">
      <c r="A47" t="inlineStr">
        <is>
          <t>li-4366229155</t>
        </is>
      </c>
      <c r="B47" t="inlineStr">
        <is>
          <t>Applied Scientist (Contract), Artificial General Intelligence</t>
        </is>
      </c>
      <c r="C47" t="inlineStr">
        <is>
          <t>Amazon</t>
        </is>
      </c>
      <c r="D47" t="inlineStr">
        <is>
          <t>linkedin</t>
        </is>
      </c>
      <c r="E47">
        <f>HYPERLINK("https://www.linkedin.com/jobs/view/4366229155", "https://www.linkedin.com/jobs/view/4366229155")</f>
        <v/>
      </c>
      <c r="F47" t="inlineStr"/>
      <c r="G47" t="inlineStr">
        <is>
          <t>Bellevue, WA</t>
        </is>
      </c>
      <c r="H47" t="inlineStr"/>
      <c r="I47" t="inlineStr">
        <is>
          <t>**Description**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
**Company** 
 \- Amazon.com Services LLC
 Job ID: A3166402</t>
        </is>
      </c>
    </row>
    <row r="48">
      <c r="A48" t="inlineStr">
        <is>
          <t>li-4365893066</t>
        </is>
      </c>
      <c r="B48" t="inlineStr">
        <is>
          <t>Founding AI Engineer</t>
        </is>
      </c>
      <c r="C48" t="inlineStr">
        <is>
          <t>Serable</t>
        </is>
      </c>
      <c r="D48" t="inlineStr">
        <is>
          <t>linkedin</t>
        </is>
      </c>
      <c r="E48">
        <f>HYPERLINK("https://www.linkedin.com/jobs/view/4365893066", "https://www.linkedin.com/jobs/view/4365893066")</f>
        <v/>
      </c>
      <c r="F48">
        <f>HYPERLINK("https://www.serable.com/jobs/9bf4b90f-8bac-45e5-8696-bc21060ba0b0/&amp;urlHash=MspA", "https://www.serable.com/jobs/9bf4b90f-8bac-45e5-8696-bc21060ba0b0/&amp;urlHash=MspA")</f>
        <v/>
      </c>
      <c r="G48" t="inlineStr"/>
      <c r="H48" t="inlineStr"/>
      <c r="I48" t="inlineStr">
        <is>
          <t>**About the Company** 
 Our client is a stealth, NYC\-based startup that has recently raised a pre\-seed round from experienced operators and investors. Their mission is to modernize and automate how pharmaceutical companies design, manage, and execute clinical trials.
 Clinical trials remain one of the most complex, manual, and expensive workflows in healthcare. Our client is building an AI\-first platform to reduce operational friction, improve data quality, and accelerate timelines across the clinical trial lifecycle.
 This role is for the
 **first engineering hire** 
 and a core member of the founding team.
**The Role** 
 Our client is looking for a Founding AI Engineer to build the product from 0 → 1\. You will own technical architecture, product execution, and early AI systems end\-to\-end, working directly with the founders to translate customer pain points into a scalable platform.
 This is not a narrow research role. You will be expected to design, build, and ship production systems while laying the technical foundation for the company.
**What You’ll Do** 
* Build the initial product and platform from scratch (architecture, infrastructure, and core systems)
* Design and implement AI\-driven workflows for clinical trial management and operations
* Work closely with founders on product definition, technical tradeoffs, and roadmap
* Own backend services, APIs, data pipelines, and early frontend decisions as needed
* Translate ambiguous requirements into shipped features in a fast\-moving environment
* Establish engineering best practices, tooling, and standards for future hires
* Engage directly with early customers and domain experts to iterate on real\-world needs
**What We’re Looking For** 
* Prior experience building products from 0 → 1 (startup, internal incubation, or founding role)
* Strong software engineering fundamentals and system design skills
* Experience building and deploying AI/ML\-powered systems in production
* Proficiency with modern backend stacks (e.g., Python, TypeScript, SQL, cloud infrastructure)
* Comfort working across the stack when needed (this is an early\-stage role)
* Ability to operate with high autonomy and make sound technical decisions under uncertainty
* Strong product intuition and willingness to engage deeply with customer problems
**Bonus Points** 
* Experience in healthcare, life sciences, or regulated environments
* Familiarity with clinical trials, pharma operations, or enterprise B2B SaaS
* Experience designing data\-heavy or workflow\-driven platforms
* Prior founding or early\-stage startup experience
**Why This Role** 
* True founding role with direct influence on product, architecture, and company direction
* Opportunity to work on meaningful, high\-impact problems in healthcare
* Competitive salary and meaningful equity for an early\-stage hire
* Close collaboration with an experienced founding team
* Build something foundational in an industry that is overdue for change
**Compensation** 
 This role comes with measurable equity along with a base salary between $165000 and $195000\.</t>
        </is>
      </c>
    </row>
    <row r="49">
      <c r="A49" t="inlineStr">
        <is>
          <t>li-4366221610</t>
        </is>
      </c>
      <c r="B49" t="inlineStr">
        <is>
          <t>AI Engineer - Agentic Automation</t>
        </is>
      </c>
      <c r="C49" t="inlineStr">
        <is>
          <t>Freshworks</t>
        </is>
      </c>
      <c r="D49" t="inlineStr">
        <is>
          <t>linkedin</t>
        </is>
      </c>
      <c r="E49">
        <f>HYPERLINK("https://www.linkedin.com/jobs/view/4366221610", "https://www.linkedin.com/jobs/view/4366221610")</f>
        <v/>
      </c>
      <c r="F49" t="inlineStr"/>
      <c r="G49" t="inlineStr">
        <is>
          <t>San Mateo, CA</t>
        </is>
      </c>
      <c r="H49" t="inlineStr"/>
      <c r="I49"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50">
      <c r="A50" t="inlineStr">
        <is>
          <t>li-4321539688</t>
        </is>
      </c>
      <c r="B50" t="inlineStr">
        <is>
          <t>Senior Gameplay AI Engineer, Game Foundation</t>
        </is>
      </c>
      <c r="C50" t="inlineStr">
        <is>
          <t>Epic Games</t>
        </is>
      </c>
      <c r="D50" t="inlineStr">
        <is>
          <t>linkedin</t>
        </is>
      </c>
      <c r="E50">
        <f>HYPERLINK("https://www.linkedin.com/jobs/view/4321539688", "https://www.linkedin.com/jobs/view/4321539688")</f>
        <v/>
      </c>
      <c r="F50" t="inlineStr"/>
      <c r="G50" t="inlineStr">
        <is>
          <t>Cary, NC</t>
        </is>
      </c>
      <c r="H50" t="inlineStr"/>
      <c r="I50" t="inlineStr">
        <is>
          <t>WHAT MAKES US EPIC?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**What We Do**
 Unreal projects have been leading the pack of real\-time entertainment with our constantly growing team of engineering experts. We’re always improving on the tools and technology that empower content developers worldwide.
**What You'll Do**
 Epic Games is seeking an experienced Senior Gameplay AI Engineer with an interest in Machine Learning (ML) / Large Language Models (LLMs) to join the Fortnite Game Foundations team. Our group develops new technology for Unreal Engine 6, with a focus on adapting Fortnite’s systems to it. Using Scene Graph and Verse, you will help redefine Fortnite’s systems in this new framework. This is a rare opportunity to help shape Epic’s game engine while contributing to one of the world’s most acclaimed games.
**In this role, you will**
* Drive initiatives with minimal oversight to build strong, performant foundations that will last for years
* Analyze current Fortnite LLM systems and develop a strategic plan to unify them into NPC systems.
* Tackle complex low\-level problems to optimize or deliver high\-performance systems.
* Ensure high\-quality user experiences across all supported platforms, with attention to usability for developers new to UEFN.
**What We're Looking For**
* Professional game development experience, including shipping AAA titles featuring gameplay AI
* Excellent communication and interpersonal skills, self\-motivated, and able to work independently
* Strong understanding of gameplay AI systems such as Behaviour Trees, Finite State Machines, and Pathfinding
* Strong C\+\+ skills for building efficient gameplay AI systems and tools
* Empathy for creators new to programming and game development, with a drive to make AI easy to use without losing flexibility or power
* Experience with live service games and consoles is a plus
* Experience or interest in Machine Learning or LLM technologies; prior exposure through work, courses, or personal projects is a bonus
 EPIC JOB \+ EPIC BENEFITS \= EPIC LIFE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row>
    <row r="51">
      <c r="A51" t="inlineStr">
        <is>
          <t>li-4366152540</t>
        </is>
      </c>
      <c r="B51" t="inlineStr">
        <is>
          <t>Applied AI Engineer (Remote from US)</t>
        </is>
      </c>
      <c r="C51" t="inlineStr">
        <is>
          <t>Jobgether</t>
        </is>
      </c>
      <c r="D51" t="inlineStr">
        <is>
          <t>linkedin</t>
        </is>
      </c>
      <c r="E51">
        <f>HYPERLINK("https://www.linkedin.com/jobs/view/4366152540", "https://www.linkedin.com/jobs/view/4366152540")</f>
        <v/>
      </c>
      <c r="F51" t="inlineStr"/>
      <c r="G51" t="inlineStr"/>
      <c r="H51" t="inlineStr"/>
      <c r="I51" t="inlineStr">
        <is>
          <t>**This position is posted by Jobgether on behalf of a partner company. We are currently looking for an Applied AI Engineer in United States.**
 We are seeking an innovative Applied AI Engineer to design and deploy AI\-powered features used by millions of people worldwide. In this role, you will work across a diverse ecosystem of products, embedding AI into user experiences that enhance content creation, commerce, messaging, and more. You will collaborate closely with product managers, designers, and engineers—either in\-person in NYC or fully remotely—to iterate rapidly on prototypes and scale successful AI solutions to production. The position offers autonomy to focus on high\-impact projects without bureaucratic constraints, along with the opportunity to stay at the forefront of AI innovation while shaping products that matter globally.
**Accountabilities**
* Design, develop, and ship AI\-powered user\-facing features across multiple product lines, including site building tools, ecommerce recommendations, and messaging experiences.
* Collaborate with cross\-functional teams (PMs, designers, engineers) to define, prototype, and scale AI solutions that enhance user engagement.
* Experiment with new AI capabilities and iterate on prototypes to deliver meaningful user experiences.
* Embed AI solutions into existing products and services, ensuring high performance and reliability at scale.
* Stay current with developments in AI and machine learning, applying new techniques to unlock innovative user experiences.
* Contribute to technical leadership and knowledge sharing within the engineering organization.
**Requirements**
* Hands\-on experience shipping production AI features that are actively used by end users.
* Strong full\-stack development skills, preferably with PHP, TypeScript, and React.
* Experience with large\-scale AI models, LLMs, or custom AI implementations.
* Solid understanding of machine learning fundamentals and AI deployment at scale.
* Ability to prototype quickly while building for performance, reliability, and scalability.
* Strong problem\-solving skills, technical leadership experience, and the ability to influence high\-performing teams.
* Excellent collaboration and communication skills for distributed and in\-person teams.
**Bonus Points**
* Experience developing consumer AI products that scaled to significant user numbers.
* Familiarity with WordPress, ecommerce, or messaging platforms.
* Open source contributions or technical publications.
* Previous startup experience as a founder or early engineer.
* Willingness to work in NYC or collaborate closely with NYC\-based teams.
**Benefits**
* Competitive salary range of $70,000 to $170,000 USD (adjusted to local currency for global hires).
* Fully remote work with the option to collaborate in\-person in NYC.
* Open vacation policy and flexible work arrangements.
* Opportunity to work on high\-impact AI products used by millions of people worldwide.
* Supportive, innovative, and mission\-driven work environment with global colleagues.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2">
      <c r="A52" t="inlineStr">
        <is>
          <t>li-4366219644</t>
        </is>
      </c>
      <c r="B52" t="inlineStr">
        <is>
          <t>AI Engineer - Agentic Automation</t>
        </is>
      </c>
      <c r="C52" t="inlineStr">
        <is>
          <t>Freshworks</t>
        </is>
      </c>
      <c r="D52" t="inlineStr">
        <is>
          <t>linkedin</t>
        </is>
      </c>
      <c r="E52">
        <f>HYPERLINK("https://www.linkedin.com/jobs/view/4366219644", "https://www.linkedin.com/jobs/view/4366219644")</f>
        <v/>
      </c>
      <c r="F52" t="inlineStr"/>
      <c r="G52" t="inlineStr">
        <is>
          <t>San Mateo, CA</t>
        </is>
      </c>
      <c r="H52" t="inlineStr"/>
      <c r="I52"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As an
 AI Engineer \- Agentic Automation, you will partner with cross\-functional teams to build, implement, and scale agentic AI processes that improve Sales and Marketing functions. You will evaluate emerging AI tools, design solutions using Model Context Protocol, write production\-grade code, and measure impact via meaningful business metrics. This role blends hands\-on technical execution with strategic insight, empowering you to shape how AI is adopted and scaled across the organization.
**Please note: This is a hybrid role that will be based in San Mateo, CA and requires an in\-office presence three days per week (Tuesday \- Thursday).**
* Collaborate with Sales, Marketing, RevOps, Product, and Data teams to understand workflows, inefficiencies, and requirements.
* Design, build, and deploy agentic AI processes that automate tasks, orchestrate multi\-step workflows, and augment human work.
* Evaluate and select AI frameworks, tools, and platforms for specific use cases, running proofs\-of\-concept and recommending optimal solutions.
* Implement MCP servers and agent orchestration systems; write clean, maintainable code (e.g., Python, JavaScript) to productionize AI integrations.
* Integrate AI systems with CRM, marketing automation, analytics, external publicly available data sources, communities such as Reddit and operational platforms through APIs and pipelines.
* Define success metrics, monitor performance, and deliver impact reporting that ties AI initiatives to business outcomes (e.g., time savings, conversion improvement, revenue impact).
* Create documentation, best practices, and reusable templates to scale AI adoption within the company.
* Stay current with AI trends, emerging agent frameworks, and market\-leading tools that can accelerate capability.
**Qualifications**
* 3\+ years of professional experience in AI/ML engineering, analytics engineering, automation engineering, software development, or related technical roles.
* Understanding and having experience with business process automation
* Strong coding skills (Python, JavaScript) and experience building or integrating software systems.
* Strong command of AI software engineering tools such as Cursor, Google Antigravity, or Claude Code.
* Deep understanding of modern context engineering, ability to write, debug, and improve LLM prompts.
* Familiarity with agentic AI systems, orchestration frameworks, Model Context Protocol, and RAG techniques. Also familiarity with the latest LLMs and their differences; a strong intuition for LLM limitations.
* Demonstrated experience evaluating, selecting, and deploying AI/automation tools and frameworks in business environments.
* Ability to work independently on technical problems and translate business needs into technical designs.
* Excellent communication skills; able to present complex technical solutions clearly to both technical and business audiences.
* Passion for AI and a strong desire to build solutions that deliver real business impact.
**Preferred Qualifications**
* Experience integrating AI/automation with CRM systems (e.g., Salesforce), marketing automation platforms (e.g. Marketo), and other operational tools.
* Background in analytics, data pipelines, or data engineering.
* Demonstrated track record of defining and measuring business impact from AI or automation initiatives.
**Additional Information**
**Please note: This is a hybrid role that will be based in San Mateo, CA and requires an in\-office presence three days per week (Tuesday \- Thursday).**
 This role is based in the San Francisco Bay Area, and the expected base salary range for this position is as shown below. The actual base pay is dependent upon a variety of job\-related factors such as professional background, training, work experience, business needs and market demand. Therefore, in some circumstances, the actual salary could fall outside of this expected range. This pay range is subject to change and may be modified in the future. This role is also eligible for a target bonus.
 Compensation Package
 $90,900\-$119,280 USD Base Salary \+ Bonus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53">
      <c r="A53" t="inlineStr">
        <is>
          <t>li-4365885428</t>
        </is>
      </c>
      <c r="B53" t="inlineStr">
        <is>
          <t>Senior Machine Learning Engineer, Home Modeling</t>
        </is>
      </c>
      <c r="C53" t="inlineStr">
        <is>
          <t>Roblox</t>
        </is>
      </c>
      <c r="D53" t="inlineStr">
        <is>
          <t>linkedin</t>
        </is>
      </c>
      <c r="E53">
        <f>HYPERLINK("https://www.linkedin.com/jobs/view/4365885428", "https://www.linkedin.com/jobs/view/4365885428")</f>
        <v/>
      </c>
      <c r="F53" t="inlineStr"/>
      <c r="G53" t="inlineStr">
        <is>
          <t>San Mateo, CA</t>
        </is>
      </c>
      <c r="H53" t="inlineStr"/>
      <c r="I53"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With Roblox’s daily active users growing at a record pace, we are seeking experienced machine learning engineers who thrive on solving complex challenges and designing scalable, ground breaking solutions. In this role, you will develop deep learning\-based models for user understanding, content/query analysis, and recommendation systems. Your work will lay the foundation for personalizing user experiences, enhancing engagement and retention, and driving growth within the creator ecosystem.
 In this role, you will contribute to the core systems that enable users to discover and interact with experiences across Roblox. These systems drive exploration and engagement across all surfaces, helping users find relevant and exciting content. Looking ahead, our team aims to innovate further by developing auto\-generated summaries, images, and videos from experience content to improve discoverability and inspire user exploration.
 Our mission is to connect a billion users with the best content and connections at the right time, tackling diverse challenges at an unprecedented scale. Join us and play a pivotal role in shaping the future of Roblox’s systems.
**You Will**
* Design and implement large scale recommendation models
* Author specs for new features and improvement
* Collaborate with other teams within Roblox to make sure we are building products with a community first approach.
* Balance researching new technologies with a practical approach to accomplish the research efforts into the Roblox products
* Communicate with the industry and communities where applicable and be ambassador for Roblox.
**You Have**
* 4\+ (for senior) years of experience designing and building scalable machine learning solutions. Experienced with transformer based model training, inference, and product integration. Break down product requirements into iterative deliverable stages.
* A BS in Computer Science or a related discipline, advanced degrees are a definite plus.
* Initiated and facilitated challenging technical decisions across multiple teams and organizations.
* Compassion; you always start with the needs of the user, whether they are Roblox users or internal engineers.
* A creative and strategic approach to solving hard problems. You simplify the complex. You bring in fresh ideas from new places.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$243,290—$295,250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54">
      <c r="A54" t="inlineStr">
        <is>
          <t>li-4365870470</t>
        </is>
      </c>
      <c r="B54" t="inlineStr">
        <is>
          <t>Senior AI Engineer (Natural Language Systems)</t>
        </is>
      </c>
      <c r="C54" t="inlineStr">
        <is>
          <t>RemoteHunter</t>
        </is>
      </c>
      <c r="D54" t="inlineStr">
        <is>
          <t>linkedin</t>
        </is>
      </c>
      <c r="E54">
        <f>HYPERLINK("https://www.linkedin.com/jobs/view/4365870470", "https://www.linkedin.com/jobs/view/4365870470")</f>
        <v/>
      </c>
      <c r="F54">
        <f>HYPERLINK("https://www.remotehunter.com/apply-with-ai/f73257c9-a197-43ad-bb25-d9210f55f6a8?utm_medium=job_posting&amp;utm_source=linkedin&amp;utm_campaign=software_engineer_remote&amp;utm_category=software_engineer&amp;utm_term=senior_ai_engineer_natural_language_systems&amp;urlHash=15B8", "https://www.remotehunter.com/apply-with-ai/f73257c9-a197-43ad-bb25-d9210f55f6a8?utm_medium=job_posting&amp;utm_source=linkedin&amp;utm_campaign=software_engineer_remote&amp;utm_category=software_engineer&amp;utm_term=senior_ai_engineer_natural_language_systems&amp;urlHash=15B8")</f>
        <v/>
      </c>
      <c r="G54" t="inlineStr"/>
      <c r="H54" t="inlineStr"/>
      <c r="I54" t="inlineStr">
        <is>
          <t>About the Opportunity:
 A mission\-driven startup is seeking an experienced Senior AI Engineer to advance AI initiatives in healthcare, focusing on speech and language processing. The organization provides highly automated B2B enterprise software to rehab therapy businesses, supporting their teams and patients. The role involves applying generative AI and ML methods to build reliable, production\-grade systems used daily by clinics, staff, and patients.
 Responsibilities:
 • Drive the mission to improve healthcare through modern AI technology
 • Lead AI projects from ideation through production and iteration until widely adopted
 • Develop and deploy real\-time AI systems for speech and natural language understanding (transcription, summarization, classification)
 • Build robust model and prompt pipelines for LLM\-powered workflows with high accuracy and monitoring
 • Partner with Product and Engineering to identify AI opportunities and deliver measurable outcomes
 • Help develop the strategic AI roadmap across speech, NLP, and automation workflows
 • Apply AI to improve client and internal operations including clinical documentation, customer support, and billing
 • Develop deep understanding of the product, customers, and rehab therapy business
 • Help grow and lead the AI team, including training junior members
 Requirements:
 • 4\+ years building AI/ML systems with production ownership in industry or academia
 • Strong experience with NLP and/or LLM systems (retrieval, summarization, classification, extraction, agent workflows)
 • Experience with speech\-related pipelines in production or near\-real\-time settings (speech\-to\-text, spoken intent classification, conversational AI)
 • Proven track record of benchmarking and improving accuracy, cost, and latency
 • Strong problem\-solving skills
 • Excellent communication skills for explaining AI concepts to non\-technical stakeholders
 • Proficiency in Python (\&gt;3\.9\)
 • Basic Docker knowledge
 • AWS familiarity (S3, RDS, EC2\) preferred
 • Willingness to learn healthcare domain, specifically physical, occupational, and speech therapy
 • Interest in a heavy code contribution role; not an engineering management position
 Benefits \&amp; Perks:
 • Competitive salaries
 • Remote/hybrid work environment
 • Potential equity compensation for outstanding performance
 • Flexible PTO
 • Company\-sponsored lunches
 • Company\-paid disability and life insurance
 • Company\-paid family and medical leave
 • Medical, dental, and vision insurance
 • Discounted pet insurance
 • FSA/DCA and commuter benefits
 • 401k plan
 • Credits for online fitness classes/gym memberships
 • Recovery suite at headquarters, including cold plunge, sauna, and shower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5">
      <c r="A55" t="inlineStr">
        <is>
          <t>li-4299421662</t>
        </is>
      </c>
      <c r="B55" t="inlineStr">
        <is>
          <t>Lead Applied Data &amp; AI Engineer</t>
        </is>
      </c>
      <c r="C55" t="inlineStr">
        <is>
          <t>Hollister Incorporated</t>
        </is>
      </c>
      <c r="D55" t="inlineStr">
        <is>
          <t>linkedin</t>
        </is>
      </c>
      <c r="E55">
        <f>HYPERLINK("https://www.linkedin.com/jobs/view/4299421662", "https://www.linkedin.com/jobs/view/4299421662")</f>
        <v/>
      </c>
      <c r="F55">
        <f>HYPERLINK("https://jobs.hollister.com/Hollister/job/Libertyville-Lead-Applied-Data-&amp;-AI-Engineer-IL-60048-3781/1325354700/?utm_source=LINKEDIN&amp;utm_medium=referrer&amp;urlHash=gAsP", "https://jobs.hollister.com/Hollister/job/Libertyville-Lead-Applied-Data-&amp;-AI-Engineer-IL-60048-3781/1325354700/?utm_source=LINKEDIN&amp;utm_medium=referrer&amp;urlHash=gAsP")</f>
        <v/>
      </c>
      <c r="G55" t="inlineStr">
        <is>
          <t>Libertyville, IL</t>
        </is>
      </c>
      <c r="H55" t="inlineStr"/>
      <c r="I55" t="inlineStr">
        <is>
          <t>**We Make Life More Rewarding and Dignified**
**Location** 
 : Libertyville
**Department** 
 : Information Technology
 Join our Global IT Organization as we shape the future through
 **data, analytics, and AI** 
 . We are seeking a strategic yet hands\-on
 **Lead Applied Data and AI Engineer** 
 to design and deliver
 **enterprise\-grade data platforms** 
 and
 **AI solutions** 
 that drive measurable business impact. This role combines deep technical execution with architectural thinking—building robust
 **data lakes, warehouses, and pipelines** 
 while operationalizing
 **AI models and intelligent agents** 
 using Microsoft Azure AI services and modern frameworks.
 Reporting to the
 **Sr. Director of Data, AI and Digital Platforms** 
 , you will collaborate with business and IT stakeholders to implement scalable solutions, mentor team members, and ensure secure, compliant, and innovative outcomes across Hollister’s global operations.
**Hybrid work:** 
 3 days/week on\-site at Libertyville, IL; remaining days remote.
**Responsibilities**
* Data Engineering \&amp; Architecture
+ Design and build data lakes, warehouses, and lakehouse architectures using Microsoft Fabric/OneLake and Azure Data Services.
+ Implement data ingestion, transformation, and orchestration pipelines with strong error handling, logging, and observability.
+ Integrate enterprise systems (SAP S/4HANA, BW, Datasphere) into governed data platforms.
* AI Engineering
+ Develop and deploy AI/ML models (LLMs, SLMs, multi\-modal, traditional ML) using Python and Azure ML.
+ Build Agentic AI solutions leveraging frameworks like LangChain and Semantic Kernel.
+ Apply RAG patterns and vector databases for retrieval\-based AI grounded in curated data.
* Operational Excellence
+ Implement MLOps best practices for reproducible, secure deployments using Azure ML and Azure DevOps.
+ Ensure compliance with privacy and regulatory standards (PHI, PII, GDPR, HIPAA).
+ Optimize cost and performance across data and AI workloads.
* Collaboration \&amp; Leadership
+ Partner with global teams to integrate solutions into enterprise platforms (Power BI, Microsoft Fabric, SAP Datasphere).
+ Mentor junior engineers and promote best practices in data and AI engineering.
+ Contribute to evolving data and AI standards and reusable frameworks.
**Essential Functions**
* Lead hands\-on development while applying architectural principles for scalability and governance.
* Act as a technical thought leader in data\-first AI innovation.
* Navigate ambiguity and make informed decisions balancing data quality, time\-to\-value, and compliance.
* Represent Hollister in internal/external forums as a subject matter expert.
**Requirements**
* 8–12 years experience in data engineering and AI/ML solution delivery.
* Proven ability to design and implement data platforms and pipelines at enterprise scale.
* Strong experience with Azure AI/ML tools, Microsoft Fabric, and SAP integration.
* Bachelor’s degree in Computer Science, Information Systems, or related field; Master’s preferred.
* Certifications (Azure AI Engineer Associate, Azure Data Scientist Associate) are a plus.
**Technical Skills**
* Advanced Python, ML libraries (PyTorch, TensorFlow, scikit\-learn).
* Expertise in data modeling, governance, and quality frameworks.
* Familiarity with LangChain, Semantic Kernel, and vector databases.
* Strong understanding of MLOps, CI/CD, containerization (Docker).
* Knowledge of Power BI enterprise modeling and Microsoft Fabric medallion architecture.
**Preferred**
* Experience in MedTech or regulated healthcare environments.
* Familiarity with SAP Datasphere and Microsoft Fabric integration patterns.
 Our Total Rewards package in aggregate is above market and includes competitive pay, paid time off programs, peer\-to\-peer recognition, health and life insurance, wellness programs and incentives, and generous retirement savings.
* The anticipated base pay range for this position is $140,000 \- $195,000 yearly. The actual salary varies based on applicant's location, education, experience, skills, abilities, and other legitimate business factors.
* This position is also eligible to participate in the Hollister Corporate Bonus Plan.
* The Company’s health and welfare benefits include medical, prescription, dental, vision, spending/savings accounts, disability, company paid (parental and caregiver) leaves, statutory leaves/disability programs, accident, life, wellbeing, education assistance, adoption assistance, and voluntary benefit programs.
* The Company’s 401(k) Retirement Savings Plan includes: auto\-enrollment, ROTH, vesting and eligible participants “safe harbor” matching contributions.
* The Company’s paid time off benefits include: 11 paid holidays, paid vacation based on length of service and exempt/non\-exempt status, and sick days based on statutory requirements and/or exempt/non\-exempt status.
* The Company’s additional benefits include: education assistance and adoption assistance benefit programs.
**About Hollister Incorporated**
 Hollister Incorporated is an independent, employee\-owned company that develops, manufactures and markets healthcare products worldwide. The company spearheads the advancement of innovative products for ostomy care, continence care and critical care, and also creates educational support materials for patients and healthcare professionals. Headquartered in Libertyville, Illinois, Hollister has manufacturing and distribution centers on three continents and sells in nearly 80 countries. Hollister is a wholly owned subsidiary of The Firm of John Dickinson Schneider, Inc., and is guided both by its Mission to make life more rewarding and dignified for people who use our products and services, as well as its Vision to grow and prosper as an independent, employee\-owned company, and in the process, to become better human beings.
**EOE Statement**
 All qualified applicants will receive consideration for employment without regard to race, color, religion, sex, sexual orientation, gender identity, national origin, disability or protected veteran status.
**Job Req ID:** 
 34973</t>
        </is>
      </c>
    </row>
    <row r="56">
      <c r="A56" t="inlineStr">
        <is>
          <t>li-4321549534</t>
        </is>
      </c>
      <c r="B56" t="inlineStr">
        <is>
          <t>Customer 360 with AI Engineer</t>
        </is>
      </c>
      <c r="C56" t="inlineStr">
        <is>
          <t>Jobs via Dice</t>
        </is>
      </c>
      <c r="D56" t="inlineStr">
        <is>
          <t>linkedin</t>
        </is>
      </c>
      <c r="E56">
        <f>HYPERLINK("https://www.linkedin.com/jobs/view/4321549534", "https://www.linkedin.com/jobs/view/4321549534")</f>
        <v/>
      </c>
      <c r="F56" t="inlineStr"/>
      <c r="G56" t="inlineStr">
        <is>
          <t>Dallas, TX</t>
        </is>
      </c>
      <c r="H56" t="inlineStr"/>
      <c r="I56" t="inlineStr">
        <is>
          <t>Dice is the leading career destination for tech experts at every stage of their careers. Our client, Smartwork IT Services, is seeking the following. Apply via Dice today!
**Job Title: Customer 360 with AI Engineer (Consulting Experience)**
**Location: Dallas, TX (Remote)**
**Experience: 8\+ Years**
 We are seeking an experienced Customer 360 / AI Engineer with strong consulting background to support KPMG client engagements. The ideal candidate will design, build, and implement Customer 360 solutions enhanced with AI/ML capabilities to deliver actionable insights and personalized customer experiences.
**Job Description:**
**Key Responsibilities:**
* Design and implement Customer 360 data platforms integrating data from multiple customer touchpoints.
* Develop and deploy AI/ML models to support customer analytics, personalization, segmentation, and prediction use cases.
* Build scalable data pipelines and AI services using Python.
* Work closely with business stakeholders to translate requirements into technical solutions.
* Participate in client\-facing consulting engagements, including requirement gathering, solution design, and presentations.
* Collaborate with data engineers, data scientists, and cloud teams to deliver end\-to\-end solutions.
* Ensure data quality, governance, security, and compliance standards are met.
* Provide technical leadership and best practices guidance to junior team members.
**Required Skills \&amp; Qualifications:**
* 8\+ years of experience in Data Engineering / AI Engineering / Advanced Analytics
* Strong hands\-on experience with Customer 360 platforms or architectures
* Solid experience in AI/ML model development and deployment
* Advanced Python programming skills (NumPy, Pandas, Scikit\-learn, etc.)
* Experience working in a consulting environment (Big 4 preferred)
* Strong understanding of customer data models, MDM, CRM, and analytics
* Experience with cloud platforms (AWS / Azure / Google Cloud Platform) is a plus
* Excellent communication and stakeholder management skills</t>
        </is>
      </c>
    </row>
    <row r="57">
      <c r="A57" t="inlineStr">
        <is>
          <t>li-4365878768</t>
        </is>
      </c>
      <c r="B57" t="inlineStr">
        <is>
          <t>Machine Learning Engineer</t>
        </is>
      </c>
      <c r="C57" t="inlineStr">
        <is>
          <t>Baanyan Software Services, Inc.</t>
        </is>
      </c>
      <c r="D57" t="inlineStr">
        <is>
          <t>linkedin</t>
        </is>
      </c>
      <c r="E57">
        <f>HYPERLINK("https://www.linkedin.com/jobs/view/4365878768", "https://www.linkedin.com/jobs/view/4365878768")</f>
        <v/>
      </c>
      <c r="F57" t="inlineStr"/>
      <c r="G57" t="inlineStr">
        <is>
          <t>Florham Park, NJ</t>
        </is>
      </c>
      <c r="H57" t="inlineStr"/>
      <c r="I57" t="inlineStr">
        <is>
          <t>We are looking for a Machine Learning Engineer with strong backend engineering skills to design, build, and deploy scalable ML\-powered services. You will work at the intersection of machine learning, backend APIs, and cloud infrastructure, delivering production\-ready ML solutions used by real customers.
**Required Skills
 :** 
* Strong proficiency in Python
* Hands\-on experience with FastAPI (or Flask) for backend development
* Experience building and consuming REST APIs
* Solid understanding of machine learning fundamentals
* Experience deploying ML models into production environment</t>
        </is>
      </c>
    </row>
    <row r="58">
      <c r="A58" t="inlineStr">
        <is>
          <t>li-4365871595</t>
        </is>
      </c>
      <c r="B58" t="inlineStr">
        <is>
          <t>Senior AI /ML Engineer (Applied)</t>
        </is>
      </c>
      <c r="C58" t="inlineStr">
        <is>
          <t>Alterion</t>
        </is>
      </c>
      <c r="D58" t="inlineStr">
        <is>
          <t>linkedin</t>
        </is>
      </c>
      <c r="E58">
        <f>HYPERLINK("https://www.linkedin.com/jobs/view/4365871595", "https://www.linkedin.com/jobs/view/4365871595")</f>
        <v/>
      </c>
      <c r="F58" t="inlineStr"/>
      <c r="G58" t="inlineStr"/>
      <c r="H58" t="inlineStr"/>
      <c r="I58" t="inlineStr">
        <is>
          <t>**About Alterion** 
 Alterion is building the control plane for the agentic enterprise \- enabling organizations to safely deploy, monitor, and scale autonomous AI agents with full visibility and governance. Our platform unifies semantic observability, dynamic policy enforcement, and distributed monitoring to ensure agent ecosystems remain trustworthy, compliant, and efficient at scale.
 As part of this mission, the Intelligence Platform is responsible for understanding, scoring, and optimizing agent behavior across the enterprise — including accuracy, security, cost, drift, anomalous behavior, and runtime dynamics.
**Role Overview** 
 We are looking for a
**Senior AI/ML Engineer (Applied)** 
 to join our on\-site Research \&amp; Intelligence team in San Francisco. This role is for an experienced engineer who enjoys working close to research problems but is primarily motivated by
**building, shipping, and improving production systems** 
 .
 You will work on applied GenAI problems including agent evaluation, observability and safety; translating proven techniques into scalable, reliable components within Alterion’s platform.
 This is not a pure research role. Success is measured by
**what ships and what improves in production** 
 , not by publications.
**What You’ll Work On** 
**Applied ML Engineering**
* Build and maintain pipelines for model evaluation, scoring, and monitoring in production environments.
* Apply fine\-tuning, optimization, and lightweight model adaptation techniques where appropriate.
* Develop embeddings, classifiers, and scoring services that support natural language analysis.
* Run structured experiments to evaluate model performance, tradeoffs, and regressions.
* Partner with engineering and product teammates to translate ideas into working systems.
* Contribute to internal tooling, dashboards, and prototypes that improve agent visibility and control.
**What We’re Looking For** 
**Minimum Qualifications** 
* 5\+ years of experience in software engineering, ML engineering, or applied AI roles.
* Strong Python skills and experience building production services or data pipelines.
* Hands\-on experience working with LLMs (APIs or open\-source models) in real systems.
* Familiarity with model evaluation, monitoring, and performance tradeoffs.
* Experience using ML frameworks such as PyTorch or similar.
**Preferred Qualifications** 
* Experience with GenAI evaluation, observability, or safety tooling.
* Familiarity with embeddings, vector search, or semantic similarity systems.
* Exposure to fine\-tuning, PEFT, or cost\-aware inference strategies.
* Experience working in early\-stage or fast\-moving product teams.
**Who Thrives Here** 
* Researchers who like to build, iterate, and see real impact quickly.
* People who enjoy working in\-person with a small team on hard, novel problems.
* Builders who combine scientific depth with strong engineering instincts.
* Individuals passionate about defining how autonomous AI agents are evaluated, governed, and optimized.</t>
        </is>
      </c>
    </row>
    <row r="59">
      <c r="A59" t="inlineStr">
        <is>
          <t>li-4365863923</t>
        </is>
      </c>
      <c r="B59" t="inlineStr">
        <is>
          <t>Machine Learning Engineer</t>
        </is>
      </c>
      <c r="C59" t="inlineStr">
        <is>
          <t>Etegent Technologies</t>
        </is>
      </c>
      <c r="D59" t="inlineStr">
        <is>
          <t>linkedin</t>
        </is>
      </c>
      <c r="E59">
        <f>HYPERLINK("https://www.linkedin.com/jobs/view/4365863923", "https://www.linkedin.com/jobs/view/4365863923")</f>
        <v/>
      </c>
      <c r="F59" t="inlineStr"/>
      <c r="G59" t="inlineStr">
        <is>
          <t>Beavercreek, OH</t>
        </is>
      </c>
      <c r="H59" t="inlineStr"/>
      <c r="I59" t="inlineStr">
        <is>
          <t>**Machine Learning Engineer\- LOCAL to Beavercreek, OH only** 
**About the Company:** 
 Etegent Technologies is a defense\-focused technology company with offices in Beavercreek and Blue Ash, OH. We are a multi\-disciplinary team of engineers, scientists, and management professionals dedicated to developing and commercializing AI/ML/Software solutions that address our customers’ most significant challenges and opportunities.
 Most important to us are our culture and values. Etegent’s culture embodies respect, authenticity, collaboration, flexibility, curiosity, and fun.
**The Position:** 
 Etegent is seeking Machine Learning Engineers (MLEs) to work with our Intelligence, Surveillance, and Reconnaissance (ISR) group based in the Beavercreek office. MLEs will work in a team environment with Etegent teammates, customers, and other researchers from leading academic institutions, government organizations and commercial entities.
 We deliver solutions in the domains of AI/ML, data science, software, and visualization to address geospatial intelligence (GEOINT) challenges for Department of Defense and Intelligence Community (DoD/IC) customers. We develop data science tools to analyze large, diverse datasets from a variety of sensor types (SAR, ISAR, GMTI, HIS, EO, IR). We design and implement algorithms to perform pattern recognition, such as statistical and deep learning techniques, to identify meaningful trends and patterns. We wrap these algorithms in accessible, scalable software to be deployed on customer systems, often requiring containerized software and custom user interfaces for visualization.
 This position is based in Beavercreek, OH with the expectation of being in Etegent’s office or at a customer facility 5 days a week.
**The Candidate:** 
 More so than seeking a candidate with specific training and experience, Etegent is seeking a candidate with an innate curiosity and passion for learning and understanding, tempered by a recognition of the pragmatic constraints inherent in developing real solutions to real problems. Etegent needs an MLE who is flexible and adaptable, having the desire and ability to learn new skills and develop new capabilities to take on challenges outside their current realm of experience. We are seeking very sharp, curious, well\-rounded, adaptable people who can learn and grow as required to confront the challenges at hand.
**Job Responsibilities:** 
* Effectively communicate status updates, and other important information, with the team and group leader.
* Execute research\-and\-development tasks in close collaboration with the team and group leader according to a set project schedule.
* Gives effective feedback to others; contributes to the writing of project updates and final reports.
* Understand, design, and implement algorithms for signature exploitation. This includes traditional feature extraction and state\-of\-the\-art deep learning approaches.
* Implement efficient signal/image processing techniques including radar signal processing, electro\-optical and infrared image processing.
* Develop and deploy data science tools for ingestion, visualization, and analysis of large, diverse data sources.
* Implement machine learning, data mining and statistical algorithms for pattern recognition and anomaly detection.
* Provide expertise in data analytics and algorithm development for diverse data sources and applications.
* Apply statistical techniques to evaluate algorithm performance.
* Coordinate with teammates and users to instantiate research concepts in efficient, modular, and well\-documented software.
**Required Qualifications:** 
* Bachelor’s Degree in the fields of Computer Science, Engineering, Physics, Applied Math, or Statistics.
* 2\-3 years of previous signal processing, computer vision, or machine learning experience.
* Experience developing ML models using standard ML frameworks (PyTorch, Tensorflow, or similar).
* Experience developing software tools capable of deriving value from large, diverse datasets.
* Background in data science, statistics, and/or computer vision.
* Experience creating python\-based user interfaces for data visualization.
* Experience with Python, GIT, and Linux.
* Ability to acquire and maintain up to a TS security clearance.
**Preferred Qualifications:** 
* Active TS security clearance
* Experience with remote sensing data products such as SAR, ISAR, EO, GMTI, HSI, and OPIR.
* Experience creating user interfaces with Dash, Streamlit, or other similar frameworks.
* Familiarity with DoD/IC customers.
* Experience maintaining successful relationships and developing business with R\&amp;D customers.
* History of technical presentations and publications in relevant fields.
**Attributes:** 
* Independent and innovative thinker with an ability to work in an autonomous environment.
* Demonstrates curiosity with a focus on innovating solutions for tasks.
* Effective communicator who can collaborate with teammates and customers to solve problems.
* Able to take personal ownership and responsibility over their work.
**Working at Etegent:** 
 At Etegent, you'll be a part of a fast\-growing organization that combines a small\-company feel with big\-company resources and opportunities. We know that work\-life balance is incredibly important, which is why in addition to your competitive salary, medical/dental/vision plan, and a generous annual company 401(k) contribution, you'll enjoy the following:
* *Flexibility:* 
 Not a morning person? No problem. We only ask that you begin your day by 10:00am. Also, you will enjoy a flexible schedule and some ability to telecommute.
* *Casual Dress:* 
 We know that incredible things can be achieved by people in casual clothing. We allow employees to dress in the way that is the most comfortable to them.
* *Professional Development:* 
 Continuous learning on us. Reimbursement provided for up to 100% of qualifying education expenses.
* *Food:* 
 Keep your energy levels up with our well\-supplied snack and beverage kitchen and enjoy a weekly lunch with your talented colleagues on Free Lunch Thursdays.
* *Fun employee events:* 
 Enjoy frequent employee get\-togethers outside of work!
 Competitive compensation based on qualifications and experience of candidate.
*Etegent Technologies is an Equal Opportunity Employer. All qualified applicants will receive consideration for employment without regard to race, color, religion, sexual orientation, gender identity, national origin, protected veteran status or disability.*</t>
        </is>
      </c>
    </row>
    <row r="60">
      <c r="A60" t="inlineStr">
        <is>
          <t>li-4366223038</t>
        </is>
      </c>
      <c r="B60" t="inlineStr">
        <is>
          <t>AI/ML Engineer</t>
        </is>
      </c>
      <c r="C60" t="inlineStr">
        <is>
          <t>Hydrogen Group</t>
        </is>
      </c>
      <c r="D60" t="inlineStr">
        <is>
          <t>linkedin</t>
        </is>
      </c>
      <c r="E60">
        <f>HYPERLINK("https://www.linkedin.com/jobs/view/4366223038", "https://www.linkedin.com/jobs/view/4366223038")</f>
        <v/>
      </c>
      <c r="F60" t="inlineStr"/>
      <c r="G60" t="inlineStr">
        <is>
          <t>Juno Beach, FL</t>
        </is>
      </c>
      <c r="H60" t="inlineStr"/>
      <c r="I60" t="inlineStr">
        <is>
          <t>We are seeking a talented AI/ML Engineer to join our technology team. The ideal candidate will design, develop, and deploy machine learning models and AI solutions that enhance business operations and drive innovation. This role requires strong technical expertise in AI/ML frameworks, hands\-on experience with data engineering, and a passion for solving complex business problems through intelligent automation.
**Key Responsibilities** 
* Design, develop, and deploy machine learning models and AI solutions to address business challenges
* Build and optimize data pipelines for model training, testing, and deployment
* Collaborate with cross\-functional teams including Data Engineers, Architects, and Business Analysts to translate requirements into AI/ML solutions
* Implement AI/ML integration with Salesforce and other enterprise platforms
* Support model monitoring, performance tuning, and continuous improvement initiatives
* Develop and maintain documentation for models, algorithms, and AI/ML workflows
* Participate in code reviews and adhere to best practices for AI/ML development
* Work within Agile/Scrum methodology, contributing to sprint planning and retrospectives
* Support generative AI initiatives and explore emerging AI technologies
* Mentor junior team members and share knowledge across the team
**Required Qualifications** 
* Bachelor's degree in Computer Science, Data Science, Mathematics, or related field
* 3\-5 years of hands\-on experience in AI/ML development and implementation
* Strong proficiency in Python and ML frameworks (TensorFlow, PyTorch, Scikit\-learn)
* Experience with data engineering tools and ETL processes
* Knowledge of SQL and database technologies (SQL Server, PostgreSQL)
* Understanding of cloud platforms (AWS, Azure) and ML services
* Familiarity with model deployment and MLOps practices
* Experience with data visualization and analytics tools
* Strong problem\-solving and analytical skills
* Excellent communication and collaboration abilities
**Preferred Qualifications** 
* Master's degree or postgraduate certification in Machine Learning or AI
* Experience with Generative AI and Large Language Models (LLMs)
* Knowledge of Salesforce Einstein Analytics or AI integration
* Familiarity with NLP, computer vision, or deep learning applications
* Experience with DevOps practices and CI/CD pipelines
* Understanding of AI governance and responsible AI principles
* Prior experience in energy or utility sector
 ...</t>
        </is>
      </c>
    </row>
    <row r="61">
      <c r="A61" t="inlineStr">
        <is>
          <t>li-4365874079</t>
        </is>
      </c>
      <c r="B61" t="inlineStr">
        <is>
          <t>ML Engineer (AWS)</t>
        </is>
      </c>
      <c r="C61" t="inlineStr">
        <is>
          <t>Fuchsia Services, Inc</t>
        </is>
      </c>
      <c r="D61" t="inlineStr">
        <is>
          <t>linkedin</t>
        </is>
      </c>
      <c r="E61">
        <f>HYPERLINK("https://www.linkedin.com/jobs/view/4365874079", "https://www.linkedin.com/jobs/view/4365874079")</f>
        <v/>
      </c>
      <c r="F61" t="inlineStr"/>
      <c r="G61" t="inlineStr"/>
      <c r="H61" t="inlineStr"/>
      <c r="I61" t="inlineStr">
        <is>
          <t>We are seeking an AWS\-focused engineer to design and build solutions for processing unstructured data in a healthcare environment. This role involves working with documents, forms, and text\-heavy content to extract meaningful insights and enable AI\-driven automation. You will work across the AWS ecosystem to deliver production\-grade pipelines and intelligent workflows.
 Responsibilities
 * Design and implement pipelines to ingest, process, and transform unstructured documents including PDFs, scanned forms, and clinical records
* Use Amazon Textract to extract text, tables, and form data from documents at scale
* Apply Amazon Comprehend for entity recognition, classification, and language understanding tasks
* Build generative AI workflows using Amazon Bedrock for summarization, extraction, and intelligent automation
* Develop and orchestrate AI agents using Amazon Bedrock Agents (Agent Core) for complex multi\-step reasoning tasks
* Create data preparation and ETL workflows using AWS Glue for downstream analytics and ML consumption
* Develop serverless components using Python and AWS Lambda, with APIs exposed through API Gateway
* Implement vector search and semantic retrieval for matching and similarity use cases
* Support container\-based deployments on Amazon EKS/Kubernetes as needed
 Required Qualifications
 * Strong Python development experience
* Hands\-on experience with AWS services for AI and data processing: Textract, Comprehend, Glue, Bedrock
* Experience building serverless applications with AWS Lambda and API Gateway
* Practical experience with unstructured data processing and document workflows
* Familiarity with LLM\-based automation and prompt engineering
 Training \&amp; Certification Support
 * Selected candidates will receive
 **structured onboarding, hands\-on training, and mentorship** 
 aligned to the role
* **Support and guidance for relevant AWS and AI certifications** 
 will be provided as needed
* Ongoing learning is encouraged to stay current with evolving AWS AI and healthcare data best practices</t>
        </is>
      </c>
    </row>
    <row r="62">
      <c r="A62" t="inlineStr">
        <is>
          <t>li-4321439912</t>
        </is>
      </c>
      <c r="B62" t="inlineStr">
        <is>
          <t>Machine Learning Engineer</t>
        </is>
      </c>
      <c r="C62" t="inlineStr">
        <is>
          <t>Insight Global</t>
        </is>
      </c>
      <c r="D62" t="inlineStr">
        <is>
          <t>linkedin</t>
        </is>
      </c>
      <c r="E62">
        <f>HYPERLINK("https://www.linkedin.com/jobs/view/4321439912", "https://www.linkedin.com/jobs/view/4321439912")</f>
        <v/>
      </c>
      <c r="F62" t="inlineStr"/>
      <c r="G62" t="inlineStr">
        <is>
          <t>San Jose, CA</t>
        </is>
      </c>
      <c r="H62" t="inlineStr"/>
      <c r="I62" t="inlineStr">
        <is>
          <t>**Locations:** 
 San Jose, CA or Austin, TX
**Relocation:** 
 Included
 Required Skills \&amp; Experience
* 3–5 years in ML/AI engineering roles owning training and/or serving in production at scale.
* Demonstrated success delivering high\-throughput, low\-latency ML services with reliability and cost improvements.
* Experience collaborating across Research, Platform/Infra, Data, and Product functions.
* Bachelors in computer science, Electrical/Computer Engineering, or a related field required; Master’s preferred (or equivalent industry experience).
* Strong systems/ML engineering with exposure to distributed training and inference optimization.
 Job Description
 Insight Global is seeking multipole experienced, driven Machine Learning Engineer to join an established health technology company to join the team in San Jose, CA or Austin, TX. This is a full\-time, permanent role with competitive salary, bonus, and comprehensive benefits.
 In this role you'll need:
* Deep Learning Frameworks: Hands\-on experience with PyTorch (main focus) and familiarity with TensorFlow.
* Large\-Scale Model Training: Exposure to advanced training techniques like Distributed Data Parallel (DDP), Fully Sharded Data Parallel (FSDP), ZeRO, and model parallelism (pipeline/tensor).
* Experience with distributed training is a strong plus.
* Model Optimization: Skilled in improving model performance through techniques like quantization (PTQ, QAT, AWQ, GPTQ), pruning, knowledge distillation, KV\-cache tuning, and using efficient attention mechanisms like Flash Attention.
* Scalable Model Serving: Understanding of how to deploy models at scale, including autoscaling, load balancing, streaming, batching, and caching.
* Comfortable working alongside platform engineers to build robust serving pipelines.
* Data \&amp; Storage Systems: Proficient with both SQL and NoSQL databases, vector databases (e.g., FAISS, Milvus, Pinecone, pgvector), and data formats like Parquet and Delta. Familiar with object storage systems.
* Code Quality: Writes efficient, clean, and maintainable code with a focus on performance.
* End\-to\-End ML Lifecycle: Solid grasp of the full machine learning workflow—from data collection and model training to deployment, inference, optimization, and evaluation.</t>
        </is>
      </c>
    </row>
    <row r="63">
      <c r="A63" t="inlineStr">
        <is>
          <t>li-4365885185</t>
        </is>
      </c>
      <c r="B63" t="inlineStr">
        <is>
          <t>AI Engineer</t>
        </is>
      </c>
      <c r="C63" t="inlineStr">
        <is>
          <t>The Affiliati Network</t>
        </is>
      </c>
      <c r="D63" t="inlineStr">
        <is>
          <t>linkedin</t>
        </is>
      </c>
      <c r="E63">
        <f>HYPERLINK("https://www.linkedin.com/jobs/view/4365885185", "https://www.linkedin.com/jobs/view/4365885185")</f>
        <v/>
      </c>
      <c r="F63" t="inlineStr"/>
      <c r="G63" t="inlineStr"/>
      <c r="H63" t="inlineStr"/>
      <c r="I63" t="inlineStr">
        <is>
          <t>Want to build AI that people actually use?
 Not demos. Not research papers. Real tools that help teams ask better questions and get clear answers.
 The Affiliati Network is looking for an AI Engineer to design and deploy large language model solutions that turn plain\-English questions into accurate, explainable insights straight from our SQL data.
 This role sits at the intersection of LLMs, analytics, and business decision\-making and owns the full lifecycle from idea to production.
 AI Engineer Job Description
**What you’ll work on** 
* Build and fine\-tune LLMs that translate natural language into reliable SQL queries
* Create a conversational analytics layer on top of our system\-of\-record data
* Design guardrails that keep insights grounded, accurate, and transparent
* Deploy and monitor AI systems used daily by non\-technical teams
* Optimize for performance, latency, and cost in real production environments
**How you’ll make an impact** 
* Enable sales and operations teams to ask business questions in plain English
* Turn structured data into insights people can trust and act on
* Shape how AI is operationalized across the organization
* Own production systems, not just prototypes
**What we’re looking for** 
* 2\+ years of experience in AI engineering, ML, or applied data science
* Hands\-on experience training or fine\-tuning LLMs for production
* Strong Python skills and experience working with SQL\-based data
* Comfort with prompt engineering, retrieval methods, and vector databases
* Experience deploying and maintaining AI systems in live environments
**Bonus points for** 
* Analytics or BI\-focused LLM applications
* Zoho Analytics or similar platforms
* Workflow automation tools (n8n, Rewst, etc.)
* Cloud platforms (AWS, Azure, or GCP)
* MLOps, monitoring, and model versioning experience
**Why this role is different** 
 This isn’t a research\-only position. You’ll ship, iterate, and own AI systems that directly support revenue and operations. You’ll partner closely with business teams and see your work drive real outcomes.
 Sound like your kind of challenge? Apply and help us build AI that earns trust, not just attention.
**Values \&amp; Culture** 
* Ensure company values are exhibited and championed throughout the organization measured in periodic performance reviews.
* Champion a culture of team celebration through periodic informal and formal activities.
* Maintain an inclusive attitude to ensure company culture and values are equally accessible and celebrated across in\-office and remote employees.
 All requirements are subject to possible modification to reasonably accommodate individuals with disabilities. Some requirements may exclude individuals who pose a direct threat or significant risk to the health and safety of themselves, other employees or the reasonable functioning of The Affiliati Network.
 The Affiliati Network is an Equal Opportunity Employer and does not unlawfully discriminate in employment practices based on race, ethnicity, religion, color, age, sex, sexual orientation, national origin, citizenship, medical condition, disability, veteran status, marital status, political beliefs or any reason prohibited by local, state or federal regulation.
**Location:**
 Remote in the following states: CA, CO, FL, IL, MA, OR, PA, and TX.</t>
        </is>
      </c>
    </row>
    <row r="64">
      <c r="A64" t="inlineStr">
        <is>
          <t>li-4344354585</t>
        </is>
      </c>
      <c r="B64" t="inlineStr">
        <is>
          <t>Applied ML Engineer</t>
        </is>
      </c>
      <c r="C64" t="inlineStr">
        <is>
          <t>Glocomms</t>
        </is>
      </c>
      <c r="D64" t="inlineStr">
        <is>
          <t>linkedin</t>
        </is>
      </c>
      <c r="E64">
        <f>HYPERLINK("https://www.linkedin.com/jobs/view/4344354585", "https://www.linkedin.com/jobs/view/4344354585")</f>
        <v/>
      </c>
      <c r="F64" t="inlineStr"/>
      <c r="G64" t="inlineStr">
        <is>
          <t>New York, NY</t>
        </is>
      </c>
      <c r="H64" t="inlineStr"/>
      <c r="I64" t="inlineStr">
        <is>
          <t>Applied Machine Learning Engineer
 We're seeking an
 **Applied Machine Learning Engineer** 
 to design and deploy intelligent systems that streamline infrastructure workflows. This role involves working hands\-on with advanced technologies\-such as large language models (LLMs), knowledge graphs, and modern retrieval systems\-to build scalable, agent\-based solutions.
 You'll prototype rapidly, experiment with emerging approaches, and take projects from concept through production. If you thrive in dynamic environments and are passionate about applying AI to real\-world challenges, this position is for you.
 What You'll Do
* Design and implement large\-scale machine learning systems that deliver measurable product value.
* Build and maintain end\-to\-end evaluation pipelines using real\-world data.
* Collaborate cross\-functionally to translate business needs into ML\-driven solutions.
* Prototype and iterate quickly, adapting to feedback and evolving requirements.
 What We're Looking For
* **Experience** 
 : 5\+ years in applied machine learning or a related role, ideally in a fast\-paced or high\-growth environment.
* **Technical Skills** 
 :
	+ Strong ML fundamentals: classification/regression, clustering, dimensionality reduction, evaluation, probabilistic modeling.
	+ Expertise in at least one applied ML domain (e.g., NLP, search, statistical modeling).
	+ Proficiency in Python and TypeScript; familiarity with common ML libraries and data engineering tools.
* **Mindset** 
 : Problem\-solving focus, strong communication skills, and comfort with iterative development.
* **Bonus** 
 :
	+ Experience with vector/hybrid search.
	+ Dataset curation or synthetic data generation.
	+ Contributions to open\-source ML tools.
	+ Familiarity with Go or other systems languages.
 Who You Are
* A builder who thrives in collaborative, fast\-paced environments.
* Excited about working in\-person at a modern office.
* Passionate about startups and zero\-to\-one product development.
* Enjoys working with ambitious, systems\-thinking teammates.
 What We Offer
* Competitive compensation and equity.
* Comprehensive health, dental, and vision coverage, plus retirement benefits.
* Unlimited PTO and wellness perks.
* Support for late\-night work and commuting.
* Tools and resources to help you do your best work.
 Interview Process
1. Application Review
2. Introductory Chat
3. Leadership Interview
4. Technical Assessment
5. Onsite Team Interviews
6. Fast Decision</t>
        </is>
      </c>
    </row>
    <row r="65">
      <c r="A65" t="inlineStr">
        <is>
          <t>li-4355749666</t>
        </is>
      </c>
      <c r="B65" t="inlineStr">
        <is>
          <t>AI Engineer- work on agentic healthcare products- $200,000-$350,000 base plus bonus!</t>
        </is>
      </c>
      <c r="C65" t="inlineStr">
        <is>
          <t>Saragossa</t>
        </is>
      </c>
      <c r="D65" t="inlineStr">
        <is>
          <t>linkedin</t>
        </is>
      </c>
      <c r="E65">
        <f>HYPERLINK("https://www.linkedin.com/jobs/view/4355749666", "https://www.linkedin.com/jobs/view/4355749666")</f>
        <v/>
      </c>
      <c r="F65" t="inlineStr"/>
      <c r="G65" t="inlineStr"/>
      <c r="H65" t="inlineStr"/>
      <c r="I65" t="inlineStr">
        <is>
          <t>Are you looking to build production\-grade AI systems that drive real business outcomes and see your work used daily across some of the largest healthcare organizations in the country?
 In this role, you won’t be experimenting in isolation or building generic copilots. You’ll help define how agentic AI systems transform healthcare revenue cycle operations, enabling providers to focus on delivering exceptional patient care. You’ll bring strong technical judgment, a builder’s mindset, and a deep appreciation for business context to create AI systems that actually get deployed, measured, and improved.
 As an AI Engineer, you’ll design, build, and own AI\-driven solutions end\-to\-end. You’ll develop LLM\-powered agents that reason over messy, unstructured healthcare data and execute clearly defined business workflows. Partnering closely with healthcare domain experts, product managers, and engineers, you’ll perform context engineering, design agentic evaluation frameworks, and continuously improve model performance in production.
 Hands\-on experience with LLMs, ML systems in production, and evaluation frameworks is essential, as is familiarity with modern AI tooling such as PyTorch, TensorFlow, Hugging Face, Databricks, AWS Bedrock, or Azure ML.
 You will also need to have experience working in a FAANG company or similar enterprise technology firm with ideally additional experience in the healthcare space.
 Salary: $200,000\-$350,000 base
 Location: San Francisco, New York City, Chicago, Austin (all hybrid)
 Option for completely remote is also available.
 Apply now! No up\-to\-date resume required.</t>
        </is>
      </c>
    </row>
    <row r="66">
      <c r="A66" t="inlineStr">
        <is>
          <t>li-4352585674</t>
        </is>
      </c>
      <c r="B66" t="inlineStr">
        <is>
          <t>Senior Machine Learning Engineer</t>
        </is>
      </c>
      <c r="C66" t="inlineStr">
        <is>
          <t>Glocomms</t>
        </is>
      </c>
      <c r="D66" t="inlineStr">
        <is>
          <t>linkedin</t>
        </is>
      </c>
      <c r="E66">
        <f>HYPERLINK("https://www.linkedin.com/jobs/view/4352585674", "https://www.linkedin.com/jobs/view/4352585674")</f>
        <v/>
      </c>
      <c r="F66" t="inlineStr"/>
      <c r="G66" t="inlineStr">
        <is>
          <t>Austin, TX</t>
        </is>
      </c>
      <c r="H66" t="inlineStr"/>
      <c r="I66" t="inlineStr">
        <is>
          <t>About the Company
 A leading AI organization focused on building secure, scalable, and distributed AI infrastructure for personalized applications. The company is committed to enabling enterprises to deploy large\-scale AI models while maintaining data privacy and control. The team values transparency, ownership, persistence, and humility, and seeks individuals passionate about shaping the next generation of AI.
 Role Overview
 The Senior Machine Learning Engineer will specialize in
 **Large Language Models (LLMs)** 
 and
 **Natural Language Processing (NLP)** 
 . This role involves designing, building, and deploying state\-of\-the\-art NLP models, collaborating with research and engineering teams, and implementing scalable MLOps practices.
 Key Responsibilities
* Design, build, and fine\-tune LLMs and NLP models (e.g., GPT, BERT) for language understanding and generation.
* Extend existing LLM frameworks and incorporate the latest research advancements.
* Preprocess and prepare text datasets for training, including tokenization and feature extraction.
* Implement MLOps best practices for deploying production\-level models on cloud platforms.
* Collaborate with cross\-functional teams to integrate models into the platform.
* Stay updated on LLM advancements and apply cutting\-edge techniques to improve performance.
 Required Skills \&amp; Experience
* 5\+ years of experience in machine learning, with a focus on NLP and LLMs.
* Bachelor's degree in Computer Science, Machine Learning, or related field (Master's preferred).
* Expertise in transformer architectures (e.g., GPT, BERT), text preprocessing, and feature engineering.
* Strong understanding of RAG architectures, vector databases, and embedding retrieval methods.
* Proficiency in Python and NLP libraries (Hugging Face, TensorFlow, PyTorch).
* Experience with MLOps tools (MLFlow, Kubeflow, etc.).
* Strong communication skills and passion for continuous learning.
 Benefits
* Competitive salary and performance\-based incentives.
* Comprehensive health, dental, and vision benefits.
* 401k match.
* Health and wellness stipend.
* Continuing education credit.
* Unlimited approved PTO and parental leave.
 Would you like me to
 **tailor this anonymized job description to match the candidate profile you shared earlier** 
 (e.g., highlight vector database experience, full\-stack exposure, AI modeling)? Or keep it generic?</t>
        </is>
      </c>
    </row>
    <row r="67">
      <c r="A67" t="inlineStr">
        <is>
          <t>li-4321539771</t>
        </is>
      </c>
      <c r="B67" t="inlineStr">
        <is>
          <t>Senior Machine Learning Engineer</t>
        </is>
      </c>
      <c r="C67" t="inlineStr">
        <is>
          <t>Etegent Technologies</t>
        </is>
      </c>
      <c r="D67" t="inlineStr">
        <is>
          <t>linkedin</t>
        </is>
      </c>
      <c r="E67">
        <f>HYPERLINK("https://www.linkedin.com/jobs/view/4321539771", "https://www.linkedin.com/jobs/view/4321539771")</f>
        <v/>
      </c>
      <c r="F67" t="inlineStr"/>
      <c r="G67" t="inlineStr">
        <is>
          <t>Beavercreek, OH</t>
        </is>
      </c>
      <c r="H67" t="inlineStr"/>
      <c r="I67" t="inlineStr">
        <is>
          <t>**Senior Machine Learning Engineer\- LOCAL to Beavercreek, OH only** 
**About the Company:** 
 Etegent Technologies is a defense\-focused technology company with offices in Beavercreek and Blue Ash, OH. We are a multi\-disciplinary team of engineers, scientists, and management professionals dedicated to developing and commercializing AI/ML/Software solutions that address our customers’ most significant challenges and opportunities.
 Most important to us are our culture and values. Etegent’s culture embodies respect, authenticity, collaboration, flexibility, curiosity, and fun.
**The Position:** 
 Etegent is seeking Machine Learning Engineers (MLEs) to work with our Intelligence, Surveillance, and Reconnaissance (ISR) group based in the Beavercreek office. MLEs will work in a team environment with Etegent teammates, customers, and other researchers from leading academic institutions, government organizations and commercial entities.
 We deliver solutions in the domains of AI/ML, data science, software, and visualization to address geospatial intelligence (GEOINT) challenges for Department of Defense and Intelligence Community (DoD/IC) customers. We develop data science tools to analyze large, diverse datasets from a variety of sensor types (SAR, ISAR, GMTI, HIS, EO, IR). We design and implement algorithms to perform pattern recognition, such as statistical and deep learning techniques, to identify meaningful trends and patterns. We wrap these algorithms in accessible, scalable software to be deployed on customer systems, often requiring containerized software and custom user interfaces for visualization.
 This position is based in Beavercreek, OH with the expectation of being in Etegent’s office or at a customer facility 5 days a week.
**The Candidate:** 
 More so than seeking a candidate with specific niche training, Etegent is seeking a technical leader defined by innate curiosity and a "product\-first" mindset. They understand that the best model is the one that solves the customer's problem within pragmatic constraints. We need a Senior MLE who is not just technically sharp, but also an effective mentor and a savvy communicator. We are seeking someone who can navigate the ambiguity of client requirements and translate them into actionable research paths for the team.
**Job Responsibilities:** 
* **Lead project teams through the full R\&amp;D lifecycle** 
 . You will be responsible for aligning technical execution with schedules, budgets, and client expectations.
* **Maintain a 50/50 balance between leadership and technical execution** 
 . We need a leader who can both be "in the trenches" designing algorithms and can handle project oversight and mentorship.
* **Serve as a primary technical interface for our customers** 
 . This involves translating complex algorithmic concepts into clear, value\-driven updates and navigating stakeholder feedback with transparency.
* **Architect and oversee the implementation of signature exploitation algorithms** 
 . You’ll determine the best path towards addressing the customer need – whether by traditional feature extraction or modern deep learning approaches.
* **Support business development and growth** 
 . This includes partnering with leadership on the bidding process, drafting white papers, and presenting technical solutions to prospective clients.
* **Elevate the team through active mentorship** 
 . You will provide high\-level project oversight and lead constructive research reviews to improve the group's collective output.
* **Own the documentation and reporting process** 
 . You’ll ensure that project updates, proposals, and final reports present a cohesive, professional narrative.
* **Build for scale** 
 . You’ll drive the development of data science tools to handle the ingestion and analysis of diverse, large\-scale datasets.
* **Standardize quality and rigor** 
 . You will reinforce best practices for data analytics and performance evaluation to ensure our results are repeatable across different applications.
* **Promote a culture of humility** 
 . Encourage an "ego\-less" engineering environment where diverse perspectives are valued and feedback is focused on the best technical outcome.
**Required Qualifications:** 
* Bachelor's Degree in the fields of Computer Science, Engineering, Physics, Applied Math, or Statistics.
* 4\-5 years of previous signal processing, computer vision, and/or machine learning experience.
* Previous experience leading project teams for government contracts.
* Experience maintaining successful relationships and developing business with R\&amp;D customers.
* Experience developing software tools capable of deriving value from large, diverse datasets.
* Background in data science, statistics, and/or computer vision.
* Experience with Python, GIT, and Linux.
* Ability to acquire and maintain up to a TS security clearance.
**Preferred Qualifications:** 
* Active TS security clearance
* Experience with remote sensing data products such as SAR, ISAR, EO, GMTI, HSI, and OPIR.
* Experience creating python\-based user interfaces for data visualization.
* Familiarity with DoD/IC customers.
* History of technical presentations and publications in relevant fields.
**Attributes:** 
* Pragmatic decision\-maker who understands when to push the envelope with new research and when to prioritize a stable, proven solution to meet a deadline.
* Invested mentor who takes pride in the professional growth of junior staff and fosters a collaborative, ego\-less environment through active listening and constructive feedback.
* Independent and innovative thinker with an ability to work in an autonomous environment.
* Demonstrates curiosity with a focus on innovating solutions for tasks.
* Effective communicator who can collaborate with teammates and customers to solve problems.
* Able to take personal ownership and responsibility over their work.
**Working at Etegent:** 
 At Etegent, you'll be a part of a fast\-growing organization that combines a small\-company feel with big\-company resources and opportunities. We know that work\-life balance is incredibly important, which is why in addition to your competitive salary, medical/dental/vision plan, and a generous annual company 401(k) contribution, you'll enjoy the following:
* *Flexibility:* 
 Not a morning person? No problem. We only ask that you begin your day by 10:00am. Also, you will enjoy a flexible schedule and some ability to telecommute.
* *Casual Dress:* 
 We know that incredible things can be achieved by people in casual clothing. We allow employees to dress in the way that is the most comfortable to them.
* *Professional Development:* 
 Continuous learning on us. Reimbursement provided for up to 100% of qualifying education expenses.
* *Food:* 
 Keep your energy levels up with our well\-supplied snack and beverage kitchen and enjoy a weekly lunch with your talented colleagues on Free Lunch Thursdays.
* *Fun employee events:* 
 Enjoy frequent employee get\-togethers outside of work!
 Competitive compensation based on qualifications and experience of candidate.
*Etegent Technologies is an Equal Opportunity Employer. All qualified applicants will receive consideration for employment without regard to race, color, religion, sexual orientation, gender identity, national origin, protected veteran status or disability.*</t>
        </is>
      </c>
    </row>
    <row r="68">
      <c r="A68" t="inlineStr">
        <is>
          <t>li-4365867014</t>
        </is>
      </c>
      <c r="B68" t="inlineStr">
        <is>
          <t>Machine Learning Engineer, Motion Planning &amp; Prediction</t>
        </is>
      </c>
      <c r="C68" t="inlineStr">
        <is>
          <t>Avride</t>
        </is>
      </c>
      <c r="D68" t="inlineStr">
        <is>
          <t>linkedin</t>
        </is>
      </c>
      <c r="E68">
        <f>HYPERLINK("https://www.linkedin.com/jobs/view/4365867014", "https://www.linkedin.com/jobs/view/4365867014")</f>
        <v/>
      </c>
      <c r="F68" t="inlineStr"/>
      <c r="G68" t="inlineStr">
        <is>
          <t>Austin, Texas Metropolitan Area</t>
        </is>
      </c>
      <c r="H68" t="inlineStr"/>
      <c r="I68" t="inlineStr">
        <is>
          <t>About the Team
 Our team develops the core software and data processing systems that power motion planning and decision\-making in autonomous vehicles. We work at the intersection of machine learning, large\-scale data infrastructure, and real\-time vehicle control, collaborating across engineering, analytics, and product teams to deliver safe and intelligent driving capabilities.
 About the Role
 We are looking for a creative \&amp; driven Machine Learning Engineer to join our autonomous vehicle team. You will be at the center of our efforts to build intelligent systems that can understand, predict, and safely navigate a complex and dynamic world. This role involves designing and training the next generation of deep learning models that form the brain of our vehicle, learning from petabytes of real\-world driving data. If you are passionate about applying cutting\-edge ML to solve high\-stakes robotics challenges, we want to hear from you.
 What You'll Do
* Design, train, and deploy state\-of\-the\-art machine learning models for behavioral prediction and motion planning
* Develop robust data pipelines to process, clean, and label massive\-scale vehicle sensor and simulation datasets
* Work with deep learning architectures such as transformers to model complex temporal interactions between traffic agents
* Establish and own the metrics for model performance, and create evaluation frameworks that correlate with on\-road safety and performance
* Collaborate with software engineers to integrate and optimize trained models for real\-time inference on the vehicles embedded hardware
* Stay current with the latest research in machine learning, imitation learning, and reinforcement learning, and apply novel techniques to our systems
 What You'll Need
* Strong proficiency in Python and hands\-on experience with modern deep learning frameworks (e.g., PyTorch, TensorFlow, or JAX)
* Solid understanding of machine learning fundamentals, including various neural network architectures, training methodologies, and evaluation techniques
* Experience with the full machine learning lifecycle, from data exploration and prototyping to deployment and monitoring
* Proficiency in C\+\+ for writing high\-performance model inference code
 Nice to Have
* A strong track record in ML competitions (e.g., Kaggle) or contributions to major open\-source ML projects
* Experience applying ML to problems in robotics, such as behavioral prediction, motion planning, or computer vision
* Experience with MLOps tools and platforms (e.g., MLflow, Kubeflow, Weights \&amp; Biases)
* Experience with large\-scale distributed data processing and training frameworks (e.g., Spark, Ray)
* Publications in top\-tier ML or robotics conferences (e.g., NeurIPS, ICML, CVPR, ICLR, CoRL, RSS)</t>
        </is>
      </c>
    </row>
    <row r="69">
      <c r="A69" t="inlineStr">
        <is>
          <t>li-4366184895</t>
        </is>
      </c>
      <c r="B69" t="inlineStr">
        <is>
          <t>AI Engineer</t>
        </is>
      </c>
      <c r="C69" t="inlineStr">
        <is>
          <t>Uptime Crew</t>
        </is>
      </c>
      <c r="D69" t="inlineStr">
        <is>
          <t>linkedin</t>
        </is>
      </c>
      <c r="E69">
        <f>HYPERLINK("https://www.linkedin.com/jobs/view/4366184895", "https://www.linkedin.com/jobs/view/4366184895")</f>
        <v/>
      </c>
      <c r="F69" t="inlineStr"/>
      <c r="G69" t="inlineStr">
        <is>
          <t>San Jose, CA</t>
        </is>
      </c>
      <c r="H69" t="inlineStr"/>
      <c r="I69" t="inlineStr">
        <is>
          <t>**Artificial Intelligence Engineers (50\+ openings \| Entry Level)** 
 Job Type: Full\-time
 Level: Entry Level
 Pay: $110,000\+
 U.S. Work Authorization Required
 **(No Visa Sponsorship)** 
 Locations
* Mountain View, CA
* San Diego, CA
* NY, NY
* Atlanta, GA
**Join the Crew that keeps the future online** 
**What you will do on the job** 
* Drive the adoption of AI\-assisted DevSecOps practices, using large language models and automation tools to accelerate secure containerization of legacy applications while maintaining security compliance.
* Develop and maintain AI\-enhanced CI/CD pipelines that automatically generate security policies, container configurations, and infrastructure\-as\-code templates based on application requirements and best practices.
* Use AI coding assistants for implementation, refactoring, and documentation while following team guidelinesGenerate unit and integration tests, improve coverage, and reduce defects.
* Speed up PRs with AI\-assisted reviews, summaries, and risk notes.
* Query logs and docs with AI to troubleshoot issues and unblock work.
* Partner with product, design, security, and compliance to ship increments that meet fintech standards.
**Minimum qualifications** 
* Bachelor’s degree.
* Strong fundamentals in data structures, algorithms, and web or backend basics.
* Ability to learn quickly and work in an Agile team.
* Legally authorized to work in the United States without employer sponsorship.
**Benefits and compensation** 
* Salary (including on\-the\-job\-training): $110,000\+ per year
* Health insurance including medical, vision, and dental
* Employee Stock Purchase Plan (ESPP)
* Matching 401(k)
* Up to 15 days PTO and 14 Paid Holidays
* Get a week off at the end of the year to unplug from work, rest and recharge
* Take a day off to celebrate your birthday
* Tuition Reimbursement
* \+Additional Benefits</t>
        </is>
      </c>
    </row>
    <row r="70">
      <c r="A70" t="inlineStr">
        <is>
          <t>li-4366235276</t>
        </is>
      </c>
      <c r="B70" t="inlineStr">
        <is>
          <t>Principal AI Engineer</t>
        </is>
      </c>
      <c r="C70" t="inlineStr">
        <is>
          <t>People In AI</t>
        </is>
      </c>
      <c r="D70" t="inlineStr">
        <is>
          <t>linkedin</t>
        </is>
      </c>
      <c r="E70">
        <f>HYPERLINK("https://www.linkedin.com/jobs/view/4366235276", "https://www.linkedin.com/jobs/view/4366235276")</f>
        <v/>
      </c>
      <c r="F70" t="inlineStr"/>
      <c r="G70" t="inlineStr"/>
      <c r="H70" t="inlineStr"/>
      <c r="I70" t="inlineStr">
        <is>
          <t>**Principal AI Engineer** 
**Compensation:** 
 $250,000 \- $275,000 base \+ meaningful equity
**Location:** 
 Remote
 Join a well\-funded, early\-stage AI infrastructure startup tackling one of the hardest unsolved problems in generative AI: making production systems reliable, debuggable, and fixable. This is a senior IC role where AI is the system being built around, not a feature layered on top.
**The Mission** 
* Help solve the reliability, observability, and remediation gaps holding back production GenAI
* Build the trust layer around LLM, RAG, and agentic systems
* Enable engineers to understand AI behavior, diagnose failures, and apply verified fixes
* Focus on systems, evaluation, and feedback loops rather than model training
**The Role** 
* Senior IC role operating at the system and architecture level
* Act as the internal authority on applied GenAI systems in production
* Influence technical direction across evaluation, observability, and remediation
* Partner closely with senior engineers, product leadership, and founders
* No people management and no expectation of day\-to\-day feature coding
**What You’ll Do** 
* Shape architecture for GenAI evaluation, tracing, and remediation systems
* Advise on real\-world behavior of LLM, RAG, and agentic workflows
* Design approaches to diagnosing AI failures and guiding engineers toward fixes
* Influence platform direction through deep applied AI expertise
* Support high\-impact technical decisions across the company
**What You’ll Bring** 
* Engineering experience with deep exposure to applied AI systems
* Hands\-on experience shipping LLM, RAG, or agent\-based systems into production
* Strong systems thinking and architectural judgment
* Familiarity with evaluation frameworks, guardrails, or AI reliability patterns
* Comfort operating in ambiguity and shaping direction early
* Ability to communicate complex AI tradeoffs clearly to engineers and leaders
**Tech Stack (Contextual)** 
* LLM and agentic systems
* Evaluation, observability, and tracing tooling
* Distributed systems and AI infrastructure
* Modern AI platforms and provider ecosystems
**Why Join?** 
* **Category\-defining problem:** 
 Build the missing reliability layer for GenAI
* **Senior IC scope:** 
 High impact without people management overhead
* **Early equity upside:** 
 Meaningful ownership at an early stage
* **Backed to win:** 
 Strong investors and long\-term technical ambition
* **Remote\-first:** 
 Flexible working environment with periodic off\-sites
**About People In AI** 
 People In AI partners with AI\-first companies to hire senior engineers and technical leaders who want to build durable systems with real\-world impact. Every role we work on is technically deep, high\-signal, and vetted for long\-term growth.</t>
        </is>
      </c>
    </row>
    <row r="71">
      <c r="A71" t="inlineStr">
        <is>
          <t>li-4366188679</t>
        </is>
      </c>
      <c r="B71" t="inlineStr">
        <is>
          <t>AI Engineer</t>
        </is>
      </c>
      <c r="C71" t="inlineStr">
        <is>
          <t>Best Job Tool</t>
        </is>
      </c>
      <c r="D71" t="inlineStr">
        <is>
          <t>linkedin</t>
        </is>
      </c>
      <c r="E71">
        <f>HYPERLINK("https://www.linkedin.com/jobs/view/4366188679", "https://www.linkedin.com/jobs/view/4366188679")</f>
        <v/>
      </c>
      <c r="F71">
        <f>HYPERLINK("https://www.hirecrap.com/job-description-usj/3076513731629893551?src=LinkedIn&amp;urlHash=6-RZ", "https://www.hirecrap.com/job-description-usj/3076513731629893551?src=LinkedIn&amp;urlHash=6-RZ")</f>
        <v/>
      </c>
      <c r="G71" t="inlineStr"/>
      <c r="H71" t="inlineStr"/>
      <c r="I71" t="inlineStr">
        <is>
          <t>**About The Company**
 Cognizant is a leading global professional services company that specializes in digital, technology, consulting, and operations services. With a commitment to helping clients navigate their digital transformation journeys, Cognizant combines industry expertise with innovative solutions to deliver measurable business outcomes. The company operates in numerous sectors including healthcare, banking and financial services, manufacturing, retail, and more, serving a diverse client base across the globe. Known for its focus on innovation, quality, and customer satisfaction, Cognizant continues to invest in cutting\-edge technologies and talent development to maintain its position as a leader in the industry.
**About The Role**
 We are seeking a highly motivated and experienced professional to join our team in the role of \[Job Title]. In this position, you will play a critical role in delivering innovative solutions and driving strategic initiatives that align with our clients' business objectives. The ideal candidate will possess a strong technical background, excellent problem\-solving skills, and the ability to work collaboratively within a dynamic environment. This role offers an exciting opportunity to contribute to high\-impact projects, work with cutting\-edge technologies, and grow your career within a global organization committed to excellence and continuous improvement.
**Qualifications**
 The ideal candidate should possess a bachelor’s degree in Computer Science, Information Technology, or a related field. A minimum of \[X] years of relevant experience in \[specific domain or technology] is required. Strong knowledge of \[relevant skills or technologies], excellent communication skills, and the ability to work effectively both independently and as part of a team are essential. Experience with project management, client interactions, and a proven track record of delivering successful solutions will be highly valued. Certifications such as \[relevant certifications] are a plus.
**Responsibilities**
* Collaborate with clients and internal teams to understand business requirements and translate them into technical solutions. \- Design, develop, and implement software applications or systems according to project specifications. \- Conduct thorough testing and debugging of applications to ensure optimal performance and reliability. \- Provide ongoing support and maintenance for existing systems, addressing issues promptly and effectively. \- Document technical specifications, procedures, and best practices to ensure knowledge sharing and compliance. \- Participate in project planning, status updates, and stakeholder meetings to ensure timely delivery. \- Stay updated with the latest industry trends, technologies, and best practices to continuously enhance skills and contribute to innovation. \- Mentor junior team members and foster a collaborative team environment focused on quality and excellence.
**Benefits**
 Cognizant offers a comprehensive benefits package designed to support the well\-being and professional growth of our employees. This includes competitive salary packages, health insurance, retirement plans, paid time off, and flexible work arrangements. Employees also have access to continuous learning opportunities, training programs, and career development initiatives. We foster a culture of innovation and inclusion, encouraging our team members to contribute their ideas and grow within the organization. Additional perks may include wellness programs, employee assistance programs, and recognition initiatives to celebrate achievements and milestones.
 Equal Opportunity
 Cognizant is an equal opportunity employer committed to fostering an inclusive environment for all employees. We believe in diversity and are dedicated to providing equal employment opportunities regardless of race, color, religion, gender, gender identity, sexual orientation, national origin, age, disability, or any other protected characteristic. We promote a workplace culture that values respect, integrity, and fairness, ensuring that everyone has the opportunity to succeed and thrive within our organization.</t>
        </is>
      </c>
    </row>
    <row r="72">
      <c r="A72" t="inlineStr">
        <is>
          <t>li-4366193159</t>
        </is>
      </c>
      <c r="B72" t="inlineStr">
        <is>
          <t>Staff Machine Learning Engineer</t>
        </is>
      </c>
      <c r="C72" t="inlineStr">
        <is>
          <t>Paylocity</t>
        </is>
      </c>
      <c r="D72" t="inlineStr">
        <is>
          <t>linkedin</t>
        </is>
      </c>
      <c r="E72">
        <f>HYPERLINK("https://www.linkedin.com/jobs/view/4366193159", "https://www.linkedin.com/jobs/view/4366193159")</f>
        <v/>
      </c>
      <c r="F72" t="inlineStr"/>
      <c r="G72" t="inlineStr"/>
      <c r="H72" t="inlineStr"/>
      <c r="I72" t="inlineStr">
        <is>
          <t>Job Type
 Full\-time
**Description**
 Paylocity is an award\-winning provider of cloud\-based HR and payroll software solutions, offering the most complete platform for the modern workforce. The company has become one of the fastest\-growing HCM software providers worldwide by offering an intuitive, easy\-to\-use product suite that helps businesses automate and streamline HR and payroll processes, attract and retain talent, and build a strong workplace culture.
 While traditional HR and payroll providers automate basic HR processes such as payroll and benefits administration, Paylocity goes further by developing tools that HR and businesses need to compete for talent and deliver against the expectations of the modern workforce.
 We give our employees what they need to succeed, including great benefits and perks! We offer medical, dental, vision, life, disability, and a 401(k) match, as well as perks that support you, your family, and your finances. And if it’s career development you desire, we provide that, too! At Paylocity, people matter most and have always been at the heart of our business.
 Help Paylocity enhance communication and enable employees to connect, collaborate, and create from anywhere with a position in Product \&amp; Technology!
 Want to develop the strategies and principles needed to deliver compelling software? Join our team and help us enhance our all\-in\-one software platform, elevate our one\-of\-a\-kind technology, and improve the employee experience.
 Take your career to the next level at one of G2's Top 100 Software Companies. Explore our Product \&amp; Technology positions to see where you fit!
 This is a fully remote position, allowing you to work from home or location of record within the U.S. with no in\-office requirements. You must be available five days per week during designated work hours. The work arrangement for this role is subject to change based on business needs and individual performance. This may include adjustments to on\-site requirements.
**Position Overview**
 Paylocity is growing its Machine Learning Engineering organization! Our machine learning engineering team is responsible for developing infrastructure and tooling to help enable data driven decisions and insights at scale for millions of Paylocity users.
 As a Staff Machine Learning Engineer in Product \&amp; Technology, you will help Paylocity build and deploy Machine Learning solutions, to help our teams build better products faster, more reliably, and at the scale we see in production for our customers. We develop machine learning models and infrastructure to support internal team strategies and collaborate closely with our data science organization to drive efficiency and best practices. Your primary focus will be to leverage your expertise in software development, machine learning algorithms, and data infrastructure to architect, develop, and optimize machine learning solutions. You will play a key role in driving the development of scalable and efficient machine learning models, contributing to the enhancement of product features, and the overall improvement of our infrastructure
 **.**
**Our Team Is**
* Building infrastructure that can power ML and AI features for millions of users
* Building and deploying platform\-wide recommendations to help companies follow HR best practices and allow employees to get the most out of our platform (Paylocity AI page)
* Baking AI Ethics into all of our processes as a first\-class citizen (Blog Post)
* Working in a collaborative fully remote environment with a desire to share ideas and continuously improve
* Invested in staying current in machine learning engineering by applying the newest tools, technologies, and practices
* Excited to work on cutting\-edge technology!
**Primary Responsibilities**
* Collaborate closely with internal teams such as Data Science, Data Engineering, Paylocity’s Cloud Center of Excellence (CCOE), DevOps, and Delivery Platforms to understand requirements and ensure alignment of machine learning engineering solutions with overall business objectives and priorities.
* Leverage cutting\-edge big data technologies on AWS utilizing Databricks and Spark to develop scalable and efficient machine learning solutions for millions of users.
* Create automated data and modeling pipelines, collaborating with internal teams to ensure smooth integration and deployment of machine learning software features.
* Lead the optimization of CI/CD workflows, ensuring scalability and resilience while addressing complex challenges in automation in partnership with DevOps and Delivery Platforms.
* Proactively identify and resolve issues/bugs, ensuring AppSec vulnerabilities are identified and corrected, working closely with Application Security and CCOE teams.
* Drive the adoption of best practices in machine learning engineering across teams, contributing to the development of formal training programs and materials for MLE tool adoption.
* Actively participate in cross\-functional meetings and discussions, providing feedback, commentary, requirements, and questions to ensure alignment and drive project success.
**Education And Experience**
 The below represents the primary duties of the position, others may be assigned as needed.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 Bachelor’s degree with 8 years of machine learning engineering or similar experience at software companies; or, advanced degree (master’s or PhD) in machine learning engineering, data engineering, computer science, engineering, statistics, mathematics, data science, or other quantitative field, with 3 years of demonstrated machine learning engineering success or similar experience.
* Experience in building production\-grade machine learning models and infrastructure in Python.
* Strong background in advanced Python and big data technologies
* Experience with cloud infrastructure (i.e., AWS, GCP, or Azure).
* Demonstrated experience with Infrastructure as Code (IAC) tools (i.e. CDK, Pulumi, etc.).
* Demonstrated ability to leverage machine learning engineering to drive business results.
* Skilled at translating business problems into machine learning engineering problems and communicating the results to non\-technical audiences.
* Able to work in a collaborative environment with a desire to share your ideas.
* Able to work independently and complete tasks with high quality, but unafraid to seek out suggestions from other team members.
* Strong understanding of data engineering and software engineering fundamentals.
* Self\-motivated, adaptable, and highly detail oriented.
**Preferred Skills**
* Professional or academic experience in HR, social science or psychology
* Contributions to open\-source software in Python
* Enthusiastic about how machine learning and infrastructure can lead to a superior customer experience.
* Be invested in staying current in machine learning and infrastructure by applying new technologies and practices.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**Physical Requirements**
* Ability to sit for extended periods: The role requires sitting at a desk or workstation for long periods, typically 7\-8 hours a day.
* Use of computer and phone systems: The employee must be able to operate a computer, use phone systems, and type. This includes using multiple software programs and inquiries simultaneously.
**Paylocity is an equal\-opportunity employer.** 
 Paylocity is committed to the full inclusion of all individuals. We recruit, train, compensate, and promote regardless of race, religion, color, national origin, sex, disability, age, veteran status, and other protected status as required by applicable law. At Paylocity, we believe diversity makes us better.
 We embrace and encourage our employees’ differences in age, culture, ethnicity, family or marital status, gender identity or expression, language, national origin, physical and mental ability, political affiliation, race, religion or spiritual belief, sexual orientation, socio\-economic status, veteran status, and other characteristics that make our employees unique. We actively cultivate these differences through our employee resource groups (ERGs), employee experiences, perspectives, talents, and approaches to drive innovation in the software and services we provide our customers.
 We comply with federal and state disability laws and make reasonable accommodations for applicants and employees with disabilities. To request reasonable accommodation in the job application or interview process, please contact accessibility@paylocity.com. This email address is exclusively designated for such requests, aligning with federal and state disability laws. Please do not send resumes to this email address, as they will be removed.
 The base pay range for this position is $146,600 \- $272,200 /yr; however, base pay offered may vary depending on job\-related knowledge, skills, and experience. This position is eligible for an annual bonus and restricted stock unit grant based on individual performance in addition to a full range of benefits outlined here. This information is provided per the relevant state and local pay transparency laws for the location in which this position will be performed. Base pay information is based on market location. Applicants should apply via www.paylocity.com/careers.</t>
        </is>
      </c>
    </row>
    <row r="73">
      <c r="A73" t="inlineStr">
        <is>
          <t>li-4365867607</t>
        </is>
      </c>
      <c r="B73" t="inlineStr">
        <is>
          <t>Sr. Staff AI/ML Engineer</t>
        </is>
      </c>
      <c r="C73" t="inlineStr">
        <is>
          <t>Kraken</t>
        </is>
      </c>
      <c r="D73" t="inlineStr">
        <is>
          <t>linkedin</t>
        </is>
      </c>
      <c r="E73">
        <f>HYPERLINK("https://www.linkedin.com/jobs/view/4365867607", "https://www.linkedin.com/jobs/view/4365867607")</f>
        <v/>
      </c>
      <c r="F73" t="inlineStr"/>
      <c r="G73" t="inlineStr"/>
      <c r="H73" t="inlineStr"/>
      <c r="I73"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Join Kraken’s Data org and own the Machine Learning platforms and systems used across the company. The team operates at company\-wide scope, enabling multiple product and engineering teams to build, deploy, and operate ML models reliably in production. We work closely with product, engineering, data science, security, and compliance partners to ensure ML systems are scalable, observable, and aligned with Kraken’s business and regulatory requirements. Engineers on the team are expected to operate with high autonomy, handle broad problem spaces, and drive technical clarity in ambiguous environments. The team values deep technical expertise, strong ownership, and mentorship, with an emphasis on raising the bar across the organization.
**The opportunity**
* Set long\-term technical direction for Kraken’s AI/ML strategy, influencing multiple teams and initiatives.
* Own the architecture and evolution of core AI/ML systems, including training, feature management, serving, experimentation, and monitoring.
* Lead cross\-team efforts to standardize ML development and operational practices across the company.
* Drive the design and delivery of complex, high\-impact ML systems for use cases such as fraud, risk, personalization, and recommendations.
* Partner with senior engineering, product, and data leaders to identify where ML can unlock step\-change improvements in scalability and efficiency.
* Balance hands\-on technical contributions with architectural leadership and design review responsibilities.
* Evaluate emerging ML and GenAI technologies and lead their adoption when they provide durable platform\-level value.
* Mentor Staff and Senior engineers, shaping technical culture and raising the overall quality of ML engineering at Kraken.
**Skills You Should HODL**
* 10\+ years of experience building and operating large\-scale production Machine Learning systems.
* Proven track record of owning ML platforms or infrastructure used by multiple teams or products.
* Strong system design skills, with experience making long\-term architectural tradeoffs in complex environments.
* Expert\-level proficiency in Python and strong experience with additional languages such as Scala, Go, or Rust.
* Deep hands\-on experience with ML frameworks (PyTorch, TensorFlow, scikit\-learn) and model lifecycle management.
* Extensive experience with MLOps practices, including experimentation frameworks, CI/CD, model monitoring, and reliability.
* Strong background in data\-intensive and distributed systems (Spark, object storage, large\-scale batch and streaming).
* Demonstrated ability to lead through influence, mentor senior engineers, and communicate technical strategy to diverse stakeholders.
*Unless a specific application deadline is stated in the job posting, applications are accepted on an ongoing basis.*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$161\.2K \- $358\.9K</t>
        </is>
      </c>
    </row>
    <row r="74">
      <c r="A74" t="inlineStr">
        <is>
          <t>li-4342094833</t>
        </is>
      </c>
      <c r="B74" t="inlineStr">
        <is>
          <t>Founding AI Engineer</t>
        </is>
      </c>
      <c r="C74" t="inlineStr">
        <is>
          <t>Harnham</t>
        </is>
      </c>
      <c r="D74" t="inlineStr">
        <is>
          <t>linkedin</t>
        </is>
      </c>
      <c r="E74">
        <f>HYPERLINK("https://www.linkedin.com/jobs/view/4342094833", "https://www.linkedin.com/jobs/view/4342094833")</f>
        <v/>
      </c>
      <c r="F74" t="inlineStr"/>
      <c r="G74" t="inlineStr"/>
      <c r="H74" t="inlineStr"/>
      <c r="I74" t="inlineStr">
        <is>
          <t>**Founding AI Engineer** 
**Hybrid: 3 days in office/ 2 days work from home** 
**Location: Dallas / Irvine Area** 
**Salary: $110,000 \- $130,000 Base \+ Bonus** 
 A fast\-growing, tech\-forward real estate and operations company is expanding its engineering organization and launching a new AI Engineering function. They’re modernizing core internal applications and building AI\-enabled products that directly support business operations across multiple markets. If you enjoy working with modern tech, solving real operational challenges, and building products end\-to\-end, this is a great opportunity to make a visible impact.
**About the Role** 
 This team is building AI\-enabled internal applications on a modern platform, leveraging GenAI and emerging technologies to improve workflows, automate manual processes, and evolve complex business systems. This is a full\-stack engineering role where you’ll design, build, and ship production applications, not just prototypes.
 You’ll work closely with engineering teams, business stakeholders, and platform specialists to rebuild and enhance a business\-critical application using a new AI\-driven architecture. Projects typically run 6–8 months and offer a chance to own development end\-to\-end.
**What You’ll Do** 
* Build full\-stack applications that leverage GenAI capabilities to optimize and automate business processes
* Develop APIs, backend services, and UI components using Python or Node.js/TypeScript
* Work across a modern platform stack that includes a knowledge layer, RAG tooling, and cloud infrastructure
* Collaborate with cross\-functional partners in engineering, data, operations, and product to understand needs and translate them into technical solutions
* Learn and adopt new tools (including platform\-specific technologies) to accelerate development
* Participate in architecture discussions, technical problem\-solving, and shaping how the company uses AI internally
* Contribute to migrating a key internal application from a legacy system to a new AI\-enabled platform
**What They’re Looking For** 
* Strong full\-stack engineering background
* Proficiency in Python and experience building backend applications
* Experience with APIs, web applications, and cloud\-based development
* Exposure to GenAI, RAG concepts, or AI\-enabled application development (professional or side projects)
* Familiarity with databases (SQL or NoSQL)
* Ability to work with ambiguity, learn new tools quickly, and contribute ideas
* Excellent communication skills and comfort working cross\-functionally
* Ability to influence, push back respectfully, and collaborate with business stakeholders
**Nice to Have** 
* Node.js/TypeScript
* AWS experience
* Prior exposure to RAG platforms or ontology\-driven architectures
* Experience with internal business applications or workflow automation
**Why This Opportunity Stands Out** 
* Join a newly forming AI Engineering group with significant visibility
* Work with a modern tech stack and emerging AI tools
* Build real, production AI applications
* A supportive, learning\-oriented environment with opportunities to grow
* Meaningful problems to solve across an operationally complex business</t>
        </is>
      </c>
    </row>
    <row r="75">
      <c r="A75" t="inlineStr">
        <is>
          <t>li-4321459632</t>
        </is>
      </c>
      <c r="B75" t="inlineStr">
        <is>
          <t>AI Engineer</t>
        </is>
      </c>
      <c r="C75" t="inlineStr">
        <is>
          <t>Jobs via Dice</t>
        </is>
      </c>
      <c r="D75" t="inlineStr">
        <is>
          <t>linkedin</t>
        </is>
      </c>
      <c r="E75">
        <f>HYPERLINK("https://www.linkedin.com/jobs/view/4321459632", "https://www.linkedin.com/jobs/view/4321459632")</f>
        <v/>
      </c>
      <c r="F75" t="inlineStr"/>
      <c r="G75" t="inlineStr"/>
      <c r="H75" t="inlineStr"/>
      <c r="I75" t="inlineStr">
        <is>
          <t>Dice is the leading career destination for tech experts at every stage of their careers. Our client, AIT Global, Inc., is seeking the following. Apply via Dice today!
**Job Title: AI Engineer
 Location: Remote**
**Job Description:**
 We are seeking a skilled AI Engineer to support a state government client. This role is primarily remote (East Coast hours) with occasional visits to the client office as required. The ideal candidate has hands\-on experience building and deploying AI/ML solutions, strong communication skills, and the ability to work with large, complex datasets in a regulated environment.
**Key Responsibilities:**
* Design, develop, and deploy AI/ML models for state government and enterprise use cases
* Work with structured and unstructured data to build scalable AI solutions
* Perform data preprocessing, feature engineering, model training, validation, and tuning
* Collaborate with cross\-functional teams including data engineers, product managers, and client stakeholders
* Translate business and program requirements into AI\-driven solutions
* Monitor, maintain, and improve model performance in production
* Ensure compliance with data privacy, security, and regulatory standards
* Participate in meetings during East Coast business hours and attend onsite sessions when required
**Required Qualifications:**
* 4 5 years of experience as an AI Engineer / Machine Learning Engineer
* Strong proficiency in Python and ML frameworks (TensorFlow, PyTorch, Scikit\-learn)
* Solid understanding of machine learning algorithms, model evaluation, and deployment practices
* Experience integrating ML models into production systems
* Strong analytical, problem\-solving, and communication skills
* Ability to work effectively in a remote environment with government or enterprise clients</t>
        </is>
      </c>
    </row>
    <row r="76">
      <c r="A76" t="inlineStr">
        <is>
          <t>li-4355981037</t>
        </is>
      </c>
      <c r="B76" t="inlineStr">
        <is>
          <t>Senior AI &amp; Machine Learning Engineer - IntelliScript (Remote)</t>
        </is>
      </c>
      <c r="C76" t="inlineStr">
        <is>
          <t>Milliman</t>
        </is>
      </c>
      <c r="D76" t="inlineStr">
        <is>
          <t>linkedin</t>
        </is>
      </c>
      <c r="E76">
        <f>HYPERLINK("https://www.linkedin.com/jobs/view/4355981037", "https://www.linkedin.com/jobs/view/4355981037")</f>
        <v/>
      </c>
      <c r="F76" t="inlineStr"/>
      <c r="G76" t="inlineStr">
        <is>
          <t>Brookfield, WI</t>
        </is>
      </c>
      <c r="H76" t="inlineStr"/>
      <c r="I76"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health IT and life sciences clients. We are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Milliman, Inc. is recognized as a top firm that provides data, products, and professional services to the insurance industry. IntelliScript is a practice within Milliman that provides health and life insurers with real\-time data and underwriting decision support tools via software\-as\-a\-service (SaaS). IntelliScript offers an innovative suite of products which interpret and deliver electronic medical data (such as prescription histories, diagnoses, treatment data, etc.) to help our clients make effective underwriting and pricing decisions. Our company offers a unique entrepreneurial culture that also promotes work/life balance. IntelliScript has enjoyed consistent growth and is the leader in the markets we serve.
 This role will serve as a hands\-on individual contributor with a strong emphasis on coding, platform delivery, and technical reviews. You will report to the Manager, AI \&amp; Machine Learning Engineering, and play a critical role in advancing our Models as a Service (MAAS) initiative, helping to modernize our AI and machine learning model delivery platform.
 The role will contribute to complex data science projects requiring ML engineering expertise and knowledge of medical claims and Electronic Health Records (EHR). Leveraging expertise in GenAI, ML engineering, software development, and data science, you will deepen their understanding of current product capabilities and develop innovative solutions—such as advanced summarization and agentic workflows—to enhance them.
 The Senior AI \&amp; Machine Learning Engineer will be responsible for developing, deploying, and industrializing sophisticated GenAI and machine learning solutions for healthcare, insurance and adjacent markets.
**Key Responsibilities Include**
* ML engineering efforts within the Models\-as\-a\-Service (MAAS) platform, ensuring high\-quality and scalable model delivery
* Providing technical guidance, reviews, and mentorship to junior team members
* Collaborating closely with the data science team, MAAS product owner, AI architect, and Manager, AI \&amp; Machine Learning Engineering to drive model and feature delivery from ideation through deployment
* Ensuring the success of model\-driven products across both technical and operational dimensions
* Hands\-on technical contribution to support the growth of MAAS and/or data science initiatives
**What You Will Be Doing**
 The key area of responsibility in the role of Senior AI \&amp; Machine Learning Engineer is to work as part of our MAAS Team and in conjunction with our data science and product teams, contribute to various aspects of AI \&amp; Machine Learning across our practice:
* Lead end\-to\-end development, deployment, and maintenance of AI infrastructure and applications, from proof\-of\-concept to production and ongoing maintenance, ensuring seamless integration with IT, Product, and other departments
* Collaborate closely with the Product Owner for Models as a Service, the AI architect, and other stakeholders to align technical and product objectives
* Provide technical proficiency in AI/ML engineering and data science, including selection and optimization of frameworks, libraries, and tools
* Development of MLOps, LLMOps, and AIOps solutions across the organization
* Serve as a ML Engineer with deep expertise in driving innovative product features from concept to commercial reality
* Peer review, audit, and enhance models and code developed by team members to ensure high standards and continual improvement
**What We Need**
* 7\+ years of machine learning engineering, GenAI, and data science experience in one of the following industries: healthcare, insurance, clinical trials, or similar fields
* Experience working with machine learning engineering and data science projects across the full life cycle from identifying customer need, to completing proof of concepts, to model building and validation, to implementation
* Ability to contribute to cross\-functional teams
* Expert level knowledge of Python and SQL
* Experience with other programming languages: R, PySpark
* Ability to understand / read other programming languages: C\#, Rust
* Expert with cloud\-based analytical solutions and distributed computing (Databricks)
* Experience with converting on\-premise solutions into cloud ready applications
* Ability to create CI/CD workflows using Github and IaC technology (e.g. Terraform)
* Experience with APIs, AWS Cloud Services and associated services (Lambda, Step Functions, AWS Batch etc..), and git
* Strong programming aptitude (debugging, package design, dependency management, testing)
* Understand how to build and design varying inference solutions (single and batch scoring)
**What You Bring To The Table**
* Excellent communication skills, in person and through phone / email
* Ability to understand and translate technical specs or model results in communication with clients and IntelliScript Lead management
* Proven ability to understand client analytical needs, translate them into an action plan, then execute and deliver
* Customer\-centric approach to finding solutions
* Focused on results and able to explain findings in a way that answers business problems
* Constructive, “can do” approach to overcoming obstacles
* Can quickly learn new techniques and technologies
* Proactive in identifying process improvements
* Strong work ethic, willing to pitch in wherever needed
* Ability to manage projects and timelines, including directing the work of others
**Wish List**
* 7\+ years experience in Machine Learning Engineering, Data Engineering, or Software Engineering
* 7\+ years experience in Data Science or a supportive role
* Degree in a relevant field (computer science, data science, statistics, mathematics, applied math, actuarial science, economics, etc.)
* Experience working in a HIPAA / PHI / PCI compliant environment
**Location**
 The expected application deadline for this job is April 30, 2026\. This position is open to remote work. Applicants must be willing to travel to the Milliman office in Brookfield, WI as needed and travel nationwide for meetings, conferences, and team events.
**Compensation**
 The overall salary range for this role is $117,500 \- $222,985\.
**For Candidates Residing In**
* Alaska, California, Connecticut, Illinois, Maryland, Massachusetts, New Jersey, New York City, Pennsylvania, Virginia, Washington, or the District of Columbia the salary range is $135,125 \- $222,985\.
* All other locations the salary range is $117,500 \- $193,900\.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77">
      <c r="A77" t="inlineStr">
        <is>
          <t>li-4365871589</t>
        </is>
      </c>
      <c r="B77" t="inlineStr">
        <is>
          <t>Senior, ML Engineer - Neural Rendering</t>
        </is>
      </c>
      <c r="C77" t="inlineStr">
        <is>
          <t>RemoteHunter</t>
        </is>
      </c>
      <c r="D77" t="inlineStr">
        <is>
          <t>linkedin</t>
        </is>
      </c>
      <c r="E77">
        <f>HYPERLINK("https://www.linkedin.com/jobs/view/4365871589", "https://www.linkedin.com/jobs/view/4365871589")</f>
        <v/>
      </c>
      <c r="F77" t="inlineStr"/>
      <c r="G77" t="inlineStr"/>
      <c r="H77" t="inlineStr"/>
      <c r="I77" t="inlineStr">
        <is>
          <t>About the Opportunity:
 The organization focuses on developing software for automated trucks to transform freight movement using autonomous vehicle technology. This role involves advancing simulation and data generation through Neural Rendering and generative models to support a data\-driven simulator aimed at enhancing safety in autonomous trucking.
 Responsibilities:
 • Implement latest research in Neural Rendering and generative models
 • Translate solutions for high\-quality Camera, LiDAR, and Radar sensor simulations in autonomous driving
 • Support development of a neural rendering framework to scale perception simulation and training
 • Integrate framework into cloud environments and automate pipelines for verification and validation
 • Lead projects from research through deployment
 • Design, test, and deploy production\-quality software following disciplined development processes
 • Collaborate within cloud machine learning ecosystems alongside existing services
 • Assess and improve current capabilities aligned with strategy and operations
 • Serve as project lead, mentoring and guiding team members
 Requirements:
 • Proficiency in Python and deep learning frameworks such as PyTorch
 • PhD or equivalent 6\+ years of experience in CS, Robotics, or Electrical Engineering with production software background
 • Proven expertise in Neural Rendering (Neural Radiance Fields, 3D Gaussian Splatting) and generative models (Diffusion Models, Flow Matching)
 • Background in Computer Graphics, 3D Reconstruction, or 3D Computer Vision
 • Ability to work independently on complex tasks with minimal supervision
 • Experience with VDI and cloud\-based machine learning development environments
 • Ability to drive alignment across team interfaces and maintain team technical solutions
 • Experience mentoring engineers
 Bonus Points:
 • Experience with autonomous driving or robotics perception in production
 • Proficiency with CUDA programming for large\-scale scene rendering
 • Publications in top\-tier CV/AI/Graphics conferences or journals
 • Experience with MLOps and infrastructure tools such as Ray
 • Familiarity with 3D labeling, calibration, and sensor simulation pipelines
 • Experience handling data from multiple autonomous driving sensors (camera, lidar, radar)
 Benefits \&amp; Perks:
 • Competitive compensation including bonus and stock options
 • 100% paid medical, dental, and vision insurance for full\-time employees
 • 401K plan with 6% employer match
 • Flexible schedule and generous paid vacation from start date
 • AD\+D and life insurance coverage
 Compensation:
 • US Base Pay Range: $199,200 to $298,800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li-4321449831</t>
        </is>
      </c>
      <c r="B78" t="inlineStr">
        <is>
          <t>AI Engineer</t>
        </is>
      </c>
      <c r="C78" t="inlineStr">
        <is>
          <t>Jobs via Dice</t>
        </is>
      </c>
      <c r="D78" t="inlineStr">
        <is>
          <t>linkedin</t>
        </is>
      </c>
      <c r="E78">
        <f>HYPERLINK("https://www.linkedin.com/jobs/view/4321449831", "https://www.linkedin.com/jobs/view/4321449831")</f>
        <v/>
      </c>
      <c r="F78" t="inlineStr"/>
      <c r="G78" t="inlineStr">
        <is>
          <t>Stockton, GA</t>
        </is>
      </c>
      <c r="H78" t="inlineStr"/>
      <c r="I78" t="inlineStr">
        <is>
          <t>Dice is the leading career destination for tech experts at every stage of their careers. Our client, Sun Technologies,Inc., is seeking the following. Apply via Dice today!
 Pay Range: $60 \- $65/hr (The pay rate may differ depending on your skills, education, experience, and other qualifications)
 Featured Benefits
* Medical Insurance in compliance with the ACA.
* 401(k).
* Sick leave in compliance with applicable state, federal, and local laws.
**Job Description:**
* Looking for an onsite AI engineer to design, finalize, and productionize AI agents by integrating with Streamlit and deploying scalable, secure solutions on Kubernetes.
**High\-Level Skills Requirements:**
* Expertise in LLMs, agent frameworks, prompt engineering, and RAG
* Proficiency in Python and Google Cloud Platform
* Knowledge of Streamlit integration
* Skilled in Docker and Kubernetes deployments</t>
        </is>
      </c>
    </row>
    <row r="79">
      <c r="A79" t="inlineStr">
        <is>
          <t>li-4355972384</t>
        </is>
      </c>
      <c r="B79" t="inlineStr">
        <is>
          <t>Staff Robotics AI Engineer</t>
        </is>
      </c>
      <c r="C79" t="inlineStr">
        <is>
          <t>Analog Devices</t>
        </is>
      </c>
      <c r="D79" t="inlineStr">
        <is>
          <t>linkedin</t>
        </is>
      </c>
      <c r="E79">
        <f>HYPERLINK("https://www.linkedin.com/jobs/view/4355972384", "https://www.linkedin.com/jobs/view/4355972384")</f>
        <v/>
      </c>
      <c r="F79" t="inlineStr"/>
      <c r="G79" t="inlineStr">
        <is>
          <t>San Jose, CA</t>
        </is>
      </c>
      <c r="H79" t="inlineStr"/>
      <c r="I79"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**Staff AI/ML Software Engineer**
**About The Role**
 The Staff AI/ML Software Engineer serves as a technical leader responsible for architecting complex AI/ML systems and driving technical strategy. In this role, you will lead multiple initiatives, define vision and direction, and solve highly complex problems requiring in\-depth analysis. You will establish best practices, mentor team members, and drive innovation in ML methodologies while working closely with cross\-functional leadership to align technical solutions with business objectives.
**Key Responsibilities**
* Architect complex AI/ML systems that scale across multiple products or services
* Drive technical strategy for ML systems and set direction for implementation teams
* Lead multiple technical initiatives simultaneously with high business impact
* Solve complex problems requiring in\-depth analysis and novel approaches
* Establish best practices, standards, and frameworks for ML development
* Mentor and develop team capabilities in advanced ML techniques
* Influence technical decisions across teams and organizational boundaries
**Must Have Skills**
* ML Systems Architecture: Deep expertise in designing large\-scale, robust ML systems with complex requirements
* Advanced ML Algorithms: Mastery of ML algorithms, optimization techniques, and their practical applications
* Technical Leadership: Proven ability to lead technical teams and drive consensus on complex ML approaches
* System Optimization: Expert knowledge in optimizing ML systems for performance, cost, and scalability
* Innovation in ML: Ability to explore and apply cutting\-edge ML research to solve difficult business problems
* Cross\-Functional Collaboration: Experience working with product, business, and engineering stakeholders at senior levels
**Preferred Education And Experience**
* Master's or PhD in Computer Science, AI/ML, or related field
* 8\+ years of relevant experience in machine learning engineering
* Demonstrated track record of leading complex ML projects with significant business impact
**Why You’ll Love Working at ADI**
 At Analog Devices, you'll be part of a collaborative and innovative team that's shaping the future of technology. We offer a supportive environment focused on professional growth, competitive compensation and benefits, work\-life balance, and the opportunity to work on cutting\-edge projects that make a real impact on the world.
 Your expertise will shape the future of technology, and you’ll be supported by a culture that values continuous advancement and professional growth. Join us and help create the technologies that bridge the physical and digital worlds, making a tangible difference in how people live, work, and connect.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expected wage range for a new hire into this position is $144,038 to $216,056\.
*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80">
      <c r="A80" t="inlineStr">
        <is>
          <t>li-4351341505</t>
        </is>
      </c>
      <c r="B80" t="inlineStr">
        <is>
          <t>Machine Learning Engineer - NYC- Leading Global Prop Trading Firm</t>
        </is>
      </c>
      <c r="C80" t="inlineStr">
        <is>
          <t>Jobs via eFinancialCareers</t>
        </is>
      </c>
      <c r="D80" t="inlineStr">
        <is>
          <t>linkedin</t>
        </is>
      </c>
      <c r="E80">
        <f>HYPERLINK("https://www.linkedin.com/jobs/view/4351341505", "https://www.linkedin.com/jobs/view/4351341505")</f>
        <v/>
      </c>
      <c r="F80" t="inlineStr"/>
      <c r="G80" t="inlineStr">
        <is>
          <t>New York, NY</t>
        </is>
      </c>
      <c r="H80" t="inlineStr"/>
      <c r="I80"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81">
      <c r="A81" t="inlineStr">
        <is>
          <t>li-4366197765</t>
        </is>
      </c>
      <c r="B81" t="inlineStr">
        <is>
          <t>Senior A/AI Machine Learning Engineer - Clearance Required</t>
        </is>
      </c>
      <c r="C81" t="inlineStr">
        <is>
          <t>Lockheed Martin</t>
        </is>
      </c>
      <c r="D81" t="inlineStr">
        <is>
          <t>linkedin</t>
        </is>
      </c>
      <c r="E81">
        <f>HYPERLINK("https://www.linkedin.com/jobs/view/4366197765", "https://www.linkedin.com/jobs/view/4366197765")</f>
        <v/>
      </c>
      <c r="F81" t="inlineStr"/>
      <c r="G81" t="inlineStr">
        <is>
          <t>Fort Belvoir, VA</t>
        </is>
      </c>
      <c r="H81" t="inlineStr"/>
      <c r="I81"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Lockheed Martin Space in Ft Belvoir, Virginia is seeking a full\-time Early Career Satellite Systems Engineer to join our team. We will train you through an extensive education and certification program to utilize your current engineering skills in support of an important customer mission.
 Your mission is ours.
**Desired Skills**
* Proficiency in one or more of the following programming languages: Python, Java, C\+\+, C\#, or MATLAB
* Experience with TensorFlow, PyTorch, Keras, or Scikit\-learn
* Experience working with on\-orbit spacecraft or satellite flight operations.
* Direct Machine Learning research experience
* Understanding of software / hardware infrastructure, middleware, and system architectures.
* Excellent written and verbal communication skills
* Ability to work in a collaborative and team\-based environment
 \#LMSpaceAI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82">
      <c r="A82" t="inlineStr">
        <is>
          <t>li-4365860897</t>
        </is>
      </c>
      <c r="B82" t="inlineStr">
        <is>
          <t>Java + AI Engineer_HYBRID@Austin, TX and Sunnyvale,CA_ON W2</t>
        </is>
      </c>
      <c r="C82" t="inlineStr">
        <is>
          <t>Jobs via Dice</t>
        </is>
      </c>
      <c r="D82" t="inlineStr">
        <is>
          <t>linkedin</t>
        </is>
      </c>
      <c r="E82">
        <f>HYPERLINK("https://www.linkedin.com/jobs/view/4365860897", "https://www.linkedin.com/jobs/view/4365860897")</f>
        <v/>
      </c>
      <c r="F82" t="inlineStr"/>
      <c r="G82" t="inlineStr">
        <is>
          <t>Austin, TX</t>
        </is>
      </c>
      <c r="H82" t="inlineStr"/>
      <c r="I82" t="inlineStr">
        <is>
          <t>Dice is the leading career destination for tech experts at every stage of their careers. Our client, BURGEON IT SERVICES LLC, is seeking the following. Apply via Dice today!
**Job Title: Java \+ AI Engineer**
**Work Location with ZIP: Austin, TX, Sunnyvale, CA**
**HYBRID**
**Experience: 10 years**
**Top 3 Required skills:
 Java (Spring Boot, Microservices).
 GenAI, LLMs, AI/ML frameworks
 Python**
**About the Role:**
 We are looking for a passionate Java \+ AI Engineer who can design, build, and integrate intelligent systems into scalable enterprise applications. The ideal candidate has a strong Java development background combined with hands\-on experience using AI/ML tools, APIs, and frameworks.
 You ll work closely with cross\-functional teams to design robust backend services and embed AI\-driven capabilities such as natural language processing, recommendation systems, predictive analytics, and automation.
**Key Responsibilities:**
 Design and develop high\-performance applications using Java (Spring Boot, Microservices).
 Integrate AI models (e.g., via REST APIs, Python services, or cloud AI platforms).
 Collaborate with data scientists to deploy and optimize ML models in production.
 Build APIs and microservices that enable intelligent data\-driven features.
 Implement data pipelines for AI workloads, ensuring scalability and reliability.
 Evaluate and experiment with GenAI, LLMs, and AI APIs (OpenAI, AWS Bedrock, Vertex AI, Azure OpenAI).
 Maintain coding standards, CI/CD pipelines, and cloud deployment best practices (AWS, Google Cloud Platform, or Azure).
 Troubleshoot performance issues and ensure application reliability.
**Required Skills \&amp; Experience:**
 Strong Java development experience (Java 8\+, Spring Boot, REST APIs).
 Hands\-on experience with AI/ML frameworks such as TensorFlow, PyTorch, or scikit\-learn.
 Hands\-on experience or exposure to Generative AI technologies (e.g., LLM integration, prompt engineering, or AI model APIs)
 Experience integrating AI APIs (e.g., OpenAI, Hugging Face, Google Vertex AI).
 Solid understanding of data structures, algorithms, and software design patterns.
 Familiarity with Python for ML model interaction or API wrapping.
 Experience with Docker, Kubernetes, and cloud environments (AWS/Google Cloud Platform/Azure).
 Knowledge of SQL/NoSQL databases and data ingestion pipelines.
 Excellent communication and problem\-solving skills.
**Preferred Qualifications:**
 Experience working with Generative AI / LLM applications.
 Exposure to LangChain, RAG architecture, or vector databases (Pinecone, FAISS).
 Understanding of the machine learning lifecycle (training, testing, deployment).
 Experience with event\-driven systems (Kafka, RabbitMQ).
 Contribution to AI\-based open\-source projects or hackathons.
**Education:**
 Bachelor s or Master s in Computer Science, Engineering, or related field.
 Interview Criteria: The client requires an in\-person interview. Candidates must be available to attend the interview at the client s Sunnyvale office.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2026-01-26T23:29:21Z</dcterms:created>
  <dcterms:modified xsi:type="dcterms:W3CDTF">2026-01-26T23:29:21Z</dcterms:modified>
</cp:coreProperties>
</file>