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in-4cf2c4f6001384e1</t>
        </is>
      </c>
      <c r="B2" t="inlineStr">
        <is>
          <t>Program Manager</t>
        </is>
      </c>
      <c r="C2" t="inlineStr">
        <is>
          <t>Senior Center Inc.</t>
        </is>
      </c>
      <c r="D2" t="inlineStr">
        <is>
          <t>indeed</t>
        </is>
      </c>
      <c r="E2" t="inlineStr"/>
      <c r="F2" t="inlineStr"/>
      <c r="G2" t="inlineStr">
        <is>
          <t>Charlottesville, VA, US</t>
        </is>
      </c>
      <c r="H2" s="2" t="n">
        <v>46048</v>
      </c>
      <c r="I2" t="inlineStr">
        <is>
          <t>As a member of a dynamic team, the Program Coordinator is responsible for helping expand The Center’s healthy aging programming to positively support community health, with a focus on evening programs. This person will work independently and in collaboration with Center staff and volunteers to develop, oversee, and evaluate all aspects of Center programs as needed under the supervision of the Program Director.
Qualifications
* Bachelor’s degree or equivalent work experience
* Minimum one year of programming experience
* Strong skills in MS Office software
Knowledge, Skills and Abilities
* Discretion, empathy, and affinity for working with older adults, and diverse populations, with a focus on customer service
* Excellent communication skills—written, verbal, and interpersonal
* Strong organizational and problem\-solving skills, with an unwavering respect for deadlines
* Ability to manage and prioritize multiple tasks
* Volunteer management skills
Essential Responsibilities
* Manage the creation, planning, implementation, and evaluation of a number of The Center’s healthy aging programs.
* Evaluate program proposals submitted by community members; as needed, pursue program implementation with associated requirements.
* Ensure program leaders maintain valid contracts, certifications, and credentials, and have signed The Center’s memorandums of understanding (MOUs).
* Manage associated paperwork, instructor relations, room assignment, audio\-visual equipment, and other elements as agreed upon in MOUs to ensure programs run smoothly.
* Write brief and accurate program narratives to encourage participation, and upload program information on website and scheduling software.
* Collaborate in a timely manner with The Center’s marketing team to identify new programs, special events, and other activities that may benefit from additional promotion.
* Engage with community organizations to enhance program offerings at the Center.
* Collaborate with Center team members to ensure all programs are conducted safely and in line with The Center’s mission and values.
* Perform other duties as assigned.
Work Environment and Physical Demands
* This position requires a physical presence. While the majority of work hours will be 8:30 am–4:30 pm Monday–Friday, program coordinators are expected to work an adjusted schedule on a rotational basis that may include occasional weekend and evening hours.
* Employee is regularly required to use a computer.
* Employee is frequently required to sit and stand and must be able to move around the work environment.
* Employee will regularly assist with room set\-ups including moving tables and chairs, AV equipment, etc.
* Reasonable accommodations may be made to enable individuals with disabilities to perform the essential functions.
This position is full time at 40 hours per week, with a generous benefits package that includes health and dental coverage, a matching 403(b) plan, vacation, sick leave, and national holidays. The salary range is $40K–48K, commensurate with experience. Please provide a cover letter with your resume.
Job Type: Full\-time
Pay: $40,000\.00 \- $48,000\.00 per year
Benefits:
* 401(k)
* 401(k) matching
* 403(b)
* 403(b) matching
* Dental insurance
* Employee assistance program
* Flexible schedule
* Flexible spending account
* Health insurance
* Health savings account
* Life insurance
* Paid time off
* Professional development assistance
* Retirement plan
* Vision insurance
License/Certification:
* Driver's License (Preferred)
Ability to Commute:
* Charlottesville, VA 22901 (Required)
Ability to Relocate:
* Charlottesville, VA 22901: Relocate before starting work (Required)
Work Location: In person</t>
        </is>
      </c>
    </row>
    <row r="3">
      <c r="A3" t="inlineStr">
        <is>
          <t>in-acee40bcecbe07b8</t>
        </is>
      </c>
      <c r="B3" t="inlineStr">
        <is>
          <t>Product Manager</t>
        </is>
      </c>
      <c r="C3" t="inlineStr">
        <is>
          <t>Bedrosians Tile and Stone</t>
        </is>
      </c>
      <c r="D3" t="inlineStr">
        <is>
          <t>indeed</t>
        </is>
      </c>
      <c r="E3" t="inlineStr"/>
      <c r="F3" t="inlineStr"/>
      <c r="G3" t="inlineStr">
        <is>
          <t>Tustin, CA, US</t>
        </is>
      </c>
      <c r="H3" s="2" t="n">
        <v>46048</v>
      </c>
      <c r="I3" t="inlineStr">
        <is>
          <t>Job Overview
The Marketing Production Manager is responsible for overseeing and coordinating the production of print marketing collateral and in\-store materials from conception to completion. It also helps develop and maintain brand identity as it relates to marketing production to create a better brand and customer experience. Lastly, it will help establish efficiency and cost management systems.
The goal is to ensure marketing is meeting the needs of internal leadership, retail branches, and commercial teams, while being innovative and cost effective in our marketing efforts.  
Duties
* Plan, launch, and oversee all print materials needed for product launches, in\-store marketing, new store marketing, and tradeshows
* Partner and collaborate with Marketing Heads, Sales, Product Managers, and various departments to implement marketing campaigns and product launch
* Develop relationships with Branch Managers to help educate them on Marketing Processes.
* Monitor all print marketing requests and designs to ensure brand consistency
* Provide project details and manage timelines for designers
* Help establish and maintain department budgets
* Manage print vendors and ensure costs are falling within budget
* Place purchase orders for marketing and work purchasing, sample department and accounts payable for billing and receiving
* Support in\-house copy editing and content development
* Organize and coordinate photo shoots for quarterly launches
Help develop new marketing solutions and create efficiencies in production campaigns based on needs in the market  
* 
Minimum Qualifications
* BA in Marketing, Business or related field
* 5\-7 years of experience developing marketing assets
* Strong analytical and project management skills with a passion for driving results
* Ability to make the transition from strategic thinking (conceptual and planning) to execution to achieve the tactical objectives
* Ability to analyze cost and manage marketing budgets
* Strong team building skills
* Creative problem\-solving abilities
* Superior written and verbal communication skills with proven abilities in writing creative briefs
* Knowledge of Asana, Google Docs, or other project management tools
Knowledge of Adobe Creative Suite including Photoshop and InDesign, and Microsoft Office  
* 
Bedrosians is an Equal Opportunity Employer. This job posting does not constitute an offer of employment and is not an employment contract. To be considered for this position please submit your application through our Careers page: https://bedrosians.applicantpro.com/jobs/</t>
        </is>
      </c>
    </row>
    <row r="4">
      <c r="A4" t="inlineStr">
        <is>
          <t>in-8492dff7c05ae537</t>
        </is>
      </c>
      <c r="B4" t="inlineStr">
        <is>
          <t>Hamilton County Program Manager</t>
        </is>
      </c>
      <c r="C4" t="inlineStr">
        <is>
          <t>Women Helping Women</t>
        </is>
      </c>
      <c r="D4" t="inlineStr">
        <is>
          <t>indeed</t>
        </is>
      </c>
      <c r="E4" t="inlineStr"/>
      <c r="F4" t="inlineStr"/>
      <c r="G4" t="inlineStr">
        <is>
          <t>Cincinnati, OH, US</t>
        </is>
      </c>
      <c r="H4" s="2" t="n">
        <v>46047</v>
      </c>
      <c r="I4" t="inlineStr">
        <is>
          <t>**Hamilton County Program Manager**  
**Women Helping Women**  
**Location: Hamilton County 215 E 9th St, Cincinnati, 45202 8:00 AM\-4:30 PM**  
**Who We Are**  
Are you interested in being part of an organization dedicated to preventing gender\-based violence and empowering survivors? At Women Helping Women, we believe in the power of survivors to rebuild their lives and are committed to providing the support and resources they need to do so. We operate on the principle that survivors are the experts of their own lives, and our mission is to stand by them on their journey from immediate safety to long\-term stability.
Our success is rooted in a comprehensive approach that includes a 24/7 hotline, live chat, legal advocacy, hospital support, and support groups. Beyond direct support, we are actively engaged in prevention through community education and campus\-based advocacy, working to create a world free of violence. Join us in making a tangible and lasting impact in the lives of individuals and the community.
**What we are looking for**  
We’re looking for a passionate and dedicated Program Manager to provide leadership and oversight of the Court, Campus, and Outreach programs. This role is vital to our mission and combines leadership with hands\-on service, including working directly with system partners, supervision, ensuring high\-quality crisis intervention and safety planning, outreach, and support groups.
As a Program Manager, you will lead a dynamic team providing crisis intervention services to survivors of sexual assault, domestic violence, and stalking. You will be responsible for developing and maintaining strong partnerships with community systems and leaders (law enforcement, hospitals, victim service agencies and campuses). You’ll guide program goals and outcomes, address barriers that impact survivors, and strengthen services through effective policies and practices. In this role, you’ll supervise and support the program supervisors, fostering growth, collaboration, and accountability. You’ll also partner with the Director to enhance training, improve structures, and ensure services meet the highest standards of quality and care. Beyond daily operations, you’ll help build strong community partnerships, promote the agency’s mission, and contribute to a culture of excellence, compassion, and continuous improvement.  
**What You Will Be Responsible For:**  
**Program Leadership:** Oversee the Hamilton County crisis intervention services for survivors, identify and communicate program goals, and implement policies, tools, and structural improvements.  
**Supervision:** Directly supervise Hamilton County Program Supervisor, including hiring, training, scheduling, performance feedback, and development support  
**Systems Training:** Works directly with system partners to evaluate and address training needs and provides approved training alongside systems training advocates.  
**Grant Reporting:** Provide program updates to leadership, assist with grant reporting, and monitor daily activities to ensure alignment with funding requirements and core standards.  
**Direct services:** Provide direct crisis intervention and advocacy to survivors of sexual assault, domestic violence, dating violence, and stalking. This includes telephone and one\-on\-one support when needed.  
**Program Evaluation \&amp; Improvement:** Monitor data, outcomes, and client feedback; ensure quality services, accurate reporting, and continuous program improvement.  
**Community Engagement:** Build and maintain collaborative relationships with community partners and plan community outreach and awareness events  
Maintain access to reliable transportation and maintain insurance on vehicle(s) used for duties  
**About You**  
**Required Qualifications**  
A Bachelor's degree (BA/BS) in Social Work, Psychology, Mental Health, Human Services, or a related field, or equivalent professional experience.  
 2 \+ years of experience delivering direct services in the field (SA, DV, crisis intervention with victims, advocacy) required  
2\+ years of supervisory experience required.
Strong computer skills, including proficiency with Microsoft Office, databases, and email  
**Preferred Qualifications**  
Experience in grant reporting, and relationship and coalition building preferred.
Experience delivering training and educational programs.
**Required Skills \&amp; Competencies**  
**Leadership:** Strong leadership skills, including the ability to effectively lead a team, manage staff performance, and foster a collaborative and productive work environment  
**Organization:** the ability to effectively manage multiple priorities, deadlines, and administrative responsibilities while maintaining accuracy and attention to detail.  
**Collaboration:** the ability to build and maintain strong and professional working relationships with staff, agency personnel and the community.
**Team development**: the ability to foster team growth by identifying development opportunities and empowering staff to reach their full potential.  
**Problem\-Solving:** Possesses strong problem\-solving skills, working collaboratively with staff and management to navigate complex challenges and develop creative, effective solutions  
**Crisis Intervention:** The skill to provide immediate, short\-term support to individuals in a state of emotional, mental, physical, or behavioral distress.  
**Advocacy:** The ability to speak or write on behalf of a client and champion their rights and goals.  
**Confidentiality:** A strict commitment to protecting private information.
**Communication Skills:** Excellent verbal and written communication to interact with clients, colleagues, and external partners.
**Cultural Competency**: The awareness and sensitivity to work with individuals from diverse backgrounds, including different cultures, genders, sexual orientations, and socioeconomic statuses.
**Record\-Keeping:** Meticulous attention to detail for maintaining accurate and timely client records and case notes.  
**Stress Management:** The resilience and coping mechanisms to handle emotionally challenging situations and prevent secondary trauma.  
**Compensation**  
 The compensation range for this Salaried/Exempted pay range is $50,000\-$56,000 annually. The target compensation range is subject to multiple factors including education and experience.
Women Helping Women is proud to offer a variety of benefits to support employees and their families, including:  
Medical, Dental, \&amp; Vision Insurance
Retirement Plans
Monthly Parking Stipend
Paid Vacation, Sick Time Off \&amp; Self Care Days
And more…  
*Women Helping Women complies with applicable laws requiring reasonable accommodations for individuals with disabilities. WHW is an equal opportunity employer*</t>
        </is>
      </c>
    </row>
    <row r="5">
      <c r="A5" t="inlineStr">
        <is>
          <t>in-a036351ec4977fb8</t>
        </is>
      </c>
      <c r="B5" t="inlineStr">
        <is>
          <t>Product Owner</t>
        </is>
      </c>
      <c r="C5" t="inlineStr"/>
      <c r="D5" t="inlineStr">
        <is>
          <t>indeed</t>
        </is>
      </c>
      <c r="E5" t="inlineStr"/>
      <c r="F5" t="inlineStr"/>
      <c r="G5" t="inlineStr">
        <is>
          <t>Belleville, MI, US</t>
        </is>
      </c>
      <c r="H5" s="2" t="n">
        <v>46047</v>
      </c>
      <c r="I5" t="inlineStr">
        <is>
          <t>**About Ascent**
Ascent Global Logistics, headquartered in Belleville, Michigan, is a leading global provider of expedited, time\-critical logistics solutions and other direct transportation services. The company connects customers to its extensive carrier network, internal ground fleet and airline via its proprietary, digital PEAK freight marketplace, which provides robust carrier capacity and transparent pricing, backed by 24/7/365 logistics experts. Ascent’s offerings include air charter and ground expedited solutions as well as truckload, less\-than\-truckload, global forwarding, brokerage, and managed transportation services. The experienced Ascent team solves customers’ most challenging logistics needs by providing industry\-leading service and top\-tier satisfaction.
**Our Guiding Principles**
At the core of Ascent's culture is a strong commitment to excellence, driven by the passion and dedication of every team member. We're equally dedicated to going above and beyond for our customers, ensuring this commitment extends beyond our team and brings exceptional value to those we serve. We aim for perfect execution in everything we do and ‘play hard’ by creating an environment where tasks are performed with a can\-do attitude from start to finish. We ‘play smart’ by delivering on our commitments in an honest, fair and ethical manner. We treat every person with whom we interface with the utmost dignity and respect. We understand that our teammates are our most valuable assets, so we ‘play together’ by making every effort to provide a professional and enjoyable experience, enabling careers to flourish and personal growth to be achieved.
**What You’ll Do**
We’re seeking a Product Owner to guide the discovery, delivery, and adoption of enterprise supply\-chain and transportation platforms. You’ll translate business strategy into outcomes, own and order the product backlog, and ensure each increment delivers measurable value to operations and customers. The role blends logistics/TMS domain fluency with strong product execution in an Agile environment. The Product Owner is accountable for maximizing value and for effective backlog management (vision, ordering, clarity), working closely with engineering, design, QA, data, and integration teams. You’ll be part of a cross\-functional product team supported by a Scrum Master; you own the vision, prioritization, and acceptance of increments.
**Backlog Ownership \&amp; Execution**
* Translate product strategy into actionable user stories with clear acceptance criteria and supporting context.
* Maintain and prioritize a well\-groomed backlog in Jira, balancing technical dependencies, user needs, and business priorities; keep 1–2 sprints of “Ready” work.
* Own value and ordering—make timely scope and priority calls; accept or reject increments against acceptance criteria and Definition of Done (DoD).
* Partner with engineering, QA, and UX to ensure items meet Definition of Ready/Done (DoR/DoD).
* Participate in Scrum events (Planning, Refinement, Review, Retro); keep the team focused and sequence cross\-team dependencies.
**Delivery \&amp; Quality**
-----------------------
* Act as the voice of the customer during development; define acceptance tests and validate increments to ensure valuable, usable outcomes.
* Validate releases through UAT, operational testing, and post\-deployment feedback loops.
* Support release readiness and communicate new functionality to business users (release notes, SOP updates, self\-serve guides).
* Monitor flow and quality (e.g., cycle time, defect escape rate) and drive timely corrective actions.
**Collaboration \&amp; Communication**
----------------------------------
* Serve as the central point of contact between delivery teams and business stakeholders across operations, sales, and customer service.
* Communicate progress, risks, and scope decisions to stakeholders; make trade\-offs explicit and evidence based.
* Document functionality, workflows, and user impacts in Confluence and other shared knowledge bases; enable field teams with concise how\-to and change notes.
* Coordinate with the Scrum Master to support effective Reviews and a healthy team cadence.
**Alignment \&amp; Continuous Improvement**
---------------------------------------
* Partner with stakeholders to align Sprint Goals to broader roadmap milestones and strategic initiatives.
* Analyze and report on feature adoption, quality metrics, and sprint outcomes to inform future iterations; update the backlog rapidly after Reviews.
* Contribute to process improvements that enhance delivery efficiency and team collaboration; refine DoR/DoD as the product evolves.
* Coordinate cross\-team dependencies through established Agile ceremonies and forums.
**What You’ll Bring**
* 3\+ years in a Product Owner or Product Manager role delivering software products or platforms.
Domain fluency in supply chain and transportation (planning execution visibility* financials), with practical experience supporting or evolving TMS/visibility or adjacent systems.
* Demonstrated skill in user story writing, backlog ordering, acceptance/validation, and Agile delivery with cross\-functional teams.
* Strong stakeholder facilitation and communication; comfortable with executives, operations, and engineers.
* Data literacy: able to define metrics, read dashboards, and use insights to shape priorities.
* Proficiency with Jira/Confluence (or similar Agile delivery tools).
* Experience coordinating work across multiple business units and multiple systems (TMS, visibility, WMS, ERP, CRM).
* Familiarity with EDI/API concepts and logistics data flows; comfort partnering on data quality and eventing.
* Exposure to scaled delivery (e.g., PI/quarterly planning, dependency management) and outcome\-based roadmaps.
* Certifications (e.g., CSPO/PSPO, SAFe PO/PM) are a plus.
**Ascent’s Competitive Benefits**
* 401(k) and employer matching
* Life Insurance
* Health, Dental, Vision Insurance
* Short\- \&amp; Long\-Term Disability
* Paid Time Off (PTO)
* Employee Assistance Program
* Paid Parental Leave
* Employee Wellness Program
* Paid Holidays
* Employee Recognition Programs
* Flexible Spending Account (FSA)
* Tuition Reimbursement
* Health Savings Account (HSA)
* Overtime, Differential \&amp; Bonus Pay
**Additional Considerations**
* Fully remote role aligned with Eastern or Central Time Zone hours.
* Some cross\-functional or global meeting participation may be required.
* Close collaboration with Operations, Customer Experience, and IT.
**\#LI\-Remote**
Salary Range: $115,000 \- $130,000</t>
        </is>
      </c>
    </row>
    <row r="6">
      <c r="A6" t="inlineStr">
        <is>
          <t>in-695b6d0b26f083fb</t>
        </is>
      </c>
      <c r="B6" t="inlineStr">
        <is>
          <t>Technical Program Manager</t>
        </is>
      </c>
      <c r="C6" t="inlineStr">
        <is>
          <t>NetApp</t>
        </is>
      </c>
      <c r="D6" t="inlineStr">
        <is>
          <t>indeed</t>
        </is>
      </c>
      <c r="E6" t="inlineStr"/>
      <c r="F6" t="inlineStr"/>
      <c r="G6" t="inlineStr">
        <is>
          <t>Morrisville, NC, US</t>
        </is>
      </c>
      <c r="H6" s="2" t="n">
        <v>46047</v>
      </c>
      <c r="I6"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Technical Program Management Office (TPMO) in Cloud Storage and Services Business Unit is responsible for leading programs for integrated, fully managed, high performance scalable cloud storage solution across Azure, Google Cloud and AWS. If you love finding creative solutions to challenging problems, innovate and want to be part of a growing team building the true cloud concepts for the biggest tech giants then we have this opportunity for you where you can make an impact and help your career advance together with NetApp's Cloud Storage and Services Business Unit.
This Technical Program Manager will own and manage the end\-to\-end program management of NetApp’s key growth initiatives in the Cloud Storage and Services Business Unit identified by the CEO and executive leadership team. This position will report directly to the Director, TPMO, Cloud Storage and Services Business Unit. Key responsibilities include working cross\-functional with all stakeholders to identify and gain alignment around a set of deliverables and program milestones that lead to strategic solutions. Stakeholders could be internal to NetApp or external customers, vendors, and partners.
The incumbent will lead the cross\-functional team from concept, design, implementation to launch the product/service in the market while working within the guidelines and cadence defined by the program team.
**Responsibilities**
--------------------
* Own program management of key initiatives, delivery, and results.
* Enable cooperation and alignment in the program across all roles and functions in multiple geos.
* Responsible for understanding and communicating current and future resource needs of program.
* Navigate through ambiguity and drive the team towards the common goals.
* Build deep and productive working relationships with senior\-level business and shared services partners; challenging business assumptions and offering a point of view to assist in the decision\-making process.
* Provide senior leaders updates regarding deployment progress, results, and feedback regarding program.
* Identify important issues and risks, recommend options and facilitate team decisions.
* Requires an understanding of stakeholder motivations, politics and impacts to the organization.
* Utilize effective project management, business process management, team building, and change achieve business results.
**Requirements**
----------------
* 8\+ years of work experience leading large and complex cross functional engineering projects and product implementations.
* Ability to understand project and resource interdependencies within a program or portfolio.
* Excellent communication, problem\-solving, and organizational skills with ability to influence at all levels in a highly matrixed organization.
* Results oriented: proven track record to take initiative, work with minimal direction, to deliver results.
* Demonstrated ability to mitigate risks proactively, resolve issues, and escalate when appropriate.
* Fluent in Microsoft Office applications, JIRA, Confluence.
* Experience with Agile, a plus.
* Cloud and Storage industry experience \&amp; PMP Certification is a plus.
**Education**
-------------
* 8\+ years of experience of successful releases for multiple products or services in technology focused programs.
* A Bachelor’s or Master’s degree in Computer Science or Engineering
Compensation:  
The target salary range for this position is $153,000\-$190,000\.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7">
      <c r="A7" t="inlineStr">
        <is>
          <t>in-92fbe3140490186f</t>
        </is>
      </c>
      <c r="B7" t="inlineStr">
        <is>
          <t>Technical Product Manager</t>
        </is>
      </c>
      <c r="C7" t="inlineStr">
        <is>
          <t>Amphenol</t>
        </is>
      </c>
      <c r="D7" t="inlineStr">
        <is>
          <t>indeed</t>
        </is>
      </c>
      <c r="E7" t="inlineStr"/>
      <c r="F7" t="inlineStr"/>
      <c r="G7" t="inlineStr">
        <is>
          <t>Hamden, CT, US</t>
        </is>
      </c>
      <c r="H7" s="2" t="n">
        <v>46047</v>
      </c>
      <c r="I7"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 **Position: Technical Product Manager**
* **Location: Hamden, CT**
Amphenol High Speed Products Group is the market leader for high speed, high bandwidth electrical connectors for the Telecom/Datacom market (Mobile Networks, Storage, Servers, Routers, HS Wire, etc.). Our products help to enable the electronics revolution and remain a key enabler for all the major Tier 1 OEMs globally. We have design, sales, and manufacturing locations globally and are currently seeking a Product Manager to join our Spectra\-Strip team located in Hamden, CT.
 **RESPONSIBILITIES:**
The Product Manager will work with cross functional teams to drive the development and marketing of Amphenol’s High Speed Cable product family. This role will be responsible for promoting our products to their assigned market, winning key new design opportunities, and developing/executing the product strategies to support the Product Development and NPI teams in pull product portfolio management.
* P\&amp;L responsibility for all product families across all wire and cable categories.
* Drive and manage highspeed, high data product lines through:
	+ Product roadmap creation and execution
	+ Production ramping plan
	+ Cost, pricing, and margins
	+ Product portfolio management
	+ Product development process management
* Cost modeling (direct material and variable costs) to develop cost targets, regular cost downs, and pricing strategies
* Drive new business opportunity funnel, aligning both the business unit and sales on actions \+ strategies to win
* Define customer / market requirements for product family, timing, and forecasts
* Work with cross\-functional teams (marketing, engineering, business development and operations) to proactively identify product and solution gaps and define market requirements to close the total available market space
* Develop marketing materials and promote to industry and potential customers
* Work closely with HSIO Cable and CBS teams to align bulk wire development \+ go to market activities
* Fully target site KPIs for sales revenue achievement, product margin improvement on cost reduction driving, negative margin improvement, and design win and shorten response time to quote
* Some travel required for customer visits (sales and negotiations), sales training, factory visits, and trade shows
**QUALIFICATIONS:**
* Bachelor’s degree in Electrical or Mechanical Engineering with keen business acumen
* 4\+ years of product management, project management, engineering experience, and/or technical business development experience
* 1\-3 years of experience working in the interconnect industry preferred
* Strong communication skills
* Effective use of Microsoft office (Excel and PowerPoint specifically)
* Experience with Power\-BI and or other data visualization software
* Ability to integrate with cross\-functional teams globally and a willingness to “roll up your sleeves” to get the job done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8">
      <c r="A8" t="inlineStr">
        <is>
          <t>in-38903cd79fb71b1c</t>
        </is>
      </c>
      <c r="B8" t="inlineStr">
        <is>
          <t>Senior Program Manager, Integration and Strategic Outputs</t>
        </is>
      </c>
      <c r="C8" t="inlineStr"/>
      <c r="D8" t="inlineStr">
        <is>
          <t>indeed</t>
        </is>
      </c>
      <c r="E8" t="inlineStr"/>
      <c r="F8" t="inlineStr"/>
      <c r="G8" t="inlineStr">
        <is>
          <t>Palo Alto, CA, US</t>
        </is>
      </c>
      <c r="H8" s="2" t="n">
        <v>46047</v>
      </c>
      <c r="I8" t="inlineStr">
        <is>
          <t>**About Summit:**
Summit Therapeutics Inc. is a biopharmaceutical oncology company with a mission focused on improving quality of life, increasing potential duration of life, and resolving serious unmet medical needs. At Summit, we believe in building a team of world class professionals who are passionate about this mission, and it is our people who drive this mission to reality. Summit’s core values include integrity, passion for excellence, purposeful urgency, collaboration, and our commitment to people. Our employees are truly the heart and soul of our culture, and they are invaluable in shaping our journey toward excellence.
Summit’s team is inspired to touch and help change lives through Summit’s clinical studies in the field of oncology. Summit has multiple global Phase 3 clinical studies, including:
**Non\-small Cell Lung Cancer (NSCLC)**
* HARMONi: Phase 3 clinical study which was intended to evaluate ivonescimab combined with chemotherapy compared to placebo plus chemotherapy in patients with EGFR\-mutated, locally advanced or metastatic non\-squamous NSCLC who were previously treated with a 3rd generation EGFR TKI.
* HARMONi\-3: Phase 3 clinical study which is intended to evaluate ivonescimab combined with chemotherapy compared to pembrolizumab combined with chemotherapy in patients with first\-line metastatic NSCLC.
* HARMONi\-7: Phase 3 clinical study which is intended to evaluate ivonescimab monotherapy compared to pembrolizumab monotherapy in patients with first\-line metastatic NSCLC.
**Colorectal Cancer (CRC)**
* HARMONi\-GI3: Phase 3 clinical study intended to evaluate ivonescimab in combination with chemotherapy compared with bevacizumab plus chemotherapy.
*Ivonescimab is an investigational therapy not presently approved by any regulatory authority other than China’s National Medical Products Administration (NMPA). Summit is headquartered in Miami, Florida, and has additional offices in California, New Jersey, the UK, and Ireland.*
**Overview of Role:**
The Senior Program Manager, Integration \&amp; Strategic Outputs is a key member of Summit’s Program Management \&amp; Business Strategy organization, responsible for enabling high\-quality execution, integration, and decision\-ready outputs across the oncology pipeline.
This role serves as a strategic integrator across cross\-functional teams driving Summit\-sponsored studies, and new indication initiatives —ensuring that clinical development objectives, functional execution, and governance expectations are aligned through the lifecycle of the defined program.
In addition, this role is responsible for initiative towards building and refining programs and indication level infrastructure that supports scalable, transparent, and adaptive clinical development corporate goals. This includes developing dashboards, standard templates, and processes that provide real\-time visibility into study progress, risks, and dependencies, while enabling continuous improvement as the organization and pipeline evolve.
**Role and Responsibilities:**
**Program Execution \&amp; Milestone Delivery**
* Drive execution against program\-level and corporate milestones, proactively identifying risks, interdependencies, and mitigation strategies.
* Ensure alignment between functional execution, program strategy, and governance expectations, particularly for Summit\-sponsored Phase 2/3 studies.
* Lead and coordinate complex, cross\-functional workstreams tied to corporate goals.
**New Indication \&amp; Program\-Led Workstreams**
* Lead program management and facilitation of new indication workstreams to establish and refine study assumptions frameworks, decision gates, and key inputs/outputs required to support downstream execution and portfolio value maximization.
* Ensure consistency, rigor, and decision quality across indication expansion activities, ISTs, cooperative group studies, and evidence\-generation strategies.
**Portfolio Planning \&amp; Transparency**
* Develop, maintain, and evolve an integrated portfolio “source of truth” for ELT and senior leadership, providing visibility across timelines, milestones, risks, and strategic dependencies.
* Own and continuously enhance ELT\-level dashboards and reporting outputs, integrating cross\-functional inputs across Clinical, Biomarkers, CMC, Regulatory, and Business Strategy.
* Ensure portfolio data translates into actionable insights for resource planning, budget forecasting, clinical demand, and clinical supply planning.
**Clinical Development Process and Infrastructure Development**
* Design and implement scalable Product/Program level infrastructure, tools, and playbooks that support repeatable, high\-quality execution across the portfolio.
* Develop standardized templates and frameworks, and ensure all processes and tools are documented, governed, and embedded within the PMO library.
**Cross\-Functional Alliance \&amp; Integration**
* Partner closely with Clinical Operations, Development, Biometrics, Regulatory, CMC, Legal, Quality, IT, and Commercial teams to ensure integrated execution and decision\-making.
* Support integration of external collaborations like ISTs, Co\-op groups into portfolio plans, milestone tracking, and strategic outputs.
* Ensure clinical development milestones, program dependencies, and portfolio priorities remain aligned and visible.
**Scenario Planning \&amp; Decision Support**
* Frame clear problem statements, integrate cross\-functional perspectives, assess risks and tradeoffs, and support leadership alignment prior to execution changes.
* Lead integrated scenario planning for programs to drive critical decisions impacting Summit\-sponsored studies.
**Executive Communication \&amp; Leadership**
* Prepare clear, concise, and decision\-ready updates for the Department Heads and ELT, highlighting progress, risks, tradeoffs, and opportunities.
* Navigate ambiguity with confidence, providing structure, clarity, and momentum in complex environments.
* Foster strong cross\-functional partnerships and act as a trusted thought partner to functional and program leaders.
* All other duties as assigned
**Experience, Education and Specialized Knowledge and Skills:**
* Bachelor’s degree required (scientific, technical, or business discipline preferred). Master’s degree preferred
* 8\+ years of experience in biopharma, biotechnology, or CRO environments
* Direct experience supporting oncology drug development in solid tumors within early development and pivotal programs
* Demonstrated experience in program management, Clinical operations and strategic execution
* Experience operating in matrixed, fast\-growing organizations
* PMP certification preferred
* Collaborative leader with the ability to influence without authority
* Strategic thinking with strong execution discipline
* Exceptional communication (written and verbal) and stakeholder management skills
* Highly organized, outcomes\-driven, and comfortable managing multiple priorities
* Strong problem\-solving, scenario framing, and decision\-support capabilities
* Strong proficiency in Smartsheet’s, MS Office and dashboarding tools
* Solid understanding of clinical development operations
* Ability to synthesize complex information into clear strategic insights and executive\-level outputs
The pay range for this role is $174,000\-$204,500 annually.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bonus, stock, benefits and/or other applicable variable compensation.
Summit does not accept referrals from employment businesses and/or employment agencies in respect of the vacancies posted on this site. All employment businesses/agencies are required to contact Summit’s Talent Acquisition team at recruiting@smmttx.com to obtain prior written authorization before referring any candidates to Summit.</t>
        </is>
      </c>
    </row>
    <row r="9">
      <c r="A9" t="inlineStr">
        <is>
          <t>in-d05ac476bee5d65b</t>
        </is>
      </c>
      <c r="B9" t="inlineStr">
        <is>
          <t>Product / Program Manager</t>
        </is>
      </c>
      <c r="C9" t="inlineStr">
        <is>
          <t>Evergy</t>
        </is>
      </c>
      <c r="D9" t="inlineStr">
        <is>
          <t>indeed</t>
        </is>
      </c>
      <c r="E9" t="inlineStr"/>
      <c r="F9" t="inlineStr"/>
      <c r="G9" t="inlineStr">
        <is>
          <t>Kansas City, MO, US</t>
        </is>
      </c>
      <c r="H9" s="2" t="n">
        <v>46047</v>
      </c>
      <c r="I9" t="inlineStr">
        <is>
          <t>**Product / Program Manager** **\-** **(****CUS00IN****)** **SUMMARY OF JOB RESPONSIBILITIES AND REQUIREMENTS**
**JOB TITLE:** Product/Program Manager – Level I, II, or Senior  
**REQUISITION ID:** CUS00IN  
**DEPARTMENT:** Energy Efficiency – Kansas City Headquarters or Topeka General Office  
**LOCATION:** Kansas City, MO or Topeka, KS  
**PAY RANGE (Minimum – Midpoint – Maximum):**  
 Product/Program Manager I \- $54,400 \- $68,000 \- $81,600  
 Product/Program Manager II \- $66,600 \- $83,200 \- $99,800  
 Senior Product/Program Manager \- $84,500 \- $112,600 \- $140,800  
**Scheduled Work Hours:** Monday \- Friday, 8:00 a.m. \- 5:00 p.m. (Additional hours as required)
**Two Position Openings:**  
1\) Manage Income Eligible Programs  
2\) Manage Standard Residential Programs
**Opportunity \&amp; Position Summary:**  
Are you looking for an exciting job where you can put your skills and talents to work at a company you can feel proud to be a part of? Do you want a workplace that will challenge you and offer you opportunities to learn and grow? A position at Evergy could be just what you’re looking for.
Evergy is committed to **delivering innovative energy efficiency solutions** that help residential customers save energy, manage costs, and support a sustainable future. This role sits within **Evergy’s high performing Energy Solutions Products and Services team** and is responsible for managing and evolving residential energy efficiency programs across Missouri and Kansas.  
The selected candidate will be responsible for the management of programs available to Evergy’s **residential customers, working independently and in a cross functional team environment** to transform initial concepts into viable solutions that will support customers and **contribute to Evergy’s strategic objectives.**
**Summary of Primary Duties and Responsibilities:**  
* Responsible for **enhancement of existing program(s) and/or developing new programs** to improve adoption, cost effectiveness and customer experience.
* **Manage program budgets and savings** to perform at optimal cost effectiveness.
* Accountable for program success by **leveraging financial, regulatory, and strategic acumen.**
* **Vendor and subcontractor management** to drive the contracted objectives, including overall customer experience and financial results desired for individual programs.
* **Work collaboratively with internal departments** to develop program strategies and meet/exceed program outcomes.
* Is a key resource in the **program planning and program launch** through development of RFPs, contractor selection, and contract development.
* Responsible for **continuous improvement of existing program(s)** to improve adoption, realized demand impacts and customer experience.
* Prepare **status reports** to accurately monitor progress against program objectives, timelines, and goals.
 **Education and Experience Requirements:**  
* Required Qualifications:
 o **Bachelor’s degree** in business administration, engineering, economics, marketing, or related discipline.  
 o Experience leading **cross\-functional teams.**  
 o Strong **technical program/project management capabilities.**  
 o Strong **analytical, problem solving, and communication skills.*** Preferred Qualifications:
 o Utility, energy, or regulated **industry experience.**  
 o Experience with **energy efficiency, distributed energy resources, or customer energy programs.**  
 o Exposure to **regulatory filings** or legislative processes.* **Job Leveling:**
 o **Product/Program Manager I: 0\-2 Years** of utility or energy business experience with previous experience in product or program management preferred.  
 o **Product/Program Manager II: 2\-6 Years** of utility or energy business experience with previous experience in product or program management preferred – with increased scope and independence.  
 o **Sr. Product/Program Manager: 6\-8** Years of utility or energy business experience with previous experience in product or program management directly aligned with the responsibilities of this role, exposure to multiple business functions, and/or utility experience or energy industry knowledge preferred.**Licenses, Certifications, Bonding, and/or Testing Required:** None
**Working Conditions:**  
Occasional travel is required. Candidates must live in Kansas or Missouri.  
Current hybrid approach with in\-person work Tuesday through Thursday and remote on Monday and Friday.
Evergy has a clear mission – To empower a better future. Evergy chooses to live this mission by valuing People First. We know that to lead the responsible energy transition and provide affordable, reliable, and sustainable service to our customers and communities, we need a team with a variety of backgrounds, perspectives and skills. We are committed to building a team where everyone – regardless of race, color, religion, gender, gender identity or expression, sexual orientation, national origin, genetics, disability, age, or veteran status – has a voice and can bring their best every day. Evergy is proud to be an equal opportunity workplace and is an affirmative action employer.
 **Disclaimer:**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**Work Locations****:** 1KC \- Missouri HQ \- Floor 30 One Kansas City Place 1200 Main St Kansas City 64105**Job****:** Customer Products \&amp; Solutions**Shift****:****Unposting Date****:** Feb 9, 2026</t>
        </is>
      </c>
    </row>
    <row r="10">
      <c r="A10" t="inlineStr">
        <is>
          <t>in-87e852a4cf1bfa40</t>
        </is>
      </c>
      <c r="B10" t="inlineStr">
        <is>
          <t>Senior Program Manager</t>
        </is>
      </c>
      <c r="C10" t="inlineStr">
        <is>
          <t>Viant Medical</t>
        </is>
      </c>
      <c r="D10" t="inlineStr">
        <is>
          <t>indeed</t>
        </is>
      </c>
      <c r="E10" t="inlineStr"/>
      <c r="F10" t="inlineStr"/>
      <c r="G10" t="inlineStr">
        <is>
          <t>Remote, US</t>
        </is>
      </c>
      <c r="H10" s="2" t="n">
        <v>46047</v>
      </c>
      <c r="I10"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Senior Program Manager (SPM) is responsible for the management, implementation and strategy for a New Product Introduction, Transfer, Cost Reduction, Integrations, Insourcing, and Strategic Corporate Programs across all Viant Medical functional groups. The SPM will support, coach and mentor core sub\-team members and functional leaders through issues associated with implementing new projects, customers and products. The SPM will follow and create processes for communicating and tracking all activities, commitments and metrics associated with a given project or program and will provide critical influence in ensuring that projects and products are implemented that meet Viant Medical’s cost, yield, quality supply chain and product release/support goals. The SPM will ensure the project review process has been implemented per Viant policy, and programs transition through the process as required. The SPM will be responsible for organizing weekly project review meetings, schedule and financial reviews for any programs under their leadership.
The Senior Program Manager is responsible for communicating the deliverables, requirements, and overall Customer needs to the cross\-functional team. This requires an accurate assessment of the Project. These activities could include \- understanding the requirements and deliverables of the customers, working with the plant leadership and Director of Operations to identify the required resources, and establishing ownership throughout the organization for the deliverables.
* Work Model: Remote from any of these US based locations: Chicago, IL \- Boston, MA \- Miami, FL \- Texas \- Southern California.
* Travel Required: 1 to 2 weeks per month
**Responsibilities:**  
* Lead cross\-functional teams on key Strategic projects including but not limited to New Product Introduction, Transfer, Cost Reduction, Integrations, Insourcing, and Strategic Corporate Programs.
* Primary point of contact and communication between Viant and the Customer.
* Define the scope, budget, requirements, and deliverables of all assigned projects. Document and communicate internally and externally as needed.
* Ensuring the planning, coordination, execution, tracking, reporting and closure.
* Using Microsoft Project software tool, development of a fully Integrated Master Schedule (IMS) including all required tasks with key milestones identified and tracked.
* Obtain functional department commitment / buy\-in to the schedule and budget
* Issue/Risk management to include development and tracking/reporting of mitigation plans.
* Program budget setting, financial analysis and reporting
* Assure activities will meet Viant requirements (SOP’s), FDA and ISO regulations.
* Goal setting and on\-time delivery of Viant and customer milestone deliverables
* Project reporting requirements include but are not limited to:
* Provide Weekly Status Reporting for assigned Projects
* Provide Monthly Project Review status for assigned Projects as scheduled.
* Initiate corrective action review meetings when the project schedule is not being met.
* Working with the Project Team and Plant Management develop and document recovery plans and corrective actions into the IMS.
* Communicate the revised plans and schedule to the Customer.
* Utilize and steward Viant’s ViaLaunch program management process
* Other projects and tasks as assigned.
Requirements
**Education/ Certifications:**  
* Bachelor’s degree in engineering discipline or business management with at least 7 years of related work experience
* Bachelor’s degree in Plastics Engineering, Polymer Science, Mechanical Engineering, or a related field with strong emphasis on injection molding (Preferred)
* PMP Certification (PMI) required.
* Bilingual (English–Spanish) required, with the ability to communicate technical concepts across diverse teams.
**Job Experience:**  
* Minimum 7 years work experience (post\-college)
* 5\+ years project management experience
* Experience in medical device, contract manufacturing or automotive industry preferred
* Proven experience in plastics manufacturing, specifically injection molding processes, tooling, materials, and quality systems.
**Skills/Competencies:**  
* Project management skills; demonstrated use of PMI methodology.
* Strong analytical, planning, organization and time management skills
* Demonstrated track record of leading within complex organizations requiring strong influential management skills.
* Ability to work collaboratively within a matrix organization, build teams and relationships.
* Experience leading projects with multiple cross\-functional team members and functional management.
* Ability to communicate complex information to various levels of management and employees.
* Capability to understand customer requirements and incorporate into business decisions
* Solid problem solving, mentoring, training and coaching experience.
* Strong experience working with Microsoft Office products (Outlook, Word, Excel, PowerPoint, MS Project and MS TEAMS) is required.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11">
      <c r="A11" t="inlineStr">
        <is>
          <t>in-3f2da8ac7c60fe6c</t>
        </is>
      </c>
      <c r="B11" t="inlineStr">
        <is>
          <t>Senior Program Manager</t>
        </is>
      </c>
      <c r="C11" t="inlineStr">
        <is>
          <t>Viant Medical</t>
        </is>
      </c>
      <c r="D11" t="inlineStr">
        <is>
          <t>indeed</t>
        </is>
      </c>
      <c r="E11" t="inlineStr"/>
      <c r="F11" t="inlineStr"/>
      <c r="G11" t="inlineStr">
        <is>
          <t>Miami, FL, US</t>
        </is>
      </c>
      <c r="H11" s="2" t="n">
        <v>46047</v>
      </c>
      <c r="I11"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Senior Program Manager (SPM) is responsible for the management, implementation and strategy for a New Product Introduction, Transfer, Cost Reduction, Integrations, Insourcing, and Strategic Corporate Programs across all Viant Medical functional groups. The SPM will support, coach and mentor core sub\-team members and functional leaders through issues associated with implementing new projects, customers and products. The SPM will follow and create processes for communicating and tracking all activities, commitments and metrics associated with a given project or program and will provide critical influence in ensuring that projects and products are implemented that meet Viant Medical’s cost, yield, quality supply chain and product release/support goals. The SPM will ensure the project review process has been implemented per Viant policy, and programs transition through the process as required. The SPM will be responsible for organizing weekly project review meetings, schedule and financial reviews for any programs under their leadership.
The Senior Program Manager is responsible for communicating the deliverables, requirements, and overall Customer needs to the cross\-functional team. This requires an accurate assessment of the Project. These activities could include \- understanding the requirements and deliverables of the customers, working with the plant leadership and Director of Operations to identify the required resources, and establishing ownership throughout the organization for the deliverables.
* Work Model: Remote from any of these US based locations: Chicago, IL \- Boston, MA \- Miami, FL \- Texas \- Southern California.
* Travel Required: 1 to 2 weeks per month
**Responsibilities:**  
* Lead cross\-functional teams on key Strategic projects including but not limited to New Product Introduction, Transfer, Cost Reduction, Integrations, Insourcing, and Strategic Corporate Programs.
* Primary point of contact and communication between Viant and the Customer.
* Define the scope, budget, requirements, and deliverables of all assigned projects. Document and communicate internally and externally as needed.
* Ensuring the planning, coordination, execution, tracking, reporting and closure.
* Using Microsoft Project software tool, development of a fully Integrated Master Schedule (IMS) including all required tasks with key milestones identified and tracked.
* Obtain functional department commitment / buy\-in to the schedule and budget
* Issue/Risk management to include development and tracking/reporting of mitigation plans.
* Program budget setting, financial analysis and reporting
* Assure activities will meet Viant requirements (SOP’s), FDA and ISO regulations.
* Goal setting and on\-time delivery of Viant and customer milestone deliverables
* Project reporting requirements include but are not limited to:
* Provide Weekly Status Reporting for assigned Projects
* Provide Monthly Project Review status for assigned Projects as scheduled.
* Initiate corrective action review meetings when the project schedule is not being met.
* Working with the Project Team and Plant Management develop and document recovery plans and corrective actions into the IMS.
* Communicate the revised plans and schedule to the Customer.
* Utilize and steward Viant’s ViaLaunch program management process
* Other projects and tasks as assigned.
Requirements
**Education/ Certifications:**  
* Bachelor’s degree in engineering discipline or business management with at least 7 years of related work experience
* Bachelor’s degree in Plastics Engineering, Polymer Science, Mechanical Engineering, or a related field with strong emphasis on injection molding (Preferred)
* PMP Certification (PMI) required.
* Bilingual (English–Spanish) required, with the ability to communicate technical concepts across diverse teams.
**Job Experience:**  
* Minimum 7 years work experience (post\-college)
* 5\+ years project management experience
* Experience in medical device, contract manufacturing or automotive industry preferred
* Proven experience in plastics manufacturing, specifically injection molding processes, tooling, materials, and quality systems.
**Skills/Competencies:**  
* Project management skills; demonstrated use of PMI methodology.
* Strong analytical, planning, organization and time management skills
* Demonstrated track record of leading within complex organizations requiring strong influential management skills.
* Ability to work collaboratively within a matrix organization, build teams and relationships.
* Experience leading projects with multiple cross\-functional team members and functional management.
* Ability to communicate complex information to various levels of management and employees.
* Capability to understand customer requirements and incorporate into business decisions
* Solid problem solving, mentoring, training and coaching experience.
* Strong experience working with Microsoft Office products (Outlook, Word, Excel, PowerPoint, MS Project and MS TEAMS) is required.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12">
      <c r="A12" t="inlineStr">
        <is>
          <t>in-40c80e81ef7412f2</t>
        </is>
      </c>
      <c r="B12" t="inlineStr">
        <is>
          <t>Senior Program Manager</t>
        </is>
      </c>
      <c r="C12" t="inlineStr">
        <is>
          <t>Viant Medical</t>
        </is>
      </c>
      <c r="D12" t="inlineStr">
        <is>
          <t>indeed</t>
        </is>
      </c>
      <c r="E12" t="inlineStr"/>
      <c r="F12" t="inlineStr"/>
      <c r="G12" t="inlineStr">
        <is>
          <t>TX, US</t>
        </is>
      </c>
      <c r="H12" s="2" t="n">
        <v>46047</v>
      </c>
      <c r="I12"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Senior Program Manager (SPM) is responsible for the management, implementation and strategy for a New Product Introduction, Transfer, Cost Reduction, Integrations, Insourcing, and Strategic Corporate Programs across all Viant Medical functional groups. The SPM will support, coach and mentor core sub\-team members and functional leaders through issues associated with implementing new projects, customers and products. The SPM will follow and create processes for communicating and tracking all activities, commitments and metrics associated with a given project or program and will provide critical influence in ensuring that projects and products are implemented that meet Viant Medical’s cost, yield, quality supply chain and product release/support goals. The SPM will ensure the project review process has been implemented per Viant policy, and programs transition through the process as required. The SPM will be responsible for organizing weekly project review meetings, schedule and financial reviews for any programs under their leadership.
The Senior Program Manager is responsible for communicating the deliverables, requirements, and overall Customer needs to the cross\-functional team. This requires an accurate assessment of the Project. These activities could include \- understanding the requirements and deliverables of the customers, working with the plant leadership and Director of Operations to identify the required resources, and establishing ownership throughout the organization for the deliverables.
* Work Model: Remote from any of these US based locations: Chicago, IL \- Boston, MA \- Miami, FL \- Texas \- Southern California.
* Travel Required: 1 to 2 weeks per month
**Responsibilities:**  
* Lead cross\-functional teams on key Strategic projects including but not limited to New Product Introduction, Transfer, Cost Reduction, Integrations, Insourcing, and Strategic Corporate Programs.
* Primary point of contact and communication between Viant and the Customer.
* Define the scope, budget, requirements, and deliverables of all assigned projects. Document and communicate internally and externally as needed.
* Ensuring the planning, coordination, execution, tracking, reporting and closure.
* Using Microsoft Project software tool, development of a fully Integrated Master Schedule (IMS) including all required tasks with key milestones identified and tracked.
* Obtain functional department commitment / buy\-in to the schedule and budget
* Issue/Risk management to include development and tracking/reporting of mitigation plans.
* Program budget setting, financial analysis and reporting
* Assure activities will meet Viant requirements (SOP’s), FDA and ISO regulations.
* Goal setting and on\-time delivery of Viant and customer milestone deliverables
* Project reporting requirements include but are not limited to:
* Provide Weekly Status Reporting for assigned Projects
* Provide Monthly Project Review status for assigned Projects as scheduled.
* Initiate corrective action review meetings when the project schedule is not being met.
* Working with the Project Team and Plant Management develop and document recovery plans and corrective actions into the IMS.
* Communicate the revised plans and schedule to the Customer.
* Utilize and steward Viant’s ViaLaunch program management process
* Other projects and tasks as assigned.
Requirements
**Education/ Certifications:**  
* Bachelor’s degree in engineering discipline or business management with at least 7 years of related work experience
* Bachelor’s degree in Plastics Engineering, Polymer Science, Mechanical Engineering, or a related field with strong emphasis on injection molding (Preferred)
* PMP Certification (PMI) required.
* Bilingual (English–Spanish) required, with the ability to communicate technical concepts across diverse teams.
**Job Experience:**  
* Minimum 7 years work experience (post\-college)
* 5\+ years project management experience
* Experience in medical device, contract manufacturing or automotive industry preferred
* Proven experience in plastics manufacturing, specifically injection molding processes, tooling, materials, and quality systems.
**Skills/Competencies:**  
* Project management skills; demonstrated use of PMI methodology.
* Strong analytical, planning, organization and time management skills
* Demonstrated track record of leading within complex organizations requiring strong influential management skills.
* Ability to work collaboratively within a matrix organization, build teams and relationships.
* Experience leading projects with multiple cross\-functional team members and functional management.
* Ability to communicate complex information to various levels of management and employees.
* Capability to understand customer requirements and incorporate into business decisions
* Solid problem solving, mentoring, training and coaching experience.
* Strong experience working with Microsoft Office products (Outlook, Word, Excel, PowerPoint, MS Project and MS TEAMS) is required.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13">
      <c r="A13" t="inlineStr">
        <is>
          <t>in-315a1b9567057779</t>
        </is>
      </c>
      <c r="B13" t="inlineStr">
        <is>
          <t>Senior Program Manager</t>
        </is>
      </c>
      <c r="C13" t="inlineStr">
        <is>
          <t>Viant Medical</t>
        </is>
      </c>
      <c r="D13" t="inlineStr">
        <is>
          <t>indeed</t>
        </is>
      </c>
      <c r="E13" t="inlineStr"/>
      <c r="F13" t="inlineStr"/>
      <c r="G13" t="inlineStr">
        <is>
          <t>Chicago, IL, US</t>
        </is>
      </c>
      <c r="H13" s="2" t="n">
        <v>46047</v>
      </c>
      <c r="I13"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Senior Program Manager (SPM) is responsible for the management, implementation and strategy for a New Product Introduction, Transfer, Cost Reduction, Integrations, Insourcing, and Strategic Corporate Programs across all Viant Medical functional groups. The SPM will support, coach and mentor core sub\-team members and functional leaders through issues associated with implementing new projects, customers and products. The SPM will follow and create processes for communicating and tracking all activities, commitments and metrics associated with a given project or program and will provide critical influence in ensuring that projects and products are implemented that meet Viant Medical’s cost, yield, quality supply chain and product release/support goals. The SPM will ensure the project review process has been implemented per Viant policy, and programs transition through the process as required. The SPM will be responsible for organizing weekly project review meetings, schedule and financial reviews for any programs under their leadership.
The Senior Program Manager is responsible for communicating the deliverables, requirements, and overall Customer needs to the cross\-functional team. This requires an accurate assessment of the Project. These activities could include \- understanding the requirements and deliverables of the customers, working with the plant leadership and Director of Operations to identify the required resources, and establishing ownership throughout the organization for the deliverables.
* Work Model: Remote from any of these US based locations: Chicago, IL \- Boston, MA \- Miami, FL \- Texas \- Southern California.
* Travel Required: 1 to 2 weeks per month
**Responsibilities:**  
* Lead cross\-functional teams on key Strategic projects including but not limited to New Product Introduction, Transfer, Cost Reduction, Integrations, Insourcing, and Strategic Corporate Programs.
* Primary point of contact and communication between Viant and the Customer.
* Define the scope, budget, requirements, and deliverables of all assigned projects. Document and communicate internally and externally as needed.
* Ensuring the planning, coordination, execution, tracking, reporting and closure.
* Using Microsoft Project software tool, development of a fully Integrated Master Schedule (IMS) including all required tasks with key milestones identified and tracked.
* Obtain functional department commitment / buy\-in to the schedule and budget
* Issue/Risk management to include development and tracking/reporting of mitigation plans.
* Program budget setting, financial analysis and reporting
* Assure activities will meet Viant requirements (SOP’s), FDA and ISO regulations.
* Goal setting and on\-time delivery of Viant and customer milestone deliverables
* Project reporting requirements include but are not limited to:
* Provide Weekly Status Reporting for assigned Projects
* Provide Monthly Project Review status for assigned Projects as scheduled.
* Initiate corrective action review meetings when the project schedule is not being met.
* Working with the Project Team and Plant Management develop and document recovery plans and corrective actions into the IMS.
* Communicate the revised plans and schedule to the Customer.
* Utilize and steward Viant’s ViaLaunch program management process
* Other projects and tasks as assigned.
Requirements
**Education/ Certifications:**  
* Bachelor’s degree in engineering discipline or business management with at least 7 years of related work experience
* Bachelor’s degree in Plastics Engineering, Polymer Science, Mechanical Engineering, or a related field with strong emphasis on injection molding (Preferred)
* PMP Certification (PMI) required.
* Bilingual (English–Spanish) required, with the ability to communicate technical concepts across diverse teams.
**Job Experience:**  
* Minimum 7 years work experience (post\-college)
* 5\+ years project management experience
* Experience in medical device, contract manufacturing or automotive industry preferred
* Proven experience in plastics manufacturing, specifically injection molding processes, tooling, materials, and quality systems.
**Skills/Competencies:**  
* Project management skills; demonstrated use of PMI methodology.
* Strong analytical, planning, organization and time management skills
* Demonstrated track record of leading within complex organizations requiring strong influential management skills.
* Ability to work collaboratively within a matrix organization, build teams and relationships.
* Experience leading projects with multiple cross\-functional team members and functional management.
* Ability to communicate complex information to various levels of management and employees.
* Capability to understand customer requirements and incorporate into business decisions
* Solid problem solving, mentoring, training and coaching experience.
* Strong experience working with Microsoft Office products (Outlook, Word, Excel, PowerPoint, MS Project and MS TEAMS) is required.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14">
      <c r="A14" t="inlineStr">
        <is>
          <t>in-1121f3d5d746c571</t>
        </is>
      </c>
      <c r="B14" t="inlineStr">
        <is>
          <t>Residential Assistant Program Manager</t>
        </is>
      </c>
      <c r="C14" t="inlineStr">
        <is>
          <t>Home of the Innocents</t>
        </is>
      </c>
      <c r="D14" t="inlineStr">
        <is>
          <t>indeed</t>
        </is>
      </c>
      <c r="E14" t="inlineStr"/>
      <c r="F14" t="inlineStr"/>
      <c r="G14" t="inlineStr">
        <is>
          <t>Louisville, KY, US</t>
        </is>
      </c>
      <c r="H14" s="2" t="n">
        <v>46047</v>
      </c>
      <c r="I14" t="inlineStr">
        <is>
          <t>Are you a compassionate, steady leader who believes in the power of structure, relationships, and trauma\-informed care? We are seeking a Residential Assistant Program Manager to help guide and support youth ages 11–18 who have experienced trauma, while mentoring a dedicated team in a therapeutic residential setting.
In this role, you’ll make a real difference \- supporting young people as they build safety, stability, and essential life skills, while helping staff grow into confident, effective caregivers. If you’re mission\-driven and ready to lead with heart and purpose, we’d love to meet you.
Schedule
4 days per week
* Wednesday–Friday: 1:00 PM – 10:00 PM
* Saturday: 9:00 AM – 9:00 PM
A Day in the Life
As the Residential Assistant Program Manager, you will play a key leadership role on the floor \- supporting both youth and staff. You’ll help maintain a safe, structured, and therapeutic environment by coaching Youth Support Specialists, responding to incidents with professionalism and care, and modeling trauma\-informed interventions.
You’ll collaborate closely with the Program Manager and clinical team to ensure youth receive consistent, compassionate care that promotes healing, accountability, and growth.
How This Role Supports Our Mission
* Serve as a team leader within the program and act in the absence of the Program Manager when needed
* Model and reinforce trauma\-informed, therapeutic intervention strategies
* Supervise, mentor, train, and support Youth Support Specialists
* Participate in employee performance evaluations and ongoing staff development
* Oversee SCM incidents, providing debriefing, coaching, and follow\-up training to promote safety for youth and staff
* Assist with treatment planning to address the emotional, behavioral, spiritual, and physical needs of each youth
* Ensure accurate and timely documentation of resident progress, incidents, concerns, and emergencies
* Lead shift\-change meetings to ensure clear communication and continuity of care
What We’re Looking For
Required Qualifications
* At least 21 years of age
* High School Diploma or GED
* Minimum of one year of experience in a child\-caring or residential setting
* Valid driver’s license with a clear driving record
Preferred Qualifications
* Bachelor’s degree in a human services field
* Experience with trauma\-informed, recovery\-based, or behaviorally focused treatment programs
* Strong leadership skills and the ability to coach and motivate a team
* Comfort with documentation and basic technology (Microsoft Office and related systems)
* Flexibility to assist with on\-call needs, weekends, and holidays during emergencies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is a 145\-year\-old non\-profit,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you’re passionate about supporting youth impacted by trauma and leading with empathy, accountability, and purpose, we invite you to apply and join our mission!</t>
        </is>
      </c>
    </row>
    <row r="15">
      <c r="A15" t="inlineStr">
        <is>
          <t>in-69289e4fec9a3c75</t>
        </is>
      </c>
      <c r="B15" t="inlineStr">
        <is>
          <t>Residential Assistant Program Manager</t>
        </is>
      </c>
      <c r="C15" t="inlineStr">
        <is>
          <t>Home of the Innocents</t>
        </is>
      </c>
      <c r="D15" t="inlineStr">
        <is>
          <t>indeed</t>
        </is>
      </c>
      <c r="E15" t="inlineStr"/>
      <c r="F15" t="inlineStr"/>
      <c r="G15" t="inlineStr">
        <is>
          <t>Louisville, KY, US</t>
        </is>
      </c>
      <c r="H15" s="2" t="n">
        <v>46047</v>
      </c>
      <c r="I15" t="inlineStr">
        <is>
          <t>Are you a compassionate, steady leader who believes in the power of structure, relationships, and trauma\-informed care? We are seeking a Residential Assistant Program Manager to help guide and support youth ages 11–18 who have experienced trauma, while mentoring a dedicated team in a therapeutic residential setting.
In this role, you’ll make a real difference \- supporting young people as they build safety, stability, and essential life skills, while helping staff grow into confident, effective caregivers. If you’re mission\-driven and ready to lead with heart and purpose, we’d love to meet you.
Schedule
4 days per week
* Wednesday–Friday: 1:00 PM – 10:00 PM
* Saturday: 9:00 AM – 9:00 PM
A Day in the Life
As the Residential Assistant Program Manager, you will play a key leadership role on the floor \- supporting both youth and staff. You’ll help maintain a safe, structured, and therapeutic environment by coaching Youth Support Specialists, responding to incidents with professionalism and care, and modeling trauma\-informed interventions.
You’ll collaborate closely with the Program Manager and clinical team to ensure youth receive consistent, compassionate care that promotes healing, accountability, and growth.
How This Role Supports Our Mission
* Serve as a team leader within the program and act in the absence of the Program Manager when needed
* Model and reinforce trauma\-informed, therapeutic intervention strategies
* Supervise, mentor, train, and support Youth Support Specialists
* Participate in employee performance evaluations and ongoing staff development
* Oversee SCM incidents, providing debriefing, coaching, and follow\-up training to promote safety for youth and staff
* Assist with treatment planning to address the emotional, behavioral, spiritual, and physical needs of each youth
* Ensure accurate and timely documentation of resident progress, incidents, concerns, and emergencies
* Lead shift\-change meetings to ensure clear communication and continuity of care
What We’re Looking For
Required Qualifications
* At least 21 years of age
* High School Diploma or GED
* Minimum of one year of experience in a child\-caring or residential setting
* Valid driver’s license with a clear driving record
Preferred Qualifications
* Bachelor’s degree in a human services field
* Experience with trauma\-informed, recovery\-based, or behaviorally focused treatment programs
* Strong leadership skills and the ability to coach and motivate a team
* Comfort with documentation and basic technology (Microsoft Office and related systems)
* Flexibility to assist with on\-call needs, weekends, and holidays during emergencies
What You’ll Receive as a Valued Member of Home of the Innocents
* Comprehensive benefits package (Medical, Dental, Vision, AD\&amp;D, and Life)
* Generous leave time
* 401(k) with employer match
* Training and certification opportunities
* Professional development opportunities
Who We Are
Home of the Innocents is a 145\-year\-old non\-profit, dedicated to supporting children and families in our community. Our mission is to enrich lives with hope, health, and happiness. As one of only two certified Sanctuary Organizations in Kentucky, we prioritize safety and recovery through trauma\-informed practices. Our leadership is committed to developing a diverse, inclusive, and values\-led workforce.
Home of the Innocents Impact
* Total service recipients in 2024: 3,562
* Campus size: 22 acres located near downtown Louisville
* Residential Treatment Program: Second largest in Kentucky
* Only dedicated emergency shelter in the city
* 13 different programs serving children and families, providing services such as:
* Therapeutic and residential treatment for youth with complex behavioral and emotional needs
* Emergency shelter for children in crisis
* Foster care and adoption support
* Community\-based behavioral health programs
* Kosair for Kids Complex Care Center (KCC): Only facility in Kentucky serving medically complex young adults and children, and 1 of only 12 in the nation.
If you’re passionate about supporting youth impacted by trauma and leading with empathy, accountability, and purpose, we invite you to apply and join our mission!</t>
        </is>
      </c>
    </row>
    <row r="16">
      <c r="A16" t="inlineStr">
        <is>
          <t>in-d2d7a278f363d9b3</t>
        </is>
      </c>
      <c r="B16" t="inlineStr">
        <is>
          <t>Senior Product Manager - Technical, Alexa Connections</t>
        </is>
      </c>
      <c r="C16" t="inlineStr">
        <is>
          <t>Amazon.com</t>
        </is>
      </c>
      <c r="D16" t="inlineStr">
        <is>
          <t>indeed</t>
        </is>
      </c>
      <c r="E16" t="inlineStr"/>
      <c r="F16" t="inlineStr"/>
      <c r="G16" t="inlineStr">
        <is>
          <t>Sunnyvale, CA, US</t>
        </is>
      </c>
      <c r="H16" s="2" t="n">
        <v>45993</v>
      </c>
      <c r="I16"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in-d4eb4bbc19ac3232</t>
        </is>
      </c>
      <c r="B17" t="inlineStr">
        <is>
          <t>Senior Product Manager - Technical, Alexa Connections</t>
        </is>
      </c>
      <c r="C17" t="inlineStr">
        <is>
          <t>Amazon.com</t>
        </is>
      </c>
      <c r="D17" t="inlineStr">
        <is>
          <t>indeed</t>
        </is>
      </c>
      <c r="E17" t="inlineStr"/>
      <c r="F17" t="inlineStr"/>
      <c r="G17" t="inlineStr">
        <is>
          <t>Seattle, WA, US</t>
        </is>
      </c>
      <c r="H17" s="2" t="n">
        <v>45993</v>
      </c>
      <c r="I17"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in-7adc8218da92408a</t>
        </is>
      </c>
      <c r="B18" t="inlineStr">
        <is>
          <t>Sr. Product Manager</t>
        </is>
      </c>
      <c r="C18" t="inlineStr">
        <is>
          <t>Amazon.com</t>
        </is>
      </c>
      <c r="D18" t="inlineStr">
        <is>
          <t>indeed</t>
        </is>
      </c>
      <c r="E18" t="inlineStr"/>
      <c r="F18" t="inlineStr"/>
      <c r="G18" t="inlineStr">
        <is>
          <t>Irvine, CA, US</t>
        </is>
      </c>
      <c r="H18" s="2" t="n">
        <v>45979</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in-e6dfc9c8ae90657f</t>
        </is>
      </c>
      <c r="B19" t="inlineStr">
        <is>
          <t>Sr. Product Manager</t>
        </is>
      </c>
      <c r="C19" t="inlineStr">
        <is>
          <t>Amazon.com</t>
        </is>
      </c>
      <c r="D19" t="inlineStr">
        <is>
          <t>indeed</t>
        </is>
      </c>
      <c r="E19" t="inlineStr"/>
      <c r="F19" t="inlineStr"/>
      <c r="G19" t="inlineStr">
        <is>
          <t>New York, NY, US</t>
        </is>
      </c>
      <c r="H19" s="2" t="n">
        <v>45979</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in-4bed57bc09b7fb14</t>
        </is>
      </c>
      <c r="B20" t="inlineStr">
        <is>
          <t>Sr. Product Manager</t>
        </is>
      </c>
      <c r="C20" t="inlineStr">
        <is>
          <t>Amazon.com</t>
        </is>
      </c>
      <c r="D20" t="inlineStr">
        <is>
          <t>indeed</t>
        </is>
      </c>
      <c r="E20" t="inlineStr"/>
      <c r="F20" t="inlineStr"/>
      <c r="G20" t="inlineStr">
        <is>
          <t>San Francisco, CA, US</t>
        </is>
      </c>
      <c r="H20" s="2" t="n">
        <v>45979</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in-870f24bc1b4f7326</t>
        </is>
      </c>
      <c r="B21" t="inlineStr">
        <is>
          <t>Sr. Product Manager</t>
        </is>
      </c>
      <c r="C21" t="inlineStr">
        <is>
          <t>Amazon.com</t>
        </is>
      </c>
      <c r="D21" t="inlineStr">
        <is>
          <t>indeed</t>
        </is>
      </c>
      <c r="E21" t="inlineStr"/>
      <c r="F21" t="inlineStr"/>
      <c r="G21" t="inlineStr">
        <is>
          <t>Seattle, WA, US</t>
        </is>
      </c>
      <c r="H21" s="2" t="n">
        <v>45979</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in-127823f79150b40a</t>
        </is>
      </c>
      <c r="B22" t="inlineStr">
        <is>
          <t>Sr. Product Manager</t>
        </is>
      </c>
      <c r="C22" t="inlineStr">
        <is>
          <t>Amazon.com</t>
        </is>
      </c>
      <c r="D22" t="inlineStr">
        <is>
          <t>indeed</t>
        </is>
      </c>
      <c r="E22" t="inlineStr"/>
      <c r="F22" t="inlineStr"/>
      <c r="G22" t="inlineStr">
        <is>
          <t>Los Angeles, CA, US</t>
        </is>
      </c>
      <c r="H22" s="2" t="n">
        <v>45979</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in-a3f21b7bafdb459d</t>
        </is>
      </c>
      <c r="B23" t="inlineStr">
        <is>
          <t>Program Manager, Executive Content and Programs, Global Executive Marketing</t>
        </is>
      </c>
      <c r="C23" t="inlineStr">
        <is>
          <t>Amazon Web Services</t>
        </is>
      </c>
      <c r="D23" t="inlineStr">
        <is>
          <t>indeed</t>
        </is>
      </c>
      <c r="E23" t="inlineStr"/>
      <c r="F23" t="inlineStr"/>
      <c r="G23" t="inlineStr">
        <is>
          <t>Seattle, WA, US</t>
        </is>
      </c>
      <c r="H23" s="2" t="n">
        <v>45970</v>
      </c>
      <c r="I2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in-44e5a56b0886832b</t>
        </is>
      </c>
      <c r="B24" t="inlineStr">
        <is>
          <t>Program Manager, Executive Content and Programs, Global Executive Marketing</t>
        </is>
      </c>
      <c r="C24" t="inlineStr">
        <is>
          <t>Amazon Web Services</t>
        </is>
      </c>
      <c r="D24" t="inlineStr">
        <is>
          <t>indeed</t>
        </is>
      </c>
      <c r="E24" t="inlineStr"/>
      <c r="F24" t="inlineStr"/>
      <c r="G24" t="inlineStr">
        <is>
          <t>Arlington, VA, US</t>
        </is>
      </c>
      <c r="H24" s="2" t="n">
        <v>45970</v>
      </c>
      <c r="I2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in-d7a5c022410422fa</t>
        </is>
      </c>
      <c r="B25" t="inlineStr">
        <is>
          <t>Senior Product Manager, Sub Same Day</t>
        </is>
      </c>
      <c r="C25" t="inlineStr">
        <is>
          <t>Amazon.com</t>
        </is>
      </c>
      <c r="D25" t="inlineStr">
        <is>
          <t>indeed</t>
        </is>
      </c>
      <c r="E25" t="inlineStr"/>
      <c r="F25" t="inlineStr"/>
      <c r="G25" t="inlineStr">
        <is>
          <t>New York, NY, US</t>
        </is>
      </c>
      <c r="H25" s="2" t="n">
        <v>45957</v>
      </c>
      <c r="I2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in-5d7425a44151b7e2</t>
        </is>
      </c>
      <c r="B26" t="inlineStr">
        <is>
          <t>Senior Product Manager, Sub Same Day</t>
        </is>
      </c>
      <c r="C26" t="inlineStr">
        <is>
          <t>Amazon.com</t>
        </is>
      </c>
      <c r="D26" t="inlineStr">
        <is>
          <t>indeed</t>
        </is>
      </c>
      <c r="E26" t="inlineStr"/>
      <c r="F26" t="inlineStr"/>
      <c r="G26" t="inlineStr">
        <is>
          <t>Bellevue, WA, US</t>
        </is>
      </c>
      <c r="H26" s="2" t="n">
        <v>45957</v>
      </c>
      <c r="I2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in-62d476b013a823a8</t>
        </is>
      </c>
      <c r="B27" t="inlineStr">
        <is>
          <t>Senior Product Manager, Sub Same Day</t>
        </is>
      </c>
      <c r="C27" t="inlineStr">
        <is>
          <t>Amazon.com</t>
        </is>
      </c>
      <c r="D27" t="inlineStr">
        <is>
          <t>indeed</t>
        </is>
      </c>
      <c r="E27" t="inlineStr"/>
      <c r="F27" t="inlineStr"/>
      <c r="G27" t="inlineStr">
        <is>
          <t>Nashville, TN, US</t>
        </is>
      </c>
      <c r="H27" s="2" t="n">
        <v>45957</v>
      </c>
      <c r="I2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in-aa62244a0f9a0a74</t>
        </is>
      </c>
      <c r="B28" t="inlineStr">
        <is>
          <t>Sr. Program Manager, Planning &amp; Automation, Global Fleet and Products Electrification and Infrastructure</t>
        </is>
      </c>
      <c r="C28" t="inlineStr">
        <is>
          <t>Amazon.com</t>
        </is>
      </c>
      <c r="D28" t="inlineStr">
        <is>
          <t>indeed</t>
        </is>
      </c>
      <c r="E28" t="inlineStr"/>
      <c r="F28" t="inlineStr"/>
      <c r="G28" t="inlineStr">
        <is>
          <t>San Francisco, CA, US</t>
        </is>
      </c>
      <c r="H28" s="2" t="n">
        <v>45949</v>
      </c>
      <c r="I2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in-3f1995d26e4f297f</t>
        </is>
      </c>
      <c r="B29" t="inlineStr">
        <is>
          <t>Sr. Program Manager, Planning &amp; Automation, Global Fleet and Products Electrification and Infrastructure</t>
        </is>
      </c>
      <c r="C29" t="inlineStr">
        <is>
          <t>Amazon.com</t>
        </is>
      </c>
      <c r="D29" t="inlineStr">
        <is>
          <t>indeed</t>
        </is>
      </c>
      <c r="E29" t="inlineStr"/>
      <c r="F29" t="inlineStr"/>
      <c r="G29" t="inlineStr">
        <is>
          <t>Bellevue, WA, US</t>
        </is>
      </c>
      <c r="H29" s="2" t="n">
        <v>45949</v>
      </c>
      <c r="I2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in-f0697780a256b420</t>
        </is>
      </c>
      <c r="B30" t="inlineStr">
        <is>
          <t>Sr. Program Manager, Planning &amp; Automation, Global Fleet and Products Electrification and Infrastructure</t>
        </is>
      </c>
      <c r="C30" t="inlineStr">
        <is>
          <t>Amazon.com</t>
        </is>
      </c>
      <c r="D30" t="inlineStr">
        <is>
          <t>indeed</t>
        </is>
      </c>
      <c r="E30" t="inlineStr"/>
      <c r="F30" t="inlineStr"/>
      <c r="G30" t="inlineStr">
        <is>
          <t>Nashville, TN, US</t>
        </is>
      </c>
      <c r="H30" s="2" t="n">
        <v>45949</v>
      </c>
      <c r="I3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in-56ffc2e7c5e6b90f</t>
        </is>
      </c>
      <c r="B31" t="inlineStr">
        <is>
          <t>Sr Program Manager, Procurement Operations, SSD OI</t>
        </is>
      </c>
      <c r="C31" t="inlineStr">
        <is>
          <t>Amazon.com</t>
        </is>
      </c>
      <c r="D31" t="inlineStr">
        <is>
          <t>indeed</t>
        </is>
      </c>
      <c r="E31" t="inlineStr"/>
      <c r="F31" t="inlineStr"/>
      <c r="G31" t="inlineStr">
        <is>
          <t>Nashville, TN, US</t>
        </is>
      </c>
      <c r="H31" s="2" t="n">
        <v>45938</v>
      </c>
      <c r="I31"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in-1ca2178aa818dd75</t>
        </is>
      </c>
      <c r="B32" t="inlineStr">
        <is>
          <t>Sr Program Manager, Procurement Operations, SSD OI</t>
        </is>
      </c>
      <c r="C32" t="inlineStr">
        <is>
          <t>Amazon.com</t>
        </is>
      </c>
      <c r="D32" t="inlineStr">
        <is>
          <t>indeed</t>
        </is>
      </c>
      <c r="E32" t="inlineStr"/>
      <c r="F32" t="inlineStr"/>
      <c r="G32" t="inlineStr">
        <is>
          <t>Bellevue, WA, US</t>
        </is>
      </c>
      <c r="H32" s="2" t="n">
        <v>45938</v>
      </c>
      <c r="I32"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in-dc45ac3dcfa63a0e</t>
        </is>
      </c>
      <c r="B33" t="inlineStr">
        <is>
          <t>Sr. Supply Chain Product Manager, Amazon Custom Modules</t>
        </is>
      </c>
      <c r="C33" t="inlineStr">
        <is>
          <t>Amazon.com</t>
        </is>
      </c>
      <c r="D33" t="inlineStr">
        <is>
          <t>indeed</t>
        </is>
      </c>
      <c r="E33" t="inlineStr"/>
      <c r="F33" t="inlineStr"/>
      <c r="G33" t="inlineStr">
        <is>
          <t>Cupertino, CA,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in-c48e454d48fa8581</t>
        </is>
      </c>
      <c r="B34" t="inlineStr">
        <is>
          <t>Sr. Supply Chain Product Manager, Amazon Custom Modules</t>
        </is>
      </c>
      <c r="C34" t="inlineStr">
        <is>
          <t>Amazon.com</t>
        </is>
      </c>
      <c r="D34" t="inlineStr">
        <is>
          <t>indeed</t>
        </is>
      </c>
      <c r="E34" t="inlineStr"/>
      <c r="F34" t="inlineStr"/>
      <c r="G34" t="inlineStr">
        <is>
          <t>Seattle, WA,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in-58956e0824dad598</t>
        </is>
      </c>
      <c r="B35" t="inlineStr">
        <is>
          <t>Sr. Supply Chain Product Manager, Amazon Custom Modules</t>
        </is>
      </c>
      <c r="C35" t="inlineStr">
        <is>
          <t>Amazon.com</t>
        </is>
      </c>
      <c r="D35" t="inlineStr">
        <is>
          <t>indeed</t>
        </is>
      </c>
      <c r="E35" t="inlineStr"/>
      <c r="F35" t="inlineStr"/>
      <c r="G35" t="inlineStr">
        <is>
          <t>Austin, TX, US</t>
        </is>
      </c>
      <c r="H35" s="2" t="n">
        <v>45935</v>
      </c>
      <c r="I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in-ad336eca23383853</t>
        </is>
      </c>
      <c r="B36" t="inlineStr">
        <is>
          <t>Sr. Program Manager, Same Day Programs,</t>
        </is>
      </c>
      <c r="C36" t="inlineStr">
        <is>
          <t>Amazon.com</t>
        </is>
      </c>
      <c r="D36" t="inlineStr">
        <is>
          <t>indeed</t>
        </is>
      </c>
      <c r="E36" t="inlineStr"/>
      <c r="F36" t="inlineStr"/>
      <c r="G36" t="inlineStr">
        <is>
          <t>Nashville, TN, US</t>
        </is>
      </c>
      <c r="H36" s="2" t="n">
        <v>45931</v>
      </c>
      <c r="I3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in-1ce7449a0042418d</t>
        </is>
      </c>
      <c r="B37" t="inlineStr">
        <is>
          <t>Sr. Program Manager, Same Day Programs</t>
        </is>
      </c>
      <c r="C37" t="inlineStr">
        <is>
          <t>Amazon.com</t>
        </is>
      </c>
      <c r="D37" t="inlineStr">
        <is>
          <t>indeed</t>
        </is>
      </c>
      <c r="E37" t="inlineStr"/>
      <c r="F37" t="inlineStr"/>
      <c r="G37" t="inlineStr">
        <is>
          <t>Bellevue, WA, US</t>
        </is>
      </c>
      <c r="H37" s="2" t="n">
        <v>45931</v>
      </c>
      <c r="I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in-e68cdaf82069459c</t>
        </is>
      </c>
      <c r="B38" t="inlineStr">
        <is>
          <t>Sr. Program Manager, Same Day Programs,</t>
        </is>
      </c>
      <c r="C38" t="inlineStr">
        <is>
          <t>Amazon.com</t>
        </is>
      </c>
      <c r="D38" t="inlineStr">
        <is>
          <t>indeed</t>
        </is>
      </c>
      <c r="E38" t="inlineStr"/>
      <c r="F38" t="inlineStr"/>
      <c r="G38" t="inlineStr">
        <is>
          <t>Bellevue, WA,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in-d27f1783b3ac2217</t>
        </is>
      </c>
      <c r="B39" t="inlineStr">
        <is>
          <t>Sr. Program Manager, Same Day Programs</t>
        </is>
      </c>
      <c r="C39" t="inlineStr">
        <is>
          <t>Amazon.com</t>
        </is>
      </c>
      <c r="D39" t="inlineStr">
        <is>
          <t>indeed</t>
        </is>
      </c>
      <c r="E39" t="inlineStr"/>
      <c r="F39" t="inlineStr"/>
      <c r="G39" t="inlineStr">
        <is>
          <t>Nashville, TN,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in-dd2ba9c2feceb59f</t>
        </is>
      </c>
      <c r="B40" t="inlineStr">
        <is>
          <t>Tech Infrastructure Program Manager - AV , IT Services - CIS</t>
        </is>
      </c>
      <c r="C40" t="inlineStr">
        <is>
          <t>Amazon.com</t>
        </is>
      </c>
      <c r="D40" t="inlineStr">
        <is>
          <t>indeed</t>
        </is>
      </c>
      <c r="E40" t="inlineStr"/>
      <c r="F40" t="inlineStr"/>
      <c r="G40" t="inlineStr">
        <is>
          <t>Sunnyvale, CA, US</t>
        </is>
      </c>
      <c r="H40" s="2" t="n">
        <v>45923</v>
      </c>
      <c r="I40"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in-251b1059bff69498</t>
        </is>
      </c>
      <c r="B41" t="inlineStr">
        <is>
          <t>Tech Infrastructure Program Manager - AV , IT Services - CIS</t>
        </is>
      </c>
      <c r="C41" t="inlineStr">
        <is>
          <t>Amazon.com</t>
        </is>
      </c>
      <c r="D41" t="inlineStr">
        <is>
          <t>indeed</t>
        </is>
      </c>
      <c r="E41" t="inlineStr"/>
      <c r="F41" t="inlineStr"/>
      <c r="G41" t="inlineStr">
        <is>
          <t>Arlington, VA, US</t>
        </is>
      </c>
      <c r="H41" s="2" t="n">
        <v>45923</v>
      </c>
      <c r="I4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in-33f1aaca648aac06</t>
        </is>
      </c>
      <c r="B42" t="inlineStr">
        <is>
          <t>Tech Infrastructure Program Manager - AV , IT Services - CIS</t>
        </is>
      </c>
      <c r="C42" t="inlineStr">
        <is>
          <t>Amazon.com</t>
        </is>
      </c>
      <c r="D42" t="inlineStr">
        <is>
          <t>indeed</t>
        </is>
      </c>
      <c r="E42" t="inlineStr"/>
      <c r="F42" t="inlineStr"/>
      <c r="G42" t="inlineStr">
        <is>
          <t>Austin, TX, US</t>
        </is>
      </c>
      <c r="H42" s="2" t="n">
        <v>45923</v>
      </c>
      <c r="I4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in-60b64cad1c70aba3</t>
        </is>
      </c>
      <c r="B43" t="inlineStr">
        <is>
          <t>Senior Product Manager, Sub Same Day</t>
        </is>
      </c>
      <c r="C43" t="inlineStr">
        <is>
          <t>Amazon.com</t>
        </is>
      </c>
      <c r="D43" t="inlineStr">
        <is>
          <t>indeed</t>
        </is>
      </c>
      <c r="E43" t="inlineStr"/>
      <c r="F43" t="inlineStr"/>
      <c r="G43" t="inlineStr">
        <is>
          <t>Nashville, TN, US</t>
        </is>
      </c>
      <c r="H43" s="2" t="n">
        <v>45914</v>
      </c>
      <c r="I43"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in-7aff714952ca8643</t>
        </is>
      </c>
      <c r="B44" t="inlineStr">
        <is>
          <t>Senior Product Manager, Sub Same Day</t>
        </is>
      </c>
      <c r="C44" t="inlineStr">
        <is>
          <t>Amazon.com</t>
        </is>
      </c>
      <c r="D44" t="inlineStr">
        <is>
          <t>indeed</t>
        </is>
      </c>
      <c r="E44" t="inlineStr"/>
      <c r="F44" t="inlineStr"/>
      <c r="G44" t="inlineStr">
        <is>
          <t>New York, NY, US</t>
        </is>
      </c>
      <c r="H44" s="2" t="n">
        <v>45914</v>
      </c>
      <c r="I4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in-d7c1ab02ff85d21f</t>
        </is>
      </c>
      <c r="B45" t="inlineStr">
        <is>
          <t>Senior Product Manager, Sub Same Day</t>
        </is>
      </c>
      <c r="C45" t="inlineStr">
        <is>
          <t>Amazon.com</t>
        </is>
      </c>
      <c r="D45" t="inlineStr">
        <is>
          <t>indeed</t>
        </is>
      </c>
      <c r="E45" t="inlineStr"/>
      <c r="F45" t="inlineStr"/>
      <c r="G45" t="inlineStr">
        <is>
          <t>Bellevue, WA, US</t>
        </is>
      </c>
      <c r="H45" s="2" t="n">
        <v>45914</v>
      </c>
      <c r="I4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in-c84358d67eb3176f</t>
        </is>
      </c>
      <c r="B46" t="inlineStr">
        <is>
          <t>Amazon Last Mile Fleet Program Manager, In Life Services-Recalls, Retrofits, and Tires</t>
        </is>
      </c>
      <c r="C46" t="inlineStr">
        <is>
          <t>Amazon.com</t>
        </is>
      </c>
      <c r="D46" t="inlineStr">
        <is>
          <t>indeed</t>
        </is>
      </c>
      <c r="E46" t="inlineStr"/>
      <c r="F46" t="inlineStr"/>
      <c r="G46" t="inlineStr">
        <is>
          <t>Bellevue, WA, US</t>
        </is>
      </c>
      <c r="H46" s="2" t="n">
        <v>45911</v>
      </c>
      <c r="I4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in-b25b9f2f9c03ee93</t>
        </is>
      </c>
      <c r="B47" t="inlineStr">
        <is>
          <t>Amazon Last Mile Fleet Program Manager, In Life Services-Recalls, Retrofits, and Tires</t>
        </is>
      </c>
      <c r="C47" t="inlineStr">
        <is>
          <t>Amazon.com</t>
        </is>
      </c>
      <c r="D47" t="inlineStr">
        <is>
          <t>indeed</t>
        </is>
      </c>
      <c r="E47" t="inlineStr"/>
      <c r="F47" t="inlineStr"/>
      <c r="G47" t="inlineStr">
        <is>
          <t>Nashville, TN, US</t>
        </is>
      </c>
      <c r="H47" s="2" t="n">
        <v>45911</v>
      </c>
      <c r="I4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in-282d6b199fe0659d</t>
        </is>
      </c>
      <c r="B48" t="inlineStr">
        <is>
          <t>Amazon Last Mile Fleet Program Manager, In Life Services-Recalls, Retrofits, and Tires</t>
        </is>
      </c>
      <c r="C48" t="inlineStr">
        <is>
          <t>Amazon.com</t>
        </is>
      </c>
      <c r="D48" t="inlineStr">
        <is>
          <t>indeed</t>
        </is>
      </c>
      <c r="E48" t="inlineStr"/>
      <c r="F48" t="inlineStr"/>
      <c r="G48" t="inlineStr">
        <is>
          <t>Arlington, VA, US</t>
        </is>
      </c>
      <c r="H48" s="2" t="n">
        <v>45911</v>
      </c>
      <c r="I4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in-e07686be828793fe</t>
        </is>
      </c>
      <c r="B49" t="inlineStr">
        <is>
          <t>Sr. EHS Program Manager, Safety Learning and Development</t>
        </is>
      </c>
      <c r="C49" t="inlineStr">
        <is>
          <t>Amazon.com</t>
        </is>
      </c>
      <c r="D49" t="inlineStr">
        <is>
          <t>indeed</t>
        </is>
      </c>
      <c r="E49" t="inlineStr"/>
      <c r="F49" t="inlineStr"/>
      <c r="G49" t="inlineStr">
        <is>
          <t>Nashville, TN, US</t>
        </is>
      </c>
      <c r="H49" s="2" t="n">
        <v>45910</v>
      </c>
      <c r="I4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in-379cfefb9fe35a02</t>
        </is>
      </c>
      <c r="B50" t="inlineStr">
        <is>
          <t>Sr. EHS Program Manager, Safety Learning and Development</t>
        </is>
      </c>
      <c r="C50" t="inlineStr">
        <is>
          <t>Amazon.com</t>
        </is>
      </c>
      <c r="D50" t="inlineStr">
        <is>
          <t>indeed</t>
        </is>
      </c>
      <c r="E50" t="inlineStr"/>
      <c r="F50" t="inlineStr"/>
      <c r="G50" t="inlineStr">
        <is>
          <t>Bellevue, WA, US</t>
        </is>
      </c>
      <c r="H50" s="2" t="n">
        <v>45910</v>
      </c>
      <c r="I5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in-9580967dad4606e0</t>
        </is>
      </c>
      <c r="B51" t="inlineStr">
        <is>
          <t>Sr. Product Manager, Sub-Same Day (SSD) - DOT, SSD Delivery Ops Tech</t>
        </is>
      </c>
      <c r="C51" t="inlineStr">
        <is>
          <t>Amazon.com</t>
        </is>
      </c>
      <c r="D51" t="inlineStr">
        <is>
          <t>indeed</t>
        </is>
      </c>
      <c r="E51" t="inlineStr"/>
      <c r="F51" t="inlineStr"/>
      <c r="G51" t="inlineStr">
        <is>
          <t>New York, NY, US</t>
        </is>
      </c>
      <c r="H51" s="2" t="n">
        <v>45876</v>
      </c>
      <c r="I5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in-a5f6a92b23682b22</t>
        </is>
      </c>
      <c r="B52" t="inlineStr">
        <is>
          <t>Sr. Product Manager, Sub-Same Day (SSD) - DOT, SSD Delivery Ops Tech</t>
        </is>
      </c>
      <c r="C52" t="inlineStr">
        <is>
          <t>Amazon.com</t>
        </is>
      </c>
      <c r="D52" t="inlineStr">
        <is>
          <t>indeed</t>
        </is>
      </c>
      <c r="E52" t="inlineStr"/>
      <c r="F52" t="inlineStr"/>
      <c r="G52" t="inlineStr">
        <is>
          <t>Bellevue, WA, US</t>
        </is>
      </c>
      <c r="H52" s="2" t="n">
        <v>45876</v>
      </c>
      <c r="I5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in-47b416ee8f18a41b</t>
        </is>
      </c>
      <c r="B53" t="inlineStr">
        <is>
          <t>Sr. Product Manager, Sub-Same Day (SSD) - DOT, SSD Delivery Ops Tech</t>
        </is>
      </c>
      <c r="C53" t="inlineStr">
        <is>
          <t>Amazon.com</t>
        </is>
      </c>
      <c r="D53" t="inlineStr">
        <is>
          <t>indeed</t>
        </is>
      </c>
      <c r="E53" t="inlineStr"/>
      <c r="F53" t="inlineStr"/>
      <c r="G53" t="inlineStr">
        <is>
          <t>Nashville, TN, US</t>
        </is>
      </c>
      <c r="H53" s="2" t="n">
        <v>45876</v>
      </c>
      <c r="I5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in-7cb31c6d1fbaf4ac</t>
        </is>
      </c>
      <c r="B54" t="inlineStr">
        <is>
          <t>Sr. Product Manager, Sub-Same Day (SSD) Delivery</t>
        </is>
      </c>
      <c r="C54" t="inlineStr">
        <is>
          <t>Amazon.com</t>
        </is>
      </c>
      <c r="D54" t="inlineStr">
        <is>
          <t>indeed</t>
        </is>
      </c>
      <c r="E54" t="inlineStr"/>
      <c r="F54" t="inlineStr"/>
      <c r="G54" t="inlineStr">
        <is>
          <t>Bellevue, WA, US</t>
        </is>
      </c>
      <c r="H54" s="2" t="n">
        <v>45874</v>
      </c>
      <c r="I5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in-e661e6a129d0355d</t>
        </is>
      </c>
      <c r="B55" t="inlineStr">
        <is>
          <t>Sr. Product Manager, Sub-Same Day (SSD) Delivery</t>
        </is>
      </c>
      <c r="C55" t="inlineStr">
        <is>
          <t>Amazon.com</t>
        </is>
      </c>
      <c r="D55" t="inlineStr">
        <is>
          <t>indeed</t>
        </is>
      </c>
      <c r="E55" t="inlineStr"/>
      <c r="F55" t="inlineStr"/>
      <c r="G55" t="inlineStr">
        <is>
          <t>Nashville, TN, US</t>
        </is>
      </c>
      <c r="H55" s="2" t="n">
        <v>45874</v>
      </c>
      <c r="I55"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in-48398d6ca8007dbe</t>
        </is>
      </c>
      <c r="B56" t="inlineStr">
        <is>
          <t>Sr. Product Manager, Sub-Same Day (SSD) Delivery</t>
        </is>
      </c>
      <c r="C56" t="inlineStr">
        <is>
          <t>Amazon.com</t>
        </is>
      </c>
      <c r="D56" t="inlineStr">
        <is>
          <t>indeed</t>
        </is>
      </c>
      <c r="E56" t="inlineStr"/>
      <c r="F56" t="inlineStr"/>
      <c r="G56" t="inlineStr">
        <is>
          <t>New York, NY, US</t>
        </is>
      </c>
      <c r="H56" s="2" t="n">
        <v>45874</v>
      </c>
      <c r="I56"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in-e2c34123ffdad722</t>
        </is>
      </c>
      <c r="B57" t="inlineStr">
        <is>
          <t>Senior Product Manager - Tech, Fire TV</t>
        </is>
      </c>
      <c r="C57" t="inlineStr">
        <is>
          <t>Amazon.com</t>
        </is>
      </c>
      <c r="D57" t="inlineStr">
        <is>
          <t>indeed</t>
        </is>
      </c>
      <c r="E57" t="inlineStr"/>
      <c r="F57" t="inlineStr"/>
      <c r="G57" t="inlineStr">
        <is>
          <t>Sunnyvale, CA, US</t>
        </is>
      </c>
      <c r="H57" s="2" t="n">
        <v>45855</v>
      </c>
      <c r="I5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in-6c15556e3dacf47f</t>
        </is>
      </c>
      <c r="B58" t="inlineStr">
        <is>
          <t>Senior Product Manager - Tech, Fire TV</t>
        </is>
      </c>
      <c r="C58" t="inlineStr">
        <is>
          <t>Amazon.com</t>
        </is>
      </c>
      <c r="D58" t="inlineStr">
        <is>
          <t>indeed</t>
        </is>
      </c>
      <c r="E58" t="inlineStr"/>
      <c r="F58" t="inlineStr"/>
      <c r="G58" t="inlineStr">
        <is>
          <t>Seattle, WA, US</t>
        </is>
      </c>
      <c r="H58" s="2" t="n">
        <v>45855</v>
      </c>
      <c r="I5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in-5b4e55900e215706</t>
        </is>
      </c>
      <c r="B59" t="inlineStr">
        <is>
          <t>Senior Product Manager - Technical, Alexa Communications</t>
        </is>
      </c>
      <c r="C59" t="inlineStr">
        <is>
          <t>Amazon.com</t>
        </is>
      </c>
      <c r="D59" t="inlineStr">
        <is>
          <t>indeed</t>
        </is>
      </c>
      <c r="E59" t="inlineStr"/>
      <c r="F59" t="inlineStr"/>
      <c r="G59" t="inlineStr">
        <is>
          <t>Seattle, WA, US</t>
        </is>
      </c>
      <c r="H59" s="2" t="n">
        <v>45851</v>
      </c>
      <c r="I5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in-1e48aa3de92f629d</t>
        </is>
      </c>
      <c r="B60" t="inlineStr">
        <is>
          <t>Senior Product Manager - Technical, Alexa Communications</t>
        </is>
      </c>
      <c r="C60" t="inlineStr">
        <is>
          <t>Amazon.com</t>
        </is>
      </c>
      <c r="D60" t="inlineStr">
        <is>
          <t>indeed</t>
        </is>
      </c>
      <c r="E60" t="inlineStr"/>
      <c r="F60" t="inlineStr"/>
      <c r="G60" t="inlineStr">
        <is>
          <t>Sunnyvale, CA, US</t>
        </is>
      </c>
      <c r="H60" s="2" t="n">
        <v>45851</v>
      </c>
      <c r="I6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in-433b002919df005b</t>
        </is>
      </c>
      <c r="B61" t="inlineStr">
        <is>
          <t>Principal Product Manager Tech - Devices, Fire TV Devices</t>
        </is>
      </c>
      <c r="C61" t="inlineStr">
        <is>
          <t>Amazon.com</t>
        </is>
      </c>
      <c r="D61" t="inlineStr">
        <is>
          <t>indeed</t>
        </is>
      </c>
      <c r="E61" t="inlineStr"/>
      <c r="F61" t="inlineStr"/>
      <c r="G61" t="inlineStr">
        <is>
          <t>Seattle, WA, US</t>
        </is>
      </c>
      <c r="H61" s="2" t="n">
        <v>45844</v>
      </c>
      <c r="I6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in-1a1f183e1160e6c4</t>
        </is>
      </c>
      <c r="B62" t="inlineStr">
        <is>
          <t>Principal Product Manager Tech - Devices, Fire TV Devices</t>
        </is>
      </c>
      <c r="C62" t="inlineStr">
        <is>
          <t>Amazon.com</t>
        </is>
      </c>
      <c r="D62" t="inlineStr">
        <is>
          <t>indeed</t>
        </is>
      </c>
      <c r="E62" t="inlineStr"/>
      <c r="F62" t="inlineStr"/>
      <c r="G62" t="inlineStr">
        <is>
          <t>Sunnyvale, CA, US</t>
        </is>
      </c>
      <c r="H62" s="2" t="n">
        <v>45844</v>
      </c>
      <c r="I6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in-48d5f599a3630c5c</t>
        </is>
      </c>
      <c r="B63" t="inlineStr">
        <is>
          <t>Principal Product Manager-Technical, AGI, Artificial General Intellgence</t>
        </is>
      </c>
      <c r="C63" t="inlineStr">
        <is>
          <t>Amazon.com</t>
        </is>
      </c>
      <c r="D63" t="inlineStr">
        <is>
          <t>indeed</t>
        </is>
      </c>
      <c r="E63" t="inlineStr"/>
      <c r="F63" t="inlineStr"/>
      <c r="G63" t="inlineStr">
        <is>
          <t>Bellevue, WA, US</t>
        </is>
      </c>
      <c r="H63" s="2" t="n">
        <v>45824</v>
      </c>
      <c r="I6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in-00c71d29b82d3e79</t>
        </is>
      </c>
      <c r="B64" t="inlineStr">
        <is>
          <t>Principal Product Manager-Technical, AGI, Artificial General Intellgence</t>
        </is>
      </c>
      <c r="C64" t="inlineStr">
        <is>
          <t>Amazon.com</t>
        </is>
      </c>
      <c r="D64" t="inlineStr">
        <is>
          <t>indeed</t>
        </is>
      </c>
      <c r="E64" t="inlineStr"/>
      <c r="F64" t="inlineStr"/>
      <c r="G64" t="inlineStr">
        <is>
          <t>Sunnyvale, CA, US</t>
        </is>
      </c>
      <c r="H64" s="2" t="n">
        <v>45824</v>
      </c>
      <c r="I6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in-a9d4ff59727b22e5</t>
        </is>
      </c>
      <c r="B65" t="inlineStr">
        <is>
          <t>Principal Product Manager-Technical, AGI, Artificial General Intellgence</t>
        </is>
      </c>
      <c r="C65" t="inlineStr">
        <is>
          <t>Amazon.com</t>
        </is>
      </c>
      <c r="D65" t="inlineStr">
        <is>
          <t>indeed</t>
        </is>
      </c>
      <c r="E65" t="inlineStr"/>
      <c r="F65" t="inlineStr"/>
      <c r="G65" t="inlineStr">
        <is>
          <t>Boston, MA, US</t>
        </is>
      </c>
      <c r="H65" s="2" t="n">
        <v>45824</v>
      </c>
      <c r="I6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in-cf4a7cfff7535b0a</t>
        </is>
      </c>
      <c r="B66" t="inlineStr">
        <is>
          <t>Sr. Product Manager Technical, Deal Tooling &amp; Insights, Strategic Customer Engagements</t>
        </is>
      </c>
      <c r="C66" t="inlineStr">
        <is>
          <t>Amazon Web Services</t>
        </is>
      </c>
      <c r="D66" t="inlineStr">
        <is>
          <t>indeed</t>
        </is>
      </c>
      <c r="E66" t="inlineStr"/>
      <c r="F66" t="inlineStr"/>
      <c r="G66" t="inlineStr">
        <is>
          <t>New York, NY,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7">
      <c r="A67" t="inlineStr">
        <is>
          <t>in-0befd7f656ec097c</t>
        </is>
      </c>
      <c r="B67" t="inlineStr">
        <is>
          <t>Sr. Product Manager Technical, Deal Tooling &amp; Insights, Strategic Customer Engagements</t>
        </is>
      </c>
      <c r="C67" t="inlineStr">
        <is>
          <t>Amazon Web Services</t>
        </is>
      </c>
      <c r="D67" t="inlineStr">
        <is>
          <t>indeed</t>
        </is>
      </c>
      <c r="E67" t="inlineStr"/>
      <c r="F67" t="inlineStr"/>
      <c r="G67" t="inlineStr">
        <is>
          <t>Dallas, TX, US</t>
        </is>
      </c>
      <c r="H67" s="2" t="n">
        <v>45994</v>
      </c>
      <c r="I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8">
      <c r="A68" t="inlineStr">
        <is>
          <t>in-179f15c4509add08</t>
        </is>
      </c>
      <c r="B68" t="inlineStr">
        <is>
          <t>Sr. Product Manager Technical, Deal Tooling &amp; Insights, Strategic Customer Engagements</t>
        </is>
      </c>
      <c r="C68" t="inlineStr">
        <is>
          <t>Amazon Web Services</t>
        </is>
      </c>
      <c r="D68" t="inlineStr">
        <is>
          <t>indeed</t>
        </is>
      </c>
      <c r="E68" t="inlineStr"/>
      <c r="F68" t="inlineStr"/>
      <c r="G68" t="inlineStr">
        <is>
          <t>Herndon, VA, US</t>
        </is>
      </c>
      <c r="H68" s="2" t="n">
        <v>45994</v>
      </c>
      <c r="I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9">
      <c r="A69" t="inlineStr">
        <is>
          <t>in-1cc3f508ce38a69e</t>
        </is>
      </c>
      <c r="B69" t="inlineStr">
        <is>
          <t>Sr. Product Manager Technical, Deal Tooling &amp; Insights, Strategic Customer Engagements</t>
        </is>
      </c>
      <c r="C69" t="inlineStr">
        <is>
          <t>Amazon Web Services</t>
        </is>
      </c>
      <c r="D69" t="inlineStr">
        <is>
          <t>indeed</t>
        </is>
      </c>
      <c r="E69" t="inlineStr"/>
      <c r="F69" t="inlineStr"/>
      <c r="G69" t="inlineStr">
        <is>
          <t>Austin, TX, US</t>
        </is>
      </c>
      <c r="H69" s="2"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0">
      <c r="A70" t="inlineStr">
        <is>
          <t>in-111b57e580332971</t>
        </is>
      </c>
      <c r="B70" t="inlineStr">
        <is>
          <t>Sr. Product Manager Technical, Deal Tooling &amp; Insights, Strategic Customer Engagements</t>
        </is>
      </c>
      <c r="C70" t="inlineStr">
        <is>
          <t>Amazon Web Services</t>
        </is>
      </c>
      <c r="D70" t="inlineStr">
        <is>
          <t>indeed</t>
        </is>
      </c>
      <c r="E70" t="inlineStr"/>
      <c r="F70" t="inlineStr"/>
      <c r="G70" t="inlineStr">
        <is>
          <t>Arlington, VA, US</t>
        </is>
      </c>
      <c r="H70" s="2" t="n">
        <v>45994</v>
      </c>
      <c r="I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1">
      <c r="A71" t="inlineStr">
        <is>
          <t>in-da80befc65e7c89c</t>
        </is>
      </c>
      <c r="B71" t="inlineStr">
        <is>
          <t>Sr. Product Manager Technical, Deal Tooling &amp; Insights, Strategic Customer Engagements</t>
        </is>
      </c>
      <c r="C71" t="inlineStr">
        <is>
          <t>Amazon Web Services</t>
        </is>
      </c>
      <c r="D71" t="inlineStr">
        <is>
          <t>indeed</t>
        </is>
      </c>
      <c r="E71" t="inlineStr"/>
      <c r="F71" t="inlineStr"/>
      <c r="G71" t="inlineStr">
        <is>
          <t>Seattle, WA,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in-306b37db6b8077b4</t>
        </is>
      </c>
      <c r="B72" t="inlineStr">
        <is>
          <t>Sr. Product Manager - Tech, WHS Data-Tech</t>
        </is>
      </c>
      <c r="C72" t="inlineStr">
        <is>
          <t>Amazon.com</t>
        </is>
      </c>
      <c r="D72" t="inlineStr">
        <is>
          <t>indeed</t>
        </is>
      </c>
      <c r="E72" t="inlineStr"/>
      <c r="F72" t="inlineStr"/>
      <c r="G72" t="inlineStr">
        <is>
          <t>Arlington, VA, US</t>
        </is>
      </c>
      <c r="H72" s="2" t="n">
        <v>45836</v>
      </c>
      <c r="I7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3">
      <c r="A73" t="inlineStr">
        <is>
          <t>in-9275146e46d74c3f</t>
        </is>
      </c>
      <c r="B73" t="inlineStr">
        <is>
          <t>Sr. Product Manager - Tech, WHS Data-Tech</t>
        </is>
      </c>
      <c r="C73" t="inlineStr">
        <is>
          <t>Amazon.com</t>
        </is>
      </c>
      <c r="D73" t="inlineStr">
        <is>
          <t>indeed</t>
        </is>
      </c>
      <c r="E73" t="inlineStr"/>
      <c r="F73" t="inlineStr"/>
      <c r="G73" t="inlineStr">
        <is>
          <t>Bellevue, WA, US</t>
        </is>
      </c>
      <c r="H73" s="2" t="n">
        <v>45836</v>
      </c>
      <c r="I7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4">
      <c r="A74" t="inlineStr">
        <is>
          <t>in-84f7c67def335495</t>
        </is>
      </c>
      <c r="B74" t="inlineStr">
        <is>
          <t>Sr. Product Manager - Tech, WHS Data-Tech</t>
        </is>
      </c>
      <c r="C74" t="inlineStr">
        <is>
          <t>Amazon.com</t>
        </is>
      </c>
      <c r="D74" t="inlineStr">
        <is>
          <t>indeed</t>
        </is>
      </c>
      <c r="E74" t="inlineStr"/>
      <c r="F74" t="inlineStr"/>
      <c r="G74" t="inlineStr">
        <is>
          <t>Nashville, TN, US</t>
        </is>
      </c>
      <c r="H74" s="2" t="n">
        <v>45836</v>
      </c>
      <c r="I7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5">
      <c r="A75" t="inlineStr">
        <is>
          <t>in-f94c3eb74c812a43</t>
        </is>
      </c>
      <c r="B75" t="inlineStr">
        <is>
          <t>Principal Product Manager - Tech, Recommender Systems, Prime Video Personalization &amp; Discovery</t>
        </is>
      </c>
      <c r="C75" t="inlineStr">
        <is>
          <t>Amazon.com</t>
        </is>
      </c>
      <c r="D75" t="inlineStr">
        <is>
          <t>indeed</t>
        </is>
      </c>
      <c r="E75" t="inlineStr"/>
      <c r="F75" t="inlineStr"/>
      <c r="G75" t="inlineStr">
        <is>
          <t>Washington, DC, US</t>
        </is>
      </c>
      <c r="H75" s="2" t="n">
        <v>45753</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in-ced5dab3de84746f</t>
        </is>
      </c>
      <c r="B76" t="inlineStr">
        <is>
          <t>Principal Product Manager - Tech, Recommender Systems, Prime Video Personalization &amp; Discovery</t>
        </is>
      </c>
      <c r="C76" t="inlineStr">
        <is>
          <t>Amazon.com</t>
        </is>
      </c>
      <c r="D76" t="inlineStr">
        <is>
          <t>indeed</t>
        </is>
      </c>
      <c r="E76" t="inlineStr"/>
      <c r="F76" t="inlineStr"/>
      <c r="G76" t="inlineStr">
        <is>
          <t>Seattle, WA, US</t>
        </is>
      </c>
      <c r="H76" s="2" t="n">
        <v>45753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in-b0b00271447e8d32</t>
        </is>
      </c>
      <c r="B77" t="inlineStr">
        <is>
          <t>Technical Program Manager, Leo Security</t>
        </is>
      </c>
      <c r="C77" t="inlineStr">
        <is>
          <t>Amazon.com</t>
        </is>
      </c>
      <c r="D77" t="inlineStr">
        <is>
          <t>indeed</t>
        </is>
      </c>
      <c r="E77" t="inlineStr"/>
      <c r="F77" t="inlineStr"/>
      <c r="G77" t="inlineStr">
        <is>
          <t>Redmond, WA, US</t>
        </is>
      </c>
      <c r="H77" s="2" t="n">
        <v>45991</v>
      </c>
      <c r="I77"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in-b5b41f599bde9fb5</t>
        </is>
      </c>
      <c r="B78" t="inlineStr">
        <is>
          <t>Technical Program Manager, Leo Security</t>
        </is>
      </c>
      <c r="C78" t="inlineStr">
        <is>
          <t>Amazon.com</t>
        </is>
      </c>
      <c r="D78" t="inlineStr">
        <is>
          <t>indeed</t>
        </is>
      </c>
      <c r="E78" t="inlineStr"/>
      <c r="F78" t="inlineStr"/>
      <c r="G78" t="inlineStr">
        <is>
          <t>Arlington, VA, US</t>
        </is>
      </c>
      <c r="H78" s="2" t="n">
        <v>45991</v>
      </c>
      <c r="I78"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in-9e215182b06075b5</t>
        </is>
      </c>
      <c r="B79" t="inlineStr">
        <is>
          <t>Principal Product Manager Technical, Creative X - RAPID</t>
        </is>
      </c>
      <c r="C79" t="inlineStr">
        <is>
          <t>Amazon.com</t>
        </is>
      </c>
      <c r="D79" t="inlineStr">
        <is>
          <t>indeed</t>
        </is>
      </c>
      <c r="E79" t="inlineStr"/>
      <c r="F79" t="inlineStr"/>
      <c r="G79" t="inlineStr">
        <is>
          <t>New York, NY, US</t>
        </is>
      </c>
      <c r="H79" s="2" t="n">
        <v>45939</v>
      </c>
      <c r="I7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0">
      <c r="A80" t="inlineStr">
        <is>
          <t>in-6c689158a4190a94</t>
        </is>
      </c>
      <c r="B80" t="inlineStr">
        <is>
          <t>Principal Product Manager Technical, Creative X - RAPID</t>
        </is>
      </c>
      <c r="C80" t="inlineStr">
        <is>
          <t>Amazon.com</t>
        </is>
      </c>
      <c r="D80" t="inlineStr">
        <is>
          <t>indeed</t>
        </is>
      </c>
      <c r="E80" t="inlineStr"/>
      <c r="F80" t="inlineStr"/>
      <c r="G80" t="inlineStr">
        <is>
          <t>Seattle, WA, US</t>
        </is>
      </c>
      <c r="H80" s="2" t="n">
        <v>45939</v>
      </c>
      <c r="I8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1">
      <c r="A81" t="inlineStr">
        <is>
          <t>in-09280f68a5962753</t>
        </is>
      </c>
      <c r="B81" t="inlineStr">
        <is>
          <t>Technical Program Manager III</t>
        </is>
      </c>
      <c r="C81" t="inlineStr">
        <is>
          <t>NS IT Solutions</t>
        </is>
      </c>
      <c r="D81" t="inlineStr">
        <is>
          <t>indeed</t>
        </is>
      </c>
      <c r="E81">
        <f>HYPERLINK("https://www.indeed.com/viewjob?jk=09280f68a5962753", "https://www.indeed.com/viewjob?jk=09280f68a5962753")</f>
        <v/>
      </c>
      <c r="F81">
        <f>HYPERLINK("https://nsitsolutions.oorwin.ai/#/careers/index.html/job/details/0aa9161521f63fce92adf77eb6ad19b9395614d2?source=indeed&amp;postedby=114", "https://nsitsolutions.oorwin.ai/#/careers/index.html/job/details/0aa9161521f63fce92adf77eb6ad19b9395614d2?source=indeed&amp;postedby=114")</f>
        <v/>
      </c>
      <c r="G81" t="inlineStr">
        <is>
          <t>Bellevue, WA, US</t>
        </is>
      </c>
      <c r="H81" s="3" t="n">
        <v>46048</v>
      </c>
      <c r="I81" t="inlineStr">
        <is>
          <t>Job Title: Technical Program Manager III  
Location: Bellevue, WA (Onsite)  
Type: Contractor  
Pay Rate: $87\.50/hr
**Job Summary:**
DataBricks’ R\&amp;D Operations Organization is seeking a highly motivated and technically skilled Technical Program Manager (TPM III) to lead and oversee large\-scale data annotation programs that power cutting\-edge AI research initiatives. This role bridges program management, data operations, and AI/ML, ensuring annotation efforts are scalable, high\-quality, and aligned with research and product needs.
**Key Responsibilities**
* Program Ownership Lead large\-scale data annotation initiatives end\-to\-end—from requirements gathering, planning, and execution to delivery and post\-mortem analysis.
* Cross\-Functional Collaboration Partner with AI Research leadership, data scientists, ML engineers, and product managers to define data needs, success metrics, and annotation guidelines.
* Vendor \&amp; Workforce Management Manage external annotation vendors and internal labeling teams, including contracts, SLAs, quality standards, and throughput planning.
* Quality \&amp; Process Design and implement robust quality control pipelines, annotation tools, and feedback loops to ensure high data quality at scale.
* Tooling \&amp; Automation Collaborate with engineering teams to optimize annotation infrastructure, workflows, and data pipelines for efficiency.
* Data Strategy \&amp; Governance Ensure privacy, security, ethics, and compliance best practices in annotation workflows.
* Reporting \&amp; Metrics Define and track key program metrics (cost, quality, speed, volume), and communicate progress to stakeholders and leadership.
* Internal Adoption Build onboarding processes, workflows, and change management strategies for internal adoption of AI products.
* Data Quality Leadership Establish and standardize processes to monitor, measure, and improve data quality across datasets and annotation teams.
* Customer Engagement Collaborate with external customers and research partners on pilots, workshops, and feedback sessions to drive continuous improvement.
**Required Qualifications:**
* Bachelor’s or Master’s degree in a technical field (Computer Science, Data Science, Machine Learning, Information Systems) or equivalent experience.
* 7\+ years of experience in technical program management, project management, or operations in data\-centric or AI/ML environments.
* Strong understanding of ML development workflows, data pipelines, and annotation lifecycle.
* Experience managing large\-scale data labeling or data collection initiatives, including vendor management.
* Familiarity with big data platforms (e.g., Apache Spark, Databricks, Hadoop) and data warehousing concepts.
* Advanced SQL skills and ability to build analytics, dashboards, and reports.
* Strong problem\-solving, organizational, and communication skills; ability to influence cross\-functional stakeholders.
* Proven record of driving complex technical projects to completion on time and with high quality.
* Experience performing root cause analysis on internal and external data and processes.
* Self\-motivated and able to work independently and collaboratively.
**Preferred Qualifications:**
* Knowledge of GPU technology and applications in generative AI/ML.
* Familiarity with Apache Spark, Delta Lake, MLflow, or other big data/ML frameworks.
**Skills \&amp; Competencies:**
* Advanced Project Management
* Technical Program Management
* Data Labeling and Annotation
* Machine Learning Workflows
* SQL Querying \&amp; Analytics
* Vendor \&amp; Team Management
* Data Governance \&amp; Compliance
* Reporting \&amp; KPI Tracking
* Cross\-Functional Collaboration</t>
        </is>
      </c>
    </row>
    <row r="82">
      <c r="A82" t="inlineStr">
        <is>
          <t>in-35dd1e58232ece46</t>
        </is>
      </c>
      <c r="B82" t="inlineStr">
        <is>
          <t>Senior Product Manager</t>
        </is>
      </c>
      <c r="C82" t="inlineStr">
        <is>
          <t>Inovalon</t>
        </is>
      </c>
      <c r="D82" t="inlineStr">
        <is>
          <t>indeed</t>
        </is>
      </c>
      <c r="E82">
        <f>HYPERLINK("https://www.indeed.com/viewjob?jk=35dd1e58232ece46", "https://www.indeed.com/viewjob?jk=35dd1e58232ece46")</f>
        <v/>
      </c>
      <c r="F82">
        <f>HYPERLINK("https://grnh.se/jmsm1xgj3us", "https://grnh.se/jmsm1xgj3us")</f>
        <v/>
      </c>
      <c r="G82" t="inlineStr">
        <is>
          <t>Bowie, MD, US</t>
        </is>
      </c>
      <c r="H82" s="3" t="n">
        <v>46047</v>
      </c>
      <c r="I82"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managing key partner and platform integration products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**Duties and Responsibilities:**
* Develop business cases to justify investment required to build, partner or buy.
* Be the trusted thought leader for your product area; being the 'voice of the market/customer' within Inovalon and externally with customer interactions and events.
* Build and maintain roadmap for products and work with cross\-functional teams to deliver a unified product plan to the market.
* Work with Marketing and Sales to define the go\-to\-market strategy, product positioning, and pricing strategies.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Serve as a product evangelist with Marketing, Sales, and the go\-to\-market organization to confirm the vision, roadmap and best practices are understood.
* Analyze and manage to product metrics/KPI's that inform the success of your products in the market.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**Physical Demands and Work Environment:**
* Sedentary work (i.e., sitting for long periods of time).
* Frequently or constantly to lift, carry push, pull or otherwise move objects and repetitive motions.
* Subject to inside environmental conditions.
* Travel for this position will include less than 10%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83">
      <c r="A83" t="inlineStr">
        <is>
          <t>in-8c695460a6392584</t>
        </is>
      </c>
      <c r="B83" t="inlineStr">
        <is>
          <t>Program Manager</t>
        </is>
      </c>
      <c r="C83" t="inlineStr">
        <is>
          <t>Gray Analytics</t>
        </is>
      </c>
      <c r="D83" t="inlineStr">
        <is>
          <t>indeed</t>
        </is>
      </c>
      <c r="E83">
        <f>HYPERLINK("https://www.indeed.com/viewjob?jk=8c695460a6392584", "https://www.indeed.com/viewjob?jk=8c695460a6392584")</f>
        <v/>
      </c>
      <c r="F83">
        <f>HYPERLINK("https://secure7.saashr.com/ta/6214742.careers?ShowJob=570911137", "https://secure7.saashr.com/ta/6214742.careers?ShowJob=570911137")</f>
        <v/>
      </c>
      <c r="G83" t="inlineStr">
        <is>
          <t>Remote, US</t>
        </is>
      </c>
      <c r="H83" s="3" t="n">
        <v>46047</v>
      </c>
      <c r="I83" t="inlineStr">
        <is>
          <t>Gray Analytics is seeking a highly motivated and results\-driven **Program Manager** to lead and manage complex commercial clients within the commercial division of Gray Analytics. This role is crucial in ensuring the smooth and efficient delivery of commercial projects, ensuring alignment with business objectives, client expectations, and industry standards. The successful candidate will have a proven track record in managing programs across multiple functions, strong communication skills, and a deep understanding of the commercial space industry
**Key Responsibilities:**
* Lead and oversee multiple commercial programs, ensuring they are delivered on time, within budget, and meet performance goals. Manage the entire program lifecycle from initiation to closure.
* Collaborate with cross\-functional teams, including engineering, sales, legal, finance, and operations to ensure alignment across all aspects of the program. Communicate regularly with internal and external stakeholders, providing updates and managing expectations.
* Build and maintain strong relationships with clients, understanding their needs and ensuring that the company delivers value through tailored solutions. Act as the primary point of contact for commercial clients.
* Identify, assess, and manage program risks and issues. Proactively implement mitigation strategies to address potential challenges that could impact project success.
* Develop and manage program budgets and resource plans, ensuring that programs are executed efficiently while maintaining financial performance and cost control.
* Ensure that all programs comply with internal standards, regulatory requirements, and industry best practices. Ensure the highest quality deliverables and adherence to timelines.
* Lead efforts to continuously improve program management processes, identifying areas for greater efficiency, cost savings, and overall program effectiveness.
* Develop and maintain comprehensive program documentation, including status reports, project timelines, and risk assessments. Present reports to senior leadership and clients, tracking KPIs and overall program health.
* Bachelor’s degree in Business Administration, Systems Engineering, or a related field; or Technical College Diploma or Degree; (Master’s degree or relevant certifications is a plus).
* A minimum of 5\-7 years of experience in program or project management within the cybersecurity space or related high\-tech industries is required.
* Proficient in program management and productivity tools (e.g., MS Project, Jira, or similar platforms; and Word, Excel, PowerPoint, Teams, SharePoint).
* Strong experience in managing large\-scale, cross\-functional programs with multiple stakeholders.
* Strong experience in balancing priorities across multiple projects and programs.
* Strong experience in partnering with service providers.
* PMP (Project Management Professional) or equivalent certification and/or a CMMC RP, and/or CMMC CCP designation.
**Other Qualifications:**
* Excellent communication and interpersonal skills, with the ability to interact effectively with executives, clients, and team members.
* Strong analytical and problem\-solving skills.
* Ability to manage complex schedules, budgets, and resource allocations.
**Security Requirements:**
* Candidate must be a US Citizen
**Salary will range from $80,000\-$135,000 This position will run for a minimum of 3 business days or until a qualified candidate is selected.**
**About Gray Analytics**
Gray Analytics values our employees as our most important resource. To showcase these values, we offer not only traditional medical, disability, life, etc. coverages that begin on day one of employment, but also unique benefits to improve our employees' quality of life. Some of these unique benefits include:
* A PTO policy based on total years of experience, not years of service to the company. PTO is available for use immediately at hire, subject to company needs.
* Eligibility for 401K contributions and company matching, Pet Insurance through Spot, Flexible Spending Account, and Tuition and Professional Development Funds begin on day one of employment.
* Charitable donations program on a yearly and quarterly basis where employees can nominate a non\-profit of choice to receive donations.
*Gray Analytics is an Equal Opportunity Employer and VEVRAA Federal Contractor.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gender identity, sexual orientation, or national origin. Moreover, these regulations require that covered prime contractors and subcontractors take affirmative action to employ and advance in employment individuals without regard to race, color, religion, sex, gender identity, sexual orientation, national origin, protected veteran status or disability. Gray Analytics, Inc. welcomes minority and veteran applicants.*</t>
        </is>
      </c>
    </row>
    <row r="84">
      <c r="A84" t="inlineStr">
        <is>
          <t>in-e36fe84217424bf5</t>
        </is>
      </c>
      <c r="B84" t="inlineStr">
        <is>
          <t>Technical Hardware Product Manager</t>
        </is>
      </c>
      <c r="C84" t="inlineStr">
        <is>
          <t>SpotOn: Product</t>
        </is>
      </c>
      <c r="D84" t="inlineStr">
        <is>
          <t>indeed</t>
        </is>
      </c>
      <c r="E84">
        <f>HYPERLINK("https://www.indeed.com/viewjob?jk=e36fe84217424bf5", "https://www.indeed.com/viewjob?jk=e36fe84217424bf5")</f>
        <v/>
      </c>
      <c r="F84">
        <f>HYPERLINK("https://grnh.se/w48qdfd43us", "https://grnh.se/w48qdfd43us")</f>
        <v/>
      </c>
      <c r="G84" t="inlineStr">
        <is>
          <t>Austin, TX, US</t>
        </is>
      </c>
      <c r="H84" s="3" t="n">
        <v>46047</v>
      </c>
      <c r="I84"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85">
      <c r="A85" t="inlineStr">
        <is>
          <t>in-fee3c51c8ed87ac6</t>
        </is>
      </c>
      <c r="B85" t="inlineStr">
        <is>
          <t>Senior Product Owner - CRM</t>
        </is>
      </c>
      <c r="C85" t="inlineStr">
        <is>
          <t>CliftonLarsonAllen</t>
        </is>
      </c>
      <c r="D85" t="inlineStr">
        <is>
          <t>indeed</t>
        </is>
      </c>
      <c r="E85">
        <f>HYPERLINK("https://www.indeed.com/viewjob?jk=fee3c51c8ed87ac6", "https://www.indeed.com/viewjob?jk=fee3c51c8ed87ac6")</f>
        <v/>
      </c>
      <c r="F85">
        <f>HYPERLINK("https://cliftonlarsonallen.wd1.myworkdayjobs.com/en-US/CLA/job/Austin-TX/Senior-Product-Owner---CRM_R16770", "https://cliftonlarsonallen.wd1.myworkdayjobs.com/en-US/CLA/job/Austin-TX/Senior-Product-Owner---CRM_R16770")</f>
        <v/>
      </c>
      <c r="G85" t="inlineStr">
        <is>
          <t>Austin, TX, US</t>
        </is>
      </c>
      <c r="H85" s="3" t="n">
        <v>46047</v>
      </c>
      <c r="I85"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Senior Product Owner \- CRM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The Senior Product Owner, CRM drives business value through full\-stack, end\-to\-end product ownership for the firm’s CRM environment. This role aligns cross‑functional teams to deliver shared outcomes and business value in an Agile environment.
How you’ll *create opportunities* in this Senior Product Owner – CRM role:
Requirements / Backlog Management* Develop Product Requirements Documents, process flows, and prototypes that define user needs, business goals, and functional/non\-functional requirements for the environment.
* Translate concepts into epics, features, and user stories with clear acceptance criteria, dependencies, and compliance considerations.
* Own, prioritize, and refine the backlog to maximize productivity, coordinating with cross functional teams and subject matter experts to gather feedback on risks and dependencies.
Continuous Discovery* Lead discovery using qualitative and quantitative research to validate user problems and identify opportunities within defined scope.
* Translate discovery insights into hypotheses and actionable backlog items with confirmed feasibility and outcome alignment.
* Communicate priorities, findings, and progress clearly to facilitate solutions.
Technical \&amp; Solution Alignment* Collaborate with engineering and architecture to ensure requirements translate to viable technical solutions aligned to platform patterns.
* Facilitate Agile ceremonies, establish delivery milestones and success criteria, monitor progress, remove impediments, and ensure delivery aligns with OKRs, quality standards, and timelines.
Soft Skills* Strong communication skills, including presentation skills; ability to navigate technical discussion and translate complex concepts for varied audiences.
* Strategic thinker with ability to balance long‑term vision and short‑term execution. Ability to prioritize effectively and escalate conflicts when needed.
* Highly collaborative, outcome‑driven, and comfortable managing ambiguity.
* Ability to work with large teams and a variety of people, including users, product team members, management team members, and business owners/stakeholders.
What you will need:* 4\+ years of experience defining clear requirements and driving continuous discovery in an Agile environment.
* Experience with Microsoft Dynamics CRM platform is strongly preferred.
* Certified Scrum Product Owner (CSPO) or SAFe Product Owner/Product Manager (PO/PM) is preferred.
* Bachelor's degree or a combination of relevant experience and training may be considered in lieu of a degree.
Technical Competencies* Experience working within Agile delivery tools to manage backlogs, user stories, and workflow processes.
* Azure DevOps (ADO) or Jira systems experience preferred.
\#LI\-DJ1
Equal Opportunity Employer/Protected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row>
    <row r="86">
      <c r="A86" t="inlineStr">
        <is>
          <t>in-503320808cf4ac70</t>
        </is>
      </c>
      <c r="B86" t="inlineStr">
        <is>
          <t>Senior Program Manager of Outdoor Education: Camp Thunderbird</t>
        </is>
      </c>
      <c r="C86" t="inlineStr">
        <is>
          <t>YMCA</t>
        </is>
      </c>
      <c r="D86" t="inlineStr">
        <is>
          <t>indeed</t>
        </is>
      </c>
      <c r="E86">
        <f>HYPERLINK("https://www.indeed.com/viewjob?jk=503320808cf4ac70", "https://www.indeed.com/viewjob?jk=503320808cf4ac70")</f>
        <v/>
      </c>
      <c r="F86">
        <f>HYPERLINK("https://secure.entertimeonline.com/ta/25100YCH.careers?ShowJob=470133389", "https://secure.entertimeonline.com/ta/25100YCH.careers?ShowJob=470133389")</f>
        <v/>
      </c>
      <c r="G86" t="inlineStr">
        <is>
          <t>Lake Wylie, SC, US</t>
        </is>
      </c>
      <c r="H86" s="3" t="n">
        <v>46047</v>
      </c>
      <c r="I86" t="inlineStr">
        <is>
          <t>The Senior Manager of Camp Program provides strategic oversight and leadership for assigned program areas within center(s). This role manages budgets, supervises teams and ensures program outcomes align with association\-wide goals. The Senior Manager is responsible for driving innovation, service quality, and operational excellence, while fostering a culture of continuous improvement, staff development, and member engagement.
**Culture Statement**
The culture of the Y is rooted in our Christian mission and core principles. We strive every day to collectively embody our purpose to love, serve and transform lives. Every day we show up to ***Lead with*** ***Love and Serve with Purpose***. We **Love** unconditionally – showing genuine care and concern for everyone, making each interaction meaningful and personal and ensuring every person feels valued, seen and welcomed. We elevate **Hope** – promoting optimism by offering encouragement and practical solutions to challenges. We act with **Care** **\&amp; Compassion** – listening attentively without judgment, responding with empathy, and creating a sense of belonging by uplifting and supporting those around us. We demonstrate **Generosity** – sharing our time, skills, and resources freely and with joy. We walk in **Grace** – showing patience and kindness, even in difficult moments. We ignite **Faith** – staying grounded in our mission, principles and purpose, inspiring others to trust in what is possible. Demonstrating consistency in our actions, helping others see how their efforts align with a greater purpose. We treasure **Honesty** – communicating openly and truthfully, admitting mistakes when they occur, and honoring commitments. We honor **Humility** – leading with a servant's heart by prioritizing the needs of others above our own. We live with **Joy** – celebrating small and big wins alike, inspiring connection and shared joy. We offer **Respect** – addressing everyone by name and honoring diverse perspectives and backgrounds. We value **Responsibility** – performing every task timely with diligence and excellence and holding ourselves accountable by openly evaluating our performance. We engage in **Service** – going above and beyond in serving others by anticipating needs and delivering exceptional experiences.
**Essential Functions**
* Provide strategic direction and oversight for assigned program areas.
* Supervise and develop teams to ensure high performance and achievement of goals.
* Lead annual and mid\-year budget processes for assigned areas, with accountability for budgets up to $2M.
* Ensure program outcomes align with association strategic goals and community needs.
* Identify trends, assess needs, and implement innovative program models.
* Collaborate with association and branch leadership to ensure cross functional alignment.
* Guide staff development, workforce planning, and succession pipelines for assigned departments.
* Support capital projects and major initiatives in collaboration with Director\-level leadership.
* Ensure compliance with YMCA policies, safety standards, and regulatory requirements.
* Represent the YMCA in community partnerships, events, and member engagement initiatives.
Performs other duties and tasks as assigned by leadership
**Qualifications**
**Required Qualifications**
* Bachelor’s degree required or equivalent work experience.
* Minimum 6 years of progressive leadership experience in program or operations management.
* Demonstrated success supervising multiple teams and managing complex operations.
* Proven ability to manage multi\-site or multi\-department budgets up to $2M.
* Strong strategic planning, fiscal management, and program evaluation skills.
* Experience in staff development, succession planning, and workforce management.
* Excellent interpersonal, communication, and conflict\-resolution abilities.
* Demonstrated ability to lead innovation and change across multiple sites.
* Strong community engagement and partnership\-building skills.
* Commitment to the YMCA’s mission, values, and strategic priorities.
All YMCA team members are expected to maintain a current and active status for all safety, risk, and programming certifications defined by the YMCA of Greater Charlotte.
**Preferred Qualifications**
**Working Conditions**
* Work performed in association offices, branch sites, and community environments.
* Travel between multiple branches and program sites required.
* Combination of office work, program oversight, and community engagement.
* Flexible schedule including evenings, weekends, and holidays.
* Exposure to large, complex program operations with competing priorities.
* Responsible for staff leadership, budget oversight, and operational problem\-solving.
**Competencies**
* DEVELOPING SELF \&amp; OTHERS: Develops self and supports others (e.g., staff, volunteers, members, program participants), both formally and informally, to achieve their highest potential
* PROGRAM/PROJECT MANAGEMENT: Ensures program or project goals are met and intended impact occurs
* COMMUNICATION \&amp; INFLUENCE: Listens and expresses self effectively and in a way that engages, inspires, and builds commitment to the Y’s cause
* ENGAGING COMMUNITY: Builds bridges with others in the community to ensure the Y’s work is community\-focused and welcoming of all, providing community benefit
To learn more about our Y\-USA Leadership Competencies, please click here
Housing is provided and required to be onsite for this role.
Primary Responsibilities (not comprehensive):  
* Team and program management: Supervise Program Managers (Outdoor Education) and a Program Supervisor (Activity Specialist).
* Strategic development: Develop and implement strategy and growth for outdoor education programs, including activities and curriculum, program design, pricing, accessibility, and community partnerships.
* Financial oversight: Manage the budget and financial accountability for all outdoor education programs.
* Marketing and partnerships: Collaborate on marketing efforts for outdoor education programs.
* Leadership and strategy: Contribute to the Thunderbird Leadership Team's whole camp strategy.
* Summer program support: Provide key support for the summer program operations.</t>
        </is>
      </c>
    </row>
    <row r="87">
      <c r="A87" t="inlineStr">
        <is>
          <t>in-f3c407a5a56d5781</t>
        </is>
      </c>
      <c r="B87" t="inlineStr">
        <is>
          <t>Maintenance Program Manager</t>
        </is>
      </c>
      <c r="C87" t="inlineStr">
        <is>
          <t>Virginia Department of Transportation</t>
        </is>
      </c>
      <c r="D87" t="inlineStr">
        <is>
          <t>indeed</t>
        </is>
      </c>
      <c r="E87">
        <f>HYPERLINK("https://www.indeed.com/viewjob?jk=f3c407a5a56d5781", "https://www.indeed.com/viewjob?jk=f3c407a5a56d5781")</f>
        <v/>
      </c>
      <c r="F87">
        <f>HYPERLINK("https://etgi.fa.us8.oraclecloud.com/hcmUI/CandidateExperience/en/sites/CX_4005/requisitions/preview/11589", "https://etgi.fa.us8.oraclecloud.com/hcmUI/CandidateExperience/en/sites/CX_4005/requisitions/preview/11589")</f>
        <v/>
      </c>
      <c r="G87" t="inlineStr">
        <is>
          <t>Staunton, VA, US</t>
        </is>
      </c>
      <c r="H87" s="3" t="n">
        <v>46047</v>
      </c>
      <c r="I87" t="inlineStr">
        <is>
          <t>Provide leadership, coordination and support to the district maintenance program by assisting with development of financial spend plans, budgets, cost\-benefit reporting, contract development, and expenditure monitoring and tracking. Ensure district meets maintenance contracting, goods and equipment resource needs within targeted allocations and spending plans. Provide technical and analytical expertise in the evaluation, assessment, and review of assigned programs and provide insights and process improvements to more effectively and efficiently meet the goals of the agency.
**How you will contribute:**  
* Budgeting: Prepare and submit budgets as needed. Provide guidance and technical assistance to others during budget preparation process. Monitor expenditures and analyze data for planning and program requirements. Review funding requests, perform cost analyses, and make determination for fund transfers.
* Emergency Operations: Monitor VA Traffic reporting. Convey information to district and central office personnel. Assist with training and coordination of on\-call response to emergency events. Assist with the development, coordination, and implementation of emergency operations procedures. Serve as liaison between district, Central Office, FEMA, FHWA, and field operations during emergency events.
* Financial Documentation: Enact fund transfers through journal entries in automated accounting system. Develop and present reports regarding status of funds, projected expenditures, trends and spend plans. Prepare budget and other financial presentations for District and Statewide Committees. Reconcile year\-end budget.
* Maintenance Budgeting: Develop, administer and monitor district maintenance budgets and annual spend plans. Work closely with field staff to prepare various budgets, Six Year Plans, Federal Funded Projects and annual spend plan.
* Maintenance Program Leadership and Business Re\-engineering: Serve as an active member of the District Maintenance Program Leadership Group (DMPLG). Provide support and technical assistance related to maintenance policies, procedures, data analysis and business practices. Coordinate and implement districtwide maintenance programs to include revision or development of new programs. Coordinate VOIS and 511 training to meet statewide operational goals. Develop and conduct specialized training for maintenance operations personnel as new programs are implemented or existing programs are updated.
* Policy Review: Develop, maintain, and communicate identified changes to policies or procedures as a result of periodic review and audit. Ensure all stakeholders are accounted for and full scope of impact of policy changes are considered before implementation. Coordinate any proposed changes with leadership and stakeholders across the agency.
* Program Management: Coordinate the development of budget, procedures, training, implementation, interoperability, interpretation, and oversight of assigned programs in coordination with Division Leadership. Develop procedures that provide consistency and uniformity. Make recommendations on programmatic changes based upon documented best practices, and sound guidance. Develop and implement policies, procedures and guidelines to ensure project quality and compliance.
* Project Compliance: Perform evaluation of correctable non\-compliance items identified in Improvement Reviews in accordance with applicable law, regulations, and internal processes to determine whether corrective actions have been taken.
* Project Management: Perform comprehensive reviews on complex construction and maintenance, equipment, or safety projects as assigned within scope of program areas. Evaluate engineering, process and management actions. Determine compliance with expected requirements of each activity in compliance with applicable Standard Operating Procedures (SOP) and internal management performance goals. Manage time and adjust priorities as needed.
* Project and Contract Management and Cost Benefit Analysis: Coordinate review of maintenance operations to assess efficient use of resources, hired equipment and other service maintenance contracts with the District Infrastructure Manager. Track maintenance contracts and coordinate efforts with contracting staff. Manage redistribution of contract changes and submit journal entries for corrections. Compile and submit contracts. Manage project progress to meet timeframes and funding levels. Track, coordinate, monitor and provide financial reports related to emergency projects (declared or non\-declared emergencies). Provide updates to management and field operations.
* Research, Committees and Technical Assistance: Conduct research and provide technical assistance to customers on a wide variety of roadway design, maintenance, equipment, and/or safety related areas as assigned.
Teamwork: Coordinate the flow of information to and from others that contributes to project plan development and execution.  
* 
**What will make you successful:**  
* Ability to develop cost\-benefit analyses and reports for effective decision\-making.
* Ability to analyze and evaluate cost of operations and budget information.
* Ability to analyze complex business problems and develop appropriate solutions.
* Ability to communicate effectively with internal and external customers.
* Ability to define problems, organize and lead projects, analyze situations to draw conclusions, devise solutions and alternatives, and make recommendations.
* Ability to develop, monitor and manage project performance metrics.
* Ability to ensure compliance with policies and procedures and guidelines.
* Ability to evaluate program effectiveness and improve processes and work methods.
* Ability to facilitate problem solving.
* Ability to follow oral and written instructions.
* Ability to gather and analyze data and reach sound, logical conclusions.
* Ability to interpret and communicate technical policies and procedures.
* Ability to lead teams to meet program goals and objectives.
* Ability to manage electronic files.
* Ability to manage projects and budgets, prioritize work and work effectively through co\-workers and contractors.
* Ability to plan and conduct formal training programs to highlight quality improvement areas.
* Ability to produce results under time constraints while managing multiple tasks.
* Ability to schedule, prioritize and complete multiple complex assignments.
* Ability to work independently to set priorities and schedules, resolve issues and make decisions.
* Exceptional interpersonal, team building and communication skills.
* Knowledge of VDOT's Road and Bridge Specifications and Standards.
* Knowledge of contract development and administration.
* Knowledge of emergency operations planning, implementation and monitoring.
* Knowledge of financial expenditure tracking and budgeting principles.
* Knowledge of full cycle budget planning process.
* Knowledge of maintenance procedures, policies and practices, methods and materials.
* Knowledge of organizational management, administrative processes and program areas.
* Knowledge of state and federal specifications, regulations, policies and procedures.
* Knowledge of transportation operations principles, practices, and standards.
* Skill in computer applications, data management and analysis, preparing reports and making presentations.
* Skill in developing spending plans and monitoring and analyzing budget data.
* Skill in providing technical assistance to others in the use of budget preparation and related computer programs.
* Skill in the delivery of exemplary customer service.
* Skill in the use of computers and software applications to include financial management programs.
**Minimum Qualifications:**  
* Ability to gather, analyze data, prepare technical reports and presentations.
* Ability to interact and communicate effectively with customers.
* Ability to work independently to set priorities, schedules, resolve issues and make decisions.
* Experience developing, managing multiple budgets and financial documents.
* Experience with contract development, administration of goods and service contracts.
* Knowledge of emergency operations planning, implementation and monitoring.
* Knowledge of maintenance procedures, policies, practices, methods and materials.
* Knowledge of state, federal transportation rules, regulations and funding policies.
* Skill in the use of computers and software applications to include financial management programs.
**Additional Considerations:**  
* A combination of training, experience, or education in Mechanical Engineering, Civil Engineering, Design, Construction, Criminal Justice, Security, Finance, Accounting, Public Administration, Business Management or related field desired.
* Experience working with FEMA and FHWA reimbursement process.
* Knowledge of VDOT's Road and Bridge Specifications and Standards.
* Progressively responsible experience in transportation maintenance and budgeting processes.
**Click below to learn more about the Competency Model associated with this Position:**  
Competency Model
**Physical Requirements**  
Physical Requirements  
**VDOT employees must abide by VDOTs Code of Ethics and the Commonwealths Standards of Conduct.**  
VDOT Code of Ethics
Standards of Conduct</t>
        </is>
      </c>
    </row>
    <row r="88">
      <c r="A88" t="inlineStr">
        <is>
          <t>in-e5d62c866b0222a3</t>
        </is>
      </c>
      <c r="B88" t="inlineStr">
        <is>
          <t>Program Manager – Custody / SEI</t>
        </is>
      </c>
      <c r="C88" t="inlineStr">
        <is>
          <t>RSM</t>
        </is>
      </c>
      <c r="D88" t="inlineStr">
        <is>
          <t>indeed</t>
        </is>
      </c>
      <c r="E88">
        <f>HYPERLINK("https://www.indeed.com/viewjob?jk=e5d62c866b0222a3", "https://www.indeed.com/viewjob?jk=e5d62c866b0222a3")</f>
        <v/>
      </c>
      <c r="F88">
        <f>HYPERLINK("https://jobs.rsmus.com/posting/program-manager-custody-sei/JR117449?source=Indeed+-+Job+Feed", "https://jobs.rsmus.com/posting/program-manager-custody-sei/JR117449?source=Indeed+-+Job+Feed")</f>
        <v/>
      </c>
      <c r="G88" t="inlineStr">
        <is>
          <t>Edison, NJ, US</t>
        </is>
      </c>
      <c r="H88" s="3" t="n">
        <v>46047</v>
      </c>
      <c r="I88"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**Program Manager – Custody / SEI**
-----------------------------------
Location: Jersey City, NJ (Hybrid / Onsite as required)
Role Overview:
RSM is seeking a Director\-level Temporary Program Manager to support Wealth Management initiatives focused on Custody and Asset Servicing. This role will manage defined programs or major workstreams related to custodial platforms, integrations, and operational change within a regulated banking environment.
Key Responsibilities:
* Manage custody\-related programs or workstreams, including platform enhancements, integrations, and process changes
* Coordinate execution across Operations, Technology, Risk, Compliance, and vendor teams
* Support integration with SEI custodial platforms and downstream systems
* Track milestones, risks, issues, and dependencies; escalate as appropriate
* Ensure custody processes align with regulatory, control, and asset\-safekeeping requirements
* Prepare program status updates and materials for senior stakeholders
Required Qualifications:
* 8\+ years of program or project management experience in Banking or Wealth Management
* Strong Custody / Asset Servicing domain knowledge
* Hands\-on experience with SEI custodial platforms
* Experience delivering initiatives in regulated financial services environments
* Strong organizational, communication, and stakeholder management skills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$86 \- $128 per hour</t>
        </is>
      </c>
    </row>
    <row r="89">
      <c r="A89" t="inlineStr">
        <is>
          <t>in-518ce1c093ec347d</t>
        </is>
      </c>
      <c r="B89" t="inlineStr">
        <is>
          <t>Program Manager – Custody / SEI</t>
        </is>
      </c>
      <c r="C89" t="inlineStr">
        <is>
          <t>RSM</t>
        </is>
      </c>
      <c r="D89" t="inlineStr">
        <is>
          <t>indeed</t>
        </is>
      </c>
      <c r="E89">
        <f>HYPERLINK("https://www.indeed.com/viewjob?jk=518ce1c093ec347d", "https://www.indeed.com/viewjob?jk=518ce1c093ec347d")</f>
        <v/>
      </c>
      <c r="F89">
        <f>HYPERLINK("https://jobs.rsmus.com/posting/program-manager-custody-sei/JR117449?source=Indeed+-+Job+Feed", "https://jobs.rsmus.com/posting/program-manager-custody-sei/JR117449?source=Indeed+-+Job+Feed")</f>
        <v/>
      </c>
      <c r="G89" t="inlineStr">
        <is>
          <t>New York, NY, US</t>
        </is>
      </c>
      <c r="H89" s="3" t="n">
        <v>46047</v>
      </c>
      <c r="I89"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**Program Manager – Custody / SEI**
-----------------------------------
Location: Jersey City, NJ (Hybrid / Onsite as required)
Role Overview:
RSM is seeking a Director\-level Temporary Program Manager to support Wealth Management initiatives focused on Custody and Asset Servicing. This role will manage defined programs or major workstreams related to custodial platforms, integrations, and operational change within a regulated banking environment.
Key Responsibilities:
* Manage custody\-related programs or workstreams, including platform enhancements, integrations, and process changes
* Coordinate execution across Operations, Technology, Risk, Compliance, and vendor teams
* Support integration with SEI custodial platforms and downstream systems
* Track milestones, risks, issues, and dependencies; escalate as appropriate
* Ensure custody processes align with regulatory, control, and asset\-safekeeping requirements
* Prepare program status updates and materials for senior stakeholders
Required Qualifications:
* 8\+ years of program or project management experience in Banking or Wealth Management
* Strong Custody / Asset Servicing domain knowledge
* Hands\-on experience with SEI custodial platforms
* Experience delivering initiatives in regulated financial services environments
* Strong organizational, communication, and stakeholder management skills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$86 \- $128 per hour</t>
        </is>
      </c>
    </row>
    <row r="90">
      <c r="A90" t="inlineStr">
        <is>
          <t>in-6e7c1bb9e4e5b4e0</t>
        </is>
      </c>
      <c r="B90" t="inlineStr">
        <is>
          <t>Program Manager – Wealth Management Transformation (Nickel)</t>
        </is>
      </c>
      <c r="C90" t="inlineStr">
        <is>
          <t>RSM</t>
        </is>
      </c>
      <c r="D90" t="inlineStr">
        <is>
          <t>indeed</t>
        </is>
      </c>
      <c r="E90">
        <f>HYPERLINK("https://www.indeed.com/viewjob?jk=6e7c1bb9e4e5b4e0", "https://www.indeed.com/viewjob?jk=6e7c1bb9e4e5b4e0")</f>
        <v/>
      </c>
      <c r="F90">
        <f>HYPERLINK("https://jobs.rsmus.com/posting/program-manager-wealth-management-transformation-nickel/JR117451?source=Indeed+-+Job+Feed", "https://jobs.rsmus.com/posting/program-manager-wealth-management-transformation-nickel/JR117451?source=Indeed+-+Job+Feed")</f>
        <v/>
      </c>
      <c r="G90" t="inlineStr">
        <is>
          <t>Los Angeles, CA, US</t>
        </is>
      </c>
      <c r="H90" s="3" t="n">
        <v>46047</v>
      </c>
      <c r="I90"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**Program Manager – Wealth Management Transformation (Nickel)**
---------------------------------------------------------------
Location: Los Angeles, CA (Hybrid / Onsite as required)
Role Overview:
RSM is seeking a Director\-level Temporary Program Manager to support a Wealth Management transformation initiative (internally referred to as Nickel). This role will manage defined workstreams related to Broker\-Dealer\-to\-RIA transitions, advisor onboarding, and platform changes.
Key Responsibilities:
* Manage workstreams supporting BD\-to\-RIA or hybrid model transitions
* Coordinate activities across Legal, Compliance, Operations, Technology, and Advisor teams
* Support custody and clearing transitions, including asset transfers and client onboarding
* Track regulatory, operational, and execution risks related to advisory transitions
* Maintain governance artefacts, timelines, and status reporting
* Support change\-management efforts to minimise advisor and client disruption
Required Qualifications:
* 8 plus years of program or project management experience in Wealth Management or Banking
* Experience supporting BD\-to\-RIA transitions or WM platform initiatives
* Familiarity with Pershing or other RIA custodians
* Working knowledge of broker\-dealer vs. RIA operating and regulatory models
* Strong execution focus and stakeholder management skills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$86 \- $128 per hour</t>
        </is>
      </c>
    </row>
    <row r="91">
      <c r="A91" t="inlineStr">
        <is>
          <t>in-de6cd71d28dbec00</t>
        </is>
      </c>
      <c r="B91" t="inlineStr">
        <is>
          <t>Senior Product Manager -Agile</t>
        </is>
      </c>
      <c r="C91" t="inlineStr">
        <is>
          <t>Truist</t>
        </is>
      </c>
      <c r="D91" t="inlineStr">
        <is>
          <t>indeed</t>
        </is>
      </c>
      <c r="E91">
        <f>HYPERLINK("https://www.indeed.com/viewjob?jk=de6cd71d28dbec00", "https://www.indeed.com/viewjob?jk=de6cd71d28dbec00")</f>
        <v/>
      </c>
      <c r="F91">
        <f>HYPERLINK("https://careers.truist.com/us/en/job/R0110649", "https://careers.truist.com/us/en/job/R0110649")</f>
        <v/>
      </c>
      <c r="G91" t="inlineStr">
        <is>
          <t>US</t>
        </is>
      </c>
      <c r="H91" s="3" t="n">
        <v>46047</v>
      </c>
      <c r="I9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This role is a Senior Product Manager who balances business, technology and design priorities to deliver brand\-defining product and service experiences. The Product Manager will work with the Product Owner to convert the vision into a level of detail that the Product Owner and Agile delivery team can then prioritize as epics and features.
The Senior Product Manager is a thought leader amongst their team. The Product Manager has business goals and is responsible for developing and maintaining a strategic delivery roadmap that supports those business goals. In this position, the person must be able to work at the strategic level (generating innovative ideas for growth) and at the tactical level (analyzing data, solving problems, and working with delivery teams for development). This position will help monitor and drive the business on all aspects of demand, customer experience, and conversion. NOTE: In some Agile teams, there may be Product Owners/Managers from both the Business and the Tech side. In that case, the role will remain the same and there is joint accountability for the Agile team’s results. In rare instances, where the business cannot provide a resource, a Tech resource could step in to fulfill the responsibilities.
The ideal candidate will have strong experience working in technologies relevant to the area in which they are assigned, using a Scaled Agile development framework. This person should be able to move fluidly between business stakeholders and technology teams to prioritize the highest value items for delivery.  
Taking a holistic perspective, this position is responsible for defining the vision and experience across all pieces of the relevant ecosystem within the assigned area of responsibility.**ESSENTIAL DUTIES AND RESPONSIBILITIES**  
Following is a summary of the essential functions for this job. Other duties may be performed, both major and minor, which are not mentioned below. Specific activities may change from time to time.  
1\. Research, analyze, and learn about a target client segment, to garner a deep understanding of their segment and that segment’s financial needs.  
2\. Be an expert with respect to the competition, industry trends, and changing customer needs. Demonstrate thought leadership and champion the business vision across the company.  
3\. Analyze the market and competitive environment to define a differentiated product vision that delivers unique value. Translate analyses into sound recommendations based on data and experience.  
4\. Collaborate with a wide variety of partners to align on strategy and develop a delivery roadmap that supports business goals.  
5\. Collaborate and engage key stakeholders, including lines of business, operations, and other functional areas in the planning and execution of projects.  
6\. Write epics and features in support of the defined roadmap, working with partners to prioritize across teams.  
7\. Set Planning Increment (PI) vision, priority and definition, partnering with product owners on feature prioritization and delivery timelines.  
8\. Develop feature backlog roadmap, leading high level deliverables including discovery, prototypes/wireframes, usability studies, partner demos, and web analytics planning.  
9\. Obtain partner alignment and approvals including legal, compliance, security, fraud and others as needed.  
10\. Partner to set Pricing and ensure billing follows all associated processes and procedures.  
11\. Create and track product metrics to inform strategy and roadmap, sharing analysis with partners.  
12\. Work with Readiness to create client and teammate facing content.  
13\. Risk management: Ensure all Product Management Lifecycle (PML) process \&amp; procedures are followed, supporting security, risk, audit, and more, and ensure action items and deadlines are met. Lead risk presentations, working with other PM and PO partners on evidence to support recommendations.  
14\. Attend Agile ceremonies, as applicable.  
15\. Mentor other Product Managers on product management practices.
**QUALIFICATIONS**  
**Required Qualifications:**  
The requirements listed below are representative of the knowledge, skill and/or ability required. Reasonable accommodations may be made to enable individuals with disabilities to perform the essential functions.  
1\. Bachelors’ degree in business, engineering, design, or technology field; or related field or equivalent combination of education and professional experience  
2\. Ten or more years of banking, financial services, or other relevant work experience  
3\. Five or more years of product, analysis, technology, and/or design experience  
4\. Five or more years of leading cross functional teams  
5\. Previous experience working as a Product Manager  
6\. Equal enthusiasm for high\-level strategic planning and tactical daily execution  
7\. Experience defining/driving vision of experience programs and/or partnership based programs  
8\. Experience defining and delivering large\-scale online initiatives  
9\. Proven ability to use data analytics, research and testing methodologies to drive business decisions, diagnose problems, and recommend action plans to resolve issues  
10\. Ability to lead cross\-functional teams without formal authority  
11\. Comfortable managing concurrent projects in a fast\-based, results\-driven environment  
12\. Comfortable with ambiguity, leading work autonomously, and making independent decisions  
13\. Excellent skills in presentation, facilitation, communication, and negotiation  
14\. Experience defining/driving vision of experience programs and/or partnership based programs  
15\. Experience in roles requiring strong communication and interpersonal skills \&amp; the creation and delivery of succinct executive\-level presentations to explain and sell plans/vision
**Preferred Qualifications:**  
1\. Master’s degree in business, engineering, design, or technology field; banking or financial management education  
2\. Experience working with distributed teams (onshore/offshore)  
3\.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2">
      <c r="A92" t="inlineStr">
        <is>
          <t>in-c9ca550c5f6fb74c</t>
        </is>
      </c>
      <c r="B92" t="inlineStr">
        <is>
          <t>Program Manager</t>
        </is>
      </c>
      <c r="C92" t="inlineStr">
        <is>
          <t>Chenega Corporation</t>
        </is>
      </c>
      <c r="D92" t="inlineStr">
        <is>
          <t>indeed</t>
        </is>
      </c>
      <c r="E92">
        <f>HYPERLINK("https://www.indeed.com/viewjob?jk=c9ca550c5f6fb74c", "https://www.indeed.com/viewjob?jk=c9ca550c5f6fb74c")</f>
        <v/>
      </c>
      <c r="F92">
        <f>HYPERLINK("https://rr.jobsyn.org/EC5497C42D3349F18AF619BCB90C54AF1554", "https://rr.jobsyn.org/EC5497C42D3349F18AF619BCB90C54AF1554")</f>
        <v/>
      </c>
      <c r="G92" t="inlineStr">
        <is>
          <t>Orlando, FL, US</t>
        </is>
      </c>
      <c r="H92" s="3" t="n">
        <v>46047</v>
      </c>
      <c r="I92" t="inlineStr">
        <is>
          <t>Program Manager
Orlando, FL Join our Talent Network
Program Manager
Orlando, FL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is seeking a Program Manager (PM) that shall be responsible for the overall management, coordination, and execution of the Command and Control Synthetic Environment for Training (C2SET) program. The PM will serve as the primary interface between Chenega Agile Real\-Time Solutions (CARS), the Government C2SET Program Manager, and the Government Procuring Contracting Officer (PCO).
Duties and Responsibilities:
* Manage the C2SET program in coordination with the Government C2SET Program Manager.
* Oversee all aspects of program execution including operational, technical, financial, regulatory, security, logistics, integration, reporting, and customer engagement activities.
* Ensure software development and sustainment activities meet established program goals and Joint operational training commitments.
* Coordinate closely with the Government C2SET PM to ensure delivered software solutions meet operational and mission requirements.
* Serve as the primary interface with the Government PCO on all contractual matters.
* Provide leadership, planning, risk management, and performance oversight for the C2SET development and sustainment teams.
* Other duties as assigned.
Qualifications:
* Bachelor's Degree and 8\+ years relevant experience or
* Associate’s degree and 10\+ years relevant experience or
* 12\+ years’ relevant experience:
* 5\+ years of experience as a product manager or program manager supporting software development teams.
* Demonstrated experience with C5ISR Modeling \&amp; Simulation (M\&amp;S) and software development programs.
* Proven experience managing complex programs involving multiple stakeholders and technical disciplines.
* Active Secret Clearance
Knowledge Skills, and Abilities:
* Preferred active Project Management Professional (PMP) certification.
* Experience supporting Joint or DoD training and simulation environments.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Join our Talent Network
Chenega Corporation and family of companies is an EOE. Equal Opportunity Employer/Veterans/Disabled Native preference under PL 93\-638\. We participate in the E\-Verify Employment Verification Program</t>
        </is>
      </c>
    </row>
    <row r="93">
      <c r="A93" t="inlineStr">
        <is>
          <t>in-18b69c43291ee5e2</t>
        </is>
      </c>
      <c r="B93" t="inlineStr">
        <is>
          <t>Program Manager</t>
        </is>
      </c>
      <c r="C93" t="inlineStr">
        <is>
          <t>Chenega Corporation</t>
        </is>
      </c>
      <c r="D93" t="inlineStr">
        <is>
          <t>indeed</t>
        </is>
      </c>
      <c r="E93">
        <f>HYPERLINK("https://www.indeed.com/viewjob?jk=18b69c43291ee5e2", "https://www.indeed.com/viewjob?jk=18b69c43291ee5e2")</f>
        <v/>
      </c>
      <c r="F93">
        <f>HYPERLINK("https://rr.jobsyn.org/2CF352158EC54E1A8253E135A09E3B641554", "https://rr.jobsyn.org/2CF352158EC54E1A8253E135A09E3B641554")</f>
        <v/>
      </c>
      <c r="G93" t="inlineStr">
        <is>
          <t>Hurlburt Field, FL, US</t>
        </is>
      </c>
      <c r="H93" s="3" t="n">
        <v>46047</v>
      </c>
      <c r="I93" t="inlineStr">
        <is>
          <t>Program Manager
Hurlburt Field AFB, FL Join our Talent Network
Program Manager Hurlburt AFB, FL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is seeking a Program Manager (PM ) that shall be responsible for the overall management, coordination, and execution of the Command and Control Synthetic Environment for Training (C2SET) program. The PM will serve as the primary interface between Chenega Agile Real\-Time Solutions (CARS), the Government C2SET Program Manager, and the Government Procuring Contracting Officer (PCO). Duties and Responsibilities:
* Manage the C2SET program in coordination with the Government C2SET Program Manager.
* Oversee all aspects of program execution including operational, technical, financial, regulatory, security, logistics, integration, reporting, and customer engagement activities.
* Ensure software development and sustainment activities meet established program goals and Joint operational training commitments.
* Coordinate closely with the Government C2SET PM to ensure delivered software solutions meet operational and mission requirements.
* Serve as the primary interface with the Government PCO on all contractual matters.
* Provide leadership, planning, risk management, and performance oversight for the C2SET development and sustainment teams.
* Other duties as assigned.
Qualifications:
* Bachelor's Degree and 8\+ years of relevant experience or
* Associate’s degree and 10\+ years of relevant experience or
* High school diploma or GED equivalent with 12\+ years relevant experience
* 5\+ years of experience as a product manager or program manager supporting software development teams.
* Demonstrated experience with C5ISR Modeling \&amp; Simulation (M\&amp;S) and software development programs.
* Proven experience managing complex programs involving multiple stakeholders and technical disciplines.
* Active Secret Clearance
Knowledge Skills, and Abilities:
* Preferred active Project Management Professional (PMP) certification.
* Experience supporting Joint or DoD training and simulation environments.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Join our Talent Network
Chenega Corporation and family of companies is an EOE. Equal Opportunity Employer/Veterans/Disabled Native preference under PL 93\-638\. We participate in the E\-Verify Employment Verification Program</t>
        </is>
      </c>
    </row>
    <row r="94">
      <c r="A94" t="inlineStr">
        <is>
          <t>in-7d38db7c0e018e7e</t>
        </is>
      </c>
      <c r="B94" t="inlineStr">
        <is>
          <t>Program Manager I</t>
        </is>
      </c>
      <c r="C94" t="inlineStr">
        <is>
          <t>State of North Carolina</t>
        </is>
      </c>
      <c r="D94" t="inlineStr">
        <is>
          <t>indeed</t>
        </is>
      </c>
      <c r="E94">
        <f>HYPERLINK("https://www.indeed.com/viewjob?jk=7d38db7c0e018e7e", "https://www.indeed.com/viewjob?jk=7d38db7c0e018e7e")</f>
        <v/>
      </c>
      <c r="F94">
        <f>HYPERLINK("https://nc.wd108.myworkdayjobs.com/en-US/NC_Careers/job/Watauga-County-NC/Program-Manager-I_JR-107878", "https://nc.wd108.myworkdayjobs.com/en-US/NC_Careers/job/Watauga-County-NC/Program-Manager-I_JR-107878")</f>
        <v/>
      </c>
      <c r="G94" t="inlineStr">
        <is>
          <t>NC, US</t>
        </is>
      </c>
      <c r="H94" s="3" t="n">
        <v>46047</v>
      </c>
      <c r="I94" t="inlineStr">
        <is>
          <t>**Agency**
Dept of Health and Human Services
**Division**
Child and Family Well Being
**Job Classification Title**
Program Manager I (NS)
**Position Number**
60040007
**Grade**
NC20
**About Us**
The North Carolina Department of Health and Human Services (DHHS) is one of the largest, most complex agencies in the state, and has approximately 17,000 employees. It is responsible for ensuring the health, safety, and well\-being of all North Carolinians, providing human service needs for special populations including individuals who are deaf, blind, developmentally disabled, and mentally ill, and helping poor North Carolinians achieve economic independence.
**Description of Work**
The Children’s Developmental Services Agency (CDSA) Director provides overall leadership and management of a regional CDSA within the North Carolina Infant\-Toddler Program, a federally mandated early intervention program under Part C of IDEA. This position oversees program administration, compliance with federal and state regulations, and delivery of interdisciplinary services for children birth to age three with or at risk for developmental delays. Responsibilities include managing personnel, fiscal operations, and provider networks to ensure timely evaluations, service coordination, and family\-centered supports across a multi\-county catchment area. The role requires collaboration with public and private partners to maintain a comprehensive service system and represent the program at the local level.
Key Duties Include:
* Direct overall operations of the CDSA to ensure compliance with federal mandates, state policies, and procedural safeguards under IDEA Part C.
* Oversee administration of developmental evaluations, eligibility determinations, and service coordination for children and families.
* Manage CDSA budget and fiscal processes, including monitoring expenditures and ensuring adherence to funding requirements.
* Supervise and evaluate CDSA staff, including service coordinators, clinicians, and administrative personnel, to achieve program goals.
* Develop and maintain a network of enrolled early intervention service providers and monitor provider compliance with program standards.
* Implement quality assurance activities, including data analysis and program evaluation, to improve service delivery outcomes.
* Coordinate with the Early Intervention Branch and other stakeholders to support statewide program initiatives and reporting requirements.
* Ensure compliance with HIPAA, FERPA, and confidentiality standards in all CDSA operations.
* Provide consultation and technical assistance to community partners and professionals involved in early intervention services.
* Represent the Infant\-Toddler Program in local interagency collaborations and public outreach activities.
**Knowledge Skills and Abilities/Management Preferences**
**Salary Grade Range: $67,852\.00 \- $118,741\.00**
**Recruitment Range: $67,852\.00 – $89,776\.00**
*Candidates now meet the minimum qualifications of a position if they meet the minimum education and experience listed on the vacancy announcement.*
*The Knowledge, Skills, and Abilities (KSAs)/ Management Preferences are not required. Applicants who possess the following skills are preferred:*
* Demonstrated experience leading multi\-disciplinary teams in delivering early intervention services within a regulated program environment.
* Proven track record managing complex budgets, including monitoring expenditures and implementing fiscal controls for compliance with state and federal requirements.
* Expert\-level proficiency in analyzing program data to evaluate service delivery outcomes and implement quality improvement strategies.
* Extensive experience developing and maintaining collaborative partnerships with healthcare providers, community agencies, and interagency teams to support coordinated service systems.
* Skilled in preparing and presenting detailed reports and program documentation for internal leadership and external stakeholders, ensuring accuracy and adherence to regulatory standards.
***The Posting Will Close At 11:59 P.M. The Night Before The End Date***
------------------------------------------------------------------------
**This Role Is Eligible To Be Hybrid And Requires Onsite Reporting Located Within Boone, NC**
---------------------------------------------------------------------------------------------
**About The Division of Child and Family Well\-Being**
------------------------------------------------------
The Division of Child and Family Well\-Being works to promote healthy and thriving children in safe, stable and nurturing families, schools and communities. The division includes complementary programs that primarily serve children and youth to improve their health and well\-being.
**About the North Carolina Early Intervention (NCEI) Branch**
-------------------------------------------------------------
The North Carolina Early Intervention Branch (NCEI) is a part of the N.C. Division of Public Health. It is the lead agency for the N.C. Infant\-Toddler Program (ITP). The Infant\-Toddler Program provides support and services for families and their children, birth to three who have special needs. Research shows that this time period is critical. It offers a window of opportunity to make a positive difference in how a child develops and learns. Children's Developmental Services Agencies (CDSAs) across North Carolina work with local service providers to help families help their children succeed.
**Compensation and Benefits**
-----------------------------
The State of North Carolina offers excellent comprehensive benefits. Employees can participate in health insurance options, standard and supplemental retirement plans, and the NCFlex program (numerous high\-quality, low\-cost benefits on a pre\-tax basis). Employees also receive paid vacation, sick, and community service leave. In addition, paid parental leave is available to eligible employees. Visit website for State Benefits .
**Supplemental Contact Information**
------------------------------------
The North Carolina Department of Health and Human Services (DHHS) is an Equal Opportunity Employer that embraces an Employment First philosophy, which consists of complying with all federal laws, state laws, and Executive Orders. We are committed to reviewing requests for reasonable accommodation at any time during the hiring process or while on the job. For more information about DHHS: https://www.ncdhhs.gov/ .
DHHS uses the Merit\-Based Recruitment and Selection Plan to fill positions subject to the State Human Resources Act with the most qualified individuals. Hiring salary will be based on relevant qualifications, internal equity, and budgetary considerations pertinent to the advertised position.
In accordance with the Governor’s Executive Order 303 , our agency supports second\-chance employment for individuals who were previously incarcerated or justice\-involved. We invite all potential applicants to apply for positions for which they may be qualified.  
Application Process
**Be sure to complete the application in its entirety.** *Resumes will not be accepted in lieu of completing this application.*
* Information should be provided in the appropriate areas, to include the following: Education, including high school and all degrees obtained, Work Experience, and Certificates \&amp; Licenses. It is critical to our screening and salary determination process that applications contain comprehensive candidate information.
* Answers to Supplemental Questions are not a substitute for providing all relevant information within the body of your application. To receive credit for the supplemental questions, you must provide supporting information within the "Work Experience" section of the application, to support your answers.
* If multiple applications are submitted to an individual posting, only the most recent application received prior to the closing date will be accepted. Applications must be submitted by 5:00 PM on the closing date.
* Applicants may be subject to a criminal background check. All candidates selected for positions considered "Positions of Trust" will be subject to a criminal background check.
* Due to the volume of applications received, we are unable to provide information regarding the status of your application over the phone. To check the status of your application, please log in to your account. Upon the closing date, applications are "Under Review" and will be screened by Human Resources for qualified applicants. The hiring process may take several weeks.
* Degrees must be received from appropriately accredited institutions. Transcripts and degree evaluations may be uploaded with your application. The State of North Carolina/Office of State Human Resources uses the National Association of Credential Evaluation Services (NACES) as a referral resource for applicants who need to have their credentials certified as equivalent.
* For a list of organizations that perform this specialized service, please visit the NACES membership website at https://www.naces.org/members .
Degree/College Credit Verification
Degrees must be received from appropriately accredited institutions. *Transcripts, degree evaluations, and cover letters may be uploaded with your application.*
Veterans’ and National Guard Preference
* Applicants seeking Veteran's Preference must attach a DD\-214 Member\-4 Form (Certificate of Release or Discharge from Active Duty) to their applications.
* Applicants seeking National Guard Preference must attach an NGB 23A (RPAS), along with the state application, if they are a current member of the NC National Guard in good standing.
* Applicants who are former members of either the NC Army National Guard or the NC Air National Guard, with honorable discharge and six years of creditable service, must attach a copy of the DD 256 or NGB 22, along with the state application.
ADA Accommodations
Consistent with the Americans with Disabilities Act (ADA) and the Pregnant Workers Fairness Act (PWFA), DHHS is committed to the full inclusion of all qualified individuals. As part of this commitment, DHHS will ensure that people with disabilities, or known limitations covered by the PWFA, are provided with reasonable accommodation. If reasonable accommodation is needed to participate in the job application or interview process, please contact the person indicated below.
CONTACT INFORMATION:
If there are any questions about this posting, please contact Talent Acquisition at talentacquisition@dhhs.nc.gov . ***Resumes will not be accepted in lieu of completing this application.***
**Minimum Education and Experience**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Bachelor’s degree from an appropriately accredited institution *and* three (3\) years of program experience related to the area of assignment, *including* one year of supervisory program experience
**OR**
An equivalent combination of training *and* experience.
**EEO Statement**
T he State of North Carolina is an Equal Employment Opportunity Employer and dedicated to providing employees with a work environment free from all forms of unlawful employment discrimination, harassment, or retaliation. The state provides reasonable accommodation to employees and applicants with disabilities; known limitations related to pregnancy, childbirth, or related medical conditions; and for religious beliefs, observances, and practices.
**Recruiter:**
Dreisa Yvonne Johnson
**Email:**
talentacquisition@dhhs.nc.gov</t>
        </is>
      </c>
    </row>
    <row r="95">
      <c r="A95" t="inlineStr">
        <is>
          <t>in-1b00f7c50c718c0c</t>
        </is>
      </c>
      <c r="B95" t="inlineStr">
        <is>
          <t>Mopar Accessory Program Manager</t>
        </is>
      </c>
      <c r="C95" t="inlineStr">
        <is>
          <t>Stellantis</t>
        </is>
      </c>
      <c r="D95" t="inlineStr">
        <is>
          <t>indeed</t>
        </is>
      </c>
      <c r="E95">
        <f>HYPERLINK("https://www.indeed.com/viewjob?jk=1b00f7c50c718c0c", "https://www.indeed.com/viewjob?jk=1b00f7c50c718c0c")</f>
        <v/>
      </c>
      <c r="F95">
        <f>HYPERLINK("https://FCA.contacthr.com/150797425", "https://FCA.contacthr.com/150797425")</f>
        <v/>
      </c>
      <c r="G95" t="inlineStr">
        <is>
          <t>Auburn Hills, MI, US</t>
        </is>
      </c>
      <c r="H95" s="3" t="n">
        <v>46047</v>
      </c>
      <c r="I95" t="inlineStr">
        <is>
          <t>**Job Description:**  
The Mopar Accessory Program Manager is responsible for leading a cross functional team in the development of Accessory portfolios for STLA vehicle nameplates.
**Job responsibilities(Overview):**  
For a proposed new vehicle program and/or buzz model, lead the cross functional Mopar team by:
Working with Mopar Planning to compile an accessory portfolio.
Working with Mopar Engineering to assess technical feasibility, cost \&amp; timing of each accessory.
Compiling and submitting the final plan (ie. feasible parts with cost/timing) to either Product Committee for approval (if new vehicle) or a response to a bulletin(if buzz model).
Upon program approval, lead the cross functional Mopar team to:
Compile timelines for each accessory.
Acquire regular updates of each new accessory by leading weekly Program Management Team (PMT) meetings.
Update status reports.
Escalate and assist as needed to recover timing on any late accessory.
**Job responsibilities(Primary Roles):**  
Ensure the Product Plan is executed on time.
Primary liaison between Mopar and Vehicle Team.
Writing/tracking bulletins. Compiling and submitting responses to Vehicle Team.
Writing/tracking Engineering Requisitions.
Track spending of each program/part.
**Requirements:**  
**Basic Qualifications:**  
Bachelor's degree in any Engineering discipline from an accredited university.
A minimum of 8 years of engineering experience and/or program management with an emphasis on product design and development
Must demonstrate strong organizational and leadership skills.
Required ability to work with and lead cross functional groups.
Excel in building positive working relationships and conflict resolution.
Program lifecycle experience
Ability to break down barriers and roadblocks.
Very strong presentation \&amp; communication skills
Required proficiency in Microsoft Office applications
Strong time management skills
**Preferred Qualifications:**  
**Stellantis experience. Knowledge and understanding of:**  
Stellantis vehicle development process and milestones.
Stellantis systems (ie. Global Bulletin System, Pentasap, EBOM, etc).
Stellantis organization and contacts.
Previous Program Management or Leadership position in any organization/company.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96">
      <c r="A96" t="inlineStr">
        <is>
          <t>in-3c4f39f34c0681a9</t>
        </is>
      </c>
      <c r="B96" t="inlineStr">
        <is>
          <t>Supply Chain Program Manager</t>
        </is>
      </c>
      <c r="C96" t="inlineStr">
        <is>
          <t>GSK</t>
        </is>
      </c>
      <c r="D96" t="inlineStr">
        <is>
          <t>indeed</t>
        </is>
      </c>
      <c r="E96">
        <f>HYPERLINK("https://www.indeed.com/viewjob?jk=3c4f39f34c0681a9", "https://www.indeed.com/viewjob?jk=3c4f39f34c0681a9")</f>
        <v/>
      </c>
      <c r="F96">
        <f>HYPERLINK("https://gsk.wd5.myworkdayjobs.com/en-US/GSKCareers/job/USA---Pennsylvania---Marietta/Supply-Chain-Program-Manager_433452", "https://gsk.wd5.myworkdayjobs.com/en-US/GSKCareers/job/USA---Pennsylvania---Marietta/Supply-Chain-Program-Manager_433452")</f>
        <v/>
      </c>
      <c r="G96" t="inlineStr">
        <is>
          <t>Marietta, PA, US</t>
        </is>
      </c>
      <c r="H96" s="3" t="n">
        <v>46047</v>
      </c>
      <c r="I96" t="inlineStr">
        <is>
          <t>Business Introduction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Position Summary
The Supply Chain Program Manager is a cross functional role within the Supply Chain department. The position supports to meet customer expectations for Safety, Quality, Supply and Cost in alignment with all applicable external and internal standard and policies.
The position supports the Site Logistics Director in identifying and leading projects that drive continues improvement as well as managing annual budget.  
Responsibilities:
This role will provide YOU the opportunity to lead key activities to progress YOUR career. These responsibilities include some of the following:
* EHS Safety Plan
	+ Develop yearly Safety Plan as fundamental for a safe work environment.
	+ Responsible for timely completion of deliverables
* Supply Chain Project Management
	+ Identification of projects and initiatives that drive continues improvement in a constant changing environment.
	+ Managing and executing projects in collaboration with involved stakeholder
	+ Frequent reporting to Site Logistics Director about progress, risk and opportunities
	+ Support other local and global projects as directed.
* Accountable for Capital Expenditure Budget
	+ development, management and adherence
	+ frequent reporting as defined
* Perform evaluation to ensure site compliance with regulatory and internal standards for procedures management, change management and deviation investigation. Manage regulatory compliance with GMP, OSHA, FDA, EPA, DOT \&amp; EU. Controlled substances are tightly controlled and monitored.
* Act as business owner for improvements of business processes and SAP utilization for WMS, PP\-PI, and SCM modules. Interact with global teams to share best practices and influence improvements.
* Accountable for transportation management in Marietta. This includes technical assessments of service providers (trucking companies, airports, harbors, etc.…), route approval, and the completion of tripartite business reviews and inspections.
* Act as the site Technical Expert for all questions and issues related to Cold Chain,
	+ Key contact regarding subjects for other sites and outside contacts, receive the information and distribute to appropriate members of the site.
	+ Become the site leader in the technology – attend conferences, develop technical expertise, conduct onsite training, etc.
	+ Act as the site consultant for each area of technical expertise when issues arise.
	+ Assist with deviation and investigation handling for areas of expertise, lead investigations when appropriate.
	+ Assist with project definition during design of projects that involve area of expertise including support of IQ/OQ/PQ.
* Be site review participant for GSOP development in their area of expertise to provide key review output from Marietta to assure the site needs are being addressed and improve our standing with GQA. Provide functional expertise to exchange best practices with site.
* Risk Management
	+ establish and maintain recurrent process to identify departmental risks.
	+ together with risk owner identify appropriate mitigations.
	+ facilitate regular risk meeting for in\-depth reporting.
Why You?
This role is hybrid, with regular time on\-site in the United States and flexible remote work. You will join a team that values collaboration, curiosity, and continuous learning. You will be supported to grow your skills through coaching and practical stretch assignments. We welcome people who bring different perspectives and lived experience. You will be contributing to work that matters and seeing tangible results.
Basic Qualification
We are seeking professionals with the following required skills and qualifications to help us achieve our goals
* Bachelor’s degree in supply chain, engineering, business, or related field in Pharmaceutical Manufacturing or Quality Assurance
* 5\+ years’ experience with exposure to Warehouse/Supply Chain Processes, within a multinational manufacturing environment.
* Experience leading cross\-functional teams and multiple stakeholders.
* Experience with project management tools and structured methodologies.
* Experienced communicating with all levels within an organization.
Preferred Qualification
If you have the following characteristics, it would be a plus
* Full understanding of GMP’s, DOT, OSHA, EPA and other applicable regulatory agency requirements with demonstrated success in application.
* Excellent organizational skills and attention to detail, ability to function in an atmosphere of constant change with detailed accuracy.
* Demonstrated interpersonal skills. The ability to function within team\-based organization.
* Ability to establish and maintain working relationships locally and globally and the ability to analyze data and implement changes.
* Ability to lead the process to generate the exchange of ideas to resolve problems, prioritize solutions, select optimal solutions and implement decisions.
* The ability to communicate effectively, both verbally and in writing, to all levels within the organization as well as the skills to communicate site operations to outside agencies.
* Advanced computer skills in Microsoft Office applications and the ability to quickly and easily learn new applications
* Able to interact with peers, subordinate and senior personnel in multidisciplinary environment including engineering, facility operations, validation, production and QC. Ability to work in a high complex matrix environment.
* Able to prioritize and decide appropriate course of actions and to effectively implement decisions.
* Capable of working without direct supervision.
* Familiarity with Good Manufacturing Practices and NIH guidelines.
* Sense of urgency, flexibility and accountability.
* Ability to follow written procedures and document results in a neat and precise manner.
* Stay current on developments in the field and GSK Standards.
* Work within a multi\-skilled team.
* Demonstrate a serious commitment to accuracy and quality while meeting goals or deadlines.
* Maintain a high level of integrity while balancing multiple priorities and responsibilities.
\#LI\-GSK  
How to apply
If this role matches your experience and ambitions, we encourage you to apply. We look forward to learning how you can help us advance our supply chain capabilities and make a meaningful impact.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97">
      <c r="A97" t="inlineStr">
        <is>
          <t>in-ee540f2c1a35f9c9</t>
        </is>
      </c>
      <c r="B97" t="inlineStr">
        <is>
          <t>IT Program Manager - REMOTE</t>
        </is>
      </c>
      <c r="C97" t="inlineStr">
        <is>
          <t>JSR Tech Consulting</t>
        </is>
      </c>
      <c r="D97" t="inlineStr">
        <is>
          <t>indeed</t>
        </is>
      </c>
      <c r="E97">
        <f>HYPERLINK("https://www.indeed.com/viewjob?jk=ee540f2c1a35f9c9", "https://www.indeed.com/viewjob?jk=ee540f2c1a35f9c9")</f>
        <v/>
      </c>
      <c r="F97">
        <f>HYPERLINK("https://www1.jobdiva.com/candidates/myjobs/openjob_outside.jsp?a=ehjdnwmyyxmf5toz90iwpo1ep5ypcl0466sphrvzn3s298e3b0b0zova8aqp9hg9&amp;SearchString=&amp;StatesString=&amp;source=indeed.com&amp;id=31783051&amp;compid=-1", "https://www1.jobdiva.com/candidates/myjobs/openjob_outside.jsp?a=ehjdnwmyyxmf5toz90iwpo1ep5ypcl0466sphrvzn3s298e3b0b0zova8aqp9hg9&amp;SearchString=&amp;StatesString=&amp;source=indeed.com&amp;id=31783051&amp;compid=-1")</f>
        <v/>
      </c>
      <c r="G97" t="inlineStr">
        <is>
          <t>US</t>
        </is>
      </c>
      <c r="H97" s="3" t="n">
        <v>46047</v>
      </c>
      <c r="I97" t="inlineStr">
        <is>
          <t>Remote, Long term contract position with a major investment firm.
* Proactively support the API CoE lead with planning, tracking, communication, governance, and day to day program management tasks, ensuring initiatives remain on track and aligned with organizational goals.
* Help drive cross functional coordination for the API Transformation initiative, partnering with engineering, architecture, governance, product, security, and business teams to align on deliverables, timelines, dependencies, and success criteria.
* Streamline operational workflows, identifying process gaps, inefficiencies, and friction points, and implementing improvements to make the API CoE's business as usual operations more scalable and efficient.
* Facilitate task coordination across multiple teams, ensuring clear ownership, tracking progress, removing blockers, and escalating risks proactively to enable predictable program delivery.
* Lead capacity planning activities by assessing team bandwidth, forecasting needs, identifying resourcing gaps, and ensuring commitments are realistic and achievable.
* Provide clear, consistent updates to stakeholders, surfacing risks, and ensuring all groups remain aligned.
* Monitor milestones, KPIs, and deliverables, ensuring commitments are met and outcomes are measurable, transparent, and communicated effectively.
* Ensure program documentation is current, including roadmaps, status updates, risks and issues logs, capacity plans, decision records, and cross team agreements.
\#LI\-AR1</t>
        </is>
      </c>
    </row>
    <row r="98">
      <c r="A98" t="inlineStr">
        <is>
          <t>in-44f49bf90483f522</t>
        </is>
      </c>
      <c r="B98" t="inlineStr">
        <is>
          <t>Senior Technical Program Manager, Martech</t>
        </is>
      </c>
      <c r="C98" t="inlineStr">
        <is>
          <t>GEICO</t>
        </is>
      </c>
      <c r="D98" t="inlineStr">
        <is>
          <t>indeed</t>
        </is>
      </c>
      <c r="E98">
        <f>HYPERLINK("https://www.indeed.com/viewjob?jk=44f49bf90483f522", "https://www.indeed.com/viewjob?jk=44f49bf90483f522")</f>
        <v/>
      </c>
      <c r="F98">
        <f>HYPERLINK("https://click.appcast.io/t/6KtiCMpkvSB4OvKifxrPSc3PzhMZ7dWC10LAGyPQETw=", "https://click.appcast.io/t/6KtiCMpkvSB4OvKifxrPSc3PzhMZ7dWC10LAGyPQETw=")</f>
        <v/>
      </c>
      <c r="G98" t="inlineStr">
        <is>
          <t>New York, NY, US</t>
        </is>
      </c>
      <c r="H98" s="3" t="n">
        <v>46047</v>
      </c>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highly experienced **Senior Program Manager** to drive execution excellence across a complex portfolio of **Marketing Technology initiatives**. This role owns the operating rhythm, cross\-team coordination, dependency management, delivery predictability, and executive visibility across multiple product and platform teams.
You will partner directly with senior product leaders, engineering, AI, marketing, legal, compliance, privacy, and operations teams to ensure programs land on time, at quality, and at scale. This role is ideal for a systems thinker who thrives in ambiguity, manages large cross\-functional portfolios, and brings rigor to execution without slowing teams down.
Success will be measured by improved delivery predictability, faster cross\-team execution, reduced operational risk, and high confidence from executive stakeholders.
**Key Responsibilities**
**Portfolio Program Leadership**
* Own end\-to\-end program management across a portfolio of Marketing Technology and Growth initiatives (messaging automation platform (emails, notifications, SMS, etc) experimentation platforms, personalization, AI , analytics, SEO/AEO, data platforms).
* Translate strategic roadmaps into integrated execution plans with clear milestones, dependencies, risks, and resource alignment.
* Drive operating cadence across the portfolio: quarterly planning, roadmap reviews, execution health reviews, MBRs/QBRs, and executive updates.
**Cross\-Functional Orchestration**
* Align product, engineering, analytics, marketing, security, privacy, legal, and operations stakeholders toward shared delivery goals.
* Proactively surface and resolve cross\-team dependencies, resourcing conflicts, and sequencing constraints.
* Facilitate crisp decision\-making and tradeoff alignment at the right altitude.
**Execution Excellence \&amp; Delivery Predictability**
* Establish standardized program management practices: milestone tracking, risk management, change control, capacity planning, and delivery forecasting.
* Drive consistent execution metrics: on\-time delivery, scope stability, throughput, risk burn\-down, and operational readiness.
* Identify systemic execution bottlenecks and continuously improve operating mechanisms.
**Risk, Compliance \&amp; Operational Readiness**
* Ensure regulatory, privacy, security, and compliance requirements are integrated early into program planning and execution.
* Partner with legal, security, and governance teams to manage reviews, approvals, and launch readiness.
* Drive production readiness, go\-live coordination, and post\-launch retrospectives.
**AI \&amp; Platform Enablement Programs**
* Manage cross\-cutting AI and platform initiatives that span multiple teams and require tight coordination (data readiness, model deployment, experimentation infrastructure, observability, governance).
* Track AI program maturity across data quality, model readiness, infrastructure stability, and compliance controls.
**Executive Communication \&amp; Visibility**
* Build clear executive\-level narratives on portfolio health, risks, tradeoffs, and investment impact.
* Produce concise dashboards, status reports, and operating reviews aligned to leadership expectations.
* Anticipate escalations and proactively manage executive alignment.
 **Basic Qualifications**
* 7\+ years of program or technical program management experience leading large cross\-functional initiatives.
* Proven track record managing complex portfolios with multiple teams and interdependencies.
* Strong operational rigor in planning, execution tracking, and risk management.
* Excellent stakeholder management and executive communication skills.
* Experience operating in fast\-paced, ambiguous environments.
* Bachelor’s degree or equivalent practical experience.
 **Preferred Qualifications**
* Experience leading programs in **Marketing Technology, AdTech, Growth platforms, Data platforms, or AI/ML platforms**.
* Familiarity with agile delivery models, scaled planning frameworks, and modern engineering practices.
* Strong systems thinking with the ability to connect strategy to execution.
* Comfort working with technical architecture concepts, data pipelines, and platform dependencies.
* Experience in regulated or compliance\-driven environments (financial services, insurance, healthcare).
* PMP, PgMP, or similar certification a plus (not required)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in-41cd61f13416414d</t>
        </is>
      </c>
      <c r="B99" t="inlineStr">
        <is>
          <t>Senior Product Manager, Growth</t>
        </is>
      </c>
      <c r="C99" t="inlineStr">
        <is>
          <t>GEICO</t>
        </is>
      </c>
      <c r="D99" t="inlineStr">
        <is>
          <t>indeed</t>
        </is>
      </c>
      <c r="E99">
        <f>HYPERLINK("https://www.indeed.com/viewjob?jk=41cd61f13416414d", "https://www.indeed.com/viewjob?jk=41cd61f13416414d")</f>
        <v/>
      </c>
      <c r="F99">
        <f>HYPERLINK("https://click.appcast.io/t/6RKuPWmarI9Bu9ImQ1aSFrWX71ydFZ_Edr-Tek26PuE=", "https://click.appcast.io/t/6RKuPWmarI9Bu9ImQ1aSFrWX71ydFZ_Edr-Tek26PuE=")</f>
        <v/>
      </c>
      <c r="G99" t="inlineStr">
        <is>
          <t>Chicago, IL, US</t>
        </is>
      </c>
      <c r="H99" s="3" t="n">
        <v>46047</v>
      </c>
      <c r="I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Product Manager, Growth** to own the strategy and execution of our **landing experiences and conversion optimization platform**. This role is accountable for driving measurable improvements in **conversion rate, funnel efficiency, and customer experience** across high\-traffic digital entry points (SEO, paid media, partnerships, direct traffic).
This is a highly quantitative role with a **huge emphasis on experimentation velocity, causal measurement, and deep data fluency**. You will lead a cross\-functional squad of engineering, design, analytics, and marketing stakeholders to continuously test, learn, and scale winning customer experiences.
The ideal candidate is a seasoned **consumer / subscription growth PM** who thrives in high\-scale experimentation environments, understands how to build durable growth platforms (not just run isolated tests), and can translate insights into systematic product improvements.
A core expectation of this role is the ability to apply modern AI to accelerate growth velocity, improve decision quality, and unlock new optimization opportunities across experimentation, personalization, and funnel intelligence.
 **Key Responsibilities**
**Growth Strategy \&amp; Ownership**
* Own the end\-to\-end product strategy for **landing experiences and conversion optimization**, aligned to GEICO’s growth and digital transformation goals.
* Define north\-star metrics and KPI trees (conversion rate, funnel yield, cost per bind, experimentation velocity, statistical power, latency, reliability).
* Identify the highest\-leverage opportunities to improve acquisition and conversion across traffic sources, devices, and customer segments.
**Experimentation at Scale**
* Build and operate a **high\-velocity experimentation engine**:
* Hypothesis generation grounded in behavioral data and funnel analytics
* Experiment design (A/B, multivariate, sequential testing, CUPED, guardrails)
* Statistical rigor, power analysis, and causal inference
* Rapid iteration and scaled rollout of winners
* Increase experiment throughput, cycle time, and learning velocity while maintaining data integrity and platform stability.
* Partner closely with AI / data science to evolve experimentation methodologies and tooling.
**Landing Experience \&amp; Personalization**
* Drive continuous optimization of landing flows, content personalization, page performance, messaging relevance, and friction reduction.
* Leverage behavioral data, intent signals, and AI\-driven personalization to dynamically tailor experiences.
* Collaborate with SEO/AEO, paid acquisition, and lifecycle teams to optimize end\-to\-end journeys.
**Platform \&amp; Systems Thinking**
* Treat growth not as one\-off experiments, but as **scalable product platforms**:
* Experimentation infrastructure
* Feature flagging and rollout controls
* Analytics pipelines and dashboards
* Personalization services
* CMS and content orchestration
* Influence architectural decisions to ensure reliability, privacy compliance, and scalability.
**Data \&amp; Analytics Leadership**
* Be deeply hands\-on with data: funnel analysis, cohort analysis, attribution, experimentation analytics, instrumentation quality, and anomaly detection.
* Translate ambiguous signals into actionable product insights and roadmap decisions.
* Ensure high data quality, governance, and observability across experimentation pipelines.
**Cross\-Functional Leadership**
* Lead a full\-stack product squad (engineering, UX, analytics, AI, program).
* Partner with marketing, sales, growth ops, compliance, legal, privacy, and security teams.
* Communicate clearly with executives using structured narratives, metrics, and impact framing.
 **Basic Qualifications**
* 5\+ years of product management experience, with **significant ownership in consumer or subscription growth products**. Preferably, in the insurance sector.
* Proven track record driving **conversion rate optimization and experimentation at scale**.
* Strong quantitative background with hands\-on experience analyzing large datasets.
* Experience working with experimentation platforms (StatSig, Optimizely, Adobe Target, internal frameworks, feature flag systems).
* Excellent written and verbal communication skills.
* Bachelor’s degree or equivalent practical experience.
 **Preferred Qualifications**
* Experience building or scaling growth platforms rather than isolated experiments.
* Experience with A/B testing statistics, power analysis, false positives, bias control
* Experience with Funnel instrumentation and analytics pipelines
* Expertise on SQL, dashboards (Looker, Tableau, Mode), and experimentation tooling
* Familiarity with Feature flag systems and controlled rollouts
* Experience in regulated or privacy\-sensitive environments (financial services, healthcare, insurance).
* Exposure to personalization, recommendation systems, or AI\-driven optimization.
* MBA, MS, or technical degree a plus.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0">
      <c r="A100" t="inlineStr">
        <is>
          <t>in-7f06b3d9f7173763</t>
        </is>
      </c>
      <c r="B100" t="inlineStr">
        <is>
          <t>Senior Technical Program Manager, Martech</t>
        </is>
      </c>
      <c r="C100" t="inlineStr">
        <is>
          <t>GEICO</t>
        </is>
      </c>
      <c r="D100" t="inlineStr">
        <is>
          <t>indeed</t>
        </is>
      </c>
      <c r="E100">
        <f>HYPERLINK("https://www.indeed.com/viewjob?jk=7f06b3d9f7173763", "https://www.indeed.com/viewjob?jk=7f06b3d9f7173763")</f>
        <v/>
      </c>
      <c r="F100">
        <f>HYPERLINK("https://click.appcast.io/t/g1nxCiVZdPTQRI9PDOJTKpCeulQGQougg9qTwnzrC-E=", "https://click.appcast.io/t/g1nxCiVZdPTQRI9PDOJTKpCeulQGQougg9qTwnzrC-E=")</f>
        <v/>
      </c>
      <c r="G100" t="inlineStr">
        <is>
          <t>Palo Alto, CA, US</t>
        </is>
      </c>
      <c r="H100" s="3" t="n">
        <v>46047</v>
      </c>
      <c r="I1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highly experienced **Senior Program Manager** to drive execution excellence across a complex portfolio of **Marketing Technology initiatives**. This role owns the operating rhythm, cross\-team coordination, dependency management, delivery predictability, and executive visibility across multiple product and platform teams.
You will partner directly with senior product leaders, engineering, AI, marketing, legal, compliance, privacy, and operations teams to ensure programs land on time, at quality, and at scale. This role is ideal for a systems thinker who thrives in ambiguity, manages large cross\-functional portfolios, and brings rigor to execution without slowing teams down.
Success will be measured by improved delivery predictability, faster cross\-team execution, reduced operational risk, and high confidence from executive stakeholders.
**Key Responsibilities**
**Portfolio Program Leadership**
* Own end\-to\-end program management across a portfolio of Marketing Technology and Growth initiatives (messaging automation platform (emails, notifications, SMS, etc) experimentation platforms, personalization, AI , analytics, SEO/AEO, data platforms).
* Translate strategic roadmaps into integrated execution plans with clear milestones, dependencies, risks, and resource alignment.
* Drive operating cadence across the portfolio: quarterly planning, roadmap reviews, execution health reviews, MBRs/QBRs, and executive updates.
**Cross\-Functional Orchestration**
* Align product, engineering, analytics, marketing, security, privacy, legal, and operations stakeholders toward shared delivery goals.
* Proactively surface and resolve cross\-team dependencies, resourcing conflicts, and sequencing constraints.
* Facilitate crisp decision\-making and tradeoff alignment at the right altitude.
**Execution Excellence \&amp; Delivery Predictability**
* Establish standardized program management practices: milestone tracking, risk management, change control, capacity planning, and delivery forecasting.
* Drive consistent execution metrics: on\-time delivery, scope stability, throughput, risk burn\-down, and operational readiness.
* Identify systemic execution bottlenecks and continuously improve operating mechanisms.
**Risk, Compliance \&amp; Operational Readiness**
* Ensure regulatory, privacy, security, and compliance requirements are integrated early into program planning and execution.
* Partner with legal, security, and governance teams to manage reviews, approvals, and launch readiness.
* Drive production readiness, go\-live coordination, and post\-launch retrospectives.
**AI \&amp; Platform Enablement Programs**
* Manage cross\-cutting AI and platform initiatives that span multiple teams and require tight coordination (data readiness, model deployment, experimentation infrastructure, observability, governance).
* Track AI program maturity across data quality, model readiness, infrastructure stability, and compliance controls.
**Executive Communication \&amp; Visibility**
* Build clear executive\-level narratives on portfolio health, risks, tradeoffs, and investment impact.
* Produce concise dashboards, status reports, and operating reviews aligned to leadership expectations.
* Anticipate escalations and proactively manage executive alignment.
 **Basic Qualifications**
* 7\+ years of program or technical program management experience leading large cross\-functional initiatives.
* Proven track record managing complex portfolios with multiple teams and interdependencies.
* Strong operational rigor in planning, execution tracking, and risk management.
* Excellent stakeholder management and executive communication skills.
* Experience operating in fast\-paced, ambiguous environments.
* Bachelor’s degree or equivalent practical experience.
 **Preferred Qualifications**
* Experience leading programs in **Marketing Technology, AdTech, Growth platforms, Data platforms, or AI/ML platforms**.
* Familiarity with agile delivery models, scaled planning frameworks, and modern engineering practices.
* Strong systems thinking with the ability to connect strategy to execution.
* Comfort working with technical architecture concepts, data pipelines, and platform dependencies.
* Experience in regulated or compliance\-driven environments (financial services, insurance, healthcare).
* PMP, PgMP, or similar certification a plus (not required)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1">
      <c r="A101" t="inlineStr">
        <is>
          <t>in-56fc41fa20e6f08e</t>
        </is>
      </c>
      <c r="B101" t="inlineStr">
        <is>
          <t>Senior Product Manager, Growth</t>
        </is>
      </c>
      <c r="C101" t="inlineStr">
        <is>
          <t>GEICO</t>
        </is>
      </c>
      <c r="D101" t="inlineStr">
        <is>
          <t>indeed</t>
        </is>
      </c>
      <c r="E101">
        <f>HYPERLINK("https://www.indeed.com/viewjob?jk=56fc41fa20e6f08e", "https://www.indeed.com/viewjob?jk=56fc41fa20e6f08e")</f>
        <v/>
      </c>
      <c r="F101">
        <f>HYPERLINK("https://click.appcast.io/t/jF6qIGFkj0W3qhrU7GEB6qPEdqAbFOhArOyUiZiXhJY=", "https://click.appcast.io/t/jF6qIGFkj0W3qhrU7GEB6qPEdqAbFOhArOyUiZiXhJY=")</f>
        <v/>
      </c>
      <c r="G101" t="inlineStr">
        <is>
          <t>Palo Alto, CA, US</t>
        </is>
      </c>
      <c r="H101" s="3" t="n">
        <v>46047</v>
      </c>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Product Manager, Growth** to own the strategy and execution of our **landing experiences and conversion optimization platform**. This role is accountable for driving measurable improvements in **conversion rate, funnel efficiency, and customer experience** across high\-traffic digital entry points (SEO, paid media, partnerships, direct traffic).
This is a highly quantitative role with a **huge emphasis on experimentation velocity, causal measurement, and deep data fluency**. You will lead a cross\-functional squad of engineering, design, analytics, and marketing stakeholders to continuously test, learn, and scale winning customer experiences.
The ideal candidate is a seasoned **consumer / subscription growth PM** who thrives in high\-scale experimentation environments, understands how to build durable growth platforms (not just run isolated tests), and can translate insights into systematic product improvements.
A core expectation of this role is the ability to apply modern AI to accelerate growth velocity, improve decision quality, and unlock new optimization opportunities across experimentation, personalization, and funnel intelligence.
 **Key Responsibilities**
**Growth Strategy \&amp; Ownership**
* Own the end\-to\-end product strategy for **landing experiences and conversion optimization**, aligned to GEICO’s growth and digital transformation goals.
* Define north\-star metrics and KPI trees (conversion rate, funnel yield, cost per bind, experimentation velocity, statistical power, latency, reliability).
* Identify the highest\-leverage opportunities to improve acquisition and conversion across traffic sources, devices, and customer segments.
**Experimentation at Scale**
* Build and operate a **high\-velocity experimentation engine**:
* Hypothesis generation grounded in behavioral data and funnel analytics
* Experiment design (A/B, multivariate, sequential testing, CUPED, guardrails)
* Statistical rigor, power analysis, and causal inference
* Rapid iteration and scaled rollout of winners
* Increase experiment throughput, cycle time, and learning velocity while maintaining data integrity and platform stability.
* Partner closely with AI / data science to evolve experimentation methodologies and tooling.
**Landing Experience \&amp; Personalization**
* Drive continuous optimization of landing flows, content personalization, page performance, messaging relevance, and friction reduction.
* Leverage behavioral data, intent signals, and AI\-driven personalization to dynamically tailor experiences.
* Collaborate with SEO/AEO, paid acquisition, and lifecycle teams to optimize end\-to\-end journeys.
**Platform \&amp; Systems Thinking**
* Treat growth not as one\-off experiments, but as **scalable product platforms**:
* Experimentation infrastructure
* Feature flagging and rollout controls
* Analytics pipelines and dashboards
* Personalization services
* CMS and content orchestration
* Influence architectural decisions to ensure reliability, privacy compliance, and scalability.
**Data \&amp; Analytics Leadership**
* Be deeply hands\-on with data: funnel analysis, cohort analysis, attribution, experimentation analytics, instrumentation quality, and anomaly detection.
* Translate ambiguous signals into actionable product insights and roadmap decisions.
* Ensure high data quality, governance, and observability across experimentation pipelines.
**Cross\-Functional Leadership**
* Lead a full\-stack product squad (engineering, UX, analytics, AI, program).
* Partner with marketing, sales, growth ops, compliance, legal, privacy, and security teams.
* Communicate clearly with executives using structured narratives, metrics, and impact framing.
 **Basic Qualifications**
* 5\+ years of product management experience, with **significant ownership in consumer or subscription growth products**. Preferably, in the insurance sector.
* Proven track record driving **conversion rate optimization and experimentation at scale**.
* Strong quantitative background with hands\-on experience analyzing large datasets.
* Experience working with experimentation platforms (StatSig, Optimizely, Adobe Target, internal frameworks, feature flag systems).
* Excellent written and verbal communication skills.
* Bachelor’s degree or equivalent practical experience.
 **Preferred Qualifications**
* Experience building or scaling growth platforms rather than isolated experiments.
* Experience with A/B testing statistics, power analysis, false positives, bias control
* Experience with Funnel instrumentation and analytics pipelines
* Expertise on SQL, dashboards (Looker, Tableau, Mode), and experimentation tooling
* Familiarity with Feature flag systems and controlled rollouts
* Experience in regulated or privacy\-sensitive environments (financial services, healthcare, insurance).
* Exposure to personalization, recommendation systems, or AI\-driven optimization.
* MBA, MS, or technical degree a plus.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in-4ce639fb4f666025</t>
        </is>
      </c>
      <c r="B102" t="inlineStr">
        <is>
          <t>Senior Technical Program Manager, Martech</t>
        </is>
      </c>
      <c r="C102" t="inlineStr">
        <is>
          <t>GEICO</t>
        </is>
      </c>
      <c r="D102" t="inlineStr">
        <is>
          <t>indeed</t>
        </is>
      </c>
      <c r="E102">
        <f>HYPERLINK("https://www.indeed.com/viewjob?jk=4ce639fb4f666025", "https://www.indeed.com/viewjob?jk=4ce639fb4f666025")</f>
        <v/>
      </c>
      <c r="F102">
        <f>HYPERLINK("https://click.appcast.io/t/WohxrbAG1BGj1x5QlQSTVCeODiP7dBRhMe_IxaRqptY=", "https://click.appcast.io/t/WohxrbAG1BGj1x5QlQSTVCeODiP7dBRhMe_IxaRqptY=")</f>
        <v/>
      </c>
      <c r="G102" t="inlineStr">
        <is>
          <t>Chicago, IL, US</t>
        </is>
      </c>
      <c r="H102" s="3" t="n">
        <v>46047</v>
      </c>
      <c r="I1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highly experienced **Senior Program Manager** to drive execution excellence across a complex portfolio of **Marketing Technology initiatives**. This role owns the operating rhythm, cross\-team coordination, dependency management, delivery predictability, and executive visibility across multiple product and platform teams.
You will partner directly with senior product leaders, engineering, AI, marketing, legal, compliance, privacy, and operations teams to ensure programs land on time, at quality, and at scale. This role is ideal for a systems thinker who thrives in ambiguity, manages large cross\-functional portfolios, and brings rigor to execution without slowing teams down.
Success will be measured by improved delivery predictability, faster cross\-team execution, reduced operational risk, and high confidence from executive stakeholders.
**Key Responsibilities**
**Portfolio Program Leadership**
* Own end\-to\-end program management across a portfolio of Marketing Technology and Growth initiatives (messaging automation platform (emails, notifications, SMS, etc) experimentation platforms, personalization, AI , analytics, SEO/AEO, data platforms).
* Translate strategic roadmaps into integrated execution plans with clear milestones, dependencies, risks, and resource alignment.
* Drive operating cadence across the portfolio: quarterly planning, roadmap reviews, execution health reviews, MBRs/QBRs, and executive updates.
**Cross\-Functional Orchestration**
* Align product, engineering, analytics, marketing, security, privacy, legal, and operations stakeholders toward shared delivery goals.
* Proactively surface and resolve cross\-team dependencies, resourcing conflicts, and sequencing constraints.
* Facilitate crisp decision\-making and tradeoff alignment at the right altitude.
**Execution Excellence \&amp; Delivery Predictability**
* Establish standardized program management practices: milestone tracking, risk management, change control, capacity planning, and delivery forecasting.
* Drive consistent execution metrics: on\-time delivery, scope stability, throughput, risk burn\-down, and operational readiness.
* Identify systemic execution bottlenecks and continuously improve operating mechanisms.
**Risk, Compliance \&amp; Operational Readiness**
* Ensure regulatory, privacy, security, and compliance requirements are integrated early into program planning and execution.
* Partner with legal, security, and governance teams to manage reviews, approvals, and launch readiness.
* Drive production readiness, go\-live coordination, and post\-launch retrospectives.
**AI \&amp; Platform Enablement Programs**
* Manage cross\-cutting AI and platform initiatives that span multiple teams and require tight coordination (data readiness, model deployment, experimentation infrastructure, observability, governance).
* Track AI program maturity across data quality, model readiness, infrastructure stability, and compliance controls.
**Executive Communication \&amp; Visibility**
* Build clear executive\-level narratives on portfolio health, risks, tradeoffs, and investment impact.
* Produce concise dashboards, status reports, and operating reviews aligned to leadership expectations.
* Anticipate escalations and proactively manage executive alignment.
 **Basic Qualifications**
* 7\+ years of program or technical program management experience leading large cross\-functional initiatives.
* Proven track record managing complex portfolios with multiple teams and interdependencies.
* Strong operational rigor in planning, execution tracking, and risk management.
* Excellent stakeholder management and executive communication skills.
* Experience operating in fast\-paced, ambiguous environments.
* Bachelor’s degree or equivalent practical experience.
 **Preferred Qualifications**
* Experience leading programs in **Marketing Technology, AdTech, Growth platforms, Data platforms, or AI/ML platforms**.
* Familiarity with agile delivery models, scaled planning frameworks, and modern engineering practices.
* Strong systems thinking with the ability to connect strategy to execution.
* Comfort working with technical architecture concepts, data pipelines, and platform dependencies.
* Experience in regulated or compliance\-driven environments (financial services, insurance, healthcare).
* PMP, PgMP, or similar certification a plus (not required)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3">
      <c r="A103" t="inlineStr">
        <is>
          <t>in-ffe7dc94e30cb151</t>
        </is>
      </c>
      <c r="B103" t="inlineStr">
        <is>
          <t>Senior Product Manager, Growth</t>
        </is>
      </c>
      <c r="C103" t="inlineStr">
        <is>
          <t>GEICO</t>
        </is>
      </c>
      <c r="D103" t="inlineStr">
        <is>
          <t>indeed</t>
        </is>
      </c>
      <c r="E103">
        <f>HYPERLINK("https://www.indeed.com/viewjob?jk=ffe7dc94e30cb151", "https://www.indeed.com/viewjob?jk=ffe7dc94e30cb151")</f>
        <v/>
      </c>
      <c r="F103">
        <f>HYPERLINK("https://click.appcast.io/t/1eQk951g4M1sNGwTXz_TTsWw3fTemmWCyr6By3h5Yk8=", "https://click.appcast.io/t/1eQk951g4M1sNGwTXz_TTsWw3fTemmWCyr6By3h5Yk8=")</f>
        <v/>
      </c>
      <c r="G103" t="inlineStr">
        <is>
          <t>New York, NY, US</t>
        </is>
      </c>
      <c r="H103" s="3" t="n">
        <v>46047</v>
      </c>
      <c r="I10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Product Manager, Growth** to own the strategy and execution of our **landing experiences and conversion optimization platform**. This role is accountable for driving measurable improvements in **conversion rate, funnel efficiency, and customer experience** across high\-traffic digital entry points (SEO, paid media, partnerships, direct traffic).
This is a highly quantitative role with a **huge emphasis on experimentation velocity, causal measurement, and deep data fluency**. You will lead a cross\-functional squad of engineering, design, analytics, and marketing stakeholders to continuously test, learn, and scale winning customer experiences.
The ideal candidate is a seasoned **consumer / subscription growth PM** who thrives in high\-scale experimentation environments, understands how to build durable growth platforms (not just run isolated tests), and can translate insights into systematic product improvements.
A core expectation of this role is the ability to apply modern AI to accelerate growth velocity, improve decision quality, and unlock new optimization opportunities across experimentation, personalization, and funnel intelligence.
 **Key Responsibilities**
**Growth Strategy \&amp; Ownership**
* Own the end\-to\-end product strategy for **landing experiences and conversion optimization**, aligned to GEICO’s growth and digital transformation goals.
* Define north\-star metrics and KPI trees (conversion rate, funnel yield, cost per bind, experimentation velocity, statistical power, latency, reliability).
* Identify the highest\-leverage opportunities to improve acquisition and conversion across traffic sources, devices, and customer segments.
**Experimentation at Scale**
* Build and operate a **high\-velocity experimentation engine**:
* Hypothesis generation grounded in behavioral data and funnel analytics
* Experiment design (A/B, multivariate, sequential testing, CUPED, guardrails)
* Statistical rigor, power analysis, and causal inference
* Rapid iteration and scaled rollout of winners
* Increase experiment throughput, cycle time, and learning velocity while maintaining data integrity and platform stability.
* Partner closely with AI / data science to evolve experimentation methodologies and tooling.
**Landing Experience \&amp; Personalization**
* Drive continuous optimization of landing flows, content personalization, page performance, messaging relevance, and friction reduction.
* Leverage behavioral data, intent signals, and AI\-driven personalization to dynamically tailor experiences.
* Collaborate with SEO/AEO, paid acquisition, and lifecycle teams to optimize end\-to\-end journeys.
**Platform \&amp; Systems Thinking**
* Treat growth not as one\-off experiments, but as **scalable product platforms**:
* Experimentation infrastructure
* Feature flagging and rollout controls
* Analytics pipelines and dashboards
* Personalization services
* CMS and content orchestration
* Influence architectural decisions to ensure reliability, privacy compliance, and scalability.
**Data \&amp; Analytics Leadership**
* Be deeply hands\-on with data: funnel analysis, cohort analysis, attribution, experimentation analytics, instrumentation quality, and anomaly detection.
* Translate ambiguous signals into actionable product insights and roadmap decisions.
* Ensure high data quality, governance, and observability across experimentation pipelines.
**Cross\-Functional Leadership**
* Lead a full\-stack product squad (engineering, UX, analytics, AI, program).
* Partner with marketing, sales, growth ops, compliance, legal, privacy, and security teams.
* Communicate clearly with executives using structured narratives, metrics, and impact framing.
 **Basic Qualifications**
* 5\+ years of product management experience, with **significant ownership in consumer or subscription growth products**. Preferably, in the insurance sector.
* Proven track record driving **conversion rate optimization and experimentation at scale**.
* Strong quantitative background with hands\-on experience analyzing large datasets.
* Experience working with experimentation platforms (StatSig, Optimizely, Adobe Target, internal frameworks, feature flag systems).
* Excellent written and verbal communication skills.
* Bachelor’s degree or equivalent practical experience.
 **Preferred Qualifications**
* Experience building or scaling growth platforms rather than isolated experiments.
* Experience with A/B testing statistics, power analysis, false positives, bias control
* Experience with Funnel instrumentation and analytics pipelines
* Expertise on SQL, dashboards (Looker, Tableau, Mode), and experimentation tooling
* Familiarity with Feature flag systems and controlled rollouts
* Experience in regulated or privacy\-sensitive environments (financial services, healthcare, insurance).
* Exposure to personalization, recommendation systems, or AI\-driven optimization.
* MBA, MS, or technical degree a plus.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4">
      <c r="A104" t="inlineStr">
        <is>
          <t>in-8b924c6cb4f1a62b</t>
        </is>
      </c>
      <c r="B104" t="inlineStr">
        <is>
          <t>Senior Technical Program Manager, Martech</t>
        </is>
      </c>
      <c r="C104" t="inlineStr">
        <is>
          <t>GEICO</t>
        </is>
      </c>
      <c r="D104" t="inlineStr">
        <is>
          <t>indeed</t>
        </is>
      </c>
      <c r="E104">
        <f>HYPERLINK("https://www.indeed.com/viewjob?jk=8b924c6cb4f1a62b", "https://www.indeed.com/viewjob?jk=8b924c6cb4f1a62b")</f>
        <v/>
      </c>
      <c r="F104">
        <f>HYPERLINK("https://click.appcast.io/t/sBPu2iPDUrP6BmFbIbqEiG3L__AZgx6staoAYhY0TbE=", "https://click.appcast.io/t/sBPu2iPDUrP6BmFbIbqEiG3L__AZgx6staoAYhY0TbE=")</f>
        <v/>
      </c>
      <c r="G104" t="inlineStr">
        <is>
          <t>Washington, DC, US</t>
        </is>
      </c>
      <c r="H104" s="3" t="n">
        <v>46047</v>
      </c>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highly experienced **Senior Program Manager** to drive execution excellence across a complex portfolio of **Marketing Technology initiatives**. This role owns the operating rhythm, cross\-team coordination, dependency management, delivery predictability, and executive visibility across multiple product and platform teams.
You will partner directly with senior product leaders, engineering, AI, marketing, legal, compliance, privacy, and operations teams to ensure programs land on time, at quality, and at scale. This role is ideal for a systems thinker who thrives in ambiguity, manages large cross\-functional portfolios, and brings rigor to execution without slowing teams down.
Success will be measured by improved delivery predictability, faster cross\-team execution, reduced operational risk, and high confidence from executive stakeholders.
**Key Responsibilities**
**Portfolio Program Leadership**
* Own end\-to\-end program management across a portfolio of Marketing Technology and Growth initiatives (messaging automation platform (emails, notifications, SMS, etc) experimentation platforms, personalization, AI , analytics, SEO/AEO, data platforms).
* Translate strategic roadmaps into integrated execution plans with clear milestones, dependencies, risks, and resource alignment.
* Drive operating cadence across the portfolio: quarterly planning, roadmap reviews, execution health reviews, MBRs/QBRs, and executive updates.
**Cross\-Functional Orchestration**
* Align product, engineering, analytics, marketing, security, privacy, legal, and operations stakeholders toward shared delivery goals.
* Proactively surface and resolve cross\-team dependencies, resourcing conflicts, and sequencing constraints.
* Facilitate crisp decision\-making and tradeoff alignment at the right altitude.
**Execution Excellence \&amp; Delivery Predictability**
* Establish standardized program management practices: milestone tracking, risk management, change control, capacity planning, and delivery forecasting.
* Drive consistent execution metrics: on\-time delivery, scope stability, throughput, risk burn\-down, and operational readiness.
* Identify systemic execution bottlenecks and continuously improve operating mechanisms.
**Risk, Compliance \&amp; Operational Readiness**
* Ensure regulatory, privacy, security, and compliance requirements are integrated early into program planning and execution.
* Partner with legal, security, and governance teams to manage reviews, approvals, and launch readiness.
* Drive production readiness, go\-live coordination, and post\-launch retrospectives.
**AI \&amp; Platform Enablement Programs**
* Manage cross\-cutting AI and platform initiatives that span multiple teams and require tight coordination (data readiness, model deployment, experimentation infrastructure, observability, governance).
* Track AI program maturity across data quality, model readiness, infrastructure stability, and compliance controls.
**Executive Communication \&amp; Visibility**
* Build clear executive\-level narratives on portfolio health, risks, tradeoffs, and investment impact.
* Produce concise dashboards, status reports, and operating reviews aligned to leadership expectations.
* Anticipate escalations and proactively manage executive alignment.
 **Basic Qualifications**
* 7\+ years of program or technical program management experience leading large cross\-functional initiatives.
* Proven track record managing complex portfolios with multiple teams and interdependencies.
* Strong operational rigor in planning, execution tracking, and risk management.
* Excellent stakeholder management and executive communication skills.
* Experience operating in fast\-paced, ambiguous environments.
* Bachelor’s degree or equivalent practical experience.
 **Preferred Qualifications**
* Experience leading programs in **Marketing Technology, AdTech, Growth platforms, Data platforms, or AI/ML platforms**.
* Familiarity with agile delivery models, scaled planning frameworks, and modern engineering practices.
* Strong systems thinking with the ability to connect strategy to execution.
* Comfort working with technical architecture concepts, data pipelines, and platform dependencies.
* Experience in regulated or compliance\-driven environments (financial services, insurance, healthcare).
* PMP, PgMP, or similar certification a plus (not required)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in-ce228cf5d288d683</t>
        </is>
      </c>
      <c r="B105" t="inlineStr">
        <is>
          <t>Product Manager</t>
        </is>
      </c>
      <c r="C105" t="inlineStr">
        <is>
          <t>NAPA Auto Parts</t>
        </is>
      </c>
      <c r="D105" t="inlineStr">
        <is>
          <t>indeed</t>
        </is>
      </c>
      <c r="E105">
        <f>HYPERLINK("https://www.indeed.com/viewjob?jk=ce228cf5d288d683", "https://www.indeed.com/viewjob?jk=ce228cf5d288d683")</f>
        <v/>
      </c>
      <c r="F105">
        <f>HYPERLINK("https://genpt.wd1.myworkdayjobs.com/Careers/job/Atlanta-GA-USA/Product-Manager_R26_0000002575", "https://genpt.wd1.myworkdayjobs.com/Careers/job/Atlanta-GA-USA/Product-Manager_R26_0000002575")</f>
        <v/>
      </c>
      <c r="G105" t="inlineStr">
        <is>
          <t>Atlanta, GA, US</t>
        </is>
      </c>
      <c r="H105" s="3" t="n">
        <v>46047</v>
      </c>
      <c r="I105" t="inlineStr">
        <is>
          <t>**Position Mission:**
Responsible for leading marketing activities for assigned product categories and market segments, driving the design, development, execution and management of product and pricing strategies, programs, and other initiatives to influence company’s success in both USA and Canada
**Position Performance Measures:**
* Profit Quota
* Sales Quota
* Inventory Turnover Quota
* Market Share
 **Responsibilities:**
* Lead all components of the marketing mix including product, pricing, placement and promotions
* Lead role in synthesizing insights to develop business cases for new business opportunities
* Collaborate with other Rayloc departments, vendors, and customer teams to develop strategic growth plans and play a key role in executing on those plans
* Conduct complex market segment analysis and research to identify key market opportunities. Develop marketing initiatives that enable the successful exploitation of opportunities
* Support development and execution of measurable integrated marketing initiatives to build brand awareness and generate leads including the project plan, alignment of resources and efforts, resolution of issues, and progress reports to management.
* Perform other duties as needed and assigned
 **Experience, Education, and Abilities:**
* Bachelor's degree with concentration in marketing or business preferred or equivalent combination of education and experience
* Minimum 5 years of experience in marketing, analytics, sales, or product management
* Previous automotive and/or manufacturing experience preferred
* Must have demonstrated leadership skills, excellent communication (written and presentation) and negotiation skills
* Must be analytical, detail\-oriented, organized, results\-oriented, and have the ability to multi\-task
* Strong data analysis skills, including advanced\-level Excel and Intermediate or better level Access skills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106">
      <c r="A106" t="inlineStr">
        <is>
          <t>in-814b354669632ac3</t>
        </is>
      </c>
      <c r="B106" t="inlineStr">
        <is>
          <t>Program Management Spec III (AI Program Manager)</t>
        </is>
      </c>
      <c r="C106" t="inlineStr">
        <is>
          <t>Texas Comptroller of Public Accounts</t>
        </is>
      </c>
      <c r="D106" t="inlineStr">
        <is>
          <t>indeed</t>
        </is>
      </c>
      <c r="E106">
        <f>HYPERLINK("https://www.indeed.com/viewjob?jk=814b354669632ac3", "https://www.indeed.com/viewjob?jk=814b354669632ac3")</f>
        <v/>
      </c>
      <c r="F106">
        <f>HYPERLINK("https://capps.taleo.net/careersection/ex/jobdetail.ftl?job=00055713&amp;tz=GMT-06%3A00&amp;tzname=America%2FChicago", "https://capps.taleo.net/careersection/ex/jobdetail.ftl?job=00055713&amp;tz=GMT-06%3A00&amp;tzname=America%2FChicago")</f>
        <v/>
      </c>
      <c r="G106" t="inlineStr">
        <is>
          <t>Austin, TX, US</t>
        </is>
      </c>
      <c r="H106" s="3" t="n">
        <v>46047</v>
      </c>
      <c r="I106" t="inlineStr">
        <is>
          <t>**Program Management Spec III (AI Program Manager)** **(****00055713****)**
**Organization****:** DEPARTMENT OF INFORMATION RESOURCES
**Primary Location****:** Texas\-Austin
**Work Locations****:** WP Clements (313\-00001\) 300 W 15TH ST STE 1300 Austin 78701  
**Job****:** Management
**Employee Status****:** Regular
**Schedule****:** Full\-time
**Standard Hours Per Week****:** 40\.00
**State Job Code****:** 1672
**Salary Admin Plan****:** B
**Grade****:** 27
**Salary (Pay Basis)****:** 8,333\.25 \- 9,850\.00 (Monthly)
**Number of Openings****:** 1
**Overtime Status****:** Exempt
**Job Posting****:** Jan 26, 2026, 3:44:57 PM
**Closing Date**: Feb 10, 2026, 11:59:00 PM
**Description**
**Job Posting:**
00055713
**Opened****:**
1/26/2026
**Closes:**
2/10/2026
**Position Title:**
Program Management Specialist III (AI Program Manager)
**Class/Group:**
1672/B27
**Military Occupation Specialty Code:**
N/A
**Fair Labor Standards Act Status****:**
Exempt
**Number of Vacancies****:**
1
**Division/Section****:**
Artificial Intelligence and Innovation Office/AI \&amp; Innovation
**Salary Range****:**
$8,333\.25 \- $9,850\.00/month
**Duration:**
Regular
**Hours Worked Weekly****:**
40
**Travel:**
Occasional
**Work Location:**
300 W. 15th Street, \#1300 / Austin, Texas 78701
**Web site:**
https://dir.texas.gov/
**Refer Inquiries to:**
People and Culture Office
**Telephone:**
(512\) 475\-4957
**How To Apply:*** Select the link below to search for this position: https://capps.taleo.net/careersection/313/jobsearch.ftl?lang\=en
* Enter the job posting number “00055713” in the keyword search.
* You must create a CAPPS Career Section candidate profile or be logged in to apply.
* Update your profile and apply for the job by navigating through the pages and steps.
* Once ready, select “Submit” on the “Review and Submit” page.
* If you have problems accessing the CAPPS Career Section, please follow the instructions in the Resetting CAPPS Password for Job Candidate desk aid.
**Special Instructions:*** Applicants must provide in\-depth information in the **EXPERIENCE \&amp; CREDENTIALS** section to demonstrate how they meet the position qualifications. Incomplete applications may result in disqualification.
* Resumes may be uploaded as an attachment but are not accepted in lieu of the information required in the **EXPERIENCE \&amp; CREDENTIALS** section of the application.
**Interview Place/Time:**
Candidates will be notified for appointments as determined by the selection committee.
**Selective Service Registration:**
Section 651\.005 of the Government Code requires males, ages 18 through 25 years, to provide proof of their Selective Service registration or proof of their exemption from the requirement as a condition of state employment.
**H\-1B Visa Sponsorship:**
We are unable to sponsor or take over sponsorship of an employment Visa at this time.
**Equal Opportunity Employer**
The Department of Information Resources does not exclude anyone from consideration for recruitment, selection, appointment, training, promotion, retention, or any other personnel action, or deny any benefits or participation in programs or activities, which it sponsors on the grounds of race, color, national origin, sex, religion, age, or disability. Please call 512\-475\-4922 to request reasonable accommodation.
**Position Description****What We Do**
We are a technology agency powered by people.
DIR offers secure, modern, and cost\-effective technology to help government entities in Texas serve their constituents.
DIR is a fast\-paced and collaborative environment with highly motivated, innovative, and engaged employees dedicated to achieving the best value for the state. We have over 325 professionals working at DIR who are honored to serve as the cornerstone of public sector technology in Texas. By joining DIR, you will be an integral part of transforming how Texas government serves Texans.
**Position Summary**
This is a role within the AI and Innovation Office for the State of Texas that combines progressive program development, implementation and project management expertise to support adoption and use of AI and other emerging technologies in the public sector. The person in this role should be a self\-starter who is able to take high level program goals and turn them into actionable projects. This position provides coordination, project and program management support to the AI and Innovation office and will work closely with high\-level stakeholders across the State in both the public and private sectors and will need to be comfortable engaging stakeholders in a variety of settings.
This candidate will perform highly complex (senior\-level) program management functions that include planning, evaluating, and leading the charge to help implement initiatives and partnerships that will develop and deliver support for emerging technologies for the State of Texas as a whole. Will interact frequently with DIR staff, and personnel from state agencies, public entities, and the private sector using a variety of communication mechanisms to convey project and service delivery information, and program implementation details with the purpose of ensuring AI standards are communicated, implemented and aligned to state requirements and statewide AI strategies. May at times assign and/or supervise the work of others. Works under limited supervision, with considerable latitude for the use of initiative and independent judgment.
* Plays a key role in supporting the AI and Innovation Office in developing and implementing a plan to stand up and operate the AI Sandbox Program and any related efforts to promote the State’s AI efforts.
* Conducts and coordinates the collection, organization, and analysis of information using a variety of methods and sources, including research, surveys, and studies to determine the most effective strategy to promote the development and use of AI technologies for the State of Texas.
* Will be a central figure in the State’s efforts to develop, expand, and deliver AI awareness and training through participation in a variety of campaigns, programs and initiatives throughout the State.
* Performs program and project management for various AI initiatives, including in\-depth work that requires understanding of compliance state and federal laws, rules and regulations and industry standards including, but not limited to Texas Government Code, Texas Administrative Code Chapter 202, NIST AI Risk Management Framework, etc. Monitors and manages project and program costs, quality, and risks to ensure that AI initiatives are kept to accepted levels by developing project budgets, schedules, work plans, resource mappings, and cost estimates.
* Coordinates, drives, and supports the development and implementation of AI programs, projects, policies, and initiatives to enhance government efficiencies across the state. Initiates and coordinates project activities with other state agencies, governmental jurisdictions, or private sector partners and contractors.
* Represents the AI Division and ensures that initiatives and requirements within various programs and projects are aligned to statewide strategic AI direction while assisting in planning for future needs and progressive advancements.
* Provides expert leadership, assistance, and advice to DIR customers and staff regarding AI technologies, methods, and projects; Research, evaluates, and recommends systems and procedures in the field of AI.
* Performs other work\-related duties as assigned.
**Qualifications**
**Education*** Graduation from an accredited four\-year college or university with major course work in Artificial Intelligence, Business, MIS, Computer Science, Information Security, or related field.
* Additional work\-related experience may be substituted for education on a year\-for\-year basis (High\-school diploma required.
**Experience and Training Required*** Five (5\) years of progressively responsible experience in the IT industry
* Five (5\) years of progressively responsible experience in information technology project management work with demonstrable AI or security focus or major components
* Two (2\) years of program management development and implementation
**Experience and Training Preferred*** Project Management Professional (PMP) or related civilian or military certification or specialty designation
* Project management experience in a technical environment
* Experience working in Texas state government
* Experience working with state or federal IT regulatory issues and processes
**Knowledge, Skills, and Abilities*** Knowledge of project/program management theories and practices; project/program costing, estimating, and scheduling; systems and procedures used to evaluate project/program performance; and local, state, and federal laws and regulations relevant to the administration of the project/program undertaken.
* Knowledge of change management practices and techniques.
* Knowledge of generally accepted information technology standards and practices; of information technology practices; and of information technology management practices.
* Knowledge of relevant regulations including Texas Government Code Chapter 2054, Texas Administrative Code Chapter 202, and other related codes, documentation, standards, and best practices
* Knowledge of benchmarking activities and expectations.
* Skill in project/program management, scheduling, resource allocation, and budgeting; and in the use of a computer and applicable software.
* Ability to provide leadership and motivate others, to monitor project/program status, to prepare and/or analyze project cost estimates, to exercise sound judgment in making critical decisions, to analyze project/program\-related information and develop plans to address identified issues and risk, to prepare reports and charts, to communicate effectively orally and in writing, and to oversee the work of others.
* Ability to identify innovative ways to solve problems and to supervise the work of others.
* Ability to learn and adapt quickly in a dynamic environment.
* Ability to manage projects to resolve complex issues in diverse and decentralized environments
* Ability to assist executives, through discussion and facilitation, in the process of evaluating and implementing AI technologies
* Ability to establish and maintain effective and cordial working relationships at all organizational levels, including agency management, direct supervisors, co\-workers, internal and external customers.
* Ability to understand, follow and convey brief oral and/or written instructions.
* Ability to communicate both verbally and in writing, in a clear and concise manner.
* Ability to work independently and as part of a team, and to support and contribute to a cohesive team environment.
* Ability to work under pressure and exacting schedules to complete assigned tasks.
* Ability to work a flexible schedule to meet required deadlines.
* Ability to comply with all agency policy and applicable laws.
* Ability to comply with all applicable safety rules, regulations, and standards.
* Ability to maintain the security and integrity of any critical infrastructure researched, worked on, or accessed for work purposes.
**Computer Skills*** Proficiency in the use of a computer and applicable software necessary to perform work assignments e.g., word processing, spreadsheets (Microsoft Office preferred).
**Other Requirements*** Regular and punctual attendance at the workplace.
* Criminal background check.
**Working Conditions*** Frequent use of computers, copiers, printers, and telephones.
* Frequent standing, walking, sitting, listening, and talking.
* Frequent work under stress, as a team member, and in direct contact with others.
* Occasional bending, stooping, lifting, and climbing.</t>
        </is>
      </c>
    </row>
    <row r="107">
      <c r="A107" t="inlineStr">
        <is>
          <t>in-52d871d2a402a9c0</t>
        </is>
      </c>
      <c r="B107" t="inlineStr">
        <is>
          <t>Program Manager</t>
        </is>
      </c>
      <c r="C107" t="inlineStr">
        <is>
          <t>Solvere Technical Group</t>
        </is>
      </c>
      <c r="D107" t="inlineStr">
        <is>
          <t>indeed</t>
        </is>
      </c>
      <c r="E107">
        <f>HYPERLINK("https://www.indeed.com/viewjob?jk=52d871d2a402a9c0", "https://www.indeed.com/viewjob?jk=52d871d2a402a9c0")</f>
        <v/>
      </c>
      <c r="F107">
        <f>HYPERLINK("https://solveretechnical.hrmdirect.com/employment/view.php?req=3623475&amp;jbsrc=1014&amp;location=81aa9e25-ebcd-317b-ee07-bda44002fe46", "https://solveretechnical.hrmdirect.com/employment/view.php?req=3623475&amp;jbsrc=1014&amp;location=81aa9e25-ebcd-317b-ee07-bda44002fe46")</f>
        <v/>
      </c>
      <c r="G107" t="inlineStr">
        <is>
          <t>Remote, US</t>
        </is>
      </c>
      <c r="H107" s="3" t="n">
        <v>46047</v>
      </c>
      <c r="I107" t="inlineStr">
        <is>
          <t>Solvere Technical Group is looking for a Program Manager in support of NAVSEA LOGCEN remote work.  
**Duties and Responsibilities:**
* Supports achievement of programmatic goals
* Plans, coordinates, evaluates and reviews all phases of project control including the interpretation of and compliance with contract requirements
* Makes continuing reviews and studies of incoming project planning, execution and  
related material and program activities and keeps currently informed on all phases of planning and execution
* Ensures that all contract deliverables, to include cost and status reports are submitted as required
* Consults with and coordinates activities with representatives of government and industry on plans and requirements, new developments, and methods to accomplish identified program requirements
* Ensures proper staffing of the contract
* Assists with complex problems relating to the operation of the contract
* May lead and direct the work of more junior contractor employees
* A wide degree of creativity and latitude is desired
* Relies on experience and judgment to plan and accomplish goals
**Required Experience, Knowledge, Skills, Abilities, Compentencies:**
* Desired Experience: 7\+ Years in a related position
**Certification or Training Required:**
* PMP preferred but not required
**Security Clearance:**
* Secret
**Eeducation:**
* Baccalaureate degree in a logistics, business, management, or technical field
**BENEFITS**
Solvere offers a comprehensive and generous benefits package. The Solvere benefits package includes medical, dental, and vision insurance for the employee and/or families. Solvere also includes basic life insurance plus short\- and long\-term disability for the employee. Employees may elect to enroll in our company’s 401k plan. Employees will also accrue paid time off and holidays. Additional voluntary options include supplemental insurance plans.
**About the Company Visit:** www.solveretechnical.com
Solvere Technical Group is committed to non\-discrimination and equal employment opportunity. All qualified applicants will receive consideration for employment without discrimination based on disability, protected veteran status or any other characteristics protected by law.</t>
        </is>
      </c>
    </row>
    <row r="108">
      <c r="A108" t="inlineStr">
        <is>
          <t>in-6487dda2164cfb06</t>
        </is>
      </c>
      <c r="B108" t="inlineStr">
        <is>
          <t>Geriatric Program Manager</t>
        </is>
      </c>
      <c r="C108" t="inlineStr">
        <is>
          <t>Care New England Health System</t>
        </is>
      </c>
      <c r="D108" t="inlineStr">
        <is>
          <t>indeed</t>
        </is>
      </c>
      <c r="E108">
        <f>HYPERLINK("https://www.indeed.com/viewjob?jk=6487dda2164cfb06", "https://www.indeed.com/viewjob?jk=6487dda2164cfb06")</f>
        <v/>
      </c>
      <c r="F108">
        <f>HYPERLINK("https://kenthospital.hrmdirect.com/employment/view.php?req=3623211&amp;jbsrc=1014&amp;location=bfb4b41e-ebea-f436-89fd-55737b74aa06", "https://kenthospital.hrmdirect.com/employment/view.php?req=3623211&amp;jbsrc=1014&amp;location=bfb4b41e-ebea-f436-89fd-55737b74aa06")</f>
        <v/>
      </c>
      <c r="G108" t="inlineStr">
        <is>
          <t>Warwick, RI, US</t>
        </is>
      </c>
      <c r="H108" s="3" t="n">
        <v>46047</v>
      </c>
      <c r="I108" t="inlineStr">
        <is>
          <t>**Primary Function**
The Geriatrics Program Manager is responsible for overseeing Kent Hospital’s various geriatric\-focused accreditations and ensuring compliance with regulatory agencies and rules as they relate to the geriatric population. This includes the development of these programs, coordination of staff across disciplines and operating units, collaborating with education, management of ongoing compliance with program quality indicators and participation requirements, coordination of ongoing multidisciplinary team meetings, and acting as a liaison between the hospital, geriatrics, emergency room, and surgical practice(s). The program manager will also work with CNE physician relations staff, community physicians, and CNE marketing to assist in the promotion of the programs to all physicians in Rhode Island.
**Job Qualifications and Specifications**
* Bachelors in Nursing preferred; Master preferred
* Experience participating in and leading quality improvement or process improvement initiatives in the hospital setting.
* Program or project management experience or certification
* Be a respected clinician, willing to provide advice, education, feedback and mentoring to department members and other colleagues.
* Be willing to work in a team environment to promote excellent care at Kent Hospital and in the community.
* Be willing to promote Kent Hospital’s capabilities to the community and to advocate for Kent and Kent’s patients.
**Care New England Health System (CNE)** *and its member institutions—Butler Hospital, Women \&amp; Infants Hospital, Kent Hospital, VNA of Care New England, Integra, The Providence Center, and Care New England Medical Group, and our Wellness Center—are trusted organizations fueling the latest advances in medical research, attracting the nation’s top specialty\-trained doctors, and honing renowned services and innovative programs to engage in the important discussions people need to have about their health.*
Americans with Disability Act Statement: External and internal applicants, as well as position incumbents who become disabled must be able to perform the essential job\-specific functions either unaided or with the assistance of a reasonable accommodation, to be determined by the organization on a case\-by\-case basis.
EEOC Statement: Care New England is an equal opportunity employer. All applicants will be considered for employment without attention to race, color, religion, sex, sexual orientation, gender identity, national origin, veteran or disability status
Ethics Statement: Employee conducts himself/herself consistent with the ethical standards of the organization including, but not limited to hospital policy, mission, vision, and values.</t>
        </is>
      </c>
    </row>
    <row r="109">
      <c r="A109" t="inlineStr">
        <is>
          <t>in-2a94b2cf24d033ad</t>
        </is>
      </c>
      <c r="B109" t="inlineStr">
        <is>
          <t>Product Manager II, Uber AI Solutions</t>
        </is>
      </c>
      <c r="C109" t="inlineStr">
        <is>
          <t>Uber</t>
        </is>
      </c>
      <c r="D109" t="inlineStr">
        <is>
          <t>indeed</t>
        </is>
      </c>
      <c r="E109">
        <f>HYPERLINK("https://www.indeed.com/viewjob?jk=2a94b2cf24d033ad", "https://www.indeed.com/viewjob?jk=2a94b2cf24d033ad")</f>
        <v/>
      </c>
      <c r="F109">
        <f>HYPERLINK("https://tnl2.jometer.com/v2/job?jz=5wqzsb73f950e94bdeb389428904ffbdba6ccLUAAKAAAAABQ&amp;iis=Job%20Board%20-%20Recruitment%20Marketing&amp;iisn=Indeed%20Organic", "https://tnl2.jometer.com/v2/job?jz=5wqzsb73f950e94bdeb389428904ffbdba6ccLUAAKAAAAABQ&amp;iis=Job%20Board%20-%20Recruitment%20Marketing&amp;iisn=Indeed%20Organic")</f>
        <v/>
      </c>
      <c r="G109" t="inlineStr">
        <is>
          <t>Sunnyvale, CA, US</t>
        </is>
      </c>
      <c r="H109" s="3" t="n">
        <v>46047</v>
      </c>
      <c r="I109" t="inlineStr">
        <is>
          <t>**About the Role**
At Uber, our mission is to be the platform of choice for flexible earning opportunities, and we're expanding that vision with Uber AI Solutions. This is a new, fast\-growing platform within Uber, operating like a startup, and driven by a passionate, entrepreneurial team. Our goal is to connect businesses with high\-quality, cost\-effective knowledge work services \- such as data labeling, annotation, AI training, and translation \- through a seamless marketplace. After initial success, we're now scaling globally and looking for an experienced Product Manager to help us build the next generation of tools and technologies that power this growth.  
As a Product Manager on the team, you'll be responsible for driving the development of the demand side of the marketplace including building scalable, secure, and efficient experiences for enterprises that work with us. If you're excited about building products that impact millions of people around the world, are passionate about driving efficiency, and thrive in an entrepreneurial environment, we'd love to hear from you!  
What the Candidate Will Do  
* Own the product roadmap, definition, and execution for building advanced applications that powers experience of knowledge workers and clients
Own your numbers, drive your cross\-functional team of engineers, data scientists, product ops, and designers to set qualitative objectives and quantitative goals * \- and overachieve them
* Collaborate with Uber internal and external stakeholders, including clients, product managers, engineering, data science, and global operations teams to ensure that our products support this new line of Uber's business objectives globally, at scale
* Be a thought leader in the knowledge work space \- deeply understand how technology and operations work in tandem to create truly empathetic delightful experience for our clients and workers
Basic Qualifications  
* Thinking from first principles: You don't assume things or take the status quo for granted. You base your solutions on data, product instinct, curiosity and a hypothesis \+ experimentation driven approach.
* Experience delivering highly successful and creative technology products/platform in marketplace space
* Technically Proficient: You have a visceral sense of how technology at large is evolving and how it impacts our customer's life. You have collaborated with engineers in developing the technical architecture of the products you have built.
* Thrive in an environment of fast feedback loops, constantly evolving customer preferences in a fast\-moving industry with a mindset of rapid prototyping and iteration.
* Minimum 5 years PM experience, or relevant background in building experiences for enterprises
* Have a bachelors degree in computer science or relevant discipline
Preferred Qualifications  
* MBA preferred
* Experience building AI models/agents
For Sunnyvale,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110">
      <c r="A110" t="inlineStr">
        <is>
          <t>in-0fa760fc092af285</t>
        </is>
      </c>
      <c r="B110" t="inlineStr">
        <is>
          <t>Sr. Games Title Product Manager, Portfolio</t>
        </is>
      </c>
      <c r="C110" t="inlineStr">
        <is>
          <t>Netflix</t>
        </is>
      </c>
      <c r="D110" t="inlineStr">
        <is>
          <t>indeed</t>
        </is>
      </c>
      <c r="E110">
        <f>HYPERLINK("https://www.indeed.com/viewjob?jk=0fa760fc092af285", "https://www.indeed.com/viewjob?jk=0fa760fc092af285")</f>
        <v/>
      </c>
      <c r="F110">
        <f>HYPERLINK("https://explore.jobs.netflix.net/careers/job/790313721899", "https://explore.jobs.netflix.net/careers/job/790313721899")</f>
        <v/>
      </c>
      <c r="G110" t="inlineStr">
        <is>
          <t>Remote, US</t>
        </is>
      </c>
      <c r="H110" s="3" t="n">
        <v>46047</v>
      </c>
      <c r="I1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is one of the world's leading entertainment services , with over 300 million paid memberships in over 190 countries enjoying TV series, films, and games across a wide variety of genres and languages. Members can play, pause, and resume watching or playing as much as they want, anytime, anywhere — and can change their plans at any time.
Netflix is looking for a versatile, strategic, and industrious Senior Games Title Product Manager, Portfolio to help scale how we operate and grow our games portfolio across mobile and cloud titles. Our goal is to entertain the world \- and your job will be to build durable product operating leverage across the slate, while flexing into the highest\-impact portfolio needs as priorities evolve. As a part of Netflix, we strive to hire the best and value integrity, excellence, respect, inclusion, and collaboration.
The preferred location for this role is Los Angeles, though remote work will be considered, with a preference for candidates in the PST time zone who are able to travel. Travel is required for quarterly in\-person onsites held at our Los Angeles or Los Gatos offices.
As a Senior Games Title Product Manager, you will play a critical role in scaling Netflix Games’ product effectiveness across a diverse slate — enabling clearer measurement, faster decision\-making, and more consistent execution across four gaming verticals. This is a senior\-range role designed for breadth and context switching: you will lead horizontal product work that spans all titles (and requires deep cross\-functional partnership), and you will flex into priority game teams when coverage gaps or peak needs emerge.
**Responsibilities**
* Build and run cross\-portfolio product operating systems that improve speed and consistency across the slate (e.g., KPI definitions, instrumentation norms, dashboards, reads, decision forums, and performance cadences).
* Partner deeply with Data Science \&amp; Engineering (DSE) to define and operationalize vertical KPI frameworks, ensure measurement quality, and create durable product performance rituals.
* Partner deeply with Finance \&amp; Strategy (F\&amp;S) to establish operating cadence and the mechanisms for how Games Product plugs into planning and reporting.
* Own portfolio governance frameworks including scoring, tiering, and resourcing recommendations, and help drive quarterly rebalancing aligned to impact.
* Lead complex, multi\-stakeholder horizontal initiatives that require PM rigor and continuity — for example, ironing out and operationalizing a UA Optimization model and related decision\-making processes in partnership with F\&amp;S, DSE, and Marketing.
* Champion cross\-portfolio IP moments for live service , coordinating opportunities that span multiple titles rather than a single game team.
* Flex into priority game teams to provide support Games Title Product Managers during launches, major updates, system rewrites, or peak complexity — driving clearly defined workstreams without changing the primary owner.
* Serve as interim primary owner for titles that need Games Title PM coverage before they warrant a dedicated embedded PM, with clear exit criteria and conversion recommendations as the slate evolves.
* Synthesize learnings across titles to identify what’s working, what’s not, and where we should standardize playbooks to avoid reinvention.
**Requirements**
* 10\+ years of experience in product management for games or a highly related role.
* Demonstrated ability to lead cross\-functional, multi\-stakeholder programs with high ambiguity and multiple workstreams.
* Strong product judgment and ability to operate at multiple altitudes: strategic frameworks \+ hands\-on execution .
* Strong data fluency with a track record of using insights to drive decisions (comfort partnering with data science, defining KPIs, and shaping measurement).
* Experience building and running operating cadences (dashboards/reads/decision forums) that change how teams make decisions.
* Familiarity with game performance levers across the lifecycle (e.g., onboarding, engagement loops, retention, content cadence), with live service experience preferred .
* Comfort collaborating across disciplines including production, design, engineering, marketing, finance/strategy, and analytics.
* Ability to context switch quickly while maintaining clarity of ownership, priorities, and outcomes.
* Excellent communication skills; comfortable influencing across teams and disciplines.
* Adaptability and comfort navigating ambiguity in a rapidly evolving organization.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$240,000\.00 \- $410,000\.00\.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1">
      <c r="A111" t="inlineStr">
        <is>
          <t>in-d85352aa7a436b8c</t>
        </is>
      </c>
      <c r="B111" t="inlineStr">
        <is>
          <t>Product Manager</t>
        </is>
      </c>
      <c r="C111" t="inlineStr">
        <is>
          <t>Crisis24</t>
        </is>
      </c>
      <c r="D111" t="inlineStr">
        <is>
          <t>indeed</t>
        </is>
      </c>
      <c r="E111">
        <f>HYPERLINK("https://www.indeed.com/viewjob?jk=d85352aa7a436b8c", "https://www.indeed.com/viewjob?jk=d85352aa7a436b8c")</f>
        <v/>
      </c>
      <c r="F111">
        <f>HYPERLINK("https://jobs.dayforcehcm.com/en-US/crisis24/CANDIDATEPORTAL/jobs/19758", "https://jobs.dayforcehcm.com/en-US/crisis24/CANDIDATEPORTAL/jobs/19758")</f>
        <v/>
      </c>
      <c r="G111" t="inlineStr">
        <is>
          <t>Annapolis, MD, US</t>
        </is>
      </c>
      <c r="H111" s="3" t="n">
        <v>46047</v>
      </c>
      <c r="I111" t="inlineStr">
        <is>
          <t>About Crisis24
Crisis24 is a global, AI\-enhanced provider of travel risk management, mass communications, critical event management, crisis\-security consulting, personal protection solutions and global medical concierge capabilities, allowing prominent organizations, disruptive brands and influential people to operate with confidence in an uncertain world. At Crisis24, we go beyond mere employment; we pave the way to a realm where your skills become instrumental in shaping global security, guiding clients through a multifaceted and challenging landscape. Your journey with us will be deeply fulfilling, driven by a powerful sense of purpose and accomplishment. Within our thriving environment, you'll discover abundant chances for both personal and career advancement. Seize this moment to push your limits, broaden your expertise, and elevate your professional journey to unprecedented levels. Join the Crisis24 team today and be a part of something extraordinary where growth and impact converge.
More information is available at www.crisis24\.garda.com
Who We Are Looking For
As a member of the Product Management team, this role is responsible for driving business value for Crisis24 while delighting our customers. The person in this role will shepherd a portfolio of product features from concept to end\-of\-life: developing, maintaining and realizing the vision for the product, being familiar with its design, architecture and features, and always representing the customer needs. This includes owning relevant artifacts and facilitating related processes, such as the product roadmap, product backlog, product releases, go\-to\-market approaches, pricing and packaging, post\-launch maintenance and product profitability. To optimize their portfolio for success, this role always considers the larger Crisis24 ecosystem – providing the bridge between business and technology, and working collaboratively with multiple stakeholders (both internal and external) as well as their fellow product team members.
What You Will Work On
The core duties are listed below, but there may be other related tasks as directed by line management from time\-to\-time.
Market\-Facing
* Identifies and owns the customer needs and problems, both for existing customers and the larger prospective market.
* Understands the overall market and competitive dynamics for offerings within their portfolio (or the equivalent thereof).
* Iteratively develops product and feature requirements and acceptance criteria – consulting with clients, sales, and other stakeholders internally and externally – including outlining the market/customer problems we are trying to solve and business goals we are trying to achieve.
* Supports go\-to\-market activities, including communicating internally, assisting Marketing with external communications, collateral and other product marketing elements, coordinating the set\-up and execution of internal and customer\-facing Beta programs, initiating updates to Sales and Contract Management tools, and ensuring support for Demos and Trials.
* Demonstrates the product capabilities to customers and internal stakeholders as necessary, for existing features and new releases, and documents feedback.
Product Development
* Identifies and defines opportunities within their portfolio for increasing internal efficiencies to provide a better quality, reduced costs, and/or increased productivity.
* Prioritizes and specifically defines that which is most valuable to Crisis24 to be delivered next for the product, and is able to clearly articulate this value.
* Is the primary creator of the stories and scenarios that comprise the product requirements.
* Works with UX on design and refinement of the user interaction.
* Participates in meetings involving key members of market\-facing and internal departments as well as peers, and presents updates on their product.
* Contributes to the creation and maintenance of personas relevant for their offerings.
* Drives creation and management of the subscription model, packaging and overall purchasing model for the go\-to\-market offerings within their portfolio.
* Monitors the usage, profitability and ROI for their product, as part of the product lifecycle management.
* Uses analytics to gauge user adoption, observe user behavior, and make data\-driven priority decisions.
Interaction with Delivery \&amp; Engineering teams
* Presents comprehensive requirements to engineering during (pre\-)grooming, to achieve refinement of stories.
* Understands Agile/Scrum methodologies and supports iterative design and continuous improvement practices.
* Attends applicable scrum ceremonies, with guidance from the technical Delivery team.
* Answer questions from software engineers, clarifies requirements, and describes the priority for product development.
* Collaborates with Engineering leads on Buy/Build/Partner decisions pertaining to product development within their portfolio.
What You Will Bring
Any combination of education and experience providing the required skill and knowledge is qualifying. Typical qualifications would be equivalent to:
* Bachelor's degree in business, engineering, software, or another relevant field.
* 3\+ years of experience in product management, product ownership, or business analysis relating to software development.
* Demonstratable experience engaging with customers to understand their unmet needs and explain clearly which of their problems the product suite can solve and how.
* Collaborative individual with a pragmatic/flexible attitude who can effectively work across teams internally and also with customers.
* Ability to take ownership of tasks and make decisions.
* Attention to detail at all times.
* Ability to demonstrate compassion and actively listen to customer requirements.
Reporting and Place of Work
* It is desirable that the candidate be located near the Crisis24’s regional office:
* United States: Annapolis, MD
* Position holder must have the right to work in the US without restrictions.
* Position holder would have to pass a pre\-employment check.
Information Security
Protect the data and systems of Crisis24 and its stakeholders by adhering to policies, reporting incidents and potential problems, completing regular training, and identifying opportunities for improvement.
Crisis24, A GardaWorld Company is dedicated to equal opportunity in employment. We are committed to a work environment that celebrates diversity. We do not discriminate against any individual based on race, color, sex, national origin, age, religion, marital or parental status, sexual orientation, gender identity, gender expression, military or veteran status, disability, or any factors protected by applicable laws.</t>
        </is>
      </c>
    </row>
    <row r="112">
      <c r="A112" t="inlineStr">
        <is>
          <t>in-683a2770c4bc4583</t>
        </is>
      </c>
      <c r="B112" t="inlineStr">
        <is>
          <t>ADA Paratransit and Demand Response Program Manager</t>
        </is>
      </c>
      <c r="C112" t="inlineStr">
        <is>
          <t>Valley Metro</t>
        </is>
      </c>
      <c r="D112" t="inlineStr">
        <is>
          <t>indeed</t>
        </is>
      </c>
      <c r="E112">
        <f>HYPERLINK("https://www.indeed.com/viewjob?jk=683a2770c4bc4583", "https://www.indeed.com/viewjob?jk=683a2770c4bc4583")</f>
        <v/>
      </c>
      <c r="F112">
        <f>HYPERLINK("https://www.governmentjobs.com/careers/valleymetro/jobs/5208231/ada-paratransit-and-demand-response-program-manager", "https://www.governmentjobs.com/careers/valleymetro/jobs/5208231/ada-paratransit-and-demand-response-program-manager")</f>
        <v/>
      </c>
      <c r="G112" t="inlineStr">
        <is>
          <t>Phoenix, AZ, US</t>
        </is>
      </c>
      <c r="H112" s="3" t="n">
        <v>46043</v>
      </c>
      <c r="I112" t="inlineStr">
        <is>
          <t>**Summary**
-----------
Valley Metro exists to *Connect Communities and Enhance Lives.* We do this by planning, building, operating, and maintaining a safe, regional, multi\-modal transportation system to residents of metro Phoenix. From regional bus, streetcar, light rail and paratransit service to alternative commuter solutions, Valley Metro’s mission since 2002 is to develop and operate a network of transit services that *now covers 513 square miles!*
The **ADA Paratransit and Demand Response Program Manager** will be responsible for day\-to\-day administration and oversight of all aspects of the agency's Demand Response Programs; including ADA Paratransit, RideChoice (an alternative to ADA Paratransit), route deviated service, and Microtransit. The position will report directly to the Manager of Accessible Transit Services and work with program representatives. This position will involve regular interaction with stakeholders across the Regional Public Transportation Network, including 19 Jurisdictions within the greater Phoenix Metropolitan area. This role demands flexibility, as it may require working evenings, weekends, and other non\-standard hours to support operations and community needs.
**Valley Metro is a Drug Free Workplace and an Equal Opportunity Employer.**  
\#DemandResponse \#RideChoice \#ADA \#AmericanswithDisabilities Act \#Paratransit \#Eligibility \#PublicTransit \#PublicTransportation \#Transit
**Minimum Qualifications \&amp; Requirements**
------------------------------------------
* Bachelor's Degree in Business Administration, Business Management, Public Administration, Transportation Planning, or a related field preferred
* Three (3\) years of professional transit experience directly related to the area of assignment, including Demand Response services, and ADA Eligibility
* Demonstrated experience with public outreach, public speaking, and public presentations
* Or an equivalent combination of education and experience sufficient to successfully perform the essential duties such as those listed above
 ***Human Resources reserves the right to call only the most qualified applicants to the selection process.***  
Background Investigation:  
Employment is contingent upon the results of a background check  
Licenses and Certifications:  
Valid Arizona Driver's License and the ability to maintain insurability under Valley Metro's Vehicle Insurance Policy.
**Examples of Duties / Knowledge \&amp; Skills**
--------------------------------------------
**The statements listed below describe the general nature and level of work only. They are not an exhaustive list of all required responsibilities, duties, and skills. Other duties may be added, or this description amended at any time.**
* Monitor contractor compliance with all terms and conditions of Paratransit operations service contracts, as well as the Administrative Broker contract, which manages all reservations and scheduling of Valley Metro’s demand response programs
* Assists with the weekly and monthly field visits, road observations and surveys, including detailed observations of demand response and brokerage contractor operations, administration, finances, and personnel training
* Assist the Business Manager and the Data Analyst in performing monthly reconciliation of statements of operations and costs from contractors for authorization for payment for services
* Support the customer service complaint process, including investigating, drafting, and reviewing responses; monitoring process compliance; and reporting and analyzing trends
* Utilize paratransit\-specific software and the entire Microsoft office suite to assist with investigations and customer inquiries by e\-mail, telephone, or in\-person
* Develop reports on contractor operating performance and service levels, including ridership, on\-time performance, on\-time performance appointment, trips per hour, missed trips, no\-shows, cost control and budget conformance
* Assist in the preparation of the Advisory Board meeting materials
* Participate in public meetings to address consumer issues and assist in maintaining coordination with demand response customers and the advisory committee
* Research, make recommendations, and implement changes to internal and external processes and overall demand response service as a result of consumer requests, changes in travel patterns, increased service demands, or other regulatory, economic or operational factors, while still maintaining compliance with state and federal regulations
* Operate a company or personal vehicle to visit contractor work sites or conduct investigations
* Ensure compliance with policies, procedures, and safety standards
* Coordinate day\-to\-day operations for Demand Response Programs and Administrative Brokerage
* Develop procedures for program operations, including reservations, scheduling and dispatch, and monitor contractor adherence to terms and requirements
* Prepare and deliver presentations to stakeholders
* Represent Valley Metro in meetings.
* Ensure compliance with all relevant local, state, and federal laws, including ADA requirements
* Prepare and analyze data\-driven reports to evaluate program effectiveness and recommend improvements
* Respond to and resolve customer concerns promptly
* Engage with Paratransit and RideChoice users to improve their experience
* Oversee contractor performance and monitor project timelines
* Performs other duties of a similar nature and level as assigned
 **Knowledge and Skills:**  
Knowledge of:  
ADA requirements for public transit;  
Operations of paratransit and other demand response programs;  
Principles of program supervision, coordination, and public relations;
Applicable local, state, and federal laws and regulations;  
Supervisory principles;  
Advanced principles of assigned area of responsibility;  
Analytical methods and techniques;  
Report preparation methods;  
Public outreach, public speaking, and public presentations  
Project management principles and techniques;  
Research methods.  
Skill in:  
Monitoring and evaluating staff;  
Prioritizing and assigning work;  
Compiling and analyzing data;  
Using a computer and related software applications;  
Conducting research;  
Planning, implementing, and supervising program components;  
Identifying emerging trends, needs, and services;  
Assessing the consequences and outcomes of program initiatives;  
Ensuring compliance with applicable internal and external program requirements;  
Preparing reports, business correspondence, and collateral materials;  
Coordinating and executing multiple tasks;  
Developing, implementing, and applying policies and procedures;  
Providing public relations;  
Organizing information;  
Communicating in order to interact with coworkers, supervisor, and the general public at a level sufficient to exchange or convey information and to receive work direction.
**Physical Demands / Work Environment**
---------------------------------------
**Physical Demands:**
Positions in this class typically require: reaching, standing, walking, driving, grasping, talking, hearing, and seeing.
**Work Environment:**
Flexible hours, including evenings and weekends, may be required to support special events and community needs. Office\-based work with occasional travel to community events and program locations.
Sedentary Work: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t>
        </is>
      </c>
    </row>
    <row r="113">
      <c r="A113" t="inlineStr">
        <is>
          <t>in-6e4714c7ab47175f</t>
        </is>
      </c>
      <c r="B113" t="inlineStr">
        <is>
          <t>Sr. Product Manager</t>
        </is>
      </c>
      <c r="C113" t="inlineStr">
        <is>
          <t>Amazon.com</t>
        </is>
      </c>
      <c r="D113" t="inlineStr">
        <is>
          <t>indeed</t>
        </is>
      </c>
      <c r="E113">
        <f>HYPERLINK("https://www.indeed.com/viewjob?jk=6e4714c7ab47175f", "https://www.indeed.com/viewjob?jk=6e4714c7ab47175f")</f>
        <v/>
      </c>
      <c r="F113">
        <f>HYPERLINK("https://www.amazon.jobs/jobs/3129468/sr-product-manager?cmpid=DA_INAD200785B", "https://www.amazon.jobs/jobs/3129468/sr-product-manager?cmpid=DA_INAD200785B")</f>
        <v/>
      </c>
      <c r="G113" t="inlineStr">
        <is>
          <t>Irvine, CA, US</t>
        </is>
      </c>
      <c r="H113" s="3" t="n">
        <v>45979</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in-a521b581a9b9614d</t>
        </is>
      </c>
      <c r="B114" t="inlineStr">
        <is>
          <t>Sr. Product Manager</t>
        </is>
      </c>
      <c r="C114" t="inlineStr">
        <is>
          <t>Amazon.com</t>
        </is>
      </c>
      <c r="D114" t="inlineStr">
        <is>
          <t>indeed</t>
        </is>
      </c>
      <c r="E114">
        <f>HYPERLINK("https://www.indeed.com/viewjob?jk=a521b581a9b9614d", "https://www.indeed.com/viewjob?jk=a521b581a9b9614d")</f>
        <v/>
      </c>
      <c r="F114">
        <f>HYPERLINK("https://www.amazon.jobs/jobs/3129468/sr-product-manager?cmpid=DA_INAD200785B", "https://www.amazon.jobs/jobs/3129468/sr-product-manager?cmpid=DA_INAD200785B")</f>
        <v/>
      </c>
      <c r="G114" t="inlineStr">
        <is>
          <t>New York, NY, US</t>
        </is>
      </c>
      <c r="H114" s="3" t="n">
        <v>45979</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in-cb7bf8e869a542f3</t>
        </is>
      </c>
      <c r="B115" t="inlineStr">
        <is>
          <t>Sr. Supply Chain Product Manager, Amazon Custom Modules</t>
        </is>
      </c>
      <c r="C115" t="inlineStr">
        <is>
          <t>Amazon.com</t>
        </is>
      </c>
      <c r="D115" t="inlineStr">
        <is>
          <t>indeed</t>
        </is>
      </c>
      <c r="E115">
        <f>HYPERLINK("https://www.indeed.com/viewjob?jk=cb7bf8e869a542f3", "https://www.indeed.com/viewjob?jk=cb7bf8e869a542f3")</f>
        <v/>
      </c>
      <c r="F115">
        <f>HYPERLINK("https://www.amazon.jobs/jobs/3109372/sr-supply-chain-product-manager-amazon-custom-modules?cmpid=DA_INAD200785B", "https://www.amazon.jobs/jobs/3109372/sr-supply-chain-product-manager-amazon-custom-modules?cmpid=DA_INAD200785B")</f>
        <v/>
      </c>
      <c r="G115" t="inlineStr">
        <is>
          <t>Austin, TX, US</t>
        </is>
      </c>
      <c r="H115" s="3" t="n">
        <v>45935</v>
      </c>
      <c r="I11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in-bf7aae658b084585</t>
        </is>
      </c>
      <c r="B116" t="inlineStr">
        <is>
          <t>Sr. Supply Chain Product Manager, Amazon Custom Modules</t>
        </is>
      </c>
      <c r="C116" t="inlineStr">
        <is>
          <t>Amazon.com</t>
        </is>
      </c>
      <c r="D116" t="inlineStr">
        <is>
          <t>indeed</t>
        </is>
      </c>
      <c r="E116">
        <f>HYPERLINK("https://www.indeed.com/viewjob?jk=bf7aae658b084585", "https://www.indeed.com/viewjob?jk=bf7aae658b084585")</f>
        <v/>
      </c>
      <c r="F116">
        <f>HYPERLINK("https://www.amazon.jobs/jobs/3109372/sr-supply-chain-product-manager-amazon-custom-modules?cmpid=DA_INAD200785B", "https://www.amazon.jobs/jobs/3109372/sr-supply-chain-product-manager-amazon-custom-modules?cmpid=DA_INAD200785B")</f>
        <v/>
      </c>
      <c r="G116" t="inlineStr">
        <is>
          <t>Cupertino, CA, US</t>
        </is>
      </c>
      <c r="H116" s="3" t="n">
        <v>45935</v>
      </c>
      <c r="I11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in-1220279fc01f8ddf</t>
        </is>
      </c>
      <c r="B117" t="inlineStr">
        <is>
          <t>Sr. Supply Chain Product Manager, Amazon Custom Modules</t>
        </is>
      </c>
      <c r="C117" t="inlineStr">
        <is>
          <t>Amazon.com</t>
        </is>
      </c>
      <c r="D117" t="inlineStr">
        <is>
          <t>indeed</t>
        </is>
      </c>
      <c r="E117">
        <f>HYPERLINK("https://www.indeed.com/viewjob?jk=1220279fc01f8ddf", "https://www.indeed.com/viewjob?jk=1220279fc01f8ddf")</f>
        <v/>
      </c>
      <c r="F117">
        <f>HYPERLINK("https://www.amazon.jobs/jobs/3109372/sr-supply-chain-product-manager-amazon-custom-modules?cmpid=DA_INAD200785B", "https://www.amazon.jobs/jobs/3109372/sr-supply-chain-product-manager-amazon-custom-modules?cmpid=DA_INAD200785B")</f>
        <v/>
      </c>
      <c r="G117" t="inlineStr">
        <is>
          <t>Seattle, WA, US</t>
        </is>
      </c>
      <c r="H117" s="3" t="n">
        <v>45935</v>
      </c>
      <c r="I11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in-f25f68c47296ed70</t>
        </is>
      </c>
      <c r="B118" t="inlineStr">
        <is>
          <t>Sr. Program Manager, Same Day Programs</t>
        </is>
      </c>
      <c r="C118" t="inlineStr">
        <is>
          <t>Amazon.com</t>
        </is>
      </c>
      <c r="D118" t="inlineStr">
        <is>
          <t>indeed</t>
        </is>
      </c>
      <c r="E118">
        <f>HYPERLINK("https://www.indeed.com/viewjob?jk=f25f68c47296ed70", "https://www.indeed.com/viewjob?jk=f25f68c47296ed70")</f>
        <v/>
      </c>
      <c r="F118">
        <f>HYPERLINK("https://www.amazon.jobs/jobs/3106355/sr-program-manager-same-day-programs?cmpid=DA_INAD200785B", "https://www.amazon.jobs/jobs/3106355/sr-program-manager-same-day-programs?cmpid=DA_INAD200785B")</f>
        <v/>
      </c>
      <c r="G118" t="inlineStr">
        <is>
          <t>Bellevue, WA, US</t>
        </is>
      </c>
      <c r="H118" s="3" t="n">
        <v>45931</v>
      </c>
      <c r="I11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in-db2c073ee6819d38</t>
        </is>
      </c>
      <c r="B119" t="inlineStr">
        <is>
          <t>Sr. Program Manager, Same Day Programs,</t>
        </is>
      </c>
      <c r="C119" t="inlineStr">
        <is>
          <t>Amazon.com</t>
        </is>
      </c>
      <c r="D119" t="inlineStr">
        <is>
          <t>indeed</t>
        </is>
      </c>
      <c r="E119">
        <f>HYPERLINK("https://www.indeed.com/viewjob?jk=db2c073ee6819d38", "https://www.indeed.com/viewjob?jk=db2c073ee6819d38")</f>
        <v/>
      </c>
      <c r="F119">
        <f>HYPERLINK("https://www.amazon.jobs/jobs/3106368/sr-program-manager-same-day-programs--?cmpid=DA_INAD200785B", "https://www.amazon.jobs/jobs/3106368/sr-program-manager-same-day-programs--?cmpid=DA_INAD200785B")</f>
        <v/>
      </c>
      <c r="G119" t="inlineStr">
        <is>
          <t>Nashville, TN, US</t>
        </is>
      </c>
      <c r="H119" s="3" t="n">
        <v>45931</v>
      </c>
      <c r="I11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in-e2812388ee466486</t>
        </is>
      </c>
      <c r="B120" t="inlineStr">
        <is>
          <t>Sr. Program Manager, Same Day Programs,</t>
        </is>
      </c>
      <c r="C120" t="inlineStr">
        <is>
          <t>Amazon.com</t>
        </is>
      </c>
      <c r="D120" t="inlineStr">
        <is>
          <t>indeed</t>
        </is>
      </c>
      <c r="E120">
        <f>HYPERLINK("https://www.indeed.com/viewjob?jk=e2812388ee466486", "https://www.indeed.com/viewjob?jk=e2812388ee466486")</f>
        <v/>
      </c>
      <c r="F120">
        <f>HYPERLINK("https://www.amazon.jobs/jobs/3106368/sr-program-manager-same-day-programs--?cmpid=DA_INAD200785B", "https://www.amazon.jobs/jobs/3106368/sr-program-manager-same-day-programs--?cmpid=DA_INAD200785B")</f>
        <v/>
      </c>
      <c r="G120" t="inlineStr">
        <is>
          <t>Bellevue, WA, US</t>
        </is>
      </c>
      <c r="H120" s="3" t="n">
        <v>45931</v>
      </c>
      <c r="I12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in-085e9c331225bed5</t>
        </is>
      </c>
      <c r="B121" t="inlineStr">
        <is>
          <t>Sr. Program Manager, Same Day Programs</t>
        </is>
      </c>
      <c r="C121" t="inlineStr">
        <is>
          <t>Amazon.com</t>
        </is>
      </c>
      <c r="D121" t="inlineStr">
        <is>
          <t>indeed</t>
        </is>
      </c>
      <c r="E121">
        <f>HYPERLINK("https://www.indeed.com/viewjob?jk=085e9c331225bed5", "https://www.indeed.com/viewjob?jk=085e9c331225bed5")</f>
        <v/>
      </c>
      <c r="F121">
        <f>HYPERLINK("https://www.amazon.jobs/jobs/3106355/sr-program-manager-same-day-programs?cmpid=DA_INAD200785B", "https://www.amazon.jobs/jobs/3106355/sr-program-manager-same-day-programs?cmpid=DA_INAD200785B")</f>
        <v/>
      </c>
      <c r="G121" t="inlineStr">
        <is>
          <t>Nashville, TN, US</t>
        </is>
      </c>
      <c r="H121" s="3" t="n">
        <v>45931</v>
      </c>
      <c r="I12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in-248e387c00fa5b70</t>
        </is>
      </c>
      <c r="B122" t="inlineStr">
        <is>
          <t>Amazon Last Mile Fleet Program Manager, In Life Services-Recalls, Retrofits, and Tires</t>
        </is>
      </c>
      <c r="C122" t="inlineStr">
        <is>
          <t>Amazon.com</t>
        </is>
      </c>
      <c r="D122" t="inlineStr">
        <is>
          <t>indeed</t>
        </is>
      </c>
      <c r="E122">
        <f>HYPERLINK("https://www.indeed.com/viewjob?jk=248e387c00fa5b70", "https://www.indeed.com/viewjob?jk=248e387c00fa5b70")</f>
        <v/>
      </c>
      <c r="F122">
        <f>HYPERLINK("https://www.amazon.jobs/jobs/3083275/amazon-last-mile-fleet-program-manager-in-life-servicesrecalls-retrofits-and-tires?cmpid=DA_INAD200785B", "https://www.amazon.jobs/jobs/3083275/amazon-last-mile-fleet-program-manager-in-life-servicesrecalls-retrofits-and-tires?cmpid=DA_INAD200785B")</f>
        <v/>
      </c>
      <c r="G122" t="inlineStr">
        <is>
          <t>Nashville, TN, US</t>
        </is>
      </c>
      <c r="H122" s="3" t="n">
        <v>45911</v>
      </c>
      <c r="I12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in-bc5d6a6ae93b4744</t>
        </is>
      </c>
      <c r="B123" t="inlineStr">
        <is>
          <t>Amazon Last Mile Fleet Program Manager, In Life Services-Recalls, Retrofits, and Tires</t>
        </is>
      </c>
      <c r="C123" t="inlineStr">
        <is>
          <t>Amazon.com</t>
        </is>
      </c>
      <c r="D123" t="inlineStr">
        <is>
          <t>indeed</t>
        </is>
      </c>
      <c r="E123">
        <f>HYPERLINK("https://www.indeed.com/viewjob?jk=bc5d6a6ae93b4744", "https://www.indeed.com/viewjob?jk=bc5d6a6ae93b4744")</f>
        <v/>
      </c>
      <c r="F123">
        <f>HYPERLINK("https://www.amazon.jobs/jobs/3083275/amazon-last-mile-fleet-program-manager-in-life-servicesrecalls-retrofits-and-tires?cmpid=DA_INAD200785B", "https://www.amazon.jobs/jobs/3083275/amazon-last-mile-fleet-program-manager-in-life-servicesrecalls-retrofits-and-tires?cmpid=DA_INAD200785B")</f>
        <v/>
      </c>
      <c r="G123" t="inlineStr">
        <is>
          <t>Bellevue, WA, US</t>
        </is>
      </c>
      <c r="H123" s="3" t="n">
        <v>45911</v>
      </c>
      <c r="I12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in-6a026af7754edf98</t>
        </is>
      </c>
      <c r="B124" t="inlineStr">
        <is>
          <t>Amazon Last Mile Fleet Program Manager, In Life Services-Recalls, Retrofits, and Tires</t>
        </is>
      </c>
      <c r="C124" t="inlineStr">
        <is>
          <t>Amazon.com</t>
        </is>
      </c>
      <c r="D124" t="inlineStr">
        <is>
          <t>indeed</t>
        </is>
      </c>
      <c r="E124">
        <f>HYPERLINK("https://www.indeed.com/viewjob?jk=6a026af7754edf98", "https://www.indeed.com/viewjob?jk=6a026af7754edf98")</f>
        <v/>
      </c>
      <c r="F124">
        <f>HYPERLINK("https://www.amazon.jobs/jobs/3083275/amazon-last-mile-fleet-program-manager-in-life-servicesrecalls-retrofits-and-tires?cmpid=DA_INAD200785B", "https://www.amazon.jobs/jobs/3083275/amazon-last-mile-fleet-program-manager-in-life-servicesrecalls-retrofits-and-tires?cmpid=DA_INAD200785B")</f>
        <v/>
      </c>
      <c r="G124" t="inlineStr">
        <is>
          <t>Arlington, VA, US</t>
        </is>
      </c>
      <c r="H124" s="3" t="n">
        <v>45911</v>
      </c>
      <c r="I12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in-36f8e09b379cc881</t>
        </is>
      </c>
      <c r="B125" t="inlineStr">
        <is>
          <t>Sr. Product Manager, Sub-Same Day (SSD) Delivery</t>
        </is>
      </c>
      <c r="C125" t="inlineStr">
        <is>
          <t>Amazon.com</t>
        </is>
      </c>
      <c r="D125" t="inlineStr">
        <is>
          <t>indeed</t>
        </is>
      </c>
      <c r="E125">
        <f>HYPERLINK("https://www.indeed.com/viewjob?jk=36f8e09b379cc881", "https://www.indeed.com/viewjob?jk=36f8e09b379cc881")</f>
        <v/>
      </c>
      <c r="F125">
        <f>HYPERLINK("https://www.amazon.jobs/jobs/3062157/sr-product-manager-subsame-day-ssd-delivery?cmpid=DA_INAD200785B", "https://www.amazon.jobs/jobs/3062157/sr-product-manager-subsame-day-ssd-delivery?cmpid=DA_INAD200785B")</f>
        <v/>
      </c>
      <c r="G125" t="inlineStr">
        <is>
          <t>Bellevue, WA, US</t>
        </is>
      </c>
      <c r="H125" s="3" t="n">
        <v>45874</v>
      </c>
      <c r="I125"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in-01e7caa8cfc695c0</t>
        </is>
      </c>
      <c r="B126" t="inlineStr">
        <is>
          <t>Sr. Product Manager, Sub-Same Day (SSD) Delivery</t>
        </is>
      </c>
      <c r="C126" t="inlineStr">
        <is>
          <t>Amazon.com</t>
        </is>
      </c>
      <c r="D126" t="inlineStr">
        <is>
          <t>indeed</t>
        </is>
      </c>
      <c r="E126">
        <f>HYPERLINK("https://www.indeed.com/viewjob?jk=01e7caa8cfc695c0", "https://www.indeed.com/viewjob?jk=01e7caa8cfc695c0")</f>
        <v/>
      </c>
      <c r="F126">
        <f>HYPERLINK("https://www.amazon.jobs/jobs/3062157/sr-product-manager-subsame-day-ssd-delivery?cmpid=DA_INAD200785B", "https://www.amazon.jobs/jobs/3062157/sr-product-manager-subsame-day-ssd-delivery?cmpid=DA_INAD200785B")</f>
        <v/>
      </c>
      <c r="G126" t="inlineStr">
        <is>
          <t>Nashville, TN, US</t>
        </is>
      </c>
      <c r="H126" s="3" t="n">
        <v>45874</v>
      </c>
      <c r="I126"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in-d6986b4d7fce7b1d</t>
        </is>
      </c>
      <c r="B127" t="inlineStr">
        <is>
          <t>Senior Product Manager - Tech, Fire TV</t>
        </is>
      </c>
      <c r="C127" t="inlineStr">
        <is>
          <t>Amazon.com</t>
        </is>
      </c>
      <c r="D127" t="inlineStr">
        <is>
          <t>indeed</t>
        </is>
      </c>
      <c r="E127">
        <f>HYPERLINK("https://www.indeed.com/viewjob?jk=d6986b4d7fce7b1d", "https://www.indeed.com/viewjob?jk=d6986b4d7fce7b1d")</f>
        <v/>
      </c>
      <c r="F127">
        <f>HYPERLINK("https://www.amazon.jobs/jobs/3058473/senior-product-manager--tech-fire-tv?cmpid=DA_INAD200785B", "https://www.amazon.jobs/jobs/3058473/senior-product-manager--tech-fire-tv?cmpid=DA_INAD200785B")</f>
        <v/>
      </c>
      <c r="G127" t="inlineStr">
        <is>
          <t>Seattle, WA, US</t>
        </is>
      </c>
      <c r="H127" s="3" t="n">
        <v>45855</v>
      </c>
      <c r="I12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in-04c272d8281e24bb</t>
        </is>
      </c>
      <c r="B128" t="inlineStr">
        <is>
          <t>Senior Product Manager - Tech, Fire TV</t>
        </is>
      </c>
      <c r="C128" t="inlineStr">
        <is>
          <t>Amazon.com</t>
        </is>
      </c>
      <c r="D128" t="inlineStr">
        <is>
          <t>indeed</t>
        </is>
      </c>
      <c r="E128">
        <f>HYPERLINK("https://www.indeed.com/viewjob?jk=04c272d8281e24bb", "https://www.indeed.com/viewjob?jk=04c272d8281e24bb")</f>
        <v/>
      </c>
      <c r="F128">
        <f>HYPERLINK("https://www.amazon.jobs/jobs/3058473/senior-product-manager--tech-fire-tv?cmpid=DA_INAD200785B", "https://www.amazon.jobs/jobs/3058473/senior-product-manager--tech-fire-tv?cmpid=DA_INAD200785B")</f>
        <v/>
      </c>
      <c r="G128" t="inlineStr">
        <is>
          <t>Sunnyvale, CA, US</t>
        </is>
      </c>
      <c r="H128" s="3" t="n">
        <v>45855</v>
      </c>
      <c r="I12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in-643b24e798e8a636</t>
        </is>
      </c>
      <c r="B129" t="inlineStr">
        <is>
          <t>Senior Product Manager - Technical, Alexa Communications</t>
        </is>
      </c>
      <c r="C129" t="inlineStr">
        <is>
          <t>Amazon.com</t>
        </is>
      </c>
      <c r="D129" t="inlineStr">
        <is>
          <t>indeed</t>
        </is>
      </c>
      <c r="E129">
        <f>HYPERLINK("https://www.indeed.com/viewjob?jk=643b24e798e8a636", "https://www.indeed.com/viewjob?jk=643b24e798e8a636")</f>
        <v/>
      </c>
      <c r="F129">
        <f>HYPERLINK("https://www.amazon.jobs/jobs/3034220/senior-product-manager--technical-alexa-communications?cmpid=DA_INAD200785B", "https://www.amazon.jobs/jobs/3034220/senior-product-manager--technical-alexa-communications?cmpid=DA_INAD200785B")</f>
        <v/>
      </c>
      <c r="G129" t="inlineStr">
        <is>
          <t>Seattle, WA, US</t>
        </is>
      </c>
      <c r="H129" s="3" t="n">
        <v>45851</v>
      </c>
      <c r="I12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in-655d3c4214d9de6f</t>
        </is>
      </c>
      <c r="B130" t="inlineStr">
        <is>
          <t>Senior Product Manager - Technical, Alexa Communications</t>
        </is>
      </c>
      <c r="C130" t="inlineStr">
        <is>
          <t>Amazon.com</t>
        </is>
      </c>
      <c r="D130" t="inlineStr">
        <is>
          <t>indeed</t>
        </is>
      </c>
      <c r="E130">
        <f>HYPERLINK("https://www.indeed.com/viewjob?jk=655d3c4214d9de6f", "https://www.indeed.com/viewjob?jk=655d3c4214d9de6f")</f>
        <v/>
      </c>
      <c r="F130">
        <f>HYPERLINK("https://www.amazon.jobs/jobs/3034220/senior-product-manager--technical-alexa-communications?cmpid=DA_INAD200785B", "https://www.amazon.jobs/jobs/3034220/senior-product-manager--technical-alexa-communications?cmpid=DA_INAD200785B")</f>
        <v/>
      </c>
      <c r="G130" t="inlineStr">
        <is>
          <t>Sunnyvale, CA, US</t>
        </is>
      </c>
      <c r="H130" s="3" t="n">
        <v>45851</v>
      </c>
      <c r="I13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in-bbf77635613ad68e</t>
        </is>
      </c>
      <c r="B131" t="inlineStr">
        <is>
          <t>Principal Product Manager Tech - Devices, Fire TV Devices</t>
        </is>
      </c>
      <c r="C131" t="inlineStr">
        <is>
          <t>Amazon.com</t>
        </is>
      </c>
      <c r="D131" t="inlineStr">
        <is>
          <t>indeed</t>
        </is>
      </c>
      <c r="E131">
        <f>HYPERLINK("https://www.indeed.com/viewjob?jk=bbf77635613ad68e", "https://www.indeed.com/viewjob?jk=bbf77635613ad68e")</f>
        <v/>
      </c>
      <c r="F131">
        <f>HYPERLINK("https://www.amazon.jobs/jobs/3029783/principal-product-manager-tech--devices-fire-tv-devices?cmpid=DA_INAD200785B", "https://www.amazon.jobs/jobs/3029783/principal-product-manager-tech--devices-fire-tv-devices?cmpid=DA_INAD200785B")</f>
        <v/>
      </c>
      <c r="G131" t="inlineStr">
        <is>
          <t>Sunnyvale, CA, US</t>
        </is>
      </c>
      <c r="H131" s="3" t="n">
        <v>45844</v>
      </c>
      <c r="I13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in-7be4f7c6a03e742c</t>
        </is>
      </c>
      <c r="B132" t="inlineStr">
        <is>
          <t>Principal Product Manager Tech - Devices, Fire TV Devices</t>
        </is>
      </c>
      <c r="C132" t="inlineStr">
        <is>
          <t>Amazon.com</t>
        </is>
      </c>
      <c r="D132" t="inlineStr">
        <is>
          <t>indeed</t>
        </is>
      </c>
      <c r="E132">
        <f>HYPERLINK("https://www.indeed.com/viewjob?jk=7be4f7c6a03e742c", "https://www.indeed.com/viewjob?jk=7be4f7c6a03e742c")</f>
        <v/>
      </c>
      <c r="F132">
        <f>HYPERLINK("https://www.amazon.jobs/jobs/3029783/principal-product-manager-tech--devices-fire-tv-devices?cmpid=DA_INAD200785B", "https://www.amazon.jobs/jobs/3029783/principal-product-manager-tech--devices-fire-tv-devices?cmpid=DA_INAD200785B")</f>
        <v/>
      </c>
      <c r="G132" t="inlineStr">
        <is>
          <t>Seattle, WA, US</t>
        </is>
      </c>
      <c r="H132" s="3" t="n">
        <v>45844</v>
      </c>
      <c r="I13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in-2d360630fa666f32</t>
        </is>
      </c>
      <c r="B133" t="inlineStr">
        <is>
          <t>Principal Product Manager-Technical, AGI, Artificial General Intellgence</t>
        </is>
      </c>
      <c r="C133" t="inlineStr">
        <is>
          <t>Amazon.com</t>
        </is>
      </c>
      <c r="D133" t="inlineStr">
        <is>
          <t>indeed</t>
        </is>
      </c>
      <c r="E133">
        <f>HYPERLINK("https://www.indeed.com/viewjob?jk=2d360630fa666f32", "https://www.indeed.com/viewjob?jk=2d360630fa666f32")</f>
        <v/>
      </c>
      <c r="F133">
        <f>HYPERLINK("https://www.amazon.jobs/jobs/3017572/principal-product-managertechnical-agi-artificial-general-intellgence?cmpid=DA_INAD200785B", "https://www.amazon.jobs/jobs/3017572/principal-product-managertechnical-agi-artificial-general-intellgence?cmpid=DA_INAD200785B")</f>
        <v/>
      </c>
      <c r="G133" t="inlineStr">
        <is>
          <t>Bellevue, WA, US</t>
        </is>
      </c>
      <c r="H133" s="3" t="n">
        <v>45824</v>
      </c>
      <c r="I13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in-99b6538ae2cda69d</t>
        </is>
      </c>
      <c r="B134" t="inlineStr">
        <is>
          <t>Principal Product Manager-Technical, AGI, Artificial General Intellgence</t>
        </is>
      </c>
      <c r="C134" t="inlineStr">
        <is>
          <t>Amazon.com</t>
        </is>
      </c>
      <c r="D134" t="inlineStr">
        <is>
          <t>indeed</t>
        </is>
      </c>
      <c r="E134">
        <f>HYPERLINK("https://www.indeed.com/viewjob?jk=99b6538ae2cda69d", "https://www.indeed.com/viewjob?jk=99b6538ae2cda69d")</f>
        <v/>
      </c>
      <c r="F134">
        <f>HYPERLINK("https://www.amazon.jobs/jobs/3017572/principal-product-managertechnical-agi-artificial-general-intellgence?cmpid=DA_INAD200785B", "https://www.amazon.jobs/jobs/3017572/principal-product-managertechnical-agi-artificial-general-intellgence?cmpid=DA_INAD200785B")</f>
        <v/>
      </c>
      <c r="G134" t="inlineStr">
        <is>
          <t>Sunnyvale, CA, US</t>
        </is>
      </c>
      <c r="H134" s="3" t="n">
        <v>45824</v>
      </c>
      <c r="I13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in-fa9999db3db176c4</t>
        </is>
      </c>
      <c r="B135" t="inlineStr">
        <is>
          <t>Principal Product Manager-Technical, AGI, Artificial General Intellgence</t>
        </is>
      </c>
      <c r="C135" t="inlineStr">
        <is>
          <t>Amazon.com</t>
        </is>
      </c>
      <c r="D135" t="inlineStr">
        <is>
          <t>indeed</t>
        </is>
      </c>
      <c r="E135">
        <f>HYPERLINK("https://www.indeed.com/viewjob?jk=fa9999db3db176c4", "https://www.indeed.com/viewjob?jk=fa9999db3db176c4")</f>
        <v/>
      </c>
      <c r="F135">
        <f>HYPERLINK("https://www.amazon.jobs/jobs/3017572/principal-product-managertechnical-agi-artificial-general-intellgence?cmpid=DA_INAD200785B", "https://www.amazon.jobs/jobs/3017572/principal-product-managertechnical-agi-artificial-general-intellgence?cmpid=DA_INAD200785B")</f>
        <v/>
      </c>
      <c r="G135" t="inlineStr">
        <is>
          <t>Boston, MA, US</t>
        </is>
      </c>
      <c r="H135" s="3" t="n">
        <v>45824</v>
      </c>
      <c r="I13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in-521f611c661ac150</t>
        </is>
      </c>
      <c r="B136" t="inlineStr">
        <is>
          <t>Sr. Product Manager Technical, Deal Tooling &amp; Insights, Strategic Customer Engagements</t>
        </is>
      </c>
      <c r="C136" t="inlineStr">
        <is>
          <t>Amazon Web Services</t>
        </is>
      </c>
      <c r="D136" t="inlineStr">
        <is>
          <t>indeed</t>
        </is>
      </c>
      <c r="E136">
        <f>HYPERLINK("https://www.indeed.com/viewjob?jk=521f611c661ac150", "https://www.indeed.com/viewjob?jk=521f611c661ac150")</f>
        <v/>
      </c>
      <c r="F136">
        <f>HYPERLINK("https://www.amazon.jobs/jobs/3138889/sr-product-manager-technical-deal-tooling--insights-strategic-customer-engagements?cmpid=DA_INAD200785B", "https://www.amazon.jobs/jobs/3138889/sr-product-manager-technical-deal-tooling--insights-strategic-customer-engagements?cmpid=DA_INAD200785B")</f>
        <v/>
      </c>
      <c r="G136" t="inlineStr">
        <is>
          <t>Dallas, TX, US</t>
        </is>
      </c>
      <c r="H136" s="3" t="n">
        <v>45994</v>
      </c>
      <c r="I13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7">
      <c r="A137" t="inlineStr">
        <is>
          <t>in-41ce75f3ee9c6c17</t>
        </is>
      </c>
      <c r="B137" t="inlineStr">
        <is>
          <t>Sr. Product Manager Technical, Deal Tooling &amp; Insights, Strategic Customer Engagements</t>
        </is>
      </c>
      <c r="C137" t="inlineStr">
        <is>
          <t>Amazon Web Services</t>
        </is>
      </c>
      <c r="D137" t="inlineStr">
        <is>
          <t>indeed</t>
        </is>
      </c>
      <c r="E137">
        <f>HYPERLINK("https://www.indeed.com/viewjob?jk=41ce75f3ee9c6c17", "https://www.indeed.com/viewjob?jk=41ce75f3ee9c6c17")</f>
        <v/>
      </c>
      <c r="F137">
        <f>HYPERLINK("https://www.amazon.jobs/jobs/3138889/sr-product-manager-technical-deal-tooling--insights-strategic-customer-engagements?cmpid=DA_INAD200785B", "https://www.amazon.jobs/jobs/3138889/sr-product-manager-technical-deal-tooling--insights-strategic-customer-engagements?cmpid=DA_INAD200785B")</f>
        <v/>
      </c>
      <c r="G137" t="inlineStr">
        <is>
          <t>Arlington, VA, US</t>
        </is>
      </c>
      <c r="H137" s="3" t="n">
        <v>45994</v>
      </c>
      <c r="I13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8">
      <c r="A138" t="inlineStr">
        <is>
          <t>in-1108370c0094fbd2</t>
        </is>
      </c>
      <c r="B138" t="inlineStr">
        <is>
          <t>Sr. Product Manager Technical, Deal Tooling &amp; Insights, Strategic Customer Engagements</t>
        </is>
      </c>
      <c r="C138" t="inlineStr">
        <is>
          <t>Amazon Web Services</t>
        </is>
      </c>
      <c r="D138" t="inlineStr">
        <is>
          <t>indeed</t>
        </is>
      </c>
      <c r="E138">
        <f>HYPERLINK("https://www.indeed.com/viewjob?jk=1108370c0094fbd2", "https://www.indeed.com/viewjob?jk=1108370c0094fbd2")</f>
        <v/>
      </c>
      <c r="F138">
        <f>HYPERLINK("https://www.amazon.jobs/jobs/3138889/sr-product-manager-technical-deal-tooling--insights-strategic-customer-engagements?cmpid=DA_INAD200785B", "https://www.amazon.jobs/jobs/3138889/sr-product-manager-technical-deal-tooling--insights-strategic-customer-engagements?cmpid=DA_INAD200785B")</f>
        <v/>
      </c>
      <c r="G138" t="inlineStr">
        <is>
          <t>Austin, TX, US</t>
        </is>
      </c>
      <c r="H138" s="3" t="n">
        <v>45994</v>
      </c>
      <c r="I13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9">
      <c r="A139" t="inlineStr">
        <is>
          <t>in-303bfd483c27306f</t>
        </is>
      </c>
      <c r="B139" t="inlineStr">
        <is>
          <t>Sr. Product Manager Technical, Deal Tooling &amp; Insights, Strategic Customer Engagements</t>
        </is>
      </c>
      <c r="C139" t="inlineStr">
        <is>
          <t>Amazon Web Services</t>
        </is>
      </c>
      <c r="D139" t="inlineStr">
        <is>
          <t>indeed</t>
        </is>
      </c>
      <c r="E139">
        <f>HYPERLINK("https://www.indeed.com/viewjob?jk=303bfd483c27306f", "https://www.indeed.com/viewjob?jk=303bfd483c27306f")</f>
        <v/>
      </c>
      <c r="F139">
        <f>HYPERLINK("https://www.amazon.jobs/jobs/3138889/sr-product-manager-technical-deal-tooling--insights-strategic-customer-engagements?cmpid=DA_INAD200785B", "https://www.amazon.jobs/jobs/3138889/sr-product-manager-technical-deal-tooling--insights-strategic-customer-engagements?cmpid=DA_INAD200785B")</f>
        <v/>
      </c>
      <c r="G139" t="inlineStr">
        <is>
          <t>Herndon, VA, US</t>
        </is>
      </c>
      <c r="H139" s="3" t="n">
        <v>45994</v>
      </c>
      <c r="I13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0">
      <c r="A140" t="inlineStr">
        <is>
          <t>in-e2dd26259fe373c2</t>
        </is>
      </c>
      <c r="B140" t="inlineStr">
        <is>
          <t>Sr. Product Manager Technical, Deal Tooling &amp; Insights, Strategic Customer Engagements</t>
        </is>
      </c>
      <c r="C140" t="inlineStr">
        <is>
          <t>Amazon Web Services</t>
        </is>
      </c>
      <c r="D140" t="inlineStr">
        <is>
          <t>indeed</t>
        </is>
      </c>
      <c r="E140">
        <f>HYPERLINK("https://www.indeed.com/viewjob?jk=e2dd26259fe373c2", "https://www.indeed.com/viewjob?jk=e2dd26259fe373c2")</f>
        <v/>
      </c>
      <c r="F140">
        <f>HYPERLINK("https://www.amazon.jobs/jobs/3138889/sr-product-manager-technical-deal-tooling--insights-strategic-customer-engagements?cmpid=DA_INAD200785B", "https://www.amazon.jobs/jobs/3138889/sr-product-manager-technical-deal-tooling--insights-strategic-customer-engagements?cmpid=DA_INAD200785B")</f>
        <v/>
      </c>
      <c r="G140" t="inlineStr">
        <is>
          <t>New York, NY, US</t>
        </is>
      </c>
      <c r="H140" s="3" t="n">
        <v>45994</v>
      </c>
      <c r="I14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1">
      <c r="A141" t="inlineStr">
        <is>
          <t>in-e7aa40921f36f11a</t>
        </is>
      </c>
      <c r="B141" t="inlineStr">
        <is>
          <t>Sr. Product Manager Technical, Deal Tooling &amp; Insights, Strategic Customer Engagements</t>
        </is>
      </c>
      <c r="C141" t="inlineStr">
        <is>
          <t>Amazon Web Services</t>
        </is>
      </c>
      <c r="D141" t="inlineStr">
        <is>
          <t>indeed</t>
        </is>
      </c>
      <c r="E141">
        <f>HYPERLINK("https://www.indeed.com/viewjob?jk=e7aa40921f36f11a", "https://www.indeed.com/viewjob?jk=e7aa40921f36f11a")</f>
        <v/>
      </c>
      <c r="F141">
        <f>HYPERLINK("https://www.amazon.jobs/jobs/3138889/sr-product-manager-technical-deal-tooling--insights-strategic-customer-engagements?cmpid=DA_INAD200785B", "https://www.amazon.jobs/jobs/3138889/sr-product-manager-technical-deal-tooling--insights-strategic-customer-engagements?cmpid=DA_INAD200785B")</f>
        <v/>
      </c>
      <c r="G141" t="inlineStr">
        <is>
          <t>Seattle, WA, US</t>
        </is>
      </c>
      <c r="H141" s="3" t="n">
        <v>45994</v>
      </c>
      <c r="I14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2">
      <c r="A142" t="inlineStr">
        <is>
          <t>in-2ac52461b768913b</t>
        </is>
      </c>
      <c r="B142" t="inlineStr">
        <is>
          <t>Sr. Product Manager - Tech, WHS Data-Tech</t>
        </is>
      </c>
      <c r="C142" t="inlineStr">
        <is>
          <t>Amazon.com</t>
        </is>
      </c>
      <c r="D142" t="inlineStr">
        <is>
          <t>indeed</t>
        </is>
      </c>
      <c r="E142">
        <f>HYPERLINK("https://www.indeed.com/viewjob?jk=2ac52461b768913b", "https://www.indeed.com/viewjob?jk=2ac52461b768913b")</f>
        <v/>
      </c>
      <c r="F142">
        <f>HYPERLINK("https://www.amazon.jobs/jobs/3156736/sr-product-manager--tech-whs-datatech?cmpid=DA_INAD200785B", "https://www.amazon.jobs/jobs/3156736/sr-product-manager--tech-whs-datatech?cmpid=DA_INAD200785B")</f>
        <v/>
      </c>
      <c r="G142" t="inlineStr">
        <is>
          <t>Nashville, TN, US</t>
        </is>
      </c>
      <c r="H142" s="3" t="n">
        <v>45836</v>
      </c>
      <c r="I14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3">
      <c r="A143" t="inlineStr">
        <is>
          <t>in-ca739dd7cf31b069</t>
        </is>
      </c>
      <c r="B143" t="inlineStr">
        <is>
          <t>Sr. Product Manager - Tech, WHS Data-Tech</t>
        </is>
      </c>
      <c r="C143" t="inlineStr">
        <is>
          <t>Amazon.com</t>
        </is>
      </c>
      <c r="D143" t="inlineStr">
        <is>
          <t>indeed</t>
        </is>
      </c>
      <c r="E143">
        <f>HYPERLINK("https://www.indeed.com/viewjob?jk=ca739dd7cf31b069", "https://www.indeed.com/viewjob?jk=ca739dd7cf31b069")</f>
        <v/>
      </c>
      <c r="F143">
        <f>HYPERLINK("https://www.amazon.jobs/jobs/3156736/sr-product-manager--tech-whs-datatech?cmpid=DA_INAD200785B", "https://www.amazon.jobs/jobs/3156736/sr-product-manager--tech-whs-datatech?cmpid=DA_INAD200785B")</f>
        <v/>
      </c>
      <c r="G143" t="inlineStr">
        <is>
          <t>Arlington, VA, US</t>
        </is>
      </c>
      <c r="H143" s="3" t="n">
        <v>45836</v>
      </c>
      <c r="I14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4">
      <c r="A144" t="inlineStr">
        <is>
          <t>in-de66793b08ecef43</t>
        </is>
      </c>
      <c r="B144" t="inlineStr">
        <is>
          <t>Sr. Product Manager - Tech, WHS Data-Tech</t>
        </is>
      </c>
      <c r="C144" t="inlineStr">
        <is>
          <t>Amazon.com</t>
        </is>
      </c>
      <c r="D144" t="inlineStr">
        <is>
          <t>indeed</t>
        </is>
      </c>
      <c r="E144">
        <f>HYPERLINK("https://www.indeed.com/viewjob?jk=de66793b08ecef43", "https://www.indeed.com/viewjob?jk=de66793b08ecef43")</f>
        <v/>
      </c>
      <c r="F144">
        <f>HYPERLINK("https://www.amazon.jobs/jobs/3156736/sr-product-manager--tech-whs-datatech?cmpid=DA_INAD200785B", "https://www.amazon.jobs/jobs/3156736/sr-product-manager--tech-whs-datatech?cmpid=DA_INAD200785B")</f>
        <v/>
      </c>
      <c r="G144" t="inlineStr">
        <is>
          <t>Bellevue, WA, US</t>
        </is>
      </c>
      <c r="H144" s="3" t="n">
        <v>45836</v>
      </c>
      <c r="I14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5">
      <c r="A145" t="inlineStr">
        <is>
          <t>in-187181ee2e78d9d0</t>
        </is>
      </c>
      <c r="B145" t="inlineStr">
        <is>
          <t>Senior AI Product Manager</t>
        </is>
      </c>
      <c r="C145" t="inlineStr">
        <is>
          <t>EvenUp</t>
        </is>
      </c>
      <c r="D145" t="inlineStr">
        <is>
          <t>indeed</t>
        </is>
      </c>
      <c r="E145">
        <f>HYPERLINK("https://www.indeed.com/viewjob?jk=187181ee2e78d9d0", "https://www.indeed.com/viewjob?jk=187181ee2e78d9d0")</f>
        <v/>
      </c>
      <c r="F145">
        <f>HYPERLINK("https://jobs.ashbyhq.com/evenup/ddf4f867-4209-48c1-918e-51f8cde70ae5?utm_source=qrwm0P0aXz", "https://jobs.ashbyhq.com/evenup/ddf4f867-4209-48c1-918e-51f8cde70ae5?utm_source=qrwm0P0aXz")</f>
        <v/>
      </c>
      <c r="G145" t="inlineStr">
        <is>
          <t>San Francisco, CA, US</t>
        </is>
      </c>
      <c r="H145" s="3" t="n">
        <v>46047</v>
      </c>
      <c r="I145"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We’re looking for a highly technical AI Product Manager to lead the development of the core models that power EvenUp’s intelligence. This role focuses on our AI layer where you'll work on training, optimizing, and evaluating numerous models that extract truth from complex legal and medical data. You’ll be responsible for increasing accuracy across key entity extraction models, building new models, increasing input modalities, building data flywheels, and ensuring we keep up with the state of the art in foundation models and agentic orchestration.
 **This is a hybrid role with the expectation of working at least 3 days a week from our San Francisco office.**
**What you'll do:**
* Own the strategic roadmap and tactical execution for core models, focusing on domain\-specific entity extraction and linking models in the legal and medical spaces.
* Dive deep into prompt engineering; build robust evaluation frameworks and gold\-standard datasets to measure model performance and reasoning accuracy.
* Partner with ML engineers, data scientists, software engineers, and legal/medical subject matter experts, to manage the end\-to\-end model lifecycle from data curation to post\-production monitoring.
* Balance technical trade\-offs between model size and reasoning quality to ensure our features are both intelligent and commercially viable.
* Research and experiment with emerging modeling techniques to maintain our competitive edge.
**What we look for:**
* You love working on models; grinding on model accuracy is something you find fun
* 5\+ years of professional experience with a heavy emphasis on high\-trajectory growth in AI modeling or data science products.
* Deep understanding of LLMs, evals, RAG, agentic orchestration, classical machine learning and statistics
* Proven track record of treating data quality as a first\-class product and building pipelines designed specifically for model training.
* Demonstrated ability to translate complex model metrics into clear business impact for non\-technical stakeholders.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$177,650 \- $236,000</t>
        </is>
      </c>
    </row>
    <row r="146">
      <c r="A146" t="inlineStr">
        <is>
          <t>in-5bc9574fae9650db</t>
        </is>
      </c>
      <c r="B146" t="inlineStr">
        <is>
          <t>Principal Product Manager - Tech, Recommender Systems, Prime Video Personalization &amp; Discovery</t>
        </is>
      </c>
      <c r="C146" t="inlineStr">
        <is>
          <t>Amazon.com</t>
        </is>
      </c>
      <c r="D146" t="inlineStr">
        <is>
          <t>indeed</t>
        </is>
      </c>
      <c r="E146">
        <f>HYPERLINK("https://www.indeed.com/viewjob?jk=5bc9574fae9650db", "https://www.indeed.com/viewjob?jk=5bc9574fae9650db")</f>
        <v/>
      </c>
      <c r="F146">
        <f>HYPERLINK("https://www.amazon.jobs/jobs/2956622/principal-product-manager--tech-recommender-systems-prime-video-personalization--discovery-?cmpid=DA_INAD200785B", "https://www.amazon.jobs/jobs/2956622/principal-product-manager--tech-recommender-systems-prime-video-personalization--discovery-?cmpid=DA_INAD200785B")</f>
        <v/>
      </c>
      <c r="G146" t="inlineStr">
        <is>
          <t>Washington, DC, US</t>
        </is>
      </c>
      <c r="H146" s="3" t="n">
        <v>45753</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in-21f05ebee36aa623</t>
        </is>
      </c>
      <c r="B147" t="inlineStr">
        <is>
          <t>Principal Product Manager - Tech, Recommender Systems, Prime Video Personalization &amp; Discovery</t>
        </is>
      </c>
      <c r="C147" t="inlineStr">
        <is>
          <t>Amazon.com</t>
        </is>
      </c>
      <c r="D147" t="inlineStr">
        <is>
          <t>indeed</t>
        </is>
      </c>
      <c r="E147">
        <f>HYPERLINK("https://www.indeed.com/viewjob?jk=21f05ebee36aa623", "https://www.indeed.com/viewjob?jk=21f05ebee36aa623")</f>
        <v/>
      </c>
      <c r="F147">
        <f>HYPERLINK("https://www.amazon.jobs/jobs/2956622/principal-product-manager--tech-recommender-systems-prime-video-personalization--discovery-?cmpid=DA_INAD200785B", "https://www.amazon.jobs/jobs/2956622/principal-product-manager--tech-recommender-systems-prime-video-personalization--discovery-?cmpid=DA_INAD200785B")</f>
        <v/>
      </c>
      <c r="G147" t="inlineStr">
        <is>
          <t>Seattle, WA, US</t>
        </is>
      </c>
      <c r="H147" s="3" t="n">
        <v>45753</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in-e99cbe8cfecca2f3</t>
        </is>
      </c>
      <c r="B148" t="inlineStr">
        <is>
          <t>Technical Program Manager, Leo Security</t>
        </is>
      </c>
      <c r="C148" t="inlineStr">
        <is>
          <t>Amazon.com</t>
        </is>
      </c>
      <c r="D148" t="inlineStr">
        <is>
          <t>indeed</t>
        </is>
      </c>
      <c r="E148">
        <f>HYPERLINK("https://www.indeed.com/viewjob?jk=e99cbe8cfecca2f3", "https://www.indeed.com/viewjob?jk=e99cbe8cfecca2f3")</f>
        <v/>
      </c>
      <c r="F148">
        <f>HYPERLINK("https://www.amazon.jobs/jobs/3142213/technical-program-manager-leo-security?cmpid=DA_INAD200785B", "https://www.amazon.jobs/jobs/3142213/technical-program-manager-leo-security?cmpid=DA_INAD200785B")</f>
        <v/>
      </c>
      <c r="G148" t="inlineStr">
        <is>
          <t>Redmond, WA, US</t>
        </is>
      </c>
      <c r="H148" s="3" t="n">
        <v>45991</v>
      </c>
      <c r="I148"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in-96140c3f4a304ab1</t>
        </is>
      </c>
      <c r="B149" t="inlineStr">
        <is>
          <t>Technical Program Manager, Leo Security</t>
        </is>
      </c>
      <c r="C149" t="inlineStr">
        <is>
          <t>Amazon.com</t>
        </is>
      </c>
      <c r="D149" t="inlineStr">
        <is>
          <t>indeed</t>
        </is>
      </c>
      <c r="E149">
        <f>HYPERLINK("https://www.indeed.com/viewjob?jk=96140c3f4a304ab1", "https://www.indeed.com/viewjob?jk=96140c3f4a304ab1")</f>
        <v/>
      </c>
      <c r="F149">
        <f>HYPERLINK("https://www.amazon.jobs/jobs/3142213/technical-program-manager-leo-security?cmpid=DA_INAD200785B", "https://www.amazon.jobs/jobs/3142213/technical-program-manager-leo-security?cmpid=DA_INAD200785B")</f>
        <v/>
      </c>
      <c r="G149" t="inlineStr">
        <is>
          <t>Arlington, VA, US</t>
        </is>
      </c>
      <c r="H149" s="3" t="n">
        <v>45991</v>
      </c>
      <c r="I149"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li-4366141461</t>
        </is>
      </c>
      <c r="B2" t="inlineStr">
        <is>
          <t>AI Product Manager</t>
        </is>
      </c>
      <c r="C2" t="inlineStr">
        <is>
          <t>Fusemachines</t>
        </is>
      </c>
      <c r="D2" t="inlineStr">
        <is>
          <t>linkedin</t>
        </is>
      </c>
      <c r="E2" t="inlineStr"/>
      <c r="F2" t="inlineStr"/>
      <c r="G2" t="inlineStr">
        <is>
          <t>New York, NY</t>
        </is>
      </c>
      <c r="H2" t="inlineStr"/>
      <c r="I2" t="inlineStr">
        <is>
          <t>**About Fusemachines**
 Fusemachines is a 10\+ year old AI company, dedicated to delivering state\-of\-the\-art AI products and solutions to a diverse range of industries. Founded by Sameer Maskey, Ph.D., an Adjunct Associate Professor at Columbia University, our company is on a steadfast mission to democratize AI and harness the power of global AI talent from underserved communities. With a robust presence in four countries and a dedicated team of over 400 full\-time employees, we are committed to fostering AI transformation journeys for businesses worldwide. At Fusemachines, we not only bridge the gap between AI advancement and its global impact but also strive to deliver the most advanced technology solutions to
 the world.
**Type:** 
 Full\-time, Remote
**About the Role:**
 The AI Product Manager is a strategic product leader responsible for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Key Responsibilities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Nbs0RNh3L9</t>
        </is>
      </c>
    </row>
    <row r="3">
      <c r="A3" t="inlineStr">
        <is>
          <t>li-4366142471</t>
        </is>
      </c>
      <c r="B3" t="inlineStr">
        <is>
          <t>Senior Product Manager</t>
        </is>
      </c>
      <c r="C3" t="inlineStr">
        <is>
          <t>Hypersonix Inc.</t>
        </is>
      </c>
      <c r="D3" t="inlineStr">
        <is>
          <t>linkedin</t>
        </is>
      </c>
      <c r="E3" t="inlineStr"/>
      <c r="F3" t="inlineStr"/>
      <c r="G3" t="inlineStr">
        <is>
          <t>San Jose, CA</t>
        </is>
      </c>
      <c r="H3" t="inlineStr"/>
      <c r="I3"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
 N9IovRpMfs</t>
        </is>
      </c>
    </row>
    <row r="4">
      <c r="A4" t="inlineStr">
        <is>
          <t>li-4366152525</t>
        </is>
      </c>
      <c r="B4" t="inlineStr">
        <is>
          <t>Principal Product Manager, Data Innovation</t>
        </is>
      </c>
      <c r="C4" t="inlineStr">
        <is>
          <t>Cint</t>
        </is>
      </c>
      <c r="D4" t="inlineStr">
        <is>
          <t>linkedin</t>
        </is>
      </c>
      <c r="E4" t="inlineStr"/>
      <c r="F4" t="inlineStr"/>
      <c r="G4" t="inlineStr">
        <is>
          <t>New York, NY</t>
        </is>
      </c>
      <c r="H4" t="inlineStr"/>
      <c r="I4" t="inlineStr">
        <is>
          <t>**Who We Are**
 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The anticipated pay range for this role is $175,000 to $218,000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5">
      <c r="A5" t="inlineStr">
        <is>
          <t>li-4366176504</t>
        </is>
      </c>
      <c r="B5" t="inlineStr">
        <is>
          <t>Product Owner</t>
        </is>
      </c>
      <c r="C5" t="inlineStr">
        <is>
          <t>The Value Maximizer</t>
        </is>
      </c>
      <c r="D5" t="inlineStr">
        <is>
          <t>linkedin</t>
        </is>
      </c>
      <c r="E5" t="inlineStr"/>
      <c r="F5" t="inlineStr"/>
      <c r="G5" t="inlineStr">
        <is>
          <t>South Carolina, United States</t>
        </is>
      </c>
      <c r="H5" t="inlineStr"/>
      <c r="I5" t="inlineStr">
        <is>
          <t>**Job Summary** 
 We are looking for an experienced
 **Product Owner** 
 with strong domain expertise in
 **Wealth Management** 
 ,
 **IBOR (Investment Book of Record)** 
 , and
 **Trade Processing** 
 . The ideal candidate will act as a bridge between business stakeholders and technology teams, owning the product backlog and ensuring delivery of high\-quality solutions aligned with business objectives.
 **Key Responsibilities**
* Own and manage the product backlog, ensuring items are clearly defined, prioritized, and aligned with business goals
* Work closely with stakeholders in Wealth Management, Trading, and Operations to gather and refine business requirements
* Translate business needs into user stories with clear acceptance criteria
* Provide functional expertise in IBOR, trade lifecycle, positions, transactions, and valuations
* Collaborate with Scrum Masters, Developers, QA, and Architects throughout the Agile delivery lifecycle
* Participate in sprint planning, backlog grooming, reviews, and retrospectives
* Ensure regulatory, compliance, and data accuracy requirements are met
* Support UAT planning, execution, and sign\-off
* Act as the primary point of contact for product\-related queries and decisions
**Required Skills \&amp; Experience**
* 10\+ years of experience in Financial Services, with at least 5\+ years as a Product Owner
* Strong domain knowledge of Wealth Management platforms, IBOR, and Trade Processing
* Hands\-on experience with trade lifecycle (order capture, execution, settlement, and reconciliation)
* Experience working in Agile / Scrum environments
* Excellent stakeholder management and communication skills
* Ability to prioritize competing demands and make data\-driven decisions
**Preferred Qualifications**
* Experience with portfolio management systems (e.g., IBOR/ABOR platforms)
* Knowledge of asset classes such as Equities, Fixed Income, Derivatives, or FX
* Prior experience working with global stakeholders and distributed teams
* CSPO / SAFe PO or similar Agile certification
**Nice to Have**
* Exposure to regulatory reporting and compliance in Wealth Management
* Technical understanding of APIs, data models, and integration patterns</t>
        </is>
      </c>
    </row>
    <row r="6">
      <c r="A6" t="inlineStr">
        <is>
          <t>li-4366164792</t>
        </is>
      </c>
      <c r="B6" t="inlineStr">
        <is>
          <t>Product Owner</t>
        </is>
      </c>
      <c r="C6" t="inlineStr">
        <is>
          <t>The Value Maximizer</t>
        </is>
      </c>
      <c r="D6" t="inlineStr">
        <is>
          <t>linkedin</t>
        </is>
      </c>
      <c r="E6" t="inlineStr"/>
      <c r="F6" t="inlineStr"/>
      <c r="G6" t="inlineStr">
        <is>
          <t>Georgia, United States</t>
        </is>
      </c>
      <c r="H6" t="inlineStr"/>
      <c r="I6" t="inlineStr">
        <is>
          <t>**Job Summary** 
 We are looking for an experienced
 **Product Owner** 
 with strong domain expertise in
 **Wealth Management** 
 ,
 **IBOR (Investment Book of Record)** 
 , and
 **Trade Processing** 
 . The ideal candidate will act as a bridge between business stakeholders and technology teams, owning the product backlog and ensuring delivery of high\-quality solutions aligned with business objectives.
 **Key Responsibilities**
* Own and manage the product backlog, ensuring items are clearly defined, prioritized, and aligned with business goals
* Work closely with stakeholders in Wealth Management, Trading, and Operations to gather and refine business requirements
* Translate business needs into user stories with clear acceptance criteria
* Provide functional expertise in IBOR, trade lifecycle, positions, transactions, and valuations
* Collaborate with Scrum Masters, Developers, QA, and Architects throughout the Agile delivery lifecycle
* Participate in sprint planning, backlog grooming, reviews, and retrospectives
* Ensure regulatory, compliance, and data accuracy requirements are met
* Support UAT planning, execution, and sign\-off
* Act as the primary point of contact for product\-related queries and decisions
**Required Skills \&amp; Experience**
* 10\+ years of experience in Financial Services, with at least 5\+ years as a Product Owner
* Strong domain knowledge of Wealth Management platforms, IBOR, and Trade Processing
* Hands\-on experience with trade lifecycle (order capture, execution, settlement, and reconciliation)
* Experience working in Agile / Scrum environments
* Excellent stakeholder management and communication skills
* Ability to prioritize competing demands and make data\-driven decisions
**Preferred Qualifications**
* Experience with portfolio management systems (e.g., IBOR/ABOR platforms)
* Knowledge of asset classes such as Equities, Fixed Income, Derivatives, or FX
* Prior experience working with global stakeholders and distributed teams
* CSPO / SAFe PO or similar Agile certification
**Nice to Have**
* Exposure to regulatory reporting and compliance in Wealth Management
* Technical understanding of APIs, data models, and integration patterns</t>
        </is>
      </c>
    </row>
    <row r="7">
      <c r="A7" t="inlineStr">
        <is>
          <t>li-4366178539</t>
        </is>
      </c>
      <c r="B7" t="inlineStr">
        <is>
          <t>Product Owner</t>
        </is>
      </c>
      <c r="C7" t="inlineStr">
        <is>
          <t>The Value Maximizer</t>
        </is>
      </c>
      <c r="D7" t="inlineStr">
        <is>
          <t>linkedin</t>
        </is>
      </c>
      <c r="E7" t="inlineStr"/>
      <c r="F7" t="inlineStr"/>
      <c r="G7" t="inlineStr">
        <is>
          <t>Austin, TX</t>
        </is>
      </c>
      <c r="H7" t="inlineStr"/>
      <c r="I7" t="inlineStr">
        <is>
          <t>**Job Summary** 
 We are looking for an experienced
 **Product Owner** 
 with strong domain expertise in
 **Wealth Management** 
 ,
 **IBOR (Investment Book of Record)** 
 , and
 **Trade Processing** 
 . The ideal candidate will act as a bridge between business stakeholders and technology teams, owning the product backlog and ensuring delivery of high\-quality solutions aligned with business objectives.
 **Key Responsibilities**
* Own and manage the product backlog, ensuring items are clearly defined, prioritized, and aligned with business goals
* Work closely with stakeholders in Wealth Management, Trading, and Operations to gather and refine business requirements
* Translate business needs into user stories with clear acceptance criteria
* Provide functional expertise in IBOR, trade lifecycle, positions, transactions, and valuations
* Collaborate with Scrum Masters, Developers, QA, and Architects throughout the Agile delivery lifecycle
* Participate in sprint planning, backlog grooming, reviews, and retrospectives
* Ensure regulatory, compliance, and data accuracy requirements are met
* Support UAT planning, execution, and sign\-off
* Act as the primary point of contact for product\-related queries and decisions
**Required Skills \&amp; Experience**
* 10\+ years of experience in Financial Services, with at least 5\+ years as a Product Owner
* Strong domain knowledge of Wealth Management platforms, IBOR, and Trade Processing
* Hands\-on experience with trade lifecycle (order capture, execution, settlement, and reconciliation)
* Experience working in Agile / Scrum environments
* Excellent stakeholder management and communication skills
* Ability to prioritize competing demands and make data\-driven decisions
**Preferred Qualifications**
* Experience with portfolio management systems (e.g., IBOR/ABOR platforms)
* Knowledge of asset classes such as Equities, Fixed Income, Derivatives, or FX
* Prior experience working with global stakeholders and distributed teams
* CSPO / SAFe PO or similar Agile certification
**Nice to Have**
* Exposure to regulatory reporting and compliance in Wealth Management
* Technical understanding of APIs, data models, and integration patterns</t>
        </is>
      </c>
    </row>
    <row r="8">
      <c r="A8" t="inlineStr">
        <is>
          <t>li-4366194059</t>
        </is>
      </c>
      <c r="B8" t="inlineStr">
        <is>
          <t>Product Manager</t>
        </is>
      </c>
      <c r="C8" t="inlineStr">
        <is>
          <t>Vim</t>
        </is>
      </c>
      <c r="D8" t="inlineStr">
        <is>
          <t>linkedin</t>
        </is>
      </c>
      <c r="E8" t="inlineStr"/>
      <c r="F8" t="inlineStr"/>
      <c r="G8" t="inlineStr">
        <is>
          <t>New York, NY</t>
        </is>
      </c>
      <c r="H8" t="inlineStr"/>
      <c r="I8" t="inlineStr">
        <is>
          <t>**The Gist** 
 Vim builds healthcare infrastructure for the real world. As a next\-generation developer platform, Vim connects providers, payers, EHRs, and digital health innovators through a shared workflow layer that lives directly in the clinical moment. From enabling pre\-charting, surfacing contextual insights and actionable data in\-visit, and "closing the loop" at the end of the visit by supporting diagnosis, medication, and order write back, Vim brings intelligence to the point of care without disruption.
 Joining Vim means being part of a team that’s rethinking how healthcare technology actually works in practice. We’re building the infrastructure that helps care teams move faster, developers build smarter, and health plans and provider organizations collaborate seamlessly. If you want to shape the future of healthcare connectivity and innovation, Vim is where you can do it.
**The Team** 
**Product**
 The Product team defines and drives the future of Vim’s platform. We combine strategy, user insight, and technical collaboration to build solutions that simplify complexity and deliver measurable value. Every product we launch brings intelligence and connection to the point of care.
**The Role** 
 The Product Manager, VBC will own key components of Vim’s value\-based care platform, driving discovery, prioritization, and delivery of features that support payer and provider partners. You will collaborate closely with engineering, design, operations, and customer\-facing teams to define problems, shape solutions, and ensure successful execution. This role requires strong product fundamentals, systems thinking, comfort with data\-heavy workflows, and the ability to communicate clearly with both technical teams and senior external stakeholders. You will thrive here if you enjoy bringing clarity to ambiguity, solving complex multi\-stakeholder problems, and delivering products that meaningfully impact healthcare outcomes.
**What you will do** 
* Lead product discovery for AI\-powered and automation\-heavy workflows, translating customer and business needs into clear, outcome\-focused and technically actionable requirements
* Own and evolve the product roadmap
* Work directly with payer and provider partners to understand real\-world workflows and validate AI\-driven solutions
* Communicate priorities, technical trade\-offs, and delivery timelines clearly across engineering, operations, and external stakeholders
* Use data to evaluate product impact and to guide continuous improvement
**Who we are looking for** 
* 3–7\+ years of product management experience within US healthcare building complex B2B SaaS products
* Healthcare, value\-based care, or EHR experience, or demonstrated ability to ramp quickly in complex regulated domains
* Experience working on products involving automation, decision support, ML\-enabled features, or complex rules engines
* Comfort operating in data\-heavy domains such as claims, eligibility, quality measures, or performance analytics
* Strong engineering fluency, demonstrated by the ability to reason about architecture, APIs, data flows, and system behavior
* Proven ability to own products end\-to\-end, from discovery through delivery and iteration, with strong execution discipline across backlog management, prioritization, cross\-functional alignment, and measurable outcomes
* Comfort operating in ambiguity and making product decisions with incomplete information
* Clear, concise communicator who can bridge technical and non\-technical stakeholders
**What is Nice to Have** 
* AI\-enabled healthcare product experience
* Experience with APIs, enterprise integrations, or interoperability standards (FHIR, HL7, etc.)
* NYC\-based with ability to work in\-office on a hybrid schedule
**Vim’s Culture, Compensation, and Benefits** 
 Our employees are go\-getters and bring “Vim and Vigor” to their everyday work life; they are expected to ask bold questions and work as a team towards the success of the company.  We prioritize employee satisfaction through a comprehensive range of benefits designed to enhance work\-life integration and foster a positive culture.
**The target salary for this role is between $140,000\- $185,000 USD per year
 *(Compensation is influenced by a wide array of factors including but not limited to skill set, and level of experience)***
* Vim offers a comprehensive benefits package including discretionary (unlimited) vacation time off; generous contribution to health care, dental, and vision insurance; and 401K program
* We embrace the hybrid work model, and we offer the flexibility of working several days from home, ensuring comfort and productivity
* Our dog\-friendly policy recognizes the importance of furry companions in our lives
* Regular happy hours and team events provide opportunities for socializing and team bonding, while office wide lunches encourage camaraderie and collaboration
* At Vim we also provide unlimited flexible days off, our employees can manage their schedules according to personal needs, promoting overall well\-being
* We embrace a growth mindset, and we encourage continuous learning and development, empowering employees to reach their full potential both personally and professionally
 Vim is proud to be an equal\-opportunity employer with a high interest in creating a diverse and inclusive work environment. We do not discriminate based on race, color, national origin, ethnicity, religion or religious belief, sex (including pregnancy, childbirth, or related medical conditions), sexual orientation, gender/gender identity, age, military/veteran status, disability, or other legally protected characteristics. 
 By inputting your information and clicking “Submit Application”, you acknowledge that you have read and agree to Vim’s Candidate Privacy Notice.</t>
        </is>
      </c>
    </row>
    <row r="9">
      <c r="A9" t="inlineStr">
        <is>
          <t>li-4366184790</t>
        </is>
      </c>
      <c r="B9" t="inlineStr">
        <is>
          <t>Global Product Manager</t>
        </is>
      </c>
      <c r="C9" t="inlineStr">
        <is>
          <t>Taco, Inc.</t>
        </is>
      </c>
      <c r="D9" t="inlineStr">
        <is>
          <t>linkedin</t>
        </is>
      </c>
      <c r="E9" t="inlineStr"/>
      <c r="F9" t="inlineStr"/>
      <c r="G9" t="inlineStr">
        <is>
          <t>Cranston, RI</t>
        </is>
      </c>
      <c r="H9" t="inlineStr"/>
      <c r="I9"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Hybrid
**Position Summary** 
 The
 Global
 Product Manager translates top\-level business strategy into actionable product strategy to achieve corporate sales, margin, and financial goals
 for a specific portfolio of products
 sold
 across multiple global markets
 .
 They manage
 the execution of all processes in the product lifecycle from concept to end\-of\-life, including market research, competitor analysis, planning, positioning, requirements, roadmap development, and product launch.
 They assess proposed product additions and enhancements, evaluating their fit, functionality, technical complexity, and viability within the existing product portfolio
 and company capabilities
 . By integrating channel and industry insights into the product development process, they create a product portfolio that meets
 identified
 market needs. Additionally, the Product Manager
 is responsible for
 developing and
 maintaining
 a dynamic 5\-year product roadmap, incorporating data from lifecycle evaluations of existing product lines.
 Measures of success:
* Maintain and deliver portfolio and product roadmap updates to stakeholders on a regularly scheduled basis.
* Facilitate
 timely
 , high quality product portfolio decisions in a collaborative and cross functional environment.
* I
 dentify
 , gain buy\-in
 for
 ,
 and
 execute
 cross\-functional
 product line initiatives
 to m
 eet or exceed revenue, profit, free cash flow, and wallet share targets
 .
* M
 eet pre\-determined deadlines to support product portfolio reviews and new product development teams
 .
* Effective co
 llaborat
 ion
 with international teams
 .
**Responsibilities** 
 Responsibilities include but are not limited to:
* Develop and
 maintain
 a comprehensive
 global
 product vision and strategy considering the entire product lifecycle
 .
* Oversee product development processes from
 inception
 to post\-launch, coordinating with sales, engineering, production, marketing, and other key stakeholders to ensure product success.
* Develop a deep understanding of
 global
 market size, trends, needs, pricing, and opportunities for assigned products and prepare strategic recommendations.
* Research,
 monitor
 , and evaluate competitive information,
 maintaining
 competitor tracking and information systems.
* Ensure compliance with regional and
 inter
 national codes
 and standards.
* Create and
 maintain
 product strategy documents detailing business cases, high\-level use cases, product requirements, revenue, and
 return on investment
 (
 ROI
 ). T
 ranslate
 into
 up to date 5\-year product roadmaps and s
 ecure internal approval
 for investments
 .
* Write Product Requirements and Market Requirements documents.
* Monitor sales and margin performance of new and existing products.
* Participate in monthly and annual unit, revenue, and profit forecasts for responsible product lines. Support sales and operations planning (S
 \&amp;
 OP).
 Determine
 product pricing strategies and recommend price adjustments to meet or exceed profitability targets.
* Coordinate and
 participate
 in voice of customer (VOC) interviews, beta tests, and field trials.
* Support the evaluation of existing and potential external vendors and
 identify
 new and existing product partnerships.
* Provide product and application
 expertise
 to enhance sales, advertising, public relations, and related activities.
* Participate in
 inter
 national and regional exhibitions as
 required
 .
* Assist
 sales personnel with product
 and technical
 document creation.
* Establish and support top\-level training for customers, manufacturer’s representatives, and internal teams covering new products and modifications.
* Evaluate warranty data
 ,
 p
 articipate
 in high\-level field troubleshooting analysis,
 and coordinate action plans for continuous product quality improvements.
* Participate in long\-range division planning and
 goal setting
 .
* Manage personal budget, including travel, education, and organizational memberships.
* Perform other related duties as
 required
 or directed.
**Qualifications** 
 Required:
* Bachelor’s degree in Marketing, Engineering or related field
* 5
 \+
 years of experience with
 progressive responsibility for sales, product
 management, product manufacturing, systems application
 ,
 or business development
 preferably in the HVAC or plumbing industry
* Experience collaborating with global teams across multiple continents, especially in North America, Latin America, Europe, the Middle East, and the Asia\-Pacific (APAC).
* Proficiency with Microsoft Office (Outlook, Word, Excel, etc.)
* Self\-directed, good communication skills
* Travel both domestically and internationally as needed up to 20% of the time to trade shows, sales reps, conferences, and product related job site visits, etc.
 Preferred:
* Master’s degree in Business Administration
* Project Management Professional (PMP) certification
* Experience with Epicor ERP (Enterprise Resource Planning), PowerBI, PDTrak and JIRA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may work from home up to 2X/week if performance is in good standing. 
**Management:** 
 This position has no direct reports.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row>
    <row r="10">
      <c r="A10" t="inlineStr">
        <is>
          <t>li-4366162797</t>
        </is>
      </c>
      <c r="B10" t="inlineStr">
        <is>
          <t>Product Owner</t>
        </is>
      </c>
      <c r="C10" t="inlineStr">
        <is>
          <t>The Value Maximizer</t>
        </is>
      </c>
      <c r="D10" t="inlineStr">
        <is>
          <t>linkedin</t>
        </is>
      </c>
      <c r="E10" t="inlineStr"/>
      <c r="F10" t="inlineStr"/>
      <c r="G10" t="inlineStr">
        <is>
          <t>New Jersey, United States</t>
        </is>
      </c>
      <c r="H10" t="inlineStr"/>
      <c r="I10" t="inlineStr">
        <is>
          <t>**Job Summary** 
 We are looking for an experienced
 **Product Owner** 
 with strong domain expertise in
 **Wealth Management** 
 ,
 **IBOR (Investment Book of Record)** 
 , and
 **Trade Processing** 
 . The ideal candidate will act as a bridge between business stakeholders and technology teams, owning the product backlog and ensuring delivery of high\-quality solutions aligned with business objectives.
 **Key Responsibilities**
* Own and manage the product backlog, ensuring items are clearly defined, prioritized, and aligned with business goals
* Work closely with stakeholders in Wealth Management, Trading, and Operations to gather and refine business requirements
* Translate business needs into user stories with clear acceptance criteria
* Provide functional expertise in IBOR, trade lifecycle, positions, transactions, and valuations
* Collaborate with Scrum Masters, Developers, QA, and Architects throughout the Agile delivery lifecycle
* Participate in sprint planning, backlog grooming, reviews, and retrospectives
* Ensure regulatory, compliance, and data accuracy requirements are met
* Support UAT planning, execution, and sign\-off
* Act as the primary point of contact for product\-related queries and decisions
**Required Skills \&amp; Experience**
* 10\+ years of experience in Financial Services, with at least 5\+ years as a Product Owner
* Strong domain knowledge of Wealth Management platforms, IBOR, and Trade Processing
* Hands\-on experience with trade lifecycle (order capture, execution, settlement, and reconciliation)
* Experience working in Agile / Scrum environments
* Excellent stakeholder management and communication skills
* Ability to prioritize competing demands and make data\-driven decisions
**Preferred Qualifications**
* Experience with portfolio management systems (e.g., IBOR/ABOR platforms)
* Knowledge of asset classes such as Equities, Fixed Income, Derivatives, or FX
* Prior experience working with global stakeholders and distributed teams
* CSPO / SAFe PO or similar Agile certification
**Nice to Have**
* Exposure to regulatory reporting and compliance in Wealth Management
* Technical understanding of APIs, data models, and integration patterns</t>
        </is>
      </c>
    </row>
    <row r="11">
      <c r="A11" t="inlineStr">
        <is>
          <t>li-4366205086</t>
        </is>
      </c>
      <c r="B11" t="inlineStr">
        <is>
          <t>Product Manager</t>
        </is>
      </c>
      <c r="C11" t="inlineStr">
        <is>
          <t>Incompass</t>
        </is>
      </c>
      <c r="D11" t="inlineStr">
        <is>
          <t>linkedin</t>
        </is>
      </c>
      <c r="E11" t="inlineStr"/>
      <c r="F11" t="inlineStr"/>
      <c r="G11" t="inlineStr">
        <is>
          <t>New York, NY</t>
        </is>
      </c>
      <c r="H11" t="inlineStr"/>
      <c r="I11" t="inlineStr">
        <is>
          <t>**Product Manager (Early\-Stage \+ Customer Support)** 
 We’re hiring our first
 **Product Manager (Early\-Stage \+ Customer Support)** 
 to join the founding team. You’ll work directly with the CTO (and closely with the CEO and Customer Growth Manager) to shape an ICP\-driven roadmap, ship quickly, and build tight customer feedback loops. This role is based in NYC, remote with frequent in\-person sessions.
**What you’ll do** 
**60% Product (discovery \+ delivery)** 
* Own roadmap prioritization with founders; make tradeoffs explicit and ICP\-aligned
* Turn customer insights into clear requirements and shipped product
* Partner with Engineering to ship, measure impact, and iterate fast
* Write crisp specs, define scope, and drive releases end\-to\-end
* Say “no / not now” effectively to off\-ICP requests while preserving strong relationships
**40% Customer support \+ enablement (full ownership, early\-stage)** 
* Own day\-to\-day customer support requests end\-to\-end (triage, respond, troubleshoot, follow\-through)
* Support onboarding for selected customers to ensure fast time\-to\-value
* Identify and triage recurring issues, coordinate fixes, and convert them into product improvements, automation/self\-serve flows, or docs/playbooks
* Build and maintain the support → insight → product loop by systematically feeding customer issues into prioritization
**What success looks like** 
* Clear roadmap and decision\-making cadence with the CTO/CEO
* Faster cycle time from idea → spec → ship
* Measurable adoption gains and reduced recurring friction
* Faster onboarding time\-to\-value and fewer repeat support issues over time
* Steady progress turning manual support into productized/self\-serve solutions
**Who we’re looking for** 
* Early\-stage PM experience (or equivalent) in B2B SaaS, ideally 4\-7 years, thrives in ambiguity
* Builder mindset: pragmatic, hands\-on, strong writing and execution skills
* Comfortable owning customer support in an early\-stage environment and turning it into product decisions
* Strong prioritization discipline; low ego, high ownership; bias toward action
* Based in NYC, open for remote work, and can join in\-person meetings in NYC and Boston.
**Why join Incompass** 
* Direct partnership with founders and outsized influence on product direction
* High learning velocity environment with real customers, real problems, and fast iteration
* You’ll work directly with founders deeply invested in building a great product and a great team
* You can work remotely while joining in\-person sessions in NYC and Boston.
 https://incompass.io/</t>
        </is>
      </c>
    </row>
    <row r="12">
      <c r="A12" t="inlineStr">
        <is>
          <t>li-4355768714</t>
        </is>
      </c>
      <c r="B12" t="inlineStr">
        <is>
          <t>Associate Product Manager</t>
        </is>
      </c>
      <c r="C12" t="inlineStr">
        <is>
          <t>Aduro Advisors</t>
        </is>
      </c>
      <c r="D12" t="inlineStr">
        <is>
          <t>linkedin</t>
        </is>
      </c>
      <c r="E12" t="inlineStr"/>
      <c r="F12" t="inlineStr"/>
      <c r="G12" t="inlineStr"/>
      <c r="H12" t="inlineStr"/>
      <c r="I12" t="inlineStr">
        <is>
          <t>Aduro is at an inflection point. After years of establishing ourselves as a premier services\-first fund administrator, we have moved beyond the initial build\-out phase and are entering a period of significant institutional growth and operational maturing. While our external platform, FundPanel, continues to gain traction, we are now focused on professionalizing and scaling the internal engine that powers our business operations.
 We are hiring an Associate Product Manager to take ownership of Adurosoft—our Revenue Operations software built on Salesforce—alongside our critical treasury, payments, client service, and compliance workflows. This role is perfect for a process\-driven PM who thrives in the "plumbing" of a business and wants to build a scalable, enterprise\-grade financial operating system. This is a full\-time, remote role.
**Why Aduro?** 
 We’re not your typical fund administrators. We’re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While the foundation of our internal tools is established, our focus has shifted from "zero\-to\-one" discovery toward optimization, reliability, and global scale. One of your first major initiatives will be a strategic audit and reconciliation of our Adurosoft Salesforce instance as we approach custom object limits. You will work as a close partner to our
 **CFO** 
 , ensuring our RevOps infrastructure provides the data integrity needed to run the business at scale, and you will have a dedicated Salesforce Administrator as your primary technical partner to execute your vision.
**Here Is The Type Of Work You Will Do** 
* Own the Internal Roadmap: Drive execution for Adurosoft and a variety of internal tools surrounding treasury, payments, client service, and compliance flows.
* Partner with Finance: Work directly with the CFO to ensure the RevOps infrastructure is robust, scalable, and provides a single source of truth for business health.
* Maturing Salesforce Architecture: Lead the effort to reconcile and optimize our Salesforce environment, managing technical debt and object limits to ensure the system can support our next order of magnitude in growth.
* Empower Client Services: Collaborate with internal service teams to ensure that downstream payment and treasury tools are efficient, secure, and user\-friendly. Treat our internal teams as your primary "clients."
* Bridge the Gap: Translate complex business requirements from the CFO and service leaders into scoped, actionable tickets for your Salesforce Administrator.
* Manage Compliance Flows: Oversee the product logic for KYC, AML, and other regulatory requirements, ensuring our internal processes remain "best\-in\-class."
 The salary range for the Associate Product Manager position is $110,000 \- $130,000\. Salary is determined based on current market data and candidate experience level.
**Perks Of Working At Aduro** 
* Competitive salary
* Health/Dental/Vision Insurance
* Life Insurance
* Short\-Term Disability
* Long\-Term Disability
* Paid Time Off (PTO) \&amp; company holidays
* 401k with Employer Match
* Company\-wide social events and programs
* Dog\-friendly office in downtown Denver
**Requirements** 
* 2–4 years of relevant experience. We are targeting candidates with a strong technical or financial foundation.
* Internal Tools \&amp; Workflow Expertise: Experience managing internal tooling, back\-office platforms, or complex business workflows. You understand that the user experience of an employee is just as critical as that of an external customer.
* Services Business DNA: Ideally, you have experience in professional services, financial tooling, or a hybrid SaaS \+ services model. You understand the unique challenge of building technology that supports high\-touch human expertise.
* Top\-Tier Communication: You must be an exceptional writer and communicator. You can distill "ambiguity into clarity," document complex processes with ease, and keep stakeholders at all levels informed and aligned.
* Systems Thinker: You enjoy thinking about how data flows through an organization and how one change in the CRM impacts the entire financial lifecycle.
* Platform \&amp; Domain Knowledge: You should have experience in one of the following areas and the aptitude to quickly learn the other:
* Salesforce Ecosystem: Familiarity with Salesforce architecture, custom objects, and RevOps best practices.
* Fintech/Payments: A basic understanding of treasury flows and compliance (e.g., the difference between KYC and AML).
* Bias for Action: You are comfortable working cross\-functionally and "pushing projects across the finish line" in a fast\-moving, high\-growth environment.</t>
        </is>
      </c>
    </row>
    <row r="13">
      <c r="A13" t="inlineStr">
        <is>
          <t>li-4301432477</t>
        </is>
      </c>
      <c r="B13" t="inlineStr">
        <is>
          <t>Product Owner, AI</t>
        </is>
      </c>
      <c r="C13" t="inlineStr">
        <is>
          <t>McGraw Hill</t>
        </is>
      </c>
      <c r="D13" t="inlineStr">
        <is>
          <t>linkedin</t>
        </is>
      </c>
      <c r="E13" t="inlineStr"/>
      <c r="F13" t="inlineStr"/>
      <c r="G13" t="inlineStr"/>
      <c r="H13" t="inlineStr"/>
      <c r="I13" t="inlineStr">
        <is>
          <t>**Overview**
**Impact the Moment**
 McGraw Hill is a diverse and inclusive company that believes we can change the world by leveling the playing field and giving every learner an equal opportunity to succeed. We create best\-in\-class, next\-generation learning platforms that are used by millions of students and educators worldwide. Our goal is to accelerate student success through intuitive and effective learning experiences, and to continually reimagine the way our customers teach and learn, simplifying the path to a better education for all.
 McGraw Hill Higher Education is seeking a
 **Product Owner \- AI** 
 to join its Platform \&amp; Product Delivery team. Experience working with AI in product management or product development is required.
**How can you make an impact?**
 As the
 **Product Owner \- AI** 
 , you will work closely with users, technology product managers, engineers, designers, and other stakeholders to conduct research, devise innovative ideas, requirements and roadmaps, work with the go\-to\-market (GTM) teams to successfully launch new platform builds and customer experiences, measure their in\-field performance against KPIs, and implement improvement strategies and tactics. You will be responsible for partnering with your director to determine what the product team builds, the investment needed, and the KPIs tied to usage and quality of user experience. The Product Owner is responsible and accountable for the success of the platform build delivered to market.
 The Product Owner \- AI is a champion of our platform vision and a catalyst of new opportunities balancing continued platform improvements with innovation. This role is an opportunity to shape the future direction of McGraw Hill’s platform strategy and delivery for the higher education market.
**This is a remote position open to applicants authorized to work for any employer within the United States and requires 10 \- 20 percent travel throughout the year**
**What you will be doing:**
* Drive AI strategy and innovation by defining product vision, building investment business cases, and creating roadmaps that maximize customer value and revenue opportunities.
* Lead market and user research to understand customer needs, competitive landscape, and emerging trends, ensuring platform capabilities are differentiated and impactful.
* Oversee AI technology partnerships by evaluating, selecting, and managing vendors to align with platform strategy, integration needs, cost optimization, and ethical AI principles.
* Guide technical implementation of AI features such as adaptive learning, personalization, and recommendations while collaborating with data science teams to refine models and enhance outcomes.
* Ensure ethical and measurable AI adoption by setting success metrics (e.g., model performance, ROI, user adoption), monitoring real\-world performance, and safeguarding fairness, transparency, and privacy.
* Align and influence cross\-functional stakeholders (Engineering, Data Science, Product, Design, GTM) to deliver AI\-driven experiences and support comprehensive go\-to\-market execution.
**What you can bring to this role:**
* Bachelor's degree, advanced degree preferred.
* 5\-7 years' experience in product management or related field with a focus on AI driven products and features.
* Working knowledge of LLM frameworks and tools such as LangChain, Semantic Kernel, or LlamaIndex, and understanding of their application in educational contexts.
* Understanding of NLP, machine learning, and deep learning principles.
* Knowledge of AI ethics, bias mitigation, and responsible AI development.
**Why work for us?**
 The work you do at McGraw Hill will be work that matters. We are collectively designing content that will build the future of education. Play your part and experience a sense of fulfillment that will inspire you to even greater heights.
 The pay range for this position is between $76,500 \- $150,050 annually, however, base pay offered may vary depending on job\-related knowledge, skills, experience, and location. Additionally, a full range of medical and/or other benefits may be provided, depending on the position offered. Click here to learn more about our benefit offerings.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49772</t>
        </is>
      </c>
    </row>
    <row r="14">
      <c r="A14" t="inlineStr">
        <is>
          <t>li-4366169086</t>
        </is>
      </c>
      <c r="B14" t="inlineStr">
        <is>
          <t>Product Manager – AI &amp; Operational Transformation</t>
        </is>
      </c>
      <c r="C14" t="inlineStr">
        <is>
          <t>ADCO Electrical Corp.</t>
        </is>
      </c>
      <c r="D14" t="inlineStr">
        <is>
          <t>linkedin</t>
        </is>
      </c>
      <c r="E14" t="inlineStr"/>
      <c r="F14" t="inlineStr"/>
      <c r="G14" t="inlineStr">
        <is>
          <t>New York, NY</t>
        </is>
      </c>
      <c r="H14" t="inlineStr"/>
      <c r="I14" t="inlineStr">
        <is>
          <t>**Location:** 
 ADCO Office
**Department:** 
 Operations Strategy / Project Intelligence
**Reports To:** 
 VP of Technology
 About ADCO
 ADCO is a leading electrical and infrastructure contractor delivering complex projects across New York and beyond. We combine deep field expertise with forward\-looking operational strategy to improve how projects are estimated, built, and managed.
 ADCO is entering a major transformation phase: moving from legacy, siloed project operations into an AI\-enabled operating model that supports better decision\-making, predictability, and scale — without losing the practical realities of construction execution.
 Role Overview
 The Product Manager – AI \&amp; Operational Transformation owns the business vision, execution strategy, and adoption of ADCO’s next\-generation project operating model.
 This is not a pure technical role. It is a business leadership role for someone who understands how organizations actually work — and how to move them forward. This role sits at the intersection of executive strategy, operational reality, and technology enablement.
 Key ResponsibilitiesBusiness \&amp; Product Ownership
 ·        Own the product vision and roadmap for ADCO’s AI\-enabled project operations.
 ·        Define clear business objectives, success metrics, and ROI for AI and process initiatives.
 ·        Prioritize initiatives based on operational impact, adoption risk, and business value.
 Process Transformation \&amp; Change Leadership
 ·        Lead teams through the modernization of legacy workflows across estimating, engineering, procurement, accounting, and field operations.
 ·        Identify inefficiencies and design future\-state processes that are scalable and practical.
 ·        Drive adoption through structured change management, training, and feedback loops.
 Cross\-Functional Leadership
 ·        Serve as the single point of accountability between business stakeholders and technical teams.
 ·        Partner with operations leaders, project executives, and field leadership to align priorities.
 ·        Translate executive vision into executable operational initiatives.
 AI \&amp; Technology Enablement (Business\-Led)
 ·        Guide the use of AI and analytics as decision\-support tools, not black boxes.
 ·        Ensure AI systems reflect ADCO’s cost structures, workflows, and execution logic.
 ·        Validate AI outputs to ensure trust, accuracy, and relevance.
 Execution \&amp; Continuous Improvement
 ·        Roll out solutions incrementally with clear milestones and measurable outcomes.
 ·        Monitor adoption and performance, adjusting strategy as needed.
 ·        Build repeatable playbooks for future transformation efforts.
 Who This Role Is For
 This role is for a business\-minded leader who has experience owning outcomes, leading teams through change, and modernizing legacy operations. You are comfortable operating in ambiguity, making decisions, and earning trust with both executives and frontline teams.
 QualificationsExperience
 ·        5\+ years in Product Management, Process Improvement, Operations Strategy, or Transformation leadership.
 ·        Proven experience leading cross\-functional teams through organizational or operational change.
 ·        Experience modernizing or scaling legacy operational systems.
 ·        Construction, engineering, or asset\-heavy industry experience strongly preferred.
 Core Strengths
 ·        Strong business judgment and prioritization skills.
 ·        Ability to build business cases and articulate ROI.
 ·        Excellent communication across executive, operational, and technical audiences.
 Technical Awareness (Not Hands\-On)
 ·        Familiarity with data platforms, analytics, or AI concepts.
 ·        Experience partnering with data, software, or IT teams.
 ·        Ability to ask the right questions and challenge assumptions.
 Why This Role Matters
 * You will shape how ADCO operates for the next decade. This role has executive visibility, real authority, and direct impact on how projects are delivered. You will lead meaningful change — not pilots or side projects.</t>
        </is>
      </c>
    </row>
    <row r="15">
      <c r="A15" t="inlineStr">
        <is>
          <t>li-4355757515</t>
        </is>
      </c>
      <c r="B15" t="inlineStr">
        <is>
          <t>Product Manager II, YouTube Posts</t>
        </is>
      </c>
      <c r="C15" t="inlineStr">
        <is>
          <t>Google</t>
        </is>
      </c>
      <c r="D15" t="inlineStr">
        <is>
          <t>linkedin</t>
        </is>
      </c>
      <c r="E15" t="inlineStr"/>
      <c r="F15" t="inlineStr"/>
      <c r="G15" t="inlineStr">
        <is>
          <t>San Bruno, CA</t>
        </is>
      </c>
      <c r="H15" t="inlineStr"/>
      <c r="I15"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working cross\-functionally with engineering, User Experience/User Interface (UX/UI), sales, finance, and other stakeholders.
* Experience building and shipping Consumer products.
**Preferred qualifications:**
* Experience with A/B testing and user research methodologies.
* Familiarity with creator\-focused products or content sharing platforms.
* Ability to translate user needs and business objectives into detailed product specifications and roadmaps.
* Ability to work effectively with cross\-functional teams including engineering, design, and data science.
* Excellent communication, collaboration and investigative skills with experience using data to inform product decisions and measure success.
* Passion for YouTube and an understanding of the platform's ecosystem, creators, and viewers.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you will work on Posts, a growing format on YouTube to inspire casual creation and lightweight content consumption. Posts keep creators connected with their fans and are becoming a great way to use images, text, and music to create content without having to create a full video. You'll be joining the Community organization within YouTube which is responsible for various product portfolios including Subscriptions, Posts, Comments, and more.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goal, roadmap, and success metrics for Posts features.
* Understand viewer and fan needs, translating insights into compelling product experiences.
* Conceptualize and build intuitive tools leveraging technology (including generative AI) to empower meaningful fan participation and drive engagement.
* Collaborate with engineering, design, and research teams to bring the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li-4366159680</t>
        </is>
      </c>
      <c r="B16" t="inlineStr">
        <is>
          <t>Product Manager</t>
        </is>
      </c>
      <c r="C16" t="inlineStr">
        <is>
          <t>Unisys</t>
        </is>
      </c>
      <c r="D16" t="inlineStr">
        <is>
          <t>linkedin</t>
        </is>
      </c>
      <c r="E16" t="inlineStr"/>
      <c r="F16" t="inlineStr"/>
      <c r="G16" t="inlineStr">
        <is>
          <t>Rockville, MD</t>
        </is>
      </c>
      <c r="H16" t="inlineStr"/>
      <c r="I16" t="inlineStr">
        <is>
          <t>\#LI\-CGTS \|\| \#TS\-5662
 Where we work: Our AWS partnered analytics organization owns the world’s biggest financial data store and runs continuous analytics on global stock data movement. Our mission is to ensure investor protection and market integrity. We are constantly working on how to “hack/break” market systems with the goal of being ahead of potential bad actors in the market.
**Our environment** 
* Leading Innovator in Machine Learning/AI, Big Data, AWS, trading algorithms
* We work on the world’s largest financial store (21 petabytes when complete). There is no other comparable opportunity in the market. We look at 130 billion financial transactions every day. That's more than Twitter, Visa®, PayPal and Facebook combined
* Google, Amazon, Facebook \&amp; other tech icons follow the client as a model and recruiting base
* Amazon Web Services\- select Partner: We use cloud computing to automate and store massive amounts of data
**Role: Product Manager** 
**Location: DMV (Rockville or Tysons 3 days)** 
**Duration: This long term, not a 6\-month gig.** 
**Must have’s
 :** 
* Search tools experience (can talk about what indexing means; what index was used, what was storage/retrieval method):
* Example keywords that might help you search for candidates: OpenSearch, Elasticsearch, semantic search, natural language retrieval, retrieval automated generation, fancy indexing
* Strategic product mindset to define evolution of these products
* Customer Centric (collaborative approach with customers and engineering partners) can speak to different audiences
**Nice to have’s
 :** 
* Internal\-facing enterprise\-level product experience
* GenAi
**Job Description:**
 Seeking an experienced Product Manager to shepherd its key information discovery platforms into the age of AI. This role will apply cutting\-edge technology to transform Client’s Regulators’ navigation of and interaction with an immense data ecosystem to drive better and faster regulatory decisions.</t>
        </is>
      </c>
    </row>
    <row r="17">
      <c r="A17" t="inlineStr">
        <is>
          <t>li-4321457276</t>
        </is>
      </c>
      <c r="B17" t="inlineStr">
        <is>
          <t>AI Product Manager</t>
        </is>
      </c>
      <c r="C17" t="inlineStr">
        <is>
          <t>iO Associates</t>
        </is>
      </c>
      <c r="D17" t="inlineStr">
        <is>
          <t>linkedin</t>
        </is>
      </c>
      <c r="E17" t="inlineStr"/>
      <c r="F17" t="inlineStr"/>
      <c r="G17" t="inlineStr">
        <is>
          <t>Atlanta, GA</t>
        </is>
      </c>
      <c r="H17" t="inlineStr"/>
      <c r="I17" t="inlineStr">
        <is>
          <t>**Job Advert: AI Product Manager** 
**Organisation Overview** 
 Our Client is at the forefront of revolutionising healthcare operations through cutting\-edge AI technology. They operate in the healthcare sector, specifically focusing on transforming revenue cycle management and patient\-provider communication. With a mission to enhance efficiency and alleviate administrative burdens, they are rapidly scaling their innovative AI\-driven solutions. Working here means being part of a forward\-thinking culture where collaboration, creativity, and impact are paramount.
**Role Summary** 
 Our Client is seeking an AI Product Manager to join their dynamic team. This is an exciting opportunity driven by the need for enhanced efficiency in healthcare\-an industry facing significant operational challenges. As an integral part of the organisation's growth strategy, you'll spearhead initiatives that shape the future of intelligent automation in healthcare. Your contribution will not only reshape the way providers and patients interact but also improve financial outcomes and care experiences across the board.
**Responsibilities** 
* Develop a visionary roadmap for AI\-driven automation and intelligence products that serve healthcare providers and patients.
* Collaborate closely with the founding team to convert innovative ideas into actionable AI applications.
* Identify customer pain points and design seamless workflows that lead to tangible outcomes like improved payment processes and enhanced team satisfaction.
* Work alongside data scientists and engineers to build, train, and deploy robust AI models capable of processing clinical and billing data in real\-time.
* Ensure products align with industry\-leading compliance and ethical standards, including HIPAA and responsible AI frameworks.
* Collaborate with go\-to\-market teams to create compelling product positioning that resonates within the evolving landscape of healthcare AI.
**Essential Skills \&amp; Experience** 
* Over 4 years of product management experience, with a focus on AI/ML systems or data\-driven products.
* Proven background in healthcare operations, specifically in revenue cycle management, billing, payer workflows, or EHR systems.
* Familiarity with AI technologies, including LLMs and NLP, and a clear understanding of how these can generate ROI.
* Experience leading agile teams to deliver impactful results quickly.
* Strong strategic thinking, storytelling, and collaboration abilities.
* Proficient with product management tools and methodologies.
**Desirable Skills \&amp; Experience** 
* Previous experience in an AI product role within a healthtech startup or enterprise SaaS setting.
* Technical knowledge of model performance, data pipelines, or AI evaluation.
* Experience with payer systems, clearinghouses, or EHR integrations, such as Epic or Oracle/Cerner.
* Background in building Voice AI products.
**Call to Action** 
 If you are a qualified candidate excited about shaping the future of healthcare through innovative technology, we encourage you to apply by submitting your CV. Join Our Client in their mission to redefine healthcare operations and make a lasting impact!</t>
        </is>
      </c>
    </row>
    <row r="18">
      <c r="A18" t="inlineStr">
        <is>
          <t>li-4366152964</t>
        </is>
      </c>
      <c r="B18" t="inlineStr">
        <is>
          <t>Senior Product Manager</t>
        </is>
      </c>
      <c r="C18" t="inlineStr">
        <is>
          <t>Ingrain Systems Inc</t>
        </is>
      </c>
      <c r="D18" t="inlineStr">
        <is>
          <t>linkedin</t>
        </is>
      </c>
      <c r="E18" t="inlineStr"/>
      <c r="F18" t="inlineStr"/>
      <c r="G18" t="inlineStr">
        <is>
          <t>Dallas, TX</t>
        </is>
      </c>
      <c r="H18" t="inlineStr"/>
      <c r="I18" t="inlineStr">
        <is>
          <t>**Job Title: Product Manager with Retail/ eCommerce Domain Experience** 
**Location: Datta, TX – Onsite role** 
**Employment Type: W2 role – Independent resources are welcome to apply, Unable to do Transfers.** 
**Job Description:** 
* Minimum of 15 years of experience in a
 **data stewardship or data governance** 
 role preferably in the
 **retail industry**
* Strong understanding of product to Market data, processes, systems, and data flows within a merchandising environment
* Previous hands\-on experience in
 **data quality management and data governance tools like Collibra, Alation etc.**
* Knowledge of product hierarchy structures within stores as well as eComm sites
* Familiarity with Stibo PIM and Profisee product master data tools
* Leadership presence with the ability to present in front of C\-Suite
* Ability to analyze data and extrapolate knowledge to make strong recommendations
* Preferred to have understanding of
 **Data Catalog, Data Quality, and Metadata Management, along with technical skills in Python**</t>
        </is>
      </c>
    </row>
    <row r="19">
      <c r="A19" t="inlineStr">
        <is>
          <t>li-4364661220</t>
        </is>
      </c>
      <c r="B19" t="inlineStr">
        <is>
          <t>Product Manager</t>
        </is>
      </c>
      <c r="C19" t="inlineStr">
        <is>
          <t>Vitro</t>
        </is>
      </c>
      <c r="D19" t="inlineStr">
        <is>
          <t>linkedin</t>
        </is>
      </c>
      <c r="E19" t="inlineStr"/>
      <c r="F19" t="inlineStr"/>
      <c r="G19" t="inlineStr">
        <is>
          <t>Cheswick, PA</t>
        </is>
      </c>
      <c r="H19" t="inlineStr"/>
      <c r="I19" t="inlineStr">
        <is>
          <t>Vitro Architectural Glass manufactures a broad range of industry\-leading, energy\-efficient products such as Solarban®, Sungate® and Starphire Ultra\-Clear® glasses. Throughout our storied history, collaboration and innovation have been central to our advancements. Today, the key to our success continues to lie in the strength of our partnerships. With a foundation formed on trust, teamwork and shared excitement, the possibilities for impactful innovations in glass are truly endless.
 With manufacturing facilities throughout the U.S. and Mexico, Vitro Architectural Glass is committed to sustainable manufacturing processes and products. Vitro also operates one of the world’s largest glass research and development facilities in Pittsburgh, PA and has four residential glass fabrication plants in Canada.
 Website: www.vitroglazings.com
 As the Float and Specialty Products Manager, the incumbent will lead the current range of products and define the roadmap for the next generations, focused on Vitro's strategic goal of dominating the Commercial market segment, and improve the Residential and Specialty markets too. The incumbent will translate product strategies into detailed requirements and prototypes by leading the process to effectively define, develop, and launch products.
**Responsibilities Of The Role**
* Lead Float product management, including product development, portfolio offering, discontinuation, and allocation as necessary.
* Lead product management processes, including product development, portfolio offering, discontinuation of products, and allocation in necessary cases.
* Lead specialty products and projects, defined by the Director, Commercial Innovation.
* Define, jointly with the Commercial product Director, product portfolios for the commercial building segment.
* Understand the market's wants and needs while conducting appropriate research to define new product developments.
* Gain a deep understanding of Vitro's customer experience, identify and fill product gaps and generate new ideas that grow market share, improve customer experience and drive growth.
* Create buy\-in for the product vision, both internally and with key external partners.
* Develop product pricing and positioning strategies.
* Translate product strategy into detailed requirements and prototypes.
* Scope and prioritize activities based on business and customer impact.
* Work closely with stakeholders to deliver with quick time\-to\-market and optimal resources.
* Drive product launches that include work with marketing and communications teams, executives, and other product management team members.
* Train internal sales teams to understand the value proposition and sell\-up.
* Gain a clear understanding of product values in the final products.
* Evaluate promotional plans to ensure consistency with product line strategies and clear messaging.
* Act as a product fanatic to build awareness and understanding.
* Represent the company by visiting customers to solicit feedback on company products and services.
**Desired Qualities**
* 5\+ years of relevant work experience in the glass industry.
* Prior experience in Product management, Commercial Sales and/or Architectural/Specification
* Float and value\-added platform products knowledge.
* Should have strong analytical skills and a high proficiency with Microsoft software, namely Excel.
* Strong interpersonal and communication skills and the ability to work under tight deadlines.</t>
        </is>
      </c>
    </row>
    <row r="20">
      <c r="A20" t="inlineStr">
        <is>
          <t>li-4256064978</t>
        </is>
      </c>
      <c r="B20" t="inlineStr">
        <is>
          <t>Product Manager</t>
        </is>
      </c>
      <c r="C20" t="inlineStr">
        <is>
          <t>Levelpath</t>
        </is>
      </c>
      <c r="D20" t="inlineStr">
        <is>
          <t>linkedin</t>
        </is>
      </c>
      <c r="E20" t="inlineStr"/>
      <c r="F20" t="inlineStr"/>
      <c r="G20" t="inlineStr">
        <is>
          <t>San Francisco, CA</t>
        </is>
      </c>
      <c r="H20" t="inlineStr"/>
      <c r="I20" t="inlineStr">
        <is>
          <t>San Francisco, CA \- onsite
**About You**
 You love to tackle problems and build solutions. When intrigued by an idea, you focus your energy and dedicate your mind to learn everything you can about it, quickly! Then, you figure out how to apply what you’ve learned to the issue at hand and propel it forward. Facing big challenges head on inspires you. You chart the process and you own the outcome. You love all parts of the product creation cycle from discovery to execution and deployment. You are able to operate in a fast paced environment with a high caliber team. Reaching milestones motivates you. You believe quick iteration and immediate customer feedback are keys to developing disruptive software. You’re an early riser. And, you're ready for your next adventure.
**About Levelpath**
 We are on a simple, yet daring mission: revolutionize the modern procurement software industry, and, dare we say… make it
 *delightful.* 
 Delightful procurement.
 Founded in 2022, Levelpath is a mobile\-first platform that’s powered by AI. We believe in software that’s thoughtfully engineered to solve problems and drive progress. The opportunity is huge, as the procurement market today is $11\.5 billion and it’s growing quickly. Our founding team has a track record of building successful companies, and we’re backed by visionary Silicon Valley venture capital firms. We’re focused on delivering delightful user experiences to all stakeholders. Our vision is to future\-proof our customers’ procurement function, and make enterprises of any size faster, safer, and more transparent.
**The role and opportunity**
* Deeply understand our customers and our users pain points through a variety of avenues: check in meetings, implementation, support tickets, and product usage
* Distill customers’ and users’ insights into clear problem statements and prioritized product enhancements
* Collaborate closely with engineering team to execute the implementation of product features/capabilities
* Fill any needs to ensure overall team and product’s success, whether that means testing a complex feature release or configuring a prospect’s specific demo
* You will work in office located in downtown San Francisco collaborating closely with the leadership and customer teams
* You will occasionally be required to travel to Europe
**What Excites Us About You**
* You have 4\+ years of experience as a product manager
* You appreciate the needs and complexities of large enterprise customers
* You have strong perspectives that you can articulate clearly and succinctly
* You care about the little things, the details
* You are collaborative and believe good ideas can come from anywhere or anybody
* You spend time investing in understanding the problem, not just jumping ahead to solutions
* You have exceptional interpersonal communication, relationship management \&amp; organizational skills
**Why You Should Be Excited About Levelpath**
 We are an international team of high\-performing players who are dedicated to delivering products that exceed expectations. To do that, we work smart, fast, and collaboratively. If this sounds like fun, you’ll love it here.
**The Benefits**
* 100% Medical, dental, and vision insurance
* Unlimited PTO
* Competitive compensation and equity package
* Commuter benefits
* In\-office snacks and Friday lunches
* Team driven happy hours and celebrations
*The estimated annual cash salary for this role is $170,000 \- 200,000\. Additional benefits for this role include: equity, medical, dental, and vision benefits.*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21">
      <c r="A21" t="inlineStr">
        <is>
          <t>li-4355757516</t>
        </is>
      </c>
      <c r="B21" t="inlineStr">
        <is>
          <t>Product Manager II, YouTube Fan Engagement</t>
        </is>
      </c>
      <c r="C21" t="inlineStr">
        <is>
          <t>Google</t>
        </is>
      </c>
      <c r="D21" t="inlineStr">
        <is>
          <t>linkedin</t>
        </is>
      </c>
      <c r="E21" t="inlineStr"/>
      <c r="F21" t="inlineStr"/>
      <c r="G21" t="inlineStr">
        <is>
          <t>San Bruno, CA</t>
        </is>
      </c>
      <c r="H21" t="inlineStr"/>
      <c r="I21"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consumer product management.
* 2 years of experience taking technical products from conception to launch (e.g., ideation to execution, end\-to\-end, 0 to 1, etc).
* Experience working cross\-functionally with engineering, User Experience/User Interface (UX/UI), data science, and other stakeholders.
**Preferred qualifications:**
* Experience with A/B testing and user research methodologies.
* Experience with creator\-focused products or content sharing platforms.
* Experience using data to inform product decisions, along with excellent communication, collaboration and problem\-solving skills.
* Ability to translate user needs and business objectives into detailed product specifications and road maps.
* Ability to work with cross\-functional teams including engineering, design, and data science.
* Passion for YouTube and an understanding of the platform's ecosystem, creators, and viewers.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YouTube's Community team is seeking a passionate Product Manager to work on posts, a growing format on YouTube to inspire casual creation and lightweight content consumption. Posts are the lightest weight way for people to create, connect with their fans, and are a significant growth area for YouTube.You will be joining the community organization within YouTube which is responsible for everything on YouTube that transforms a passive consumption experience to a dynamic, two way connection between creators and their fans.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goal, road map, and success metrics for posts features, contributing to the direction and road map for expanding Posts content on YouTube.
* Understand viewer and fan needs, translating insights into engaing product experiences.
* Conceptualize and build tools leveraging technology (including generative AI) to empower fan participation and drive engagement.
* Collaborate with engineering, design, and research teams to bring the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
      <c r="A22" t="inlineStr">
        <is>
          <t>li-4365330038</t>
        </is>
      </c>
      <c r="B22" t="inlineStr">
        <is>
          <t>Senior Product Manager</t>
        </is>
      </c>
      <c r="C22" t="inlineStr">
        <is>
          <t>Storm2</t>
        </is>
      </c>
      <c r="D22" t="inlineStr">
        <is>
          <t>linkedin</t>
        </is>
      </c>
      <c r="E22" t="inlineStr"/>
      <c r="F22" t="inlineStr"/>
      <c r="G22" t="inlineStr">
        <is>
          <t>Sunnyvale, CA</t>
        </is>
      </c>
      <c r="H22" t="inlineStr"/>
      <c r="I22" t="inlineStr">
        <is>
          <t>🚀 Senior Product Manager/ Product Lead
 🌎 Sunnyvale \- Based
 ⚡Competitive Base (DOE) \+ Meaningful Equity
**The Company:** 
 We are a pioneering company in the blockchain\-based payments and identity management sectors. Our mission is to build innovative products that transform the digital payments landscape, offering unparalleled solutions for currency exchange, money movement, and settlement processes.
**Job Overview:** 
 Someone who will bring strong Payments and product management leadership skills which are required to successfully collaborate with cross\-functional internal teams and the service ecosystem of partners/customers to identify and build core platform\-level product capabilities around company flagship service.
 ✅
 **Responsibilities:** 
* Develop, implement, and optimize processes for handling payment reversals within the payment network
* Design and maintain a comprehensive disputes framework within the payment network ecosystem.
* Continuously evaluate and optimize payment logic algorithms to improve transaction success rates and reduce failures.
* Conduct data analysis and A/B testing to identify opportunities for enhancing payment routing and decision\-making processes.
* Conduct a thorough review of existing network and product rules governing payment transactions
* Collaborate closely with engineering, operations, legal, compliance, and business development teams to define product strategies and priorities.
 ✅
 **Qualifications:** 
* Domain expertise in payment processing methods including card network, ACH, check, virtual cards, digital wallets, and international payments.
* 5\+ years product management experience, with proven experience driving forward\-thinking vision and payments product roadmap operating at significant scale
* Deep understanding of payment network infrastructure, including transaction processing, authorization, and settlement.
* Proven track record of driving product initiatives from concept to launch in a fast\-paced, dynamic environment.
* Familiarity with regulatory requirements and industry standards governing payment networks is a plus.
 ✅
 **Why apply** 
 :
* Equity at a scaling company 💸
* Career growth opportunity 📈
* Join a rapidly growing, well\-funded start\-up with significant upside potential, working with a stellar team utilizing blockchain to effect global change
* Real ownership over core payments systems
 📧 Interested in applying? Please click on the ‘Easy Apply’ button. 😊
**Important:** 
 Our client cannot provide sponsorship, so you must be a
 **US citizen or Green Card holder** 
 .</t>
        </is>
      </c>
    </row>
    <row r="23">
      <c r="A23" t="inlineStr">
        <is>
          <t>li-4366154691</t>
        </is>
      </c>
      <c r="B23" t="inlineStr">
        <is>
          <t>Product Manager</t>
        </is>
      </c>
      <c r="C23" t="inlineStr">
        <is>
          <t>Underdog.io -Apply to top tech jobs in 60 seconds. A place where companies apply to you</t>
        </is>
      </c>
      <c r="D23" t="inlineStr">
        <is>
          <t>linkedin</t>
        </is>
      </c>
      <c r="E23" t="inlineStr"/>
      <c r="F23" t="inlineStr"/>
      <c r="G23" t="inlineStr"/>
      <c r="H23" t="inlineStr"/>
      <c r="I23"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4">
      <c r="A24" t="inlineStr">
        <is>
          <t>li-4355797691</t>
        </is>
      </c>
      <c r="B24" t="inlineStr">
        <is>
          <t>Product Manager I, YouTube Youth Responsibility</t>
        </is>
      </c>
      <c r="C24" t="inlineStr">
        <is>
          <t>Google</t>
        </is>
      </c>
      <c r="D24" t="inlineStr">
        <is>
          <t>linkedin</t>
        </is>
      </c>
      <c r="E24" t="inlineStr"/>
      <c r="F24" t="inlineStr"/>
      <c r="G24" t="inlineStr">
        <is>
          <t>San Bruno, CA</t>
        </is>
      </c>
      <c r="H24" t="inlineStr"/>
      <c r="I24" t="inlineStr">
        <is>
          <t>Note: By applying to this position you will have an opportunity to share your preferred working location from the following:
 **San Bruno, CA, USA; Mountain View, CA, USA** 
 .
 **Minimum qualifications:**
* Bachelor's degree or equivalent practical experience.
* 3 years of experience in product management or related technical role.
* 2 years of experience taking technical consumer software products from conception to launch.
* Experience in consumer advertising within sensitive verticals or media subscriptions.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the leadership.
* Experience working with government or regulatory agencies.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Youth team is building a platform that allows kids and teens to discover new interests, learn from perspectives, and foster an engaging environment when they explore the world of online video.
 In this role you will advocate the direction by pioneering safer default experiences and helping parents with the controls they need to lead their families. You will help us navigate and innovate within an ever\-changing global regulatory landscape, turning safety challenges into opportunities to protect and inspire the next generation. Furthermore you will help us fuel the ecosystem by funding quality content in a safe and responsible manner.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road\-map and drive execution of opportunities to compensate quality youth creators maintaining excellent standards of safety and responsibility.
* Help respond to the ever changing global regulatory environment, providing insights into the market and offering optionality across our youth products.
* Serve as a domain expert for youth business generation and regulation across YouTube, working to forge alignment between collaborators in Product, Engineering, UX Research,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
      <c r="A25" t="inlineStr">
        <is>
          <t>li-4303501581</t>
        </is>
      </c>
      <c r="B25" t="inlineStr">
        <is>
          <t>Senior Product Manager, cuBLAS and cuSOLVER</t>
        </is>
      </c>
      <c r="C25" t="inlineStr">
        <is>
          <t>NVIDIA</t>
        </is>
      </c>
      <c r="D25" t="inlineStr">
        <is>
          <t>linkedin</t>
        </is>
      </c>
      <c r="E25" t="inlineStr"/>
      <c r="F25" t="inlineStr"/>
      <c r="G25" t="inlineStr">
        <is>
          <t>Santa Clara, CA</t>
        </is>
      </c>
      <c r="H25" t="inlineStr"/>
      <c r="I25" t="inlineStr">
        <is>
          <t>At NVIDIA, we’re solving the world’s most challenging problems with our unique approach to accelerated computing. We’re looking for a passionate product manager to join the NVIDIA team building our GPU acceleration libraries for AI and HPC. This role is responsible for leading the our cuBLAS and cuSOLVER math libraries, two core CUDA\-X math libraries that are the foundation of numerical computing for diverse workloads. This role is highly visible and central to NVIDIA’s continued leadership in accelerated computing.
 NVIDIA's CUDA\-X libraries are essential, visible and growing both inside and outside of NVIDIA. We need a self\-starting product manager to continue growing these math libraries. Do you have the rare blend of both technical, positioning and communication skills? Are you passionate about groundbreaking technology? If so, we would love to learn more about you!
**What You’ll Be Doing**
* Leading: Take a leadership role in defining strategic go\-to\-market plans that include product launches, campaigns, and events for the CUDA\-X libraries across key industries. This includes effective messaging, positioning, and market research.
* Building: Bring ideas to life through content creation of sales/partner enablement assets such as presentation decks, blogs, whitepapers, webinars, demos, and more.
* Presenting: Engage with various audiences (internal and external), delivering ideas clearly with confidence using creative approaches, translating technology capabilities to messages that resonate
* Collaborating: Team up with product managers, product marketing teams, campaign marketing, developer relations, BD, sales, and PR teams to ensure alignment and execution of marketing plans.
* Learning: Bring back industry news, direct developer/customer conversations, and share critical insights with internal teams
**What We Need To See**
* Undergraduate degree or equivalent experience in computer science, mathematics, computer engineering, or relevant technical field
* 8\+ years of combined experience in a product management or technical role at a technology company working with libraries, SDKs, and/or toolkits
* Familiarity with linear algebra, numerical methods, and their application in AI, HPC, or scientific computing
* Strong technical foundation in GPU computing, CUDA, or parallel programming models
* Excellent communication and presentation skills, with the ability to work across engineering, marketing, and business teams
* Proven ability to translate technical capabilities into developer and customer value
* Ability to prioritize multiple projects and work independently with minimal direction
**Ways To Stand Out From The Crowd**
* Direct experience with CUDA\-X math libraries
* Prior experience with basic linear algebra, direct linear solvers and eigen solvers
* Strong knowledge and understanding of the HPC and AI markets and it's key players
* Prior success in building developer ecosystems or working with ISVs in HPC/AI
* Experience driving go\-to\-market strategy and customer engagements for technical products
 Your base salary will be determined based on your location, experience, and the pay of employees in similar positions. The base salary range is 168,000 USD \- 258,750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JR2004332</t>
        </is>
      </c>
    </row>
    <row r="26">
      <c r="A26" t="inlineStr">
        <is>
          <t>li-4321479346</t>
        </is>
      </c>
      <c r="B26" t="inlineStr">
        <is>
          <t>Technical Product Manager, Data Platform</t>
        </is>
      </c>
      <c r="C26" t="inlineStr">
        <is>
          <t>Mirion Technologies</t>
        </is>
      </c>
      <c r="D26" t="inlineStr">
        <is>
          <t>linkedin</t>
        </is>
      </c>
      <c r="E26" t="inlineStr"/>
      <c r="F26" t="inlineStr"/>
      <c r="G26" t="inlineStr">
        <is>
          <t>Atlanta, GA</t>
        </is>
      </c>
      <c r="H26" t="inlineStr"/>
      <c r="I26" t="inlineStr">
        <is>
          <t>The Technical Product Manager is responsible for driving the vision, strategy, and roadmap of the MEDIAN data platform. This role combines product thinking with technical depth, serving as the bridge between customer needs, business strategy, and the technical teams building the platform. You'll conduct user research, manage stakeholder relationships across product and engineering teams, translate customer feedback into product requirements, and define the platform's feature priorities to maximize customer value and business impact.
**Responsibilities**
* Conduct user interviews and research with engineering teams across Mirion to understand their data and analytics needs Manage relationships with key stakeholders, including product managers, business leaders, engineering teams, and customers.
* Synthesize customer feedback and technical insights from the Data Platform and Solution steams into product direction.
* Define and maintain the product roadmap for the MEDIAN platform, balancing customer needs with strategic objectives.
* Write clear product requirements and user stories that inform the work of platform andsolutions engineers.
* Collaborate with the Data Platform and Solutions teams to understand technical constraintsand feasibility.
* Advocate for customer needs internally, while managing expectations and communicating product vision.
* Monitor market trends, competitive data platforms, and emerging technologies relevant to the space.
* Measure product success through KPIs, adoption metrics, and customer satisfaction.
* Present product vision and roadmap to leadership, customers, and internal stakeholders.
* Manage the product lifecycle, including feature prioritization, release planning, and post\-launch evaluation.
**Minimum Qualifications**
* 3\+ years of product management, product strategy, or technical program management experience.
* Strong understanding of data platforms, data pipelines, and analytics use cases (hands\-onexperience preferred).
* Excellent communication and stakeholder management skills.
* Experience conducting user research and translating feedback into product requirements.
* Ability to work in a fast\-paced, ambiguous environment with limited resources.
* Proficiency with data concepts (SQL, ETL, data modeling, cloud platforms).
* Demonstrated ability to prioritize and manage competing interests across teams.
**Preferred Qualifications**
* Background as a data engineer, data analyst, or solutions engineer before moving into product management.
* Experience with modern data platforms (Databricks, Snowflake, BigQuery, etc.).
* Experience working in regulated industries or with complex compliance requirements.
* Familiarity with the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development and product development methodologies.</t>
        </is>
      </c>
    </row>
    <row r="27">
      <c r="A27" t="inlineStr">
        <is>
          <t>li-4365840663</t>
        </is>
      </c>
      <c r="B27" t="inlineStr">
        <is>
          <t>Product Manager</t>
        </is>
      </c>
      <c r="C27" t="inlineStr">
        <is>
          <t>CarMax</t>
        </is>
      </c>
      <c r="D27" t="inlineStr">
        <is>
          <t>linkedin</t>
        </is>
      </c>
      <c r="E27" t="inlineStr"/>
      <c r="F27" t="inlineStr"/>
      <c r="G27" t="inlineStr">
        <is>
          <t>Richmond, VA</t>
        </is>
      </c>
      <c r="H27" t="inlineStr"/>
      <c r="I27" t="inlineStr">
        <is>
          <t>8116 \- Midtown Office \- 2220 W. Broad Street, Richmond, Virginia, 23220
 CarMax, the way your career should be!
**Create products that revolutionize the industry**
 When it comes to product development, CarMax puts customers in the driver’s seat. As a Product Manager you will disrupt the industry with your relentless pursuit of an exceptional customer experience and strategic use of technology. Your work will put customer needs at the heart of our process, and make the car buying and selling experience better. Thinking cross functionally, you’ll work with your design and development partners to create products that allow customers to buy the vehicle they want in a way that’s right for them. Innovation is at the heart of CarMax’s strategy, and in this role, you are too.
**What You Will Do – Essential Responsibilities**
* Lead a highly motivated team that discovers and develops products and services that transform the car shopping, buying and owning experience for our customers and drives business value
* Conduct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manage a cross\-functional, technically\-oriented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**Qualifications And Requirements**
* Undergraduate degree in a relevant discipline is preferred
* At least three years’ experience in product management or a related field is preferred
* Fluency and experience working with modern technology stacks and partnering with software engineers is preferred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28">
      <c r="A28" t="inlineStr">
        <is>
          <t>li-4366169014</t>
        </is>
      </c>
      <c r="B28" t="inlineStr">
        <is>
          <t>Product Manager, Sales Data Science</t>
        </is>
      </c>
      <c r="C28" t="inlineStr">
        <is>
          <t>griddable.io</t>
        </is>
      </c>
      <c r="D28" t="inlineStr">
        <is>
          <t>linkedin</t>
        </is>
      </c>
      <c r="E28" t="inlineStr"/>
      <c r="F28" t="inlineStr"/>
      <c r="G28" t="inlineStr"/>
      <c r="H28" t="inlineStr"/>
      <c r="I28" t="inlineStr">
        <is>
          <t>Applications will be accepted until 01/27/2026\.
**Description**
 This Product Manager role sits within the Sales Data Science team and owns the strategy and delivery of data, analytics, and AI\-powered products that drive measurable improvements in seller productivity and revenue. This role is highly hands\-on and analytically rigorous—deeply engaged in data foundations, SQL\-driven analysis, experimentation, and causal measurement to prove product impact, while leveraging AI tools to accelerate prototyping and insight generation in a fast\-paced, collaborative environment.
**Responsibilities**
* Define product vision, strategy, and multi\-quarter roadmaps for Sales Analytics and AI\-powered Sales Agent capabilities.
* Help shape data foundations, models, and experimentation that ensure accuracy, scale, and trust.
* Lead execution end\-to\-end: backlog ownership, stakeholder alignment, delivery, adoption, and success measurement.
**Required Qualifications**
* 5\+ years in Product Management, Data, Analytics, or a related technical role.
* Strong hands\-on experience with SQL, data modeling, experimentation, and metric definition.
* Proven ability to translate complex data insights into clear product decisions and executive\-ready communication.
**Preferred Qualifications**
* Experience with Sales Analytics, Revenue Intelligence, or seller productivity products.
* Familiarity with AI\-powered tools, agents, or generative AI workflows in a product context.
* Background working closely with Data Science on modeling, experimentation, or feature engineering.
 Why This Role Matters
* You will ensure Sales Data products deliver provable, measurable impact, not just shipped features.
* Your work will directly shape how data and AI are embedded into sellers’ daily workflows at scale.</t>
        </is>
      </c>
    </row>
    <row r="29">
      <c r="A29" t="inlineStr">
        <is>
          <t>li-4365866064</t>
        </is>
      </c>
      <c r="B29" t="inlineStr">
        <is>
          <t>Product Manager, Retail Platform Development</t>
        </is>
      </c>
      <c r="C29" t="inlineStr">
        <is>
          <t>Delta Air Lines</t>
        </is>
      </c>
      <c r="D29" t="inlineStr">
        <is>
          <t>linkedin</t>
        </is>
      </c>
      <c r="E29" t="inlineStr"/>
      <c r="F29" t="inlineStr"/>
      <c r="G29" t="inlineStr">
        <is>
          <t>Atlanta, GA</t>
        </is>
      </c>
      <c r="H29" t="inlineStr"/>
      <c r="I29"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Delta is on a journey to become a world\-class retailer, changing the way Delta can sell and service flight and ancillary products and improve the customer experience. To achieve this goal, Delta’s Retail Strategy is to consistently offer, sell, and service high quality personalized products in the customer’s channel of choice. Enterprise Solutions (ES) is seeking an Ancillary Order Management Product Manager to lead the vision and execution of IT development roadmaps that enable ordering, fulfilling, and servicing ancillary products such as seats, bags, wifi, catering and more.
 The Order Management team is responsible for the following scope:
* Orchestration to create, retrieve, change and cancel an order
* Create and update the order record
* Creation of records in legacy systems of record
 We are looking for candidates who exhibit curiosity, are motivated to solve challenging problems, and can think creatively to identify solutions.
**Responsibilities**
* Develop a business vision and a sequenced roadmap for the order management of ancillary products and services
* Partner with stakeholders across the enterprise to determine requirements for the order management of ancillary products and services
* Collaborate with Ancillary Offer business and IT partners to translate upstream business requirements into usable and reliable solutions that span the full retailing process from Offer to Order C Servicing.
* Lead agile development teams to implement requirements.
* Collaborate with other agile development teams, both upstream and downstream, to identify dependencies required to deliver the order management roadmap.
* Communicate progress against development roadmap to leaders and stakeholders.
* Learn the business rationale behind ancillary order data schemas and orchestration patterns with the goal of building solutions that are product\-agnostic, channel\-agnostic, and form of payment\-agnostic
**What You Need To Succeed (Minimum Qualifications)**
* Proven success in understanding and managing complex processes.
* Able to demonstrate intellectual curiosity and critical thinking
* Experience translating a business vision into written technical requirements.
* Ability to communicate clearly to business leaders and technical developers.
* Must have the ability to work well with diverse groups in a time sensitive and team environment with minimal supervision.
* Results oriented and capable of meeting or exceeding deadlines with attention to detail and follow through.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with at least 5\+ years of relevant work experience
* Preferred Major in quantitative discipline such as Management Information Systems, Business Administration, Economics, Finance, or Engineering.
* Combination of at least 5\+ years of relevant working experience in Revenue Management, Internal or External channels, Business Intelligence, and Data Analytics.
* Experience in at least one commercial or operations function such as Reservations, ACS, eCommerce, Revenue Management, Sales, or IT preferred.
* Experience working in an Agile environment as a Product Manager/Owner.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30">
      <c r="A30" t="inlineStr">
        <is>
          <t>li-4321437260</t>
        </is>
      </c>
      <c r="B30" t="inlineStr">
        <is>
          <t>Associate Product Manager - Media Buying Platform (Platform)</t>
        </is>
      </c>
      <c r="C30" t="inlineStr">
        <is>
          <t>IQVIA</t>
        </is>
      </c>
      <c r="D30" t="inlineStr">
        <is>
          <t>linkedin</t>
        </is>
      </c>
      <c r="E30" t="inlineStr"/>
      <c r="F30" t="inlineStr"/>
      <c r="G30" t="inlineStr">
        <is>
          <t>New York, NY</t>
        </is>
      </c>
      <c r="H30" t="inlineStr"/>
      <c r="I30" t="inlineStr">
        <is>
          <t>IQVIA Digital powers exceptional brand experiences, delivering innovative solutions based on a customer\-first, insights\-driven, and integrated omnichannel vision. We provide authenticated, enhanced data and analytics, innovative fit\-for\-purpose healthcare technology, and the expertise to enable an effective and adaptable marketing model that drives better quality of care and patient outcomes. IQVIA is the leading global provider of data, advanced analytics, technology solutions and clinical research services for the life sciences industry.
 The Activation Product Team is a critical component of our Media OS Product Organization at IQVIA Digital. In this role, you will collaborate with engineers, client services, and sales teams to design and deliver cross\-channel media buying and analytics solutions tailored for healthcare marketers.
 This position offers the unique opportunity to contribute to the development of a standalone SaaS product, while also leading integrations with third\-party marketing services. As part of a dynamic and rapidly growing team managing a portfolio that drives nine\-figure marketing investments, you will play a key role in shaping the future of healthcare marketing technology.
**Responsibilities**
* Formulates and defines systems scope and objectives through research and fact‑finding combined with an understanding of applicable business systems and requirements
* Manages sprint backlog, including planning, prioritization, grooming, and readiness
* Works collaboratively with users, designers, and engineers to understand requirements, solution features, and slice work into vertical stories
* Ensures stories collectively result in usable software that meets user needs
* Performs portions of reports and data analysis based on understanding of the function’s business context, requiring general domain knowledge and developing business experience
* Evaluates and prioritizes scope trade\-offs as new work emerges
* Reviews development work for quality and completeness
* Facilitates effective defect management
* Communicates status and manages stakeholder expectations when required
* Contributes to product discovery work
**Requirements**
* Typically requires 2–3 years of prior relevant experience (product ownership, with a focus on ad tech or healthcare marketing software preferred)
* Familiarity with healthcare marketing ecosystem
* Experience with ad tech tools, programmatic buying platforms, and media analytics is beneficial.
* Strong ability to translate business needs into detailed product requirements for engineering teams.
* Excellent communication and collaboration skills across technical and non\-technical stakeholders.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when annualized, is $67,600\.00 \- $169,000\.00\.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31">
      <c r="A31" t="inlineStr">
        <is>
          <t>li-4355951213</t>
        </is>
      </c>
      <c r="B31" t="inlineStr">
        <is>
          <t>Technical Product Manager (Identity)</t>
        </is>
      </c>
      <c r="C31" t="inlineStr">
        <is>
          <t>tvScientific</t>
        </is>
      </c>
      <c r="D31" t="inlineStr">
        <is>
          <t>linkedin</t>
        </is>
      </c>
      <c r="E31" t="inlineStr"/>
      <c r="F31" t="inlineStr"/>
      <c r="G31" t="inlineStr"/>
      <c r="H31" t="inlineStr"/>
      <c r="I31" t="inlineStr">
        <is>
          <t>**Job Title:** 
 Senior Technical Product Manager, Identity
**Location:** 
 Remote, US
**Department:** 
 Product Management
**Type:** 
 Full\-Time, Non\-Exempt
**Experience:** 
 Senior
**Salary Range:** 
 $165,000\-180,000 / year (\+bonus, equity, and benefits)
**Core Hours:** 
 9 AM \- 1 PM PT / 12 PM \- 4 PM ET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**Role Summary** 
 tvScientific is looking for a Senior Product Manager to lead our identity graph and data partnership strategy. This work is central to how we deliver accurate, privacy\-first targeting across Connected TV and digital. You’ll own the roadmap for identity resolution, guide the development of graph\-based models that connect users, households, and devices, and expand our network of high\-impact data partners. Your work will directly support campaign performance, faster optimization, and more precise measurement.
 This is a highly cross\-functional role that blends technical fluency with strong product leadership. You’ll work with Engineering and Data Science to build scalable, real\-time identity services, while partnering with Legal, Security, and external providers to ensure privacy compliance and long\-term resilience. You’ll define key metrics, write clear product specs, and help internal teams understand and communicate the value of identity across our platform.
**What You'll Do** 
* Own the identity product strategy and lead the vision for tvScientific’s identity graph enabling persistent, multi\-device recognition across CTV and digital
* Partner with Data Engineering and Data Science to architect and optimize graph\-based data models representing user identity, household relationships, and device linkages
* Design APIs and services for real\-time identity resolution, enrichment, and activation in programmatic ad workflows
* Embed privacy\-centric solutions like UID 2\.0, RampID, and emerging standards into the graph infrastructure to ensure compliance and scalability
* Source, evaluate, and onboard third\-party identity and behavioral data providers to improve graph completeness and targeting precision
* Lead technical integration and operationalization of identity and graph enrichment partners, managing ingestion, data mapping, and deployment
* Collaborate with Legal, Security, and Data teams to ensure compliance with CCPA, GDPR, and global privacy regulations
* Maintain a strategic view of the identity and data ecosystem to recommend build versus partner strategies that maximize value
* Write detailed product requirements, data specifications, and user stories to guide Engineering and Infrastructure teams on performant graph storage, traversal, and querying
* Define and monitor key metrics such as match rates, accuracy, persistence, identity coverage, and campaign performance impact
* Support Sales, Marketing, and Customer Success with technical narratives that clarify the value of identity resolution in CTV targeting
* Stay up to date on privacy\-enhancing technologies, identity standards, and regulatory changes, representing tvScientific in industry forums and partner discussions
**How We'll Define Success** 
* A scalable, performant identity graph that enables precise cross\-device and household\-level targeting.
* Integration of high\-impact data partners that enhance targeting, measurement, and user recognition.
* Measurable improvements in campaign performance, optimization speed, and attribution accuracy.
* High internal satisfaction with identity tools and services, and strong alignment with external partners.
* Ongoing compliance with privacy and security requirements, without slowing innovation.
**You’ll Be Successful in This Role if You Have** 
* 6\+ years in product management, solutions engineering, or technical partnerships focused on data\-driven products, audience targeting, or martech.
* Deep experience working with Data Science and Engineering teams to build and launch data infrastructure.
* Expertise in identity resolution, segmentation, onboarding, and activation workflows.
* Proven ability to source, evaluate, and operationalize third\-party data partnerships.
* Strong analytics mindset and comfort working with large datasets that you don’t wait for engineering to pull the numbers.
* Technical fluency across APIs, data pipelines, audience graphs, and privacy frameworks.
* Excellent communication skills that translate technical ideas into real business value.
* A solid foundation in AdTech, with bonus points for Connected TV experience
**You May Also Have**
* Experience with programmatic advertising and digital media buying.
* Familiarity with ad verification processes and tools.
* Familiarity with compliance and regulatory considerations in advertising technology.
* Certification or training in Agile or Scrum methodologies.
* Experience collaborating with industry partners and building strategic alliances.
* Proficiency in additional languages relevant to the advertising technology market.
* BS/MS in a related discipline.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**As tvScientists We Are...** 
* ****Big Thinkers:****
 We believe in setting audacious goals and envisioning transformative change.
* ****Radically Transparent:****
 We value transparency in all aspects of our business. We foster a culture of open communication, honesty, and accountability.
* ****Performance\-obsessed:****
 We are passionate about achieving exceptional results. We strive for excellence in everything we do and set high standards for ourselves.
* ****Data\-driven:****
 We embrace the power of data, science, and technology as crucial drivers of our success.
* ****Trust Builders:****
 We prioritize building and nurturing trust with our stakeholders. We understand that trust is the foundation of successful relationships and business partnerships. Through our actions, integrity, and commitment to delivering on promises.
* ****Forever Students:****
 Challenge assumptions to look for solutions. We create a safe environment for experiments and risk\-taking by our customers and employees.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row>
    <row r="32">
      <c r="A32" t="inlineStr">
        <is>
          <t>li-4345560017</t>
        </is>
      </c>
      <c r="B32" t="inlineStr">
        <is>
          <t>Vice President, POM Product Owner</t>
        </is>
      </c>
      <c r="C32" t="inlineStr">
        <is>
          <t>BNY</t>
        </is>
      </c>
      <c r="D32" t="inlineStr">
        <is>
          <t>linkedin</t>
        </is>
      </c>
      <c r="E32" t="inlineStr"/>
      <c r="F32" t="inlineStr"/>
      <c r="G32" t="inlineStr">
        <is>
          <t>New York, NY</t>
        </is>
      </c>
      <c r="H32" t="inlineStr"/>
      <c r="I32" t="inlineStr">
        <is>
          <t>**Job Description**
**Vice president, POM Product Management**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and champions of inclusion, BNY is where bold ideas meet advanced technology and exceptional talent. Together, we power the future of finance – and this is what is all about. Join us and be part of something extraordinary.
 We’re seeking a future team member for the role of Vice President, Product Owner to join our Loans Enablement team. This role is located in New York, NY
**In this role, you’ll make an impact in the following ways:**
* Product Ownership of a loan product, including product strategy, annual roadmaps, and quarterly initiatives
* Contributes to the platform’s strategic objectives and key results through the use of product\-specific data, metrics, and goals
* Collaborate with cross\-functional teams in operations and client teams to translate the business needs into epics and stories
* Responsible for prioritization of the work based on business value, using estimated new revenue, operational KPI and KRIs, and other metrics
* Provide day\-to\-day direction to guide the pod for clarification of story details and acceptance criteria
* Knows when to escalate to managers. Able to identify and triage issues with specific features, but understand how multiple features are interrelated and catch more complex problems.
* Customer Insights: Effectively defines proper measurement and instrumentation for a product to analyze results post\-release/launch.
* Assesses the quality of existing UX to make recommendations on how to improve user experience
* Ability to create wireframes independently and in coordination with the design team
* Signoff on stories through active participation in validation and Sprint Reviews
* Facilitates handoff of stories requiring operational readiness, training, or adoption, continuing to track metrics to drive future stories
* Fosters agile ways of working, DevOps, and automated testing.
**To be successful in this role, we’re seeking the following:**
* Experience in the syndicated loan market, private wealth loans, administrative agent, or other loan\-type asset classes, or money movement, reconciliations, trading.
* Ability to break down highly complex loan initiatives into small epics and stories that deliver incremental business value
* Effective collaboration skills. Ability to influence, make hard decisions, and problem solve.
* Passion for changing the status quo, driving out of the box thinking.
* Ability to adapt and lead through change.
* Bachelor’s degree in accounting, finance, computer science engineering or related discipline, or equivalent work experience required.
* Product experience and agile ways of working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$68,000 and $179,000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33">
      <c r="A33" t="inlineStr">
        <is>
          <t>li-4343637835</t>
        </is>
      </c>
      <c r="B33" t="inlineStr">
        <is>
          <t>Vice President, POM Product Owner</t>
        </is>
      </c>
      <c r="C33" t="inlineStr">
        <is>
          <t>BNY</t>
        </is>
      </c>
      <c r="D33" t="inlineStr">
        <is>
          <t>linkedin</t>
        </is>
      </c>
      <c r="E33" t="inlineStr"/>
      <c r="F33" t="inlineStr"/>
      <c r="G33" t="inlineStr">
        <is>
          <t>Jersey City, NJ</t>
        </is>
      </c>
      <c r="H33" t="inlineStr"/>
      <c r="I33"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Vice President, Product Owner to join our Wealth Services Platform team. We especially welcome Product professionals who bring deep expertise in investor, investment, or wealth management products and platforms, and who are passionate about shaping the future of financial services. This role is located in Jersey City, NJ, New York, NY, or Pittsburgh, PA.*
***In this role, you’ll make an impact in the following ways:***
* Defining and prioritizing product backlog, collaborating with stakeholders to gather requirements, and working closely with development team to ensure the successful delivery of the product.
* Managing the product backlog and near\-term roadmap ensuring that it is properly refined, prioritized and groomed.
* Fostering cross\-functional collaboration and ensuring delivery of high\-impact solutions aligned with business objectives and client needs.
* Owning user stories, refinement process and Stakeholder Management (ongoing collaboration and updates)
* Writing and contributing to specifications for features, using best practices.
* Negotiating the implementation of current work, make the right trade\-off decisions to launch products in a high\-quality manner. Escalating to management as necessary.
* Identifying and triaging issues with specific features, whilst understanding how multiple features are interrelated and catch more complex problems.
* Defining proper measurement and instrumentation for a product to analyze results post\-release/launch.
* Partnering with manager to make recommendations on the right next steps for the feature.
* Assessing the quality of existing UX to make recommendations on how to improve user experience.
**To be successful in this role, we’re seeking the following:**
* Bachelor’s degree in Computer Science, Information Systems, Business, or related field; advanced degree preferred.
* 3\+ years of product experience.
* 3\+ years of financial services industry experience.
* High degree of proficiency in OKR, Design Thinking, Event Storming, prototyping, iterative development, Scrum, and Agile product development.
* Strength in data\-driven decision making, prioritization frameworks, and cross\-functional collaboration (e.g., Engineering, UX, Operations).
* Relevant certifications (e.g., Scrum Product Owner (CSPO), Agile) are highly valued.
* Preferred experience in areas such as investor products/platforms or in managed accounts, wealth management, tax optimization, or portfolio construction.
* Passion for changing status quo and driving out\-of\-the\-box ideas.
* Strategic mindset with the ability to translate business needs into technical solutions.
* Experience with agile methodologies, product management tools (e.g., Jira, Confluence), and data visualization platforms.
* Exceptional communication and stakeholder management skills.
* Curiosity and drive for continuous learning and improvement.
* Possesses a “get\-it\-done” attitude – ability to get around roadblocks and stay focused on the vision.
* Organized, resourceful, and able to prioritize tasks.
* Interested in constantly learning new tools and technologies and a passion to share your knowledge with the team.
***At BNY, our culture speaks for itself—check out the latest BNY news at:***
* BNY Newsroom
*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leaves—including paid volunteer time—that can support you and your family through moments that matter.*
*BNY assesses market data to ensure a competitive compensation package for our employees. The base salary for this position is expected to be between $68,000 and $150,000 per year at the commencement of employment. However, base salary if hired will be determined on an individualized basis, including experience and market location, and is only part of the BNY total compensation package, which may also include commission earnings, discretionary bonuses, short\- and long\-term incentive packages, and Company\-sponsored benefit programs.*
*BNY is an Equal Employment Opportunity/Affirmative Action Employer – Underrepresented racial and ethnic groups/Females/Individuals with Disabilities/Protected Veterans.*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34">
      <c r="A34" t="inlineStr">
        <is>
          <t>li-4342984190</t>
        </is>
      </c>
      <c r="B34" t="inlineStr">
        <is>
          <t>Vice President, POM Product Owner</t>
        </is>
      </c>
      <c r="C34" t="inlineStr">
        <is>
          <t>BNY</t>
        </is>
      </c>
      <c r="D34" t="inlineStr">
        <is>
          <t>linkedin</t>
        </is>
      </c>
      <c r="E34" t="inlineStr"/>
      <c r="F34" t="inlineStr"/>
      <c r="G34" t="inlineStr">
        <is>
          <t>New York, NY</t>
        </is>
      </c>
      <c r="H34" t="inlineStr"/>
      <c r="I34"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Vice President, Product Owner to join our Wealth Services Platform team. In this role, as part of BNY Pershing’s Wealth Services Data Group, you’ll own, design, develop and manage the end\-to\-end lifecycle of data products and data platforms that enable scalable, secure, and insightful services for our clients. This role is located in New York, NY or in Jersey City, NJ.* 
***In this role, you’ll make an impact in the following ways:***
* Drive the vision, strategy, and execution of data\-centric products that empower financial advisors and institutional clients.
* Define product vision, strategy, and roadmap spanning across party and account reference data, reporting, securities data and a gamut of data products/services in alignment with business goals and stakeholder needs.
* Foster cross\-functional collaboration and ensure delivery of high\-impact solutions aligned with business objectives and client needs.
* Manage prioritize product backlog, collaborating with stakeholders to gather requirements, and working closely with development team to ensure the successful delivery of the product.
* Write specs for minor features and contribute meaningfully to major features.
* Negotiate the implementation of current work, make the right trade\-off decisions to launch products in a high\-quality manner. Escalating to management as necessary.
* Identify and triage issues with specific features, whilst understanding how multiple features are interrelated and catch more complex problems.
* Define proper measurement and instrumentation for a product to analyze results post\-release/launch.
* Partner with manager to make recommendations on the right next steps for the feature.
* Assess the quality of existing UX to make recommendations on how to improve user experience.
* Champion technical delivery for data products, e.g. managing integration with cloud platforms, data warehouses, and analytics solutions.
* Ensure data governance, privacy, and security standards are embedded into product design and delivery.
**To be successful in this role, we’re seeking the following:** 
* Bachelor’s degree in Computer Science, Information Systems, Business, or related field; advanced degree preferred.
* 5\+ years of experience in product ownership, with strongly preferred background in data\-related products in the financial services or financial technology domain.
* 3\+ years of experience in financial services industry.
* Relevant certifications (e.g., Scrum Product Owner (CSPO), Agile) are highly valued.
* Strategic mindset with the ability to translate business needs into technical solutions.
* Proficiency in data platforms (e.g., Snowflake, Azure, AWS), data pipelines, and cloud technologies.
* Familiarity with programming languages such as Python, SQL, or equivalent for data manipulation and analysis.
* Understanding of data governance, privacy, and industry best practices in financial services.
* Experience with agile methodologies, product management tools (e.g., Jira, Confluence), and data visualization platforms.
* Exceptional communication and stakeholder management skills.
* Curiosity and drive for continuous learning and improvement.
* Possesses a “get\-it\-done” attitude – ability to get around roadblocks and stay focused on the vision.
* Organized, resourceful, and able to prioritize tasks.
* Interested in constantly learning new tools and technologies and a passion to share your knowledge with the team.
***At BNY, our culture speaks for itself—check out the latest BNY news at:***
* BNY Newsroom
*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leaves—including paid volunteer time—that can support you and your family through moments that matter.* 
*BNY assesses market data to ensure a competitive compensation package for our employees. The base salary for this position is expected to be between $68,000 and $155,000 per year at the commencement of employment. However, base salary if hired will be determined on an individualized basis, including experience and market location, and is only part of the BNY total compensation package, which may also include commission earnings, discretionary bonuses, short\- and long\-term incentive packages, and Company\-sponsored benefit programs.* 
*BNY is an Equal Employment Opportunity/Affirmative Action Employer – Underrepresented racial and ethnic groups/Females/Individuals with Disabilities/Protected Veterans.*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35">
      <c r="A35" t="inlineStr">
        <is>
          <t>li-4366159914</t>
        </is>
      </c>
      <c r="B35" t="inlineStr">
        <is>
          <t>Product Manager</t>
        </is>
      </c>
      <c r="C35" t="inlineStr">
        <is>
          <t>Emerson</t>
        </is>
      </c>
      <c r="D35" t="inlineStr">
        <is>
          <t>linkedin</t>
        </is>
      </c>
      <c r="E35" t="inlineStr"/>
      <c r="F35" t="inlineStr"/>
      <c r="G35" t="inlineStr">
        <is>
          <t>Elyria, OH</t>
        </is>
      </c>
      <c r="H35" t="inlineStr"/>
      <c r="I35" t="inlineStr">
        <is>
          <t>**Job Description**
 The Product Manager is responsible to drive innovation and strategic direction for their product lines. The Product Manager works cross\-functionally to develop the new product plan and identify and drive improvements to the existing product portfolio. This role leads, facilitates, or otherwise participates in day\-to\-day activities of his/her product portfolio, including but not limited to customer visits, pricing, forecasting, sales training, category management, and sourcing and operational decisions. In addition, you will be responsible for identifying new product opportunities and working cross functionally to develop the products and bring them to market. This position reports to the Director of Product Management.
**In This Role, Your Responsibilities Will Be To:**
* Manage the entire product lifecycle of products in the applicable categories, from new product introduction to product line rationalization. Specific responsibilities include:
* Develop and execute strategies for RIDGID Plumbing and Mechanical products including the evaluation of new business opportunities
* Develop plans that drive the growth of existing product lines through new product development
* Execute and leverage market research to align customer needs with new product development and product messaging
* Guide new product programs from conception through introduction with an ability to work across multiple disciplines
* Understand and leverage the competitive advantages for RIDGID professional and retail plumbing distribution channels
* Prepare and present strategic planning presentations to senior management
* Lead cross\-functional teams to achieve operational excellence
**Who You Are:**
 Establishes and maintains effective customer relationships. Steps up to handle difficult challenges. Cooperates with others across the organization to achieve shared objectives. Adapts the message to the audience. Consistently applies a business driver and marketplace focus when prioritizing actions.
**For This Role, You Will Need:**
* Bachelor’s Degree from an accredited college or university
* Academic focus in marketing, engineering or similar subject matter
* 3\+ years in product management or equivalent business experience
* Strong analytical, quantitative skills and financial acumen
* Aptitude to quickly learn how to operate professional\-grade tools, including the mechanical and electrical principles that underlie their design
* Ability to form a deep understanding of customer needs and write compelling value propositions and messages
* Ability to collaborate with cross\-functional teams
* Should be a self\-starter and have the ability to work independently as well as with groups
* Strong project management skills
**Preferred Qualifications That Set You Apart:**
* MBA or Master’s Degree
* 5\+ years in product management or equivalent business experience.
* Experience within the mechanical, electrical, or plumbing markets preferred.
* Experience working on and managing international projects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36">
      <c r="A36" t="inlineStr">
        <is>
          <t>li-4303088730</t>
        </is>
      </c>
      <c r="B36" t="inlineStr">
        <is>
          <t>Product Manager, Card Costs and Settlement</t>
        </is>
      </c>
      <c r="C36" t="inlineStr">
        <is>
          <t>Stripe</t>
        </is>
      </c>
      <c r="D36" t="inlineStr">
        <is>
          <t>linkedin</t>
        </is>
      </c>
      <c r="E36" t="inlineStr"/>
      <c r="F36" t="inlineStr"/>
      <c r="G36" t="inlineStr">
        <is>
          <t>Seattle, WA</t>
        </is>
      </c>
      <c r="H36" t="inlineStr"/>
      <c r="I3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7">
      <c r="A37" t="inlineStr">
        <is>
          <t>li-4343514325</t>
        </is>
      </c>
      <c r="B37" t="inlineStr">
        <is>
          <t>Senior Director, Platform Product Manager</t>
        </is>
      </c>
      <c r="C37" t="inlineStr">
        <is>
          <t>BNY</t>
        </is>
      </c>
      <c r="D37" t="inlineStr">
        <is>
          <t>linkedin</t>
        </is>
      </c>
      <c r="E37" t="inlineStr"/>
      <c r="F37" t="inlineStr"/>
      <c r="G37" t="inlineStr">
        <is>
          <t>New York, NY</t>
        </is>
      </c>
      <c r="H37" t="inlineStr"/>
      <c r="I37"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Senior Director, Product Manager to join our Global Payments and Trade Client Platform team. This role is located in New York City, NY.
 In this role, you’ll make an impact in the following ways:
* Develop, lead, and execute the strategic vision for International Payments U.S. Dollar Clearing Products; own the overall U.S. Dollar Clearing Product roadmap and P\&amp;L, and align teams around delivery goals.
* Accelerate the successful product delivery of BNY’s U.S. Dollar Clearing Capabilities such as 24 x 7 payments, commercial payments feature functionality, and treasury clearing solutions, including optimizing client experience leveraging AI, embedded finance, and data as a competitive advantage.
* Lead commercialization efforts and product rollouts with delivery teams to ensure adoption and commercial success.
* Manage group of product managers and provide leadership support to multiple pod\-level Product Owners and ensure alignment across multiple pod\-level product backlogs.
* Accountable for all risks originated from services delivered (including remediation efforts) \&amp; owns, manage and aggregate’s view of risk across Product/Platform.
* Continuously groom \&amp; reprioritize pod backlogs, provide strategic input \&amp; decisioning, manage \&amp; reduce blockers, \&amp; ensure continuous flow of work for pods.
* Collaborate with Product / Platform Leadership to share progress, flag challenges, and codify lessons learned.
 To be successful in this role, we’re seeking the following:
* Minimum of 15 years of demonstrated ability in product development and delivery.
* High degree of proficiency in OKR, Design Thinking, Event Storming, prototyping, iterative development, Scrum, and Agile product development
* Domain expertise in U.S. dollar clearing, related payment rails, correspondent banking inclusive of Swift and ISO20022 CBPR
* Passion for changing status quo and driving out\-of\-the\-box ideas.
* Eagerness to ‘roll up the sleeves’ in execution and learning; pushes the team to do the same.
* Strong leadership and influencing skills.
* Ability to make hard and fast decisions.
* Strong problem\-solving skills.
* Bachelor's degree in business or a related discipline.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$136,500 and $300,000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38">
      <c r="A38" t="inlineStr">
        <is>
          <t>li-4366180580</t>
        </is>
      </c>
      <c r="B38" t="inlineStr">
        <is>
          <t>Senior Product Manager, Pharma</t>
        </is>
      </c>
      <c r="C38" t="inlineStr">
        <is>
          <t>TailorMed</t>
        </is>
      </c>
      <c r="D38" t="inlineStr">
        <is>
          <t>linkedin</t>
        </is>
      </c>
      <c r="E38" t="inlineStr"/>
      <c r="F38" t="inlineStr"/>
      <c r="G38" t="inlineStr"/>
      <c r="H38" t="inlineStr"/>
      <c r="I38" t="inlineStr">
        <is>
          <t>**Join Us at TailorMed – Transforming Healthcare Affordability**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If you’re passionate about making healthcare more accessible and impactful, we’d love to have you on our team.
 As a
 **Senior Product Manager** 
 at TailorMed, you'll own part of TailorMed’s B2B and B2B2C product offerings, and own the design and delivery of a delightful user experience.
 Leveraging your product management expertise, you will play a pivotal role in executing our product strategy, guiding the roadmap, and ensuring the successful delivery of innovative solutions that meet the needs of our customers and partners. This role requires a strong combination of product craftsmanship, data\-driven decision\-making, and business acumen, with a particular focus on building products that serve pharma and life sciences organizations.
**Responsibilities:** 
* Develop the life sciences sponsored B2B and B2B2C user experience, creating optimal user journeys that maximize adoption and successful outcomes.
* Define and prioritize the product roadmap, balancing short\-term deliverables with long\-term strategic initiatives to drive sustainable growth and competitive advantage.
* Own the end\-to\-end product development lifecycle, from zero to one innovation through optimization, overseeing delivery, timeline management, and resource prioritization while mitigating risks.
* Own product analytics and measurement for your domain, including defining KPIs, analyzing user behavior and conversion funnels, designing customer\-facing dashboards, and using data to drive prioritization and experimentation.
* Partner with engineering to translate market and business needs into clear product requirements, ensuring high quality feature delivery and customer expectations are met.
* Collaborate across sales, marketing, customer success, and operations to align market needs, customer insights, and product direction while driving successful delivery.
* Foster a culture of high standards, growth, and accountability, promoting shared ownership of product, customer, and business outcomes.
**Requirements:** 
* Bachelor's degree in Computer Science, Engineering, Business, or related field; MBA or advanced degree preferred.
* 5\+ years in product management roles in digital health or healthcare technology.
* B2B or B2B2C product experience.
* Demonstrated strength in product analytics and data\-driven decision\-making, including experience with funnels, conversion metrics, experimentation, and translating insights into product improvements.
* Builder mindset with experience taking products from zero to one, including early discovery, validation, and scaling.
* Strong ability to connect product decisions to commercial outcomes and align market needs with product strategy.
* Excellent communication and interpersonal skills, with the ability to effectively engage diverse stakeholders, communicate complex concepts clearly, and influence decision\-making across all organizational levels.
* Experience working in agile environments and familiar with product management best practices and tools.
* **Strong advantage:** 
 Experience working in companies selling products or platforms into pharma or life sciences organizations (e.g., market access, patient support, commercial operations).
 Join us in our mission to move mountains for patients and make a meaningful impact on the lives of millions.</t>
        </is>
      </c>
    </row>
    <row r="39">
      <c r="A39" t="inlineStr">
        <is>
          <t>li-4366174821</t>
        </is>
      </c>
      <c r="B39" t="inlineStr">
        <is>
          <t>Leachate Product Manager</t>
        </is>
      </c>
      <c r="C39" t="inlineStr">
        <is>
          <t>APTIM</t>
        </is>
      </c>
      <c r="D39" t="inlineStr">
        <is>
          <t>linkedin</t>
        </is>
      </c>
      <c r="E39" t="inlineStr"/>
      <c r="F39" t="inlineStr"/>
      <c r="G39" t="inlineStr">
        <is>
          <t>Findlay, OH</t>
        </is>
      </c>
      <c r="H39" t="inlineStr"/>
      <c r="I39" t="inlineStr">
        <is>
          <t>**Job Overview**
 We have an immediate need for an in\-office
 **Leachate Evaporator** 
 Product Manager. LFG Specialties, an APTIM company, is a leading supplier of gas processing equipment and combustion and leachate treatment systems for the solid waste and petroleum industries. If you are interested in working for a leader in the industry that provides a comprehensive benefits package, please see below for applicant criteria:
**Key Responsibilities/Accountabilities**
* Provides technical guidance to project team including development of mass and energy balances, P\&amp;IDs, equipment specifications, control narratives, and leading HAZOP reviews.
* Will work with gas compression, leachate treatment, wastewater, and combustion equipment related to the waste industry.
* Perform Project Management tasks including review of client specifications, industry regulations, proposal writing, estimating, development of drawings (PFD P\&amp;ID), O\&amp;M manuals, and management of projects from concept through completion, including field start\-up support.
* Perform work on wastewater treatment and chemical processes
* Work in design, fabrication, and/or operation of wastewater treatment and/or chemical processing equipment.
* Plans, organizes, coordinates, and executes projects in accordance with established policies, procedures, systems, and requirements.
* Supervises personnel on project team.
* Supports business development activities and may serve as a proposal manager.
* Represents the company to clients and industry and maintains client relationships and industry leadership positions.
* Applies technical and/or leadership expertise to improve effectiveness and provide guidance to employees in own area
* Anticipates and interprets customer needs to identify solutions
* Interprets business issues and adapts work priorities in own area
* Manages budget and financial resources for assigned area and allocates resources accordingly Simultaneously manage multiple projects.
**Basic Qualifications**
* BS degree in Chemical Engineering with 10 or more years of experience is preferred. Other disciplines considered with appropriate experience (ex \-\- Process, Environmental, Mechanical Engineering).
* Understanding of chemical processes and industry, with an emphasis on wastewater treatment technologies.
* Experience with gas compression, leachate treatment, wastewater, and combustion equipment related to the waste industry.
* Candidate must have a firm grasp of engineering principles and understand basic business principles including cost estimating and pricing.
* Good inter\-personal skills are required to interface with clients and internal personnel at all levels of the organization.
**Desired/Preferred Qualifications**
* Previous experience with an original equipment manufacturer is preferred.
* Chemical, Solid Waste, or Wastewater industry experience.
* 5\+ years of project management experience
* 10\+ years of experience in design, fabrication, or operation of wastewater treatment or chemical processing equipment.
**About APTIM**
 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As of the date of this posting, a good faith estimate of the current pay range for this position is $90,000 to $110,000 per year. Compensation depends on several factors including: experience, education, key skills, geographic location of the position, client requirements, external market competitiveness, and internal equity among other employees within APTIM.
**Employee Benefits**
 APTIM Environmental and Infrastructure, LLC is committed to providing an extensive range of benefits that protect and promote the health and financial well\-being of our employees and their families through the APTIM Benefits Marketplace https://aptim.makeityoursource.com/.
* Medical, vision, and dental insurance: Through the marketplace, our employees can choose benefits from five metallic levels and several carriers to find the right benefits that work for them in their location.
* Company paid and optional Life insurance
* Short\-term and long\-term disability insurance
* Accident, Critical Illness, and Hospital Indemnity coverage
* Paid holidays, vacation, and sick leave (eligibility based on company policy and applicable law)
* 401(k) APTIM offers three 401k plans through the Aon Pooled Employer Plan (PEP). The specific plan you are eligible for depends on the business unit you are in. The details of the largest plan are found here:
+ APTIM 401(k) Guide
+ APTIM \- Helpful Documents
**Watch Our Video**
**About APTIM \- In Pursuit of Better**
**LI\-Onsite**</t>
        </is>
      </c>
    </row>
    <row r="40">
      <c r="A40" t="inlineStr">
        <is>
          <t>li-4362537403</t>
        </is>
      </c>
      <c r="B40" t="inlineStr">
        <is>
          <t>Senior Product Owner Business Intelligence (Fortune 100 Co Direct Hire)</t>
        </is>
      </c>
      <c r="C40" t="inlineStr">
        <is>
          <t>Confidential</t>
        </is>
      </c>
      <c r="D40" t="inlineStr">
        <is>
          <t>linkedin</t>
        </is>
      </c>
      <c r="E40" t="inlineStr"/>
      <c r="F40" t="inlineStr"/>
      <c r="G40" t="inlineStr">
        <is>
          <t>Houston, TX</t>
        </is>
      </c>
      <c r="H40" t="inlineStr"/>
      <c r="I40" t="inlineStr">
        <is>
          <t>The Sr Product Owner – Business Intelligence is responsible for defining, prioritizing, and delivering high\-impact digital products that enable data\-driven decision\-making across global supply chain operations. This role sits at the intersection of supply chain strategy, analytics, and technology, translating complex business needs into scalable BI and data products that improve visibility, efficiency, resilience, and cost performance.
 You will partner closely with Supply Chain, Operations, Finance, Data Engineering, and Technology teams to own the product vision, roadmap, and backlog for analytics platforms, dashboards, and advanced reporting solutions used by executive and operational stakeholders.
 Key Responsibilities
 Product Strategy \&amp; Ownership
* Own the product vision, roadmap, and backlog for supply chain BI and analytics products
* Define product outcomes aligned to enterprise supply chain strategy (e.g., service, cost, inventory, resiliency)
* Translate business needs into clear epics, features, and user stories with measurable value
* Prioritize initiatives based on business impact, feasibility, and strategic alignment
 Supply Chain Analytics \&amp; BI
* Lead development of dashboards, reports, and self\-service analytics across areas such as:
* Demand \&amp; supply planning
* Inventory \&amp; working capital
* Logistics \&amp; transportation
* Manufacturing \&amp; operations performance
* Supplier performance \&amp; risk
* Ensure data products provide trusted, actionable insights for both executive and operational users
* Champion data governance, metric standardization, and single\-source\-of\-truth principles
 Agile Delivery \&amp; Cross\-Functional Leadership
* Serve as Product Owner within Agile teams; lead backlog refinement, sprint planning, and reviews
* Partner with Data Engineering, BI Developers, and Architects to ensure scalable, high\-quality solutions
* Collaborate with stakeholders across Supply Chain, Finance, IT, and Digital teams globally
* Balance near\-term delivery with long\-term platform and capability development
 Stakeholder \&amp; Executive Engagement
* Act as a trusted thought partner to senior supply chain leaders
* Communicate product vision, roadmap progress, and value realization to executives
* Drive adoption and change management for analytics products across the organization
 Qualifications
 Required
* Bachelor’s degree in Business, Supply Chain, Information Systems, Analytics, or related field
* 7\+ years of experience in Product Ownership, Product Management, or Business Analysis
* Strong experience in supply chain analytics, BI, or data products
* Hands\-on experience working in Agile/Scrum environments as a Product Owner
* Proven ability to translate complex business problems into data and analytics solutions
* Strong stakeholder management and executive communication skills
 Preferred
* Experience in a large, complex, global enterprise (Fortune 500/Fortune 100 preferred)
* Deep understanding of supply chain processes and KPIs
* Experience with modern BI and data platforms (e.g., Power BI, Tableau, Looker, Snowflake, Databricks, etc.)
* Familiarity with advanced analytics, forecasting, or optimization use cases
* CSPO, SAFe POPM, or similar Agile certification
 Key Competencies
* Strategic thinking with strong execution focus
* Data\-driven decision\-making
* Ability to influence without authority
* Comfort operating in ambiguity and complex matrixed environments
* Strong storytelling skills with data
 What Success Looks Like
* Supply chain leaders rely on your products for critical decisions
* Analytics products are widely adopted, trusted, and scalable
* Measurable improvements in supply chain performance, visibility, and efficiency
* Clear linkage between analytics investments and business outcomes</t>
        </is>
      </c>
    </row>
    <row r="41">
      <c r="A41" t="inlineStr">
        <is>
          <t>li-4362489929</t>
        </is>
      </c>
      <c r="B41" t="inlineStr">
        <is>
          <t>Product Owner - Financial Crime</t>
        </is>
      </c>
      <c r="C41" t="inlineStr">
        <is>
          <t>CoreAi Consulting</t>
        </is>
      </c>
      <c r="D41" t="inlineStr">
        <is>
          <t>linkedin</t>
        </is>
      </c>
      <c r="E41" t="inlineStr"/>
      <c r="F41" t="inlineStr"/>
      <c r="G41" t="inlineStr">
        <is>
          <t>Phoenix, AZ</t>
        </is>
      </c>
      <c r="H41" t="inlineStr"/>
      <c r="I41" t="inlineStr">
        <is>
          <t>We are looking for an experienced Product Owner with strong domain expertise in
 **Financial Crime, AML, and Transaction Monitoring** 
 to drive product delivery for risk and compliance platforms within a banking environment. This role requires close collaboration with business, compliance, technology, and data teams to ensure product outcomes meet both regulatory expectations and business goals.
**Key Responsibilities** 
* Own and maintain the product backlog for Financial Crime, AML, and Risk \&amp; Compliance initiatives
* Convert business needs and regulatory requirements into well\-defined user stories and acceptance criteria
* Partner closely with compliance, risk, operations, and technology teams to ensure correct implementation of AML and transaction monitoring rules
* Prioritize features and enhancements based on regulatory risk, business value, and customer impact
* Actively participate in PI planning, sprint planning, sprint reviews, and retrospectives as part of Agile delivery teams
* Ensure accuracy, completeness, and integrity of transaction data, alerts, cases, and regulatory reports
* Support user acceptance testing (UAT), production deployments, and regulatory audits
* Provide direction and leadership to both onshore and offshore delivery teams
**Required Skills \&amp; Experience** 
* 8\+ years of experience in Banking, Financial Crime, AML, or Risk \&amp; Compliance roles
* Strong domain knowledge in Transaction Monitoring, KYC, AML, Sanctions, Fraud and Suspicious Activity Reporting (SAR)
* Hands\-on experience working with transaction data, alerts, cases, and compliance platforms
* Solid understanding of Agile and Scrum methodologies
* Proven experience coordinating and managing cross\-functional teams
* Strong communication skills with the ability to engage and influence stakeholders
* Ability to work effectively across business, compliance, and technology functions
**Nice to Have** 
* Experience with AML platforms such as Actimize, FCRM, NICE, or similar tools
* Familiarity with regulatory frameworks including FFIEC, FinCEN, and FATF
* Experience working within large financial institutions</t>
        </is>
      </c>
    </row>
    <row r="42">
      <c r="A42" t="inlineStr">
        <is>
          <t>li-4343632063</t>
        </is>
      </c>
      <c r="B42" t="inlineStr">
        <is>
          <t>Market-Facing Product Manager | Software Licensing &amp; Protection</t>
        </is>
      </c>
      <c r="C42" t="inlineStr">
        <is>
          <t>Thales</t>
        </is>
      </c>
      <c r="D42" t="inlineStr">
        <is>
          <t>linkedin</t>
        </is>
      </c>
      <c r="E42" t="inlineStr"/>
      <c r="F42" t="inlineStr"/>
      <c r="G42" t="inlineStr">
        <is>
          <t>Austin, TX</t>
        </is>
      </c>
      <c r="H42" t="inlineStr"/>
      <c r="I42" t="inlineStr">
        <is>
          <t>Location: Austin, United States of America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**Position Summary**
**Austin**
 We are looking for a strategic, results\-driven and market\-facing
 **Product Manager** 
 with a strong background in the software industry who is comfortable working across multiple time zones to lead the global strategy and go\-to\-market efforts for our Software Licensing \&amp; Protection solutions.
 This role is critical to support a wide array of our market\-leading on\-premises deployments, while actively driving the evolution towards cloud and SaaS solutions. Addressing AI customers and use cases, as well as innovatively leveraging AI in the product and in the role, is equally important.
**Key Areas Of Responsibilities**
 Market\-Facing Product Leadership
* Act as the voice of the market, gathering insights from customers, prospects, analysts, and partners.
* Identify unmet needs, pain points, and new demand signals across target markets.
* Analyze competitive offerings and market trends to inform product strategy.
* Prioritize opportunities based on business value, strategic fit, and customer impact.
 Go\-To\-Market Strategy
* Define the go\-to\-market plan for our Sentinel software licensing and protection solution, including positioning, messaging, and launch strategies.
* Collaborate with marketing, sales, and others to drive awareness, adoption, and competitive differentiation as well as product positioning, messaging, and launch strategies.
* Enable Sales and Customer Success teams with the tools, training, and materials needed for market success.
* Own product\-level KPIs such as market penetration, adoption, and customer satisfaction.
 Product Planning \&amp; Handoff
* Synthesize market feedback and business goals into a clear product direction.
* Define and own the product vision, strategy, and roadmap aligned with business goals.
* Provide high\-level input to the Product Owner team for execution—feature concepts, business cases, market priorities.
* Ensure alignment between strategic product vision and sprint\-level work handled by Product Owners and Engineering.
* Identify market trends and customer needs to drive AI\-powered innovations and ensure product\-market fit.
 Pricing \&amp; Commercial Strategy
* Work with leadership and finance to define and optimize pricing models, packaging strategies, and monetization plans.
* Evaluate pricing performance and adjust strategies based on market feedback and financial goals.
**Minimum Qualifications**
* 8\+ years of experience in product management, with a strong emphasis on go\-to\-market, customer engagement, or market strategy.
* Strong understanding of product lifecycle management, release planning, and go\-to\-market strategies.
* Excellent communication, stakeholder alignment, management and presentation skills.
* Strong analytical skills; able to evaluate demand and size market opportunities.
* Familiarity with Agile methodologies and tools such as Jira, Confluence, or similar.
 Applicants must be legally authorized to work in the United States for any employer at the time of hire. This position is not eligible for visa sponsorship or for assuming sponsorship of an employment visa now or in the future.
**Special Position Requirements**
**Schedule** 
 : working across multiple time zones to lead the global strategy and go\-to\-market efforts for our Software Licensing \&amp; Protection solutions.
**Travel** 
 : 20%
 This position will require successfully completing a post\-offer background check. Qualified candidates with \[a] criminal history will be considered and are not automatically disqualified, consistent with federal law, state law, and local ordinances.
 We are an equal opportunity employer, including disability and veteran status. All qualified applicants will receive consideration for employment without regard to sex, race, color, religion, national origin, disability, protected Veteran status, age, or any other characteristic protected by law.
 If you need an accommodation or assistance in order to apply for a position with Thales, please contact us at talentacquisition@us.thalesgroup.com.
 The reference Total Target Compensation (TTC) market range for this position, inclusive of annual base salary and the variable compensation target, is between
 Total Target Cash (TTC) 148,332\.00 \- 247,098\.13 USD Annual
 This reflects how companies in a similar industry and geographic region generally pay for similar jobs. This range helps the Company make pay decisions as one data point among many. Where a position falls within this range is also dependent on other factors including – but not limited to – the employee’s career path history, competencies, skills and performance, as well as the company’s annual salary budget, the customer’s program requirements, and the company’s internal equity. Thales may offer additional benefits and other compensation, depending on circumstances not related to an applicant’s status protected by local, state, or federal law.
 (For Internal candidate, if you need more information, please reach out to your HR Shared Service, 1st Point)
 Thales provides an extensive benefits program for all full\-time employees working 30 or more hours per week and their eligible dependents, including the following:
* Elective Health, Dental, Vision, FSA/HSA, Voluntary Life and AD\&amp;D, Whole Group Life w/LTC, Critical Illness, Hospital Indemnity, Accident Insurance, Legal Plan, Identity Theft, and Pet Insurance
* Retirement Savings Plan after 30 days of employment with a company contribution and a match, and with no vesting period
* Company paid holidays and Paid Time Off
* Company provided Life Insurance, AD\&amp;D, Disability, Employee Assistance Plan, and Well\-being Program</t>
        </is>
      </c>
    </row>
    <row r="43">
      <c r="A43" t="inlineStr">
        <is>
          <t>li-4366204242</t>
        </is>
      </c>
      <c r="B43" t="inlineStr">
        <is>
          <t>Product Manager</t>
        </is>
      </c>
      <c r="C43" t="inlineStr">
        <is>
          <t>IAT Insurance Group</t>
        </is>
      </c>
      <c r="D43" t="inlineStr">
        <is>
          <t>linkedin</t>
        </is>
      </c>
      <c r="E43" t="inlineStr"/>
      <c r="F43" t="inlineStr"/>
      <c r="G43" t="inlineStr">
        <is>
          <t>Scottsdale, AZ</t>
        </is>
      </c>
      <c r="H43" t="inlineStr"/>
      <c r="I43" t="inlineStr">
        <is>
          <t>IAT Insurance Group is seeking a Senior Product Manager to support our Management Liability portfolio, including Directors \&amp; Officers, Employment Practices Liability, Fiduciary, and Crime. This role is responsible for ensuring product competitiveness and compliance by leading the development, enhancement, and maintenance of coverage forms and endorsements, underwriting guidelines, strategies, rates, and rating rules. The Product Manager will also participate in the rate review process and provide product support to maintain the profitability and growth of assigned lines of business.
 As a subject\-matter expert, you will collaborate closely with Line of Business leadership, Underwriting, Legal, Compliance, Actuarial, Claims, and IT. You will play a key role in shaping product strategy, driving profitability, and ensuring that our offerings stay current and responsive to market and regulatory changes.
 This role follows a hybrid schedule (in\-office Monday–Wednesday; remote Thursday–Friday). Preferred IAT locations include Cheshire, CT; Alpharetta, GA; Raleigh, NC; Scottsdale, AZ; Newark, NJ; Naperville, IL; and Rolling Meadows, IL. Occasional travel is required.
**Responsibilities**
* Partner with business leaders to maintain and enhance the Management Liability product suite, including form and endorsement updates and new product development.
* Maintain and improve the Management Liability forms library, underwriting guidelines, and rating manuals.
* Collaborate with Legal to review form and endorsement revisions; communicate changes and rationale to business units.
* Maintain, refine, and support rate structures and pricing methodology.
* Analyze key drivers of product performance and work with business units to develop strategies aligned with profitability goals.
* Collaborate with Claims to understand emerging issues, trends, and loss drivers.
* Collaborate with Actuarial to assess base rate needs and lead decision\-making related to rate management.
* Partner with Compliance to ensure all rates, rules, and forms are up to date and filed with the state insurance departments, where required.
* Partner with IT and Regulatory to effectively implement product changes.
* Work with IT to maintain a Rate/Quote/Issue system.
* Develop and deliver training to underwriters, underwriter trainees, and other, as needed.
* If applicable, evaluate Insurance Services Office, Inc. (“ISO”) changes, assess business impact, and communicate implications to relevant stakeholders.
* Collaborate with appropriate business leaders to develop strategy in response to ISO updates, state law changes and case law affecting coverage, rates or rules.
* Monitor industry dynamics and trends using resources such as A.M. Best and Conning.
* Perform other duties as assigned or needed.
**Qualifications**
**Required:**
* Bachelor’s degree.
* At least eight years of management liability product management or similar experience or twelve years of overall management liability experience (claims handling, underwriting, product management and insurance forms drafting as an attorney).
* Three to five years of Management Liability product development experience.
* Strong knowledge of insurance policy contract structures, coverage and exposure analysis, and regulatory considerations.
* Solid understanding of actuarial concepts and pricing methodologies.
* Strong analytical and form\-drafting skills.
* Excellent written, verbal, and presentation communication skills.
* Demonstrated ability to collaborate across teams and influence without direct authority .
* Strong problem\-solving, judgment, and recommendation skills.
* Understanding of management information systems and performance metrics.
* Effective project management skills.
* Must be authorized to work in the United States and must not require, now or in the future, VISA sponsorship for employment purposes.
**Preferred**
* Management liability product experience and underwriting or claims experience.
* Experience developing and drafting business requirements.
* Professional designation such as CPCU, ARM, or AU.
**Equal Opportunity Employment**
* All qualified applicants will receive consideration for employment without regard to race, color, religion, sex, sexual orientation, gender identity, national origin, disability, or status as a protected veteran. We maintain a drug\-free workplace and participate in E\-Verify.
**Compensation**
 Please note that the annual gross salary range associated with this posting is $72,560 to $157,950\. This range represents the anticipated low and high end of the base salary for this position. Actual salaries will vary based on factors such as a candidate's qualifications, skills, competencies, and geographical location related to this specific role. The total compensation will include a base salary, performance\-based bonus opportunities, 401(K) match, profit\-sharing opportunities, and more.
**To View Details Of Our Full Benefits, Please Visit**
 https://www.iatinsurancegroup.com/careers/benefits
 IAT Insurance Group is the largest private, family\-owned property and casualty insurer in the U.S.
 **I
 *nsurance* 
 A
 *nswers* 
 T
 *ogether®***
 is how we define IAT, in letter and in spirit. We work together to provide solutions for people and businesses. We collaborate internally and with our partners to provide the best possible insurance and surety options for our customers.
 At IAT, we’re committed to driving and building an open and supportive culture for all. Our employees propel IAT forward – driving innovation, stable partnerships and growth. That’s why we continue to build an engaging workplace culture to attract and retain the best talent.
**We Offer Comprehensive Benefits Like**
* 26 PTO Days (Entry Level) \+ 12 Company Holidays \= 38 Paid Days Off
* 7% 401(k) Company Match and additional Profit Sharing
* Hybrid work environment
* Numerous training and development opportunities to assist you in furthering your career
* Healthcare and Wellness Programs
* Opportunity to earn performance\-based bonuses
* College Loan Assistance Support Plan
* Educational Assistance Program
* Mentorship Program
* Dress for Your Day Policy
 All qualified applicants will receive consideration for employment without regard to race, color, religion, sex, sexual orientation, gender identity, national origin, disability, or status as a protected veteran. We maintain a drug\-free workplace and participate in E\-Verify.</t>
        </is>
      </c>
    </row>
    <row r="44">
      <c r="A44" t="inlineStr">
        <is>
          <t>li-4241179361</t>
        </is>
      </c>
      <c r="B44" t="inlineStr">
        <is>
          <t>Product Owner (Hybrid) - 23421</t>
        </is>
      </c>
      <c r="C44" t="inlineStr">
        <is>
          <t>Mission Technologies, a division of HII</t>
        </is>
      </c>
      <c r="D44" t="inlineStr">
        <is>
          <t>linkedin</t>
        </is>
      </c>
      <c r="E44" t="inlineStr"/>
      <c r="F44" t="inlineStr"/>
      <c r="G44" t="inlineStr">
        <is>
          <t>Fort Meade, MD</t>
        </is>
      </c>
      <c r="H44" t="inlineStr"/>
      <c r="I44"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$124,303\.00 \- $190,000\.00\.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Air Force. Will help provide some project management and DevSecOps support from which organic growth is desired. Will also assist in training and adoption of various analytics and applications developed for cyber operations on the government owned Big Data Platform (BDP). Work is performed in a hybrid environment with some onsite work 1\-2 days a week on customer site as well as travel up to 25% to support customers CONUS and OCONUS as necessary.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Air Force operational BDP capabilities and work to operationalize capabilities into the customers daily operations. Provide excellent technical support to users of the Air Force BDP and its applications.
* Serve as the lead for gathering software requirements from Air Force customers and convey them to developers by establishing development roadmaps. Answer user questions and troubleshoot issues related to the platform.
* Responsible for understanding our technology / capabilities and championing accordingly.
* Provide company leadership updates on the project status, key customer engagements and overall assessment of the government's direction and adoption of capabilities.
* Work with the Enlighten’s Customer Experience Group (CEG) to develop and implement development plans, operational roadmaps, and action plans for identified communities of interest.
* Expand future opportunities by working with existing customers. Help the Air Force project lead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TS/SCI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Must have Intel and DCO experience; Preference for DCO (SOC experience, knows what SQL injection is, hunt background, etc.)
* Understands budget practices and acquisitions shop with the organizations or has relationships with people who do.
* Strength working with customers to understand products and help with more adoption/buy\-in.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and OCONUS.
* Ability to work on customer site 1\-2 days a week in Fort Meade, MD. Flexibility is essential to adapt to schedule changes as needed.
**Preferred Requirements**
* DoD 8140 / 8570 compliance certifications may be required in this position as directed by the customer.
* Experience with Software Engineering, Cloud Technologies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45">
      <c r="A45" t="inlineStr">
        <is>
          <t>li-4353253728</t>
        </is>
      </c>
      <c r="B45" t="inlineStr">
        <is>
          <t>Associate, Product Manager - Credit Technology - PIMCO</t>
        </is>
      </c>
      <c r="C45" t="inlineStr">
        <is>
          <t>Jobs via eFinancialCareers</t>
        </is>
      </c>
      <c r="D45" t="inlineStr">
        <is>
          <t>linkedin</t>
        </is>
      </c>
      <c r="E45" t="inlineStr"/>
      <c r="F45" t="inlineStr"/>
      <c r="G45" t="inlineStr">
        <is>
          <t>Newport Beach, CA</t>
        </is>
      </c>
      <c r="H45" t="inlineStr"/>
      <c r="I45"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**About the Role**
 We are seeking a motivated and detail\-oriented early\-career Product Manager to join our Credit Technology team. This role offers a unique opportunity to contribute to the development and enhancement of platforms that support all aspects of PIMCO's credit business\-including research, analytics, and trading.
 You will work closely with engineers, credit analysts, the credit analytics team, and the trading desk to build tools that improve the efficiency of workflows, enhance data accessibility, and support decision\-making across the credit lifecycle.
**Key Responsibilities**
* Cross\-Functional Collaboration: Partner with engineers, credit analysts, analytics teams, and traders to understand business needs and translate them into technical solutions for the engineering teams.
* Business Requirements Gathering: Engage with stakeholders to collect, document, and refine business requirements and specifications for development initiatives.
* Stakeholder Management: Build strong relationships with business users and ensure ongoing alignment between technology deliverables and strategic objectives.
* Testing \&amp; Validation: Support testing of complex business logic and application features to ensure accuracy and reliability.
* Issue Resolution: Help troubleshoot and resolve technical and functional issues as they arise.
* Documentation: Contribute to user guides, API documentation, and internal knowledge bases to support cross\-functional understanding.
* Dashboards \&amp; Reports: Assist in creating dashboards and reports to monitor application usage, performance, and data quality.
* Development Tasks: Participate in coding tasks using Python or UI technologies, with mentorship from senior developers.
* System Design Participation: Learn and contribute to system architecture discussions and design sessions.
**Qualifications**
* Education: Bachelor's degree in Computer Science, Mathematics, Engineering, Economics, Financial Engineering, Finance, or a related technical/scientific field.
* 1\-4 years of professional experience
* Interest in Finance: Demonstrated interest in financial markets, especially fixed income and credit.
* Technical Skills:
+ Familiarity with SQL and relational databases.
+ Exposure to Python or other object\-oriented programming languages.
+ Experience with Power BI or similar data visualization tools is a plus.
* Communication \&amp; Collaboration: Strong interpersonal skills and a willingness to engage with business users to understand requirements.
* Curiosity \&amp; Growth Mindset: Eagerness to learn new technologies, including AI and apply them to real\-world problems.
**Preferred Experience**
* Internship or academic project experience in financial services, technology, or data analytics.
* Understanding of asset management workflows, including portfolio management, trading, and investment research.
**Benefits**
 PIMCO is committed to offering a comprehensive portfolio of employee benefits designed to support the health and wellbeing of you and your family. Benefits vary by location but may include:
* Medical, dental, and vision coverage
* Life insurance and travel coverage
* 401(k) (defined contribution) retirement savings, retirement plan, pension contribution from your first day of employment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$ 94,000\.00 \- $ 102,000\.00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46">
      <c r="A46" t="inlineStr">
        <is>
          <t>li-4366195343</t>
        </is>
      </c>
      <c r="B46" t="inlineStr">
        <is>
          <t>Product Manager</t>
        </is>
      </c>
      <c r="C46" t="inlineStr">
        <is>
          <t>IAT Insurance Group</t>
        </is>
      </c>
      <c r="D46" t="inlineStr">
        <is>
          <t>linkedin</t>
        </is>
      </c>
      <c r="E46" t="inlineStr"/>
      <c r="F46" t="inlineStr"/>
      <c r="G46" t="inlineStr">
        <is>
          <t>Raleigh, NC</t>
        </is>
      </c>
      <c r="H46" t="inlineStr"/>
      <c r="I46" t="inlineStr">
        <is>
          <t>IAT Insurance Group is seeking a Senior Product Manager to support our Management Liability portfolio, including Directors \&amp; Officers, Employment Practices Liability, Fiduciary, and Crime. This role is responsible for ensuring product competitiveness and compliance by leading the development, enhancement, and maintenance of coverage forms and endorsements, underwriting guidelines, strategies, rates, and rating rules. The Product Manager will also participate in the rate review process and provide product support to maintain the profitability and growth of assigned lines of business.
 As a subject\-matter expert, you will collaborate closely with Line of Business leadership, Underwriting, Legal, Compliance, Actuarial, Claims, and IT. You will play a key role in shaping product strategy, driving profitability, and ensuring that our offerings stay current and responsive to market and regulatory changes.
 This role follows a hybrid schedule (in\-office Monday–Wednesday; remote Thursday–Friday). Preferred IAT locations include Cheshire, CT; Alpharetta, GA; Raleigh, NC; Scottsdale, AZ; Newark, NJ; Naperville, IL; and Rolling Meadows, IL. Occasional travel is required.
**Responsibilities**
* Partner with business leaders to maintain and enhance the Management Liability product suite, including form and endorsement updates and new product development.
* Maintain and improve the Management Liability forms library, underwriting guidelines, and rating manuals.
* Collaborate with Legal to review form and endorsement revisions; communicate changes and rationale to business units.
* Maintain, refine, and support rate structures and pricing methodology.
* Analyze key drivers of product performance and work with business units to develop strategies aligned with profitability goals.
* Collaborate with Claims to understand emerging issues, trends, and loss drivers.
* Collaborate with Actuarial to assess base rate needs and lead decision\-making related to rate management.
* Partner with Compliance to ensure all rates, rules, and forms are up to date and filed with the state insurance departments, where required.
* Partner with IT and Regulatory to effectively implement product changes.
* Work with IT to maintain a Rate/Quote/Issue system.
* Develop and deliver training to underwriters, underwriter trainees, and other, as needed.
* If applicable, evaluate Insurance Services Office, Inc. (“ISO”) changes, assess business impact, and communicate implications to relevant stakeholders.
* Collaborate with appropriate business leaders to develop strategy in response to ISO updates, state law changes and case law affecting coverage, rates or rules.
* Monitor industry dynamics and trends using resources such as A.M. Best and Conning.
* Perform other duties as assigned or needed.
**Qualifications**
**Required:**
* Bachelor’s degree.
* At least eight years of management liability product management or similar experience or twelve years of overall management liability experience (claims handling, underwriting, product management and insurance forms drafting as an attorney).
* Three to five years of Management Liability product development experience.
* Strong knowledge of insurance policy contract structures, coverage and exposure analysis, and regulatory considerations.
* Solid understanding of actuarial concepts and pricing methodologies.
* Strong analytical and form\-drafting skills.
* Excellent written, verbal, and presentation communication skills.
* Demonstrated ability to collaborate across teams and influence without direct authority .
* Strong problem\-solving, judgment, and recommendation skills.
* Understanding of management information systems and performance metrics.
* Effective project management skills.
* Must be authorized to work in the United States and must not require, now or in the future, VISA sponsorship for employment purposes.
**Preferred**
* Management liability product experience and underwriting or claims experience.
* Experience developing and drafting business requirements.
* Professional designation such as CPCU, ARM, or AU.
**Equal Opportunity Employment**
* All qualified applicants will receive consideration for employment without regard to race, color, religion, sex, sexual orientation, gender identity, national origin, disability, or status as a protected veteran. We maintain a drug\-free workplace and participate in E\-Verify.
**Compensation**
 Please note that the annual gross salary range associated with this posting is $72,560 to $157,950\. This range represents the anticipated low and high end of the base salary for this position. Actual salaries will vary based on factors such as a candidate's qualifications, skills, competencies, and geographical location related to this specific role. The total compensation will include a base salary, performance\-based bonus opportunities, 401(K) match, profit\-sharing opportunities, and more.
**To View Details Of Our Full Benefits, Please Visit**
 https://www.iatinsurancegroup.com/careers/benefits
 IAT Insurance Group is the largest private, family\-owned property and casualty insurer in the U.S.
 **I
 *nsurance* 
 A
 *nswers* 
 T
 *ogether®***
 is how we define IAT, in letter and in spirit. We work together to provide solutions for people and businesses. We collaborate internally and with our partners to provide the best possible insurance and surety options for our customers.
 At IAT, we’re committed to driving and building an open and supportive culture for all. Our employees propel IAT forward – driving innovation, stable partnerships and growth. That’s why we continue to build an engaging workplace culture to attract and retain the best talent.
**We Offer Comprehensive Benefits Like**
* 26 PTO Days (Entry Level) \+ 12 Company Holidays \= 38 Paid Days Off
* 7% 401(k) Company Match and additional Profit Sharing
* Hybrid work environment
* Numerous training and development opportunities to assist you in furthering your career
* Healthcare and Wellness Programs
* Opportunity to earn performance\-based bonuses
* College Loan Assistance Support Plan
* Educational Assistance Program
* Mentorship Program
* Dress for Your Day Policy
 All qualified applicants will receive consideration for employment without regard to race, color, religion, sex, sexual orientation, gender identity, national origin, disability, or status as a protected veteran. We maintain a drug\-free workplace and participate in E\-Verify.</t>
        </is>
      </c>
    </row>
    <row r="47">
      <c r="A47" t="inlineStr">
        <is>
          <t>li-4351955073</t>
        </is>
      </c>
      <c r="B47" t="inlineStr">
        <is>
          <t>Product Manager - Selby Jennings</t>
        </is>
      </c>
      <c r="C47" t="inlineStr">
        <is>
          <t>Jobs via eFinancialCareers</t>
        </is>
      </c>
      <c r="D47" t="inlineStr">
        <is>
          <t>linkedin</t>
        </is>
      </c>
      <c r="E47" t="inlineStr"/>
      <c r="F47" t="inlineStr"/>
      <c r="G47" t="inlineStr">
        <is>
          <t>New York, NY</t>
        </is>
      </c>
      <c r="H47" t="inlineStr"/>
      <c r="I47" t="inlineStr">
        <is>
          <t>Our client is looking for an experienced
 **Product Manager** 
 to join their Technology team. This is an exciting opportunity to lead the design and delivery of cutting\-edge trading, financial analysis, and AI\-driven products. You'll work closely with investment teams and technology specialists to create solutions that drive business growth and efficiency. This is a chance to work on high\-impact projects in a dynamic environment where your ideas truly matter.
 Key Responsibilities:
* Collaborate with investment professionals, developers, and designers to define and launch impactful products.
* Conduct discovery sessions to understand user needs and translate them into actionable product requirements.
* Identify opportunities to integrate AI capabilities and deliver innovative solutions.
* Manage stakeholder relationships and oversee successful product launches and adoption.
* Build a deep understanding of the business, technology stack, and AI initiatives.
 Qualifications:
* Bachelor's degree or higher with 3\-6 years of relevant experience.
* Background in product management within finance; experience with AI tools is a strong plus.
* Exceptional communication skills and ability to bridge technical and non\-technical requirements.
* Strong judgment, discretion, and a customer\-first mindset.
* Proven ability to manage complex projects, solve open\-ended problems, and think strategically.</t>
        </is>
      </c>
    </row>
    <row r="48">
      <c r="A48" t="inlineStr">
        <is>
          <t>li-4366210131</t>
        </is>
      </c>
      <c r="B48" t="inlineStr">
        <is>
          <t>Product Manager</t>
        </is>
      </c>
      <c r="C48" t="inlineStr">
        <is>
          <t>IAT Insurance Group</t>
        </is>
      </c>
      <c r="D48" t="inlineStr">
        <is>
          <t>linkedin</t>
        </is>
      </c>
      <c r="E48" t="inlineStr"/>
      <c r="F48" t="inlineStr"/>
      <c r="G48" t="inlineStr">
        <is>
          <t>Alpharetta, GA</t>
        </is>
      </c>
      <c r="H48" t="inlineStr"/>
      <c r="I48" t="inlineStr">
        <is>
          <t>IAT Insurance Group is seeking a Senior Product Manager to support our Management Liability portfolio, including Directors \&amp; Officers, Employment Practices Liability, Fiduciary, and Crime. This role is responsible for ensuring product competitiveness and compliance by leading the development, enhancement, and maintenance of coverage forms and endorsements, underwriting guidelines, strategies, rates, and rating rules. The Product Manager will also participate in the rate review process and provide product support to maintain the profitability and growth of assigned lines of business.
 As a subject\-matter expert, you will collaborate closely with Line of Business leadership, Underwriting, Legal, Compliance, Actuarial, Claims, and IT. You will play a key role in shaping product strategy, driving profitability, and ensuring that our offerings stay current and responsive to market and regulatory changes.
 This role follows a hybrid schedule (in\-office Monday–Wednesday; remote Thursday–Friday). Preferred IAT locations include Cheshire, CT; Alpharetta, GA; Raleigh, NC; Scottsdale, AZ; Newark, NJ; Naperville, IL; and Rolling Meadows, IL. Occasional travel is required.
**Responsibilities**
* Partner with business leaders to maintain and enhance the Management Liability product suite, including form and endorsement updates and new product development.
* Maintain and improve the Management Liability forms library, underwriting guidelines, and rating manuals.
* Collaborate with Legal to review form and endorsement revisions; communicate changes and rationale to business units.
* Maintain, refine, and support rate structures and pricing methodology.
* Analyze key drivers of product performance and work with business units to develop strategies aligned with profitability goals.
* Collaborate with Claims to understand emerging issues, trends, and loss drivers.
* Collaborate with Actuarial to assess base rate needs and lead decision\-making related to rate management.
* Partner with Compliance to ensure all rates, rules, and forms are up to date and filed with the state insurance departments, where required.
* Partner with IT and Regulatory to effectively implement product changes.
* Work with IT to maintain a Rate/Quote/Issue system.
* Develop and deliver training to underwriters, underwriter trainees, and other, as needed.
* If applicable, evaluate Insurance Services Office, Inc. (“ISO”) changes, assess business impact, and communicate implications to relevant stakeholders.
* Collaborate with appropriate business leaders to develop strategy in response to ISO updates, state law changes and case law affecting coverage, rates or rules.
* Monitor industry dynamics and trends using resources such as A.M. Best and Conning.
* Perform other duties as assigned or needed.
**Qualifications**
**Required:**
* Bachelor’s degree.
* At least eight years of management liability product management or similar experience or twelve years of overall management liability experience (claims handling, underwriting, product management and insurance forms drafting as an attorney).
* Three to five years of Management Liability product development experience.
* Strong knowledge of insurance policy contract structures, coverage and exposure analysis, and regulatory considerations.
* Solid understanding of actuarial concepts and pricing methodologies.
* Strong analytical and form\-drafting skills.
* Excellent written, verbal, and presentation communication skills.
* Demonstrated ability to collaborate across teams and influence without direct authority .
* Strong problem\-solving, judgment, and recommendation skills.
* Understanding of management information systems and performance metrics.
* Effective project management skills.
* Must be authorized to work in the United States and must not require, now or in the future, VISA sponsorship for employment purposes.
**Preferred**
* Management liability product experience and underwriting or claims experience.
* Experience developing and drafting business requirements.
* Professional designation such as CPCU, ARM, or AU.
**Equal Opportunity Employment**
* All qualified applicants will receive consideration for employment without regard to race, color, religion, sex, sexual orientation, gender identity, national origin, disability, or status as a protected veteran. We maintain a drug\-free workplace and participate in E\-Verify.
**Compensation**
 Please note that the annual gross salary range associated with this posting is $72,560 to $157,950\. This range represents the anticipated low and high end of the base salary for this position. Actual salaries will vary based on factors such as a candidate's qualifications, skills, competencies, and geographical location related to this specific role. The total compensation will include a base salary, performance\-based bonus opportunities, 401(K) match, profit\-sharing opportunities, and more.
**To View Details Of Our Full Benefits, Please Visit**
 https://www.iatinsurancegroup.com/careers/benefits
 IAT Insurance Group is the largest private, family\-owned property and casualty insurer in the U.S.
 **I
 *nsurance* 
 A
 *nswers* 
 T
 *ogether®***
 is how we define IAT, in letter and in spirit. We work together to provide solutions for people and businesses. We collaborate internally and with our partners to provide the best possible insurance and surety options for our customers.
 At IAT, we’re committed to driving and building an open and supportive culture for all. Our employees propel IAT forward – driving innovation, stable partnerships and growth. That’s why we continue to build an engaging workplace culture to attract and retain the best talent.
**We Offer Comprehensive Benefits Like**
* 26 PTO Days (Entry Level) \+ 12 Company Holidays \= 38 Paid Days Off
* 7% 401(k) Company Match and additional Profit Sharing
* Hybrid work environment
* Numerous training and development opportunities to assist you in furthering your career
* Healthcare and Wellness Programs
* Opportunity to earn performance\-based bonuses
* College Loan Assistance Support Plan
* Educational Assistance Program
* Mentorship Program
* Dress for Your Day Policy
 All qualified applicants will receive consideration for employment without regard to race, color, religion, sex, sexual orientation, gender identity, national origin, disability, or status as a protected veteran. We maintain a drug\-free workplace and participate in E\-Verify.</t>
        </is>
      </c>
    </row>
    <row r="49">
      <c r="A49" t="inlineStr">
        <is>
          <t>li-4352307554</t>
        </is>
      </c>
      <c r="B49" t="inlineStr">
        <is>
          <t>Technical Product Manager - Cloud Products &amp; Patterns</t>
        </is>
      </c>
      <c r="C49" t="inlineStr">
        <is>
          <t>Jobs via eFinancialCareers</t>
        </is>
      </c>
      <c r="D49" t="inlineStr">
        <is>
          <t>linkedin</t>
        </is>
      </c>
      <c r="E49" t="inlineStr"/>
      <c r="F49" t="inlineStr"/>
      <c r="G49" t="inlineStr">
        <is>
          <t>Charlotte, NC</t>
        </is>
      </c>
      <c r="H49" t="inlineStr"/>
      <c r="I49"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the
 **Technical Product Manager** 
 you will join our Cloud Products \&amp; Patterns team here at LSEG. You will play a pivotal role in defining, owning, and evolving a suite of Azure\-based infrastructure patterns delivered as Infrastructure\-as\-Code (IaC) using Terraform, to help accelerate application migrations to Azure. These patterns are tailored to meet our business and user requirements, enabling scalable, secure, and efficient cloud adoption across the enterprise.
 You will lead the product lifecycle\-from discovery to delivery\-of Azure Cloud Products and Infrastructure Patterns for use within LSEG, ensuring alignment with business needs and seamless integration into CI/CD pipelines to support application migrations to Azure.
**WHAT YOU'LL BE DOING:**
* Product Ownership \&amp; Strategy
+ Define and maintain the product roadmap for Azure Cloud Products \&amp; Infrastructure Patterns.
+ Lead feature discovery and define functional and non\-functional requirements.
+ Drive adoption of patterns through the Cloud Product Framework (CPF), a business framework for delivering infrastructure patterns through collecting user requirements
* Delivery \&amp; Implementation
+ Oversee the design, implementation, and lifecycle of reusable infrastructure patterns.
+ Ensure patterns are production\-ready, secure, and aligned with LSEG enterprise standards.
+ Support LSEG application teams in migrating workloads to Azure using these patterns.
* Governance \&amp; Standards
+ Contribute to the definition of policies, controls, and standards for infrastructure patterns and to enable cloud product consumption.
+ Ensure pattern compliance with internal governance and security requirements.
* Technical Leadership
+ Provide hands\-on expertise in Azure services, Terraform, and CI/CD practices.
+ Resolve engineering, coding, security, and architectural challenges.
+ Lead PoCs, evaluate tools, and provide recommendations.
* Enablement \&amp; Community
+ Create and maintain a library of reusable infrastructure patterns, templates and modules.
+ Deliver training, documentation, and mentoring to development teams.
+ Promote adoption, self\-service and reusability across the organization.
**What You'll Deliver**
* A well\-defined and maintained roadmap for Azure Cloud Products \&amp; Infrastructure Patterns.
* Standardized templates and scripts for IaC and CI/CD orchestration.
* A scalable service catalog of Azure cloud products and infrastructure patterns \- customised for use in LSEG.
* Educational materials and enablement sessions for internal teams.
* A consistent, compliant, and developer\-friendly pattern adoption experience.
**WHAT YOU'LL BRING:**
* Proven experience in product management or technical leadership roles in cloud infrastructure.
* Deep understanding of Azure architecture, services, and governance.
* Hands\-on experience with Terraform (or similar IaC tools) and CI/CD pipelines.
* Familiarity with Agile methodologies (Scrum, Kanban).
* Strong analytical and problem\-solving skills.
* Excellent communication and stakeholder management abilities.
**Preferred Qualifications**
* Azure Solutions Architect certification (or equivalent).
* Experience with multi\-cloud environments.
* Background in enterprise\-scale cloud migrations.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50">
      <c r="A50" t="inlineStr">
        <is>
          <t>li-4321478780</t>
        </is>
      </c>
      <c r="B50" t="inlineStr">
        <is>
          <t>Program Manager - Partner Enablement</t>
        </is>
      </c>
      <c r="C50" t="inlineStr">
        <is>
          <t>Vasion Print (Formerly PrinterLogic)</t>
        </is>
      </c>
      <c r="D50" t="inlineStr">
        <is>
          <t>linkedin</t>
        </is>
      </c>
      <c r="E50" t="inlineStr"/>
      <c r="F50" t="inlineStr"/>
      <c r="G50" t="inlineStr">
        <is>
          <t>St George, UT</t>
        </is>
      </c>
      <c r="H50" t="inlineStr"/>
      <c r="I50" t="inlineStr">
        <is>
          <t>Vasion is seeking a Program Manager \- Partner Enablement who embodies our core values and is eager to join our dynamic team. We are dedicated to enabling digital transformation for everyone by providing an affordable, integrated SaaS solution that simplifies business operations. Vasion offers a flexible working environment for our 400\+ employees around the globe, including at our headquarters in St. George, Utah, and offices in the UK, Germany, and Lehi, Utah.
 Role Overview
 The Program Manager \- Partner Enablement will help Vasion grow our Channel Partnerships and Enablement efforts. Our ideal candidate will have experience in Sales Enablement, Partner Enablement and Program Management. The Sales Enablement Team works on major strategic initiatives across multiple lines of business. You will work directly with Channel Partners, Ecosystem Partners and Alliances, Partner Marketing, Product, Product Marketing and Revenue Operations leadership. You will lead, plan, prioritize and deliver world\-class scaled partner enablement initiatives for Vasion's world\-wide Channel Partnerships efforts, as well as other supporting enablement global programs.
 The Program Manager, Partner Enablement will report into the Senior Manager, Sales Enablement and is responsible for program management to ensure programs are successfully deployed, adopted and capabilities are delivered. To be successful, you will drive executive alignment on systems/process integration, communications, and measurement. You will develop plans and program timelines, own the completion and prioritization of milestones, communications plans, and manage risk mitigation efforts to ensure success.
 Success in this role contributes to increased partner\-sourced ARR, increased self\-sufficiency within partners to manage customer lifecycle, reduction in adhoc requests by partners, and improved partner experience to train, certify and credential with Vasion.
**Responsibilities**
* Ensuring the successful execution of major partner enablement programs by driving the creation, implementation, and iteration of comprehensive plans covering:
* Learning path design
* Facilitation
* Systems, Tools and Process Integration
* Measurement, Tracking, and Reporting
* Communications
* Act as cross line\-of\-business Program Manager to ensure the coordination, sequencing, and orchestration of complex plans for major external partner enablement initiatives. Specifically, liaise with Pre\-Sales, Tech Support, Product Marketing teams to deliver partner onboarding
* Own program management for various project workstreams, including creation and execution all partner facing enablement, and partner enablement relevant communications ranging from Individual Contributors to Executives, ensuring we consistently communicate the right information, at the right time, to the right people
* Serve as an influential and trusted advisor to senior leaders and managers to help them fulfill their role as sponsors and evangelists for major initiatives
* Operate effectively in ambiguity and support the broader Channel Partner, Ecosystem and Alliances, Product Marketing's product and solution launch team, and Sales Enablement team in doing the same by learning quickly, being proactive, and assuming ownership for broad tracks of work
* Use strategic, operations and problem\-solving skills to logically structure ambiguous problems, conduct analysis, extrapolate key insights and deliver recommendations to the business
**Requirements**
* 5\+ years experience driving global programs in fast\-paced, highly matrixed corporate environments
* Undergraduate degree: Bachelor of Science / Bachelor of Arts
**Preferred Qualifications**
* 3\+ years of Sales Enablement experience and 5\+ years of direct experience working in a partnership role, within a technology company
* Prior experience de
 signing... For full info follow application link.</t>
        </is>
      </c>
    </row>
    <row r="51">
      <c r="A51" t="inlineStr">
        <is>
          <t>li-4346620420</t>
        </is>
      </c>
      <c r="B51" t="inlineStr">
        <is>
          <t>AI Program Manager</t>
        </is>
      </c>
      <c r="C51" t="inlineStr">
        <is>
          <t>Kwik Trip, Inc.</t>
        </is>
      </c>
      <c r="D51" t="inlineStr">
        <is>
          <t>linkedin</t>
        </is>
      </c>
      <c r="E51" t="inlineStr"/>
      <c r="F51" t="inlineStr"/>
      <c r="G51" t="inlineStr">
        <is>
          <t>La Crosse, WI</t>
        </is>
      </c>
      <c r="H51" t="inlineStr"/>
      <c r="I51" t="inlineStr">
        <is>
          <t>**AI Program Manager** 
**Location:** 
 La Crosse, WI
**Employment Type:** 
 Full\-Time
**Schedule:** 
 Monday–Friday, daytime hours (occasional evenings/weekends as needed)
**Join Our Team** 
 Kwik Trip is seeking a
 **highly motivated, strategic, and collaborative AI Program Manager** 
 to lead and advance our organization’s AI initiatives. This role serves as a critical bridge between business strategy and technical execution, ensuring that AI programs deliver measurable value and long\-term impact.
**What You’ll Do** 
* Lead end\-to\-end management of AI programs from ideation through deployment.
* Partner with executive leadership to define AI roadmaps and prioritize initiatives.
* Coordinate cross\-functional teams including data scientists, engineers, and business stakeholders.
* Ensure compliance with AI ethics, data privacy, and regulatory standards.
* Define KPIs and monitor performance of AI initiatives.
* Stay current with emerging AI technologies and trends.
* Provide mentorship and guidance to team members.
**What We’re Looking For** 
* Bachelor’s or Master’s degree in Computer Science, Data Science, Business, or related field.
* 4–6 years of experience in program management, product strategy, or AI/ML leadership.
* PMP, Agile, or Scrum certifications are a plus.
* Strong understanding of AI/ML concepts and software development methodologies.
* Excellent communication, leadership, and strategic thinking skills.
* Ability to thrive in a fast\-paced, cross\-functional environment.
* Knowledge of data governance, ethics, and industry\-specific AI applications.</t>
        </is>
      </c>
    </row>
    <row r="52">
      <c r="A52" t="inlineStr">
        <is>
          <t>li-4366179929</t>
        </is>
      </c>
      <c r="B52" t="inlineStr">
        <is>
          <t>Senior Product Manager, Enterprise Model Platform (EMP) Training</t>
        </is>
      </c>
      <c r="C52" t="inlineStr">
        <is>
          <t>Capital One</t>
        </is>
      </c>
      <c r="D52" t="inlineStr">
        <is>
          <t>linkedin</t>
        </is>
      </c>
      <c r="E52" t="inlineStr"/>
      <c r="F52" t="inlineStr"/>
      <c r="G52" t="inlineStr">
        <is>
          <t>San Francisco, CA</t>
        </is>
      </c>
      <c r="H52" t="inlineStr"/>
      <c r="I5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Chicago, IL: $182,500 \- $208,300 for Sr. Mgr, Product Management
 McLean, VA: $200,700 \- $229,100 for Sr. Mgr, Product Management
 New York, NY: $219,000 \- $249,900 for Sr. Mgr, Product Management
 Richmond, VA: $182,500 \- $208,300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li-4355718314</t>
        </is>
      </c>
      <c r="B53" t="inlineStr">
        <is>
          <t>Innovation Program Manager</t>
        </is>
      </c>
      <c r="C53" t="inlineStr">
        <is>
          <t>Analog Devices</t>
        </is>
      </c>
      <c r="D53" t="inlineStr">
        <is>
          <t>linkedin</t>
        </is>
      </c>
      <c r="E53" t="inlineStr"/>
      <c r="F53" t="inlineStr"/>
      <c r="G53" t="inlineStr">
        <is>
          <t>Wilmington, MA</t>
        </is>
      </c>
      <c r="H53" t="inlineStr"/>
      <c r="I53"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Innovation Program Manager, VBU Technology Team
 Analog Devices, Inc. (ADI)
*“Ideas are easy. Execution is everything.”* 
 – John Doerr
 Position Overview
 The Director of Innovation Strategy and Implementation is a results\-driven leadership role that identifies innovative growth opportunities and ensures they are successfully executed. Partnering with senior leaders across VBU, EBU, and CSG, this person will lead cross\-functional teams and manage complex, multidisciplinary programs that advance ADI’s 3\.0 ambitions.
**Responsibilities**
* Drive high\-impact innovation programs as part of the VBU Technology Team and Technology Strategy Board, such as Quantum Computing, Nuclear Energy, and Edge AI Strategy.
* Work closely with the Technology Strategy Board to feed the innovation pipeline that unlocks new revenue streams beyond components and accelerates growth through disruption.
* Aggressively pursue external partnerships that accelerate time to market. These could be with customer partners, universities, or national labs.
* Align stakeholders across complex, multi\-BU structures by building consensus, fostering collaboration, and uniting diverse teams around shared goals.
* Serve as a connector across the enterprise, identifying adjacencies, scaling best practices, and driving enterprise\-wide leverage.
* Lead the adoption of enterprise\-AI software to radically change the way projects and portfolios are managed.
**Desired Skills**
* Be great to work with, curious and unafraid.
* Excellent communication skills with the ability to influence across all levels of the organization.
* Organized with experience effectively managing several projects concurrently.
* Ability to break down barriers to create an environment of collaboration and trust
* Strong Analytical skills. Ability to simplify complex information into clear and concise messaging.
* Passionate about technology. Keeps up to date on leading edge innovation and market trends and can translate those into opportunities for ADI.
* Deep knowledge of semiconductor industry and associated focused applications \&amp; markets. Understand the challenges associated with bringing new technology from concept phase to product.
**Required Qualifications**
* 10\+ years of experience in product development, program management, or technology strategy, including enterprise\-scale, cross\-functional leadership.
* M.S. in engineering or related technical field required; MBA preferred.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expected wage range for a new hire into this position is $148,500 to $222,750\.
*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54">
      <c r="A54" t="inlineStr">
        <is>
          <t>li-4366179927</t>
        </is>
      </c>
      <c r="B54" t="inlineStr">
        <is>
          <t>Program Manager II - Neurology Department</t>
        </is>
      </c>
      <c r="C54" t="inlineStr">
        <is>
          <t>Mount Sinai Health System</t>
        </is>
      </c>
      <c r="D54" t="inlineStr">
        <is>
          <t>linkedin</t>
        </is>
      </c>
      <c r="E54" t="inlineStr"/>
      <c r="F54" t="inlineStr"/>
      <c r="G54" t="inlineStr">
        <is>
          <t>New York, NY</t>
        </is>
      </c>
      <c r="H54" t="inlineStr"/>
      <c r="I54" t="inlineStr">
        <is>
          <t>The Program Manager II supports department or program leadership and manages the activities and functions of a large or complex program or multiple programs to ensure that goals and objectives specified for the program are accomplished in accordance with established priorities, time limitations, funding limitations or other specifications. The program provides a specific service or carries out specific activities as a separate entity or as a component program within a department, but it is not a department itself.
**Responsibilities** 
* Oversees and manages the activities of subordinates and consultants and provides leadership and direction for staff, if applicable, setting an effective agenda to ensure that performance goals are met.
* Develops and independently implements new or revised program goals, strategies and objectives to sustain and grow programs and services.
* Performs needs assessments and analyzes and studies participant, member and community needs for basis of program development.
* Develops and schedules a program work plan in accordance with specifications, objectives and funding limitations; oversees daily operations and coordinates program activities through assigned staff; prioritizes and delegates work activities.
* Prepares budget proposals and recommendations and establishes a budget control system for controlling expenditures; controls expenditures in accordance with budget allocations; recommends equipment and resources for program.
* Prepares proposals for corporate and foundation funding and/or funding continuation from outside sponsors/donors.
* Represents the Program to the public, key stakeholders and other interested parties.
* Confers with and advises staff and others to provide technical advice, problem solving assistance, answers to questions and program goals and policy interpretations; refers to appropriate department or person when unable to respond.
* Prepares periodic reports, financial statements and records on program activities, progress, status or other special reports for management or outside agencies/funders.
* Evaluates program effectiveness to develop and implement improved methods; devises evaluation methodology and implements; analyzes results and takes proper action based on outcome.
* Reviews applications or other program documents to determine acceptance or make decisions pertaining to program.
* May recruit program participants, members and volunteers utilizing the most appropriate promotional or marketing methods such as individual letters, brochures or presentations at meetings.
* Develops and writes communications and promotional literature for distribution such as newsletters, brochures or flyers; coordinates process from development through printing and distribution.
* Develops and facilitates workshops, meetings or conferences with high impact on program and/or participants; coordinates logistics, scheduling and participant communications.
* Interacts and maintains liaison with students, faculty, staff and outside/community agencies or committees in facilitating program objectives.
* Performs other related duties
**Qualifications** 
* Project Management or Process Improvement experience required
* Bachelor's degree or greater preferred, or combination of applicable experience and education
* 5\+ years of experience</t>
        </is>
      </c>
    </row>
    <row r="55">
      <c r="A55" t="inlineStr">
        <is>
          <t>li-4366179651</t>
        </is>
      </c>
      <c r="B55" t="inlineStr">
        <is>
          <t>Program Manager</t>
        </is>
      </c>
      <c r="C55" t="inlineStr">
        <is>
          <t>Swooped</t>
        </is>
      </c>
      <c r="D55" t="inlineStr">
        <is>
          <t>linkedin</t>
        </is>
      </c>
      <c r="E55" t="inlineStr"/>
      <c r="F55" t="inlineStr"/>
      <c r="G55" t="inlineStr"/>
      <c r="H55" t="inlineStr"/>
      <c r="I55" t="inlineStr">
        <is>
          <t>**About Our Client** 
 Our client powers manufacturing uptime through the delivery of an unparalleled condition monitoring experience, with a passion to care about the assets customers care for every day. The team includes world\-renowned engineers and distinguished business leaders united by a common goal – To build the future of predictive maintenance. As the organization enters the next phase of rapid growth, people are sought to help lead the journey.
**About The Role** 
 Our client is looking for a driven
 **Program Manager** 
 to serve as the strategy engine for a critical domain within the company. This isn’t a traditional Program Management position – in this role, the individual will ensure the collection of projects and programs are fit for purpose to meet the objectives and key results for the domain while driving specific projects and programs directly. The Program Manager will partner with functions across the company to deeply understand their needs and requirements while also providing relevant and actionable information on their portfolio of projects.
**Key Responsibilities** 
* **PMO Championing and Maturation** 
 : PMO thought partnership. Coaching and organizational change management.
* **Project Management** 
 :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 OKR alignment and scoping. Business case creation and vetting. Interdependency identification and management. Cost and return forecasting. Status reporting and communication.
* **Portfolio Management** 
 : Risk and opportunity identification. Demand triage. Prioritization and stack ranking. Resource capacity planning. Aggregate, multi\-stakeholder reporting.
* **Business Analysis** 
 : Assessment and improvement opportunity identification. Change impact assessment: Solution architecture.
* **Requirements Management** 
 : Scope decomposition. Requirements traceability matrix development and management. Test case development oversight.
**Required Qualifications** 
* **PMO experience** 
 : 5\-7 years of leadership experience in program management. Demonstrated success managing cross‑functional teams, collaborating with senior executive stakeholders, and delivering large‑scale innovation initiatives.
* **Cross‑functional delivery** 
 : Experience working across product, operations, finance and marketing functions to drive program success (on\-time, on\-budget, on\-scope).
* **Technical fluency** 
 : Strong understanding of supply\-chain processes and technologies, customer relationship management (CRM) processes and technologies.
* **Communication and stakeholder management** 
 : Excellent communication skills with the ability to introduce new project, program and portfolio management concepts and demonstrate their value.
* **PPM Tool Expert** 
 : Demonstrated ability to navigate and adapt PPM tools for a diverse community of stakeholder needs.
**Preferred Qualifications** 
* **PMI PMP Certification**
* **Education** 
 : Bachelor’s degree in business, supply chain, computer science, data science, artificial intelligence, engineering or a related quantitative field.
* **Continuous learner/growth mindset** 
 : Commitment to staying abreast of emerging capabilities and best practices; known for quickly moving from theoretical knowledge to real\-world application.
* **PMO Adjacent Domain Expertise** 
 : Demonstrated ability to identify and optimize process and technology integrations with peripheral concepts.
**What They Offer** 
 Our client is a remote\-first company that puts people at the center of everything it does. The company wants team members to thrive, offering a range of benefits and perks designed to support well\-being, growth, and work\-life balance.
* Competitive compensation package including stock options
* Flexible work schedule
* Comprehensive benefits including retirement plan match
* Opportunity to make a real impact every day
* Work with a dynamic and growing team
* Unlimited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56">
      <c r="A56" t="inlineStr">
        <is>
          <t>li-4366189205</t>
        </is>
      </c>
      <c r="B56" t="inlineStr">
        <is>
          <t>Program Manager (Center)</t>
        </is>
      </c>
      <c r="C56" t="inlineStr">
        <is>
          <t>FlightSafety International</t>
        </is>
      </c>
      <c r="D56" t="inlineStr">
        <is>
          <t>linkedin</t>
        </is>
      </c>
      <c r="E56" t="inlineStr"/>
      <c r="F56" t="inlineStr"/>
      <c r="G56" t="inlineStr"/>
      <c r="H56" t="inlineStr"/>
      <c r="I56"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57">
      <c r="A57" t="inlineStr">
        <is>
          <t>li-4366172533</t>
        </is>
      </c>
      <c r="B57" t="inlineStr">
        <is>
          <t>Sr. Technical Program Manager - Hardware</t>
        </is>
      </c>
      <c r="C57" t="inlineStr">
        <is>
          <t>Nova Sky Stories</t>
        </is>
      </c>
      <c r="D57" t="inlineStr">
        <is>
          <t>linkedin</t>
        </is>
      </c>
      <c r="E57" t="inlineStr"/>
      <c r="F57" t="inlineStr"/>
      <c r="G57" t="inlineStr">
        <is>
          <t>Burbank, CA</t>
        </is>
      </c>
      <c r="H57" t="inlineStr"/>
      <c r="I57" t="inlineStr">
        <is>
          <t>At
 ****Nova Sky Stories****
 , we empower artists and producers to bring awe and wonder to live audiences around the world. As the global leader in
 ****drone entertainment****
 , we’ve been redefining live shows for over a decade—merging cutting\-edge drone technology with imaginative artistry.
 With a veteran team of engineers and creatives, we design and operate lightweight, small, precise, and safe drones that perform in the most demanding environments—urban centers, extreme temperatures, and high winds. The result?
 ****Sky Stories****
 that inspire, captivate, and transform the sky into a canvas of imagination.
 Headquartered in the U.S. with teams across Europe and the UAE, Nova Sky Stories works with the world’s leading brands, venues, and events.
 📱 Follow us:
 ****@NovaSkyStories****
 As a
 ****Sr. Technical Program Manager****
 at Nova Sky Stories, you will be the foundational leader ensuring the successful delivery of complex programs that define our future. We are looking for someone who embodies the role of both a builder and a connector. Someone that is a professional who thrives on detail but never loses sight of the ultimate goal.
 A successful Sr. Technical Program Manager will possess the technical depth to discuss system architecture and measure project velocity, as well as the communication skills to translate these concepts into a clear, compelling creative vision for technical and non\-technical audiences alike. You will be the essential communication link that keeps our technical programs moving forward efficiently and strategically.
****As a Sr. Technical Program Manager, you will be responsible for:****
****Program Management \&amp; Delivery****
* Drive the end\-to\-end delivery of integrated programs spanning software, hardware, and production operations, from initial concept through successful deployment and post\-launch optimization.
* Develop, track, and rigorously manage comprehensive project plans, timelines, and dependencies across diverse, often global, and cross\-functional teams.
* Partner closely with leaders across the organization to align strategic goals, key milestones, and critical resource allocation.
* Structure and lead cross\-functional meetings and workshops that are efficient, result in clear decisions, and maintain accountability across all participants.
****Technical Leadership \&amp; Communication****
* Translate and communicate complex technical concepts into clear, actionable, and audience\-specific language for diverse groups, including engineers, creative producers, and executive leadership.
* Serve as the first line of defense, rigorously identifying, escalating, and resolving dependencies, risks, and technical challenges before they impact program delivery.
* Act as the connective tissue across the organization, ensuring smooth and transparent information flow, clear prioritization, and strategic visibility.
* Establish and track key program performance metrics (KPIs), delivering accurate and transparent health reports to leadership and stakeholders.
****Process Optimization \&amp; Enablement****
* Define and implement efficient, scalable project management frameworks (e.g., Agile, Waterfall, hybrid models) to improve delivery speed, quality, and predictability.
* Centralize and standardize best practices for communication, documentation, and technical decision\-making across all global teams.
* Drive continuous improvement in technical workflows and tools with the core mandate to make engineering and operations teams faster, not slower.
****Cross\-Functional Collaboration****
* Strong, collaborative partnerships with teams across engineering, creative, production, and business operations to ensure holistic alignment and shared ownership.
* Champion collaboration across different time zones and cultural backgrounds while consistently promoting Nova Sky Stories' core values of safety, creativity, and innovation.
**You’ll Need To Have**
* 7\+ years of direct experience managing complex technical programs or projects that involve cross\-functional teams.
* A proven track record of successfully driving alignment across diverse teams and consistently delivering major programs on time and within defined scope.
* Strong, foundational understanding of various technical development lifecycles (e.g., software development, hardware production, or systems integration).
* Exceptional communication and facilitation skills, including demonstrated experience crafting and delivering clear, impactful presentations to executive stakeholders.
* The ability to proactively anticipate challenges, rigorously mitigate risks, and adapt quickly and effectively to fast\-paced, changing organizational priorities.
**Nice To Have**
* Direct experience in media, live events, aerospace, robotics, or other technology\-driven creative industries.
* Background in managing complex software, hardware, or systems integration projects.
* Professional certifications such as PMP, Certified Scrum Master (CSM), or other relevant Agile certifications.
* Bachelor's and/or Master's degree in Engineering, Computer Science, or a related technical field, or equivalent practical experience.
**If you're ready to play a key role in supporting the operational backbone of a company redefining storytelling in the sky, we’d love to hear from you. Apply now to help keep Nova Sky Stories flying high.**
**If you're ready to play a key role in supporting the operational backbone of a company redefining storytelling in the sky, we’d love to hear from you. Apply now to help keep Nova Sky Stories flying high.**</t>
        </is>
      </c>
    </row>
    <row r="58">
      <c r="A58" t="inlineStr">
        <is>
          <t>li-4321539219</t>
        </is>
      </c>
      <c r="B58" t="inlineStr">
        <is>
          <t>Technical Program Manager III, Systems Engineering, Cloud Supply Chain</t>
        </is>
      </c>
      <c r="C58" t="inlineStr">
        <is>
          <t>Google</t>
        </is>
      </c>
      <c r="D58" t="inlineStr">
        <is>
          <t>linkedin</t>
        </is>
      </c>
      <c r="E58" t="inlineStr"/>
      <c r="F58" t="inlineStr"/>
      <c r="G58" t="inlineStr">
        <is>
          <t>Atlanta, GA</t>
        </is>
      </c>
      <c r="H58" t="inlineStr"/>
      <c r="I58" t="inlineStr">
        <is>
          <t>**Minimum qualifications:**
* Bachelor's degree in a technical field, or equivalent practical experience.
* 5 years of experience in program management.
* Experience in software or systems engineering from design through deployment.
**Preferred qualifications:**
* 5 years of experience managing cross\-functional or cross\-team projects.
* Experience in data analysis, supply chain, and datacenter automation.
* Experience in SQL.
* Excellent investigative thinking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initiatives to optimize the entire technical delivery life\-cycle, from design through deployment, to ensure faster throughput, improved resource utilization, and predictable outcomes.
* Advocate programs that incorporate automation, data analytics, and Machine Learning (ML) capabilities to simplify routine operations, reduce manual intervention, and increase overall system resilience.
* Oversee critical cross\-functional engagements, including those with third\-party vendors, ensuring aligned delivery, monitoring, and clear escalation paths for mission\-critical services.
* Develop clear, data\-driven reports on program status, risks, budget utilization, and impact against organizational scalability goals, presenting findings to leadership.
* Define and deliver new capability to improve overall fleet health and performance across critical metrics like availability, time to repair, and labor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9">
      <c r="A59" t="inlineStr">
        <is>
          <t>li-4366172532</t>
        </is>
      </c>
      <c r="B59" t="inlineStr">
        <is>
          <t>Sr. Technical Program Manager - Hardware</t>
        </is>
      </c>
      <c r="C59" t="inlineStr">
        <is>
          <t>Nova Sky Stories</t>
        </is>
      </c>
      <c r="D59" t="inlineStr">
        <is>
          <t>linkedin</t>
        </is>
      </c>
      <c r="E59" t="inlineStr"/>
      <c r="F59" t="inlineStr"/>
      <c r="G59" t="inlineStr">
        <is>
          <t>Boulder, CO</t>
        </is>
      </c>
      <c r="H59" t="inlineStr"/>
      <c r="I59" t="inlineStr">
        <is>
          <t>At
 ****Nova Sky Stories****
 , we empower artists and producers to bring awe and wonder to live audiences around the world. As the global leader in
 ****drone entertainment****
 , we’ve been redefining live shows for over a decade—merging cutting\-edge drone technology with imaginative artistry.
 With a veteran team of engineers and creatives, we design and operate lightweight, small, precise, and safe drones that perform in the most demanding environments—urban centers, extreme temperatures, and high winds. The result?
 ****Sky Stories****
 that inspire, captivate, and transform the sky into a canvas of imagination.
 Headquartered in the U.S. with teams across Europe and the UAE, Nova Sky Stories works with the world’s leading brands, venues, and events.
 📱 Follow us:
 ****@NovaSkyStories****
 As a
 ****Sr. Technical Program Manager****
 at Nova Sky Stories, you will be the foundational leader ensuring the successful delivery of complex programs that define our future. We are looking for someone who embodies the role of both a builder and a connector. Someone that is a professional who thrives on detail but never loses sight of the ultimate goal.
 A successful Sr. Technical Program Manager will possess the technical depth to discuss system architecture and measure project velocity, as well as the communication skills to translate these concepts into a clear, compelling creative vision for technical and non\-technical audiences alike. You will be the essential communication link that keeps our technical programs moving forward efficiently and strategically.
****As a Sr. Technical Program Manager, you will be responsible for:****
****Program Management \&amp; Delivery****
* Drive the end\-to\-end delivery of integrated programs spanning software, hardware, and production operations, from initial concept through successful deployment and post\-launch optimization.
* Develop, track, and rigorously manage comprehensive project plans, timelines, and dependencies across diverse, often global, and cross\-functional teams.
* Partner closely with leaders across the organization to align strategic goals, key milestones, and critical resource allocation.
* Structure and lead cross\-functional meetings and workshops that are efficient, result in clear decisions, and maintain accountability across all participants.
****Technical Leadership \&amp; Communication****
* Translate and communicate complex technical concepts into clear, actionable, and audience\-specific language for diverse groups, including engineers, creative producers, and executive leadership.
* Serve as the first line of defense, rigorously identifying, escalating, and resolving dependencies, risks, and technical challenges before they impact program delivery.
* Act as the connective tissue across the organization, ensuring smooth and transparent information flow, clear prioritization, and strategic visibility.
* Establish and track key program performance metrics (KPIs), delivering accurate and transparent health reports to leadership and stakeholders.
****Process Optimization \&amp; Enablement****
* Define and implement efficient, scalable project management frameworks (e.g., Agile, Waterfall, hybrid models) to improve delivery speed, quality, and predictability.
* Centralize and standardize best practices for communication, documentation, and technical decision\-making across all global teams.
* Drive continuous improvement in technical workflows and tools with the core mandate to make engineering and operations teams faster, not slower.
****Cross\-Functional Collaboration****
* Strong, collaborative partnerships with teams across engineering, creative, production, and business operations to ensure holistic alignment and shared ownership.
* Champion collaboration across different time zones and cultural backgrounds while consistently promoting Nova Sky Stories' core values of safety, creativity, and innovation.
**You’ll Need To Have**
* 7\+ years of direct experience managing complex technical programs or projects that involve cross\-functional teams.
* A proven track record of successfully driving alignment across diverse teams and consistently delivering major programs on time and within defined scope.
* Strong, foundational understanding of various technical development lifecycles (e.g., software development, hardware production, or systems integration).
* Exceptional communication and facilitation skills, including demonstrated experience crafting and delivering clear, impactful presentations to executive stakeholders.
* The ability to proactively anticipate challenges, rigorously mitigate risks, and adapt quickly and effectively to fast\-paced, changing organizational priorities.
**Nice To Have**
* Direct experience in media, live events, aerospace, robotics, or other technology\-driven creative industries.
* Background in managing complex software, hardware, or systems integration projects.
* Professional certifications such as PMP, Certified Scrum Master (CSM), or other relevant Agile certifications.
* Bachelor's and/or Master's degree in Engineering, Computer Science, or a related technical field, or equivalent practical experience.
**If you're ready to play a key role in supporting the operational backbone of a company redefining storytelling in the sky, we’d love to hear from you. Apply now to help keep Nova Sky Stories flying high.**
**If you're ready to play a key role in supporting the operational backbone of a company redefining storytelling in the sky, we’d love to hear from you. Apply now to help keep Nova Sky Stories flying high.**</t>
        </is>
      </c>
    </row>
    <row r="60">
      <c r="A60" t="inlineStr">
        <is>
          <t>li-4321507055</t>
        </is>
      </c>
      <c r="B60" t="inlineStr">
        <is>
          <t>Associate Program Manager, Sales</t>
        </is>
      </c>
      <c r="C60" t="inlineStr">
        <is>
          <t>Infor</t>
        </is>
      </c>
      <c r="D60" t="inlineStr">
        <is>
          <t>linkedin</t>
        </is>
      </c>
      <c r="E60" t="inlineStr"/>
      <c r="F60" t="inlineStr"/>
      <c r="G60" t="inlineStr">
        <is>
          <t>Atlanta, GA</t>
        </is>
      </c>
      <c r="H60" t="inlineStr"/>
      <c r="I60" t="inlineStr">
        <is>
          <t>We are seeking an energetic and strategic Associate Program Manager, Sales to support and manage our early career initiatives. This role is ideal for someone with a strong foundation in sales and a passion for developing early career talent. As the Associate Program Manager, Sales, you will lead the Atlanta Foundation Team, directly impacting Infor’s talent pipeline by developing early career sales professionals. You will coordinate internship and new graduate programs, serve as a mentor, and collaborate with cross\-functional teams to align early talent strategies with business goals.
 A Day in The Life Typically Includes:
 \* Manage day\-to\-day operations of internship and early career programs, including onboarding, training, and performance feedback
 \* Serve as a coach and advisor to early career hires, helping them navigate their transition into the workforce
 \* Partner with Sales, HR, and Enablement teams to align early talent development with sales readiness and business priorities
 \* Build and maintain relationships with universities, student organizations, and career centers to support recruiting efforts
 \* Support campus recruiting events, workshops, and branding initiatives
 \* Track and analyze program data to measure success and identify areas for improvement
 \* Promote diversity, equity, and inclusion across all early talent initiatives
 Basic Qualifications:
 \* Previous professional experience in sales
 \* Legal authorization to work permanently in the United States for any employer without requiring a visa transfer or visa sponsorship now or in the future
 Preferred Qualifications:
 \* Leadership experience
 \* Previous experience coordinating an internship or early career program
 \* Previous experience in software sales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\[1] www.infor.com
 References
 Visible links
 1\. https://www.infor.com/
 Our Values
 At Infor, we strive for an environment that is founded on a business philosophy called \[1]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\[2] FAQ section.
 Fraud Awareness
 We have been made aware of unauthorized individuals posing as Infor recruiters, including some who have made fraudulent offers of employment. Please read our \[3] guidelines and protect yourself from recruitment scams.
 Fraud Privacy Policy
 We value your privacy at Infor. You may access our privacy policy \[4] here.
 References
 Visible links
 1\. http://https//www.kochind.com/about/business\-philosophy
 2\. https://www.infor.com/about/careers/faq
 3\. https://dam.infor.com/api/public/content/b45f298e1ab44b84ac898d759b2c21f7?v\=3994f5e9
 4\. https://www.infor.com/about/privacy</t>
        </is>
      </c>
    </row>
    <row r="61">
      <c r="A61" t="inlineStr">
        <is>
          <t>li-4329636632</t>
        </is>
      </c>
      <c r="B61" t="inlineStr">
        <is>
          <t>Program Manager</t>
        </is>
      </c>
      <c r="C61" t="inlineStr">
        <is>
          <t>LHH</t>
        </is>
      </c>
      <c r="D61" t="inlineStr">
        <is>
          <t>linkedin</t>
        </is>
      </c>
      <c r="E61" t="inlineStr"/>
      <c r="F61" t="inlineStr"/>
      <c r="G61" t="inlineStr">
        <is>
          <t>Warsaw, IN</t>
        </is>
      </c>
      <c r="H61" t="inlineStr"/>
      <c r="I61" t="inlineStr">
        <is>
          <t>**\*RELOCATION PACKAGES ARE AVAILABLE FOR QUALIFIED CANDIDATES\*** 
 LHH is seeking a Program Manager for a Direct Hire, Permanent Placement position with a manufacturing client located near Warsaw, Indiana. In this newly created position, you will have the opportunity to manage brand new product launches as well as updates to existing products for the new model year. You will join a well\-established team and will interface with multiple departments on a daily basis as you manage products throughout their lifecycle. The compensation is commensurate to experience and will range between $100,000\-130,000 per year plus bonus and offers several medical insurance plans, generous Paid Time Off, and a 401K plan with a company match.
***\*\*\*Must be authorized to work in the U.S. without employer sponsorship.\*\*\****
 RESPONSIBILITIES
* Own and manage projects for new product development from initial creation through project execution and task completion
* Collaborate with the sales and design teams for design reviews and partner with the supply chain, engineering, and manufacturing teams to manufacturing the products
* Create and maintain detailed project schedules, ensuring alignment with agreed timelines and reporting progress weekly to leadership
* Oversee and manage program budgets for each project and track project costs to ensure adherence to approved budgets
* Drive successful program launches by coordinating deliverables and collaborating with the engineering and manufacturing teams to resolve issues and prevent timeline delays
* Verify and validate new designs and conduct root cause analysis of quality issues during the design and beginning stages of the manufacturing process
* Coordinate with operations and management personnel to develop a shared vision for the completion of daily tasks and then report on those activities
* Perform initial and ongoing product performance reviews
 QUALIFICATIONS
* **Bachelor Degree in Engineering, Project Management, or Operations Management is highly preferred**
* **Must have 3\+ years of professional experience with program management and/or new product development involving the manufacturing of physical products (i.e. nothing involving software, services, programming, etc.)**
* Preference toward candidates from a highly regulated industry
* Must possess the ability to read blueprints and CAD designs
* Must possess strong analytical, trouble\-shooting, and problem\-solving skills
* Must possess excellent interpersonal skills including the ability to effectively work as part of a cross\-functional team
* ***\*\*\*Must be authorized to work in the U.S. without employer sponsorship.\*\*\****
 If you or someone in your network fit this profile and would like to apply for this Program Manager Job located near Warsaw, Indiana, please submit your application alongside your resume using the link in this posting.
**Equal Opportunity Employer/Veterans/Disabled** 
 To read our Candidate Privacy Information Statement, which explains how we will use your information, please visit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**\#LHH / \#JobOpening / \#HiringNow / \#NowHiring / \#Hiring / \#WorkWithUs / \#JobAlert / \#JobSearch / \#CareerOpportunity / \#HotJobs / \#JoinOurTeam / \#JobSeekers / \#CareerGoals / \#JobHunt / \#JobVacancy / \#ProjectManagement / \#ProgramManagement / \#ContinuousImprovement / \#NewProductDevelopment / \#EngineeringProgramManager / \#EngineeringProgramManagerJobs / \#ProgramManagerJobs / \#EngineeringJobs / \#TechnicalLeadership / \#ManufacturingJobs / \#IndustrialEngineering / \#ProductManagement / \#IndianaJobs / \#MidwestJobs / \#USJobs / \#EngineeringCareers**</t>
        </is>
      </c>
    </row>
    <row r="62">
      <c r="A62" t="inlineStr">
        <is>
          <t>li-4366137383</t>
        </is>
      </c>
      <c r="B62" t="inlineStr">
        <is>
          <t>ADMINISTRATIVE PROGRAM MANAGER I Policy Development Manager</t>
        </is>
      </c>
      <c r="C62" t="inlineStr">
        <is>
          <t>State of Maryland</t>
        </is>
      </c>
      <c r="D62" t="inlineStr">
        <is>
          <t>linkedin</t>
        </is>
      </c>
      <c r="E62" t="inlineStr"/>
      <c r="F62" t="inlineStr"/>
      <c r="G62" t="inlineStr">
        <is>
          <t>Maryland, United States</t>
        </is>
      </c>
      <c r="H62" t="inlineStr"/>
      <c r="I62" t="inlineStr">
        <is>
          <t>**Introduction**
 This is a
 **Management Service** 
 position for the
 **Administrative Program Manager I** 
**, Planning and Research Division, Maryland State Police** 
 and serves at the pleasure of the Appointing Authority.
 It is important that all experience be fully documented. Failure to
 **ANSWER ALL SUPPLEMENTAL QUESTIONS SPECIFICALLY AND ACCURATELY** 
 may cause the candidate to be rejected.
**PLEASE FILL OUT THE APPLICATION COMPLETELY.**
* The application is part of the examination process. Your answers will determine your eligibility to participate in the next phase of the selection process.
* Clearly describe your qualifications in detail. Credit cannot be given for education, training, experience, knowledge, skills, and abilities that you fail to indicate.
* Do not leave any answer spaces blank; if a question does not apply, write "N/A".
* Although you may attach a resume to further describe your qualification, it does not substitute for completing the application form. An incomplete application form may result in disqualification. Do NOT write "see resume" in your work history or responses to supplemental questions.
* Failure to comply with these instructions may result in disqualification.
* Read the Job Announcement carefully for specific filing instructions, supplemental questions, and final filing dates.
**GRADE**
 19
**LOCATION OF POSITION**
 Maryland State Police
 Planning and Research Division
 1201 Reisterstown Road
 Pikesville, MD 21208
**Main Purpose of Job**
 The Policy Development Manager position reports to the Commander of the Planning and Research Division and supervises the Policy Unit. This position is responsible for researching and drafting policies that guide the actions and conduct of the Maryland Department of State Police employees and accomplish long\-term strategic goals of the Department. This position develops and manages department policy ensuring compliance with legal standards, ethical practices, and community needs. The position is responsible for collaborating with internal and external stakeholders in identify issues, develop solutions, and review existing policies for effectiveness. This position will coordinate with the managers and directors in the Accreditation \&amp; Accountability Section and the Analysis \&amp; Transparency Section to ensure self\-accountability at the highest levels of the Department. The position will also act as the Forms Control Officer for the Department.
**POSITION DUTIES**
**Coordinates Department Policy And Procedure Development**
* Identifying policy needs \- Analyzing current practices, legal updates, community concerns, and emerging issues to identify areas where new or revised policies are needed
* Research and analysis \- Gathering information from legal experts, subject matter specialists, and relevant data to inform policy development.
* Policy drafting \- Writing clear, concise, and legally sound policies that address identified issues, outlining procedures, expectations, and limitations for employees.
* Policy review and revision \- Regularly evaluating existing policies for effectiveness, updating them as needed to reflect changing laws, community needs, and best practices.
* Stakeholder engagement \- Consulting with community members. sworn and civilian employees, supervisors, legal counsel, and other relevant parties to gather feedback and ensure policy alignment with diverse perspectives.
* Training and process implementation \- Developing training materials to educate employees on new or revised policies, ensuring proper understanding and adherence.
* Compliance monitoring \- Overseeing policy compliance within the agency, addressing violations, and providing corrective actions as needed.
* Evaluates Department's operational efficiency and develops, revises and recommends new policies, standards, and workflow procedures
**Manages and coordinates the following tasks as they relate to policy development and optimization:**
* Departmental Forms development and revisions
* Achievement of CALEA standards within policies
* Takes corrective action upon being notified by the Accreditation and Accountability Section of any deficiencies
* Application and coordination of De\-Centralized Line Inspection
 Systems and Programs
* Organization of files housed in the PowerDMS and appropriate archiving and retention
* Oversees and manages personnel
* Oversees development and training and evaluates work product of staff
* Coordinates with Office of Legal Counsel on legal sufficiency considerations
* Oversees agency responses to policy requests from allied agencies
* Respond to IACP and MAPP inquires and surveys related to policy
**Coordinates Departmental Form Control**
* Directs and manages the use, design and final approval of the revision and publication of all Department forms
**Represents the Department in a liaison capacity with managers and officials of other agencies**
**Minimum Qualifications**
**Other duties as assigned**
 Education: Possession of a Bachelor's degree from an accredited four\-year college or university.
 Experience: Three (3\) years of managerial or supervisory experience at a professional services level.
**Note**
* Applicants may substitute additional experience as described above for the required education on a 'Year\-for\-Year' basis.
 OR
* In lieu of a Bachelor's degree seven (7\) years of supervisory law enforcement experience is required.
**Desired Or Preferred Qualifications**
**Preference will be given to applicants who possess the following preferred qualifications. It is important that you include clear and specific information on your application regarding your qualifications.**
**Preferred Qualifications**
* In\-depth knowledge of Maryland State Police (MSP) procedures and policies, COMAR, and applicable Maryland laws .
* Experience authoring law enforcement or legal\-related documents, including standard operating procedures (SOPs), legal requests and processes, and executive summaries .
**LICENSES, REGISTRATIONS AND CERTIFICATIONS**
 Employees in this classification may be assigned duties which require the operation of a motor vehicle. Employees assigned such duties will be required to possess a motor vehicle operator's license valid in the State of Maryland.
**Special Requirements**
 In accordance with Section 2\-204 (b) (6\) of the Public Safety Article, candidates for positions in this classification will be subject to an initial drug screening, a physical examination and a complete criminal background investigation, to include a polygraph examination, before permanent appointment can be made. A criminal conviction may be grounds for rejection of the candidate.
**SELECTION PROCESS**
 Only candidates who meet the minimum qualifications will be considered for this classification. Therefore, it is essential that you provide complete and accurate information on your application. Successful candidates will be placed on the Eligible List categorized as BEST QUALIFIED, BETTER QUALIFIED OR QUALIFIED and remain eligible for consideration for at least one (1\) year from the date of examination. The list will be used by the hiring agency to select employees.
**EXAMINATION PROCESS**
 The examination will consist of a rating of your education, training and experience related to the requirements of the position. You may be required to complete a qualifications supplement, or the rating may be based on your application. Report all experience and education that is related to this position. Applicants may be given a physical examination and will be subject to an interview, background investigation, polygraph examination and substance abuse testing.
**Benefits**
**STATE OF MARYLAND BENEFITS**
**FURTHER INSTRUCTIONS**
 NOTE: Currently, applicants are limited to uploading one file. As a result, it is strongly urged that those applying upload ALL required and additional documents (undergraduate and graduate transcripts, resumes, etc.) as one file. If you are unable to apply online, you may submit an application via mail. The Maryland State Application Form can be found online.
 Completed applications, required documentation and any required addendums may be mailed to:
 Maryland State Police
 Human Resources Division
 1201 Reisterstown Road
 Pikesville, MD 21208
 ATTN: Kirsten M. Clouse
 Kirstenm.clouse@maryland.gov
* If you have any questions about this recruitment, please contact the Maryland State Police at 410\-653\-4349\.
* TTY Users: call via Maryland Relay.
* We thank our Veterans for their service to our country and encourage them to apply.
* As an equal opportunity employer, Maryland is committed to recruiting, retaining, and promoting employees who are reflective of the State’s diversity.
* Bilingual applicants are encouraged to apply.
 It is the policy of the Maryland State Police to comply with all applicable federal and state laws prohibiting employment discrimination and to provide equal employment opportunity to all employees and applicants for employment without regard to age, ancestry, color, gender, identity and expression, genetic information, marital status, mental or physical disability, national origin, race, religious affiliation, belief or opinion, sex, sexual orientation or any other protected status.</t>
        </is>
      </c>
    </row>
    <row r="63">
      <c r="A63" t="inlineStr">
        <is>
          <t>li-4355708250</t>
        </is>
      </c>
      <c r="B63" t="inlineStr">
        <is>
          <t>Senior Program Manager</t>
        </is>
      </c>
      <c r="C63" t="inlineStr">
        <is>
          <t>Viant Medical</t>
        </is>
      </c>
      <c r="D63" t="inlineStr">
        <is>
          <t>linkedin</t>
        </is>
      </c>
      <c r="E63" t="inlineStr"/>
      <c r="F63" t="inlineStr"/>
      <c r="G63" t="inlineStr">
        <is>
          <t>Chicago, IL</t>
        </is>
      </c>
      <c r="H63" t="inlineStr"/>
      <c r="I63" t="inlineStr">
        <is>
          <t>We’re a company of agile, customer\-oriented individuals with a shared commitment to integrity, servant leadership, and teamwork. Our associates take pride and ownership in their work, and innovate to provide the highest quality, life\-enhancing medical technology in the world. Together, We’re in It for Life.
 The Senior Program Manager (SPM) is responsible for the management, implementation and strategy for a New Product Introduction, Transfer, Cost Reduction, Integrations, Insourcing, and Strategic Corporate Programs across all Viant Medical functional groups. The SPM will support, coach and mentor core sub\-team members and functional leaders through issues associated with implementing new projects, customers and products. The SPM will follow and create processes for communicating and tracking all activities, commitments and metrics associated with a given project or program and will provide critical influence in ensuring that projects and products are implemented that meet Viant Medical’s cost, yield, quality supply chain and product release/support goals. The SPM will ensure the project review process has been implemented per Viant policy, and programs transition through the process as required. The SPM will be responsible for organizing weekly project review meetings, schedule and financial reviews for any programs under their leadership.
 The Senior Program Manager is responsible for communicating the deliverables, requirements, and overall Customer needs to the cross\-functional team. This requires an accurate assessment of the Project. These activities could include \- understanding the requirements and deliverables of the customers, working with the plant leadership and Director of Operations to identify the required resources, and establishing ownership throughout the organization for the deliverables.
* Work Model: Remote from any of these US based locations: Chicago, IL \- Boston, MA \- Miami, FL \- Texas \- Southern California.
* Travel Required: 1 to 2 weeks per month
**Responsibilities:**
* Lead cross\-functional teams on key Strategic projects including but not limited to New Product Introduction, Transfer, Cost Reduction, Integrations, Insourcing, and Strategic Corporate Programs.
* Primary point of contact and communication between Viant and the Customer.
* Define the scope, budget, requirements, and deliverables of all assigned projects. Document and communicate internally and externally as needed.
* Ensuring the planning, coordination, execution, tracking, reporting and closure.
* Using Microsoft Project software tool, development of a fully Integrated Master Schedule (IMS) including all required tasks with key milestones identified and tracked.
* Obtain functional department commitment / buy\-in to the schedule and budget
* Issue/Risk management to include development and tracking/reporting of mitigation plans.
* Program budget setting, financial analysis and reporting
* Assure activities will meet Viant requirements (SOP’s), FDA and ISO regulations.
* Goal setting and on\-time delivery of Viant and customer milestone deliverables
* Project reporting requirements include but are not limited to:
* Provide Weekly Status Reporting for assigned Projects
* Provide Monthly Project Review status for assigned Projects as scheduled.
* Initiate corrective action review meetings when the project schedule is not being met.
* Working with the Project Team and Plant Management develop and document recovery plans and corrective actions into the IMS.
* Communicate the revised plans and schedule to the Customer.
* Utilize and steward Viant’s ViaLaunch program management process
* Other projects and tasks as assigned.
**Requirements**
**Education/ Certifications:**
* Bachelor’s degree in engineering discipline or business management with at least 7 years of related work experience
* Bachelor’s degree in Plastics Engineering, Polymer Science, Mechanical Engineering, or a related field with strong emphasis on injection molding (Preferred)
* PMP Certification (PMI) required.
* Bilingual (English–Spanish) required, with the ability to communicate technical concepts across diverse teams.
**Job Experience:**
* Minimum 7 years work experience (post\-college)
* 5\+ years project management experience
* Experience in medical device, contract manufacturing or automotive industry preferred
* Proven experience in plastics manufacturing, specifically injection molding processes, tooling, materials, and quality systems.
**Skills/Competencies:**
* Project management skills; demonstrated use of PMI methodology.
* Strong analytical, planning, organization and time management skills
* Demonstrated track record of leading within complex organizations requiring strong influential management skills.
* Ability to work collaboratively within a matrix organization, build teams and relationships.
* Experience leading projects with multiple cross\-functional team members and functional management.
* Ability to communicate complex information to various levels of management and employees.
* Capability to understand customer requirements and incorporate into business decisions
* Solid problem solving, mentoring, training and coaching experience.
* Strong experience working with Microsoft Office products (Outlook, Word, Excel, PowerPoint, MS Project and MS TEAMS) is required.
**Benefits:**
* Medical, dental, and vision benefits\-effective date of hire!
* Company\-paid life insurance and disability benefits
* Generous Paid time off and 10 paid Holidays
* 401k Plan with Company Match
* Tuition Reimbursement
* Voluntary Universal Life and Long\-Term Care
* Voluntary Legal Plan
* Pet Insurance
* Home Ownership Program
 Viant is a global medical device design and manufacturing services provider that partners and innovates with customers to provide the highest quality, life enhancing medical devices. We do this through our depth and breadth of capabilities, end\-to\-end integration, technical expertise, and relentless focus on our customers and on operational excellence. With nearly 6,000 associates across 24 locations worldwide, we offer a unique combination of small\-company service and attention with big\-company resources. For more information, visit viantmedical.com or follow us on LinkedIn.
 Viant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Viant complies with applicable state and local laws governing nondiscrimination in employment in every location in which the company has facilities.</t>
        </is>
      </c>
    </row>
    <row r="64">
      <c r="A64" t="inlineStr">
        <is>
          <t>li-4366169040</t>
        </is>
      </c>
      <c r="B64" t="inlineStr">
        <is>
          <t>Sr. IT Program Manager, Digital Banking</t>
        </is>
      </c>
      <c r="C64" t="inlineStr">
        <is>
          <t>Ignite Banking</t>
        </is>
      </c>
      <c r="D64" t="inlineStr">
        <is>
          <t>linkedin</t>
        </is>
      </c>
      <c r="E64" t="inlineStr"/>
      <c r="F64" t="inlineStr"/>
      <c r="G64" t="inlineStr"/>
      <c r="H64" t="inlineStr"/>
      <c r="I64" t="inlineStr">
        <is>
          <t>**Overview** 
 The Senior Technology Project Manager will provide technical project management, roadmap/program planning, technical dependency mapping, and vendor management/oversight of diverse set of digital banking transformation projects. They will lead and facilitate planning and help project and product teams execute on their objectives leveraging a
 **deep technical background,** 
 coupled with Agile behaviors and mindset.
 The role is an independent leader who works with minimal direction to guide the client, internal, and vendor project teams. The role builds strong intrapersonal relationships with peers, leaders, and stakeholders and is viewed as a trusted partner who understands and advocates their desired outcomes and objectives.
 Candidate must have worked directly with digital banking platforms, understand the intricacies of entitlements, payments, templates, and treasury/SMB/retail configuration data, and can rapidly interpret new data sources when required. This position plays a pivotal role in data analysis, bank merger integration, platform conversion efforts, and ongoing enterprise support.
**Scope of Responsibilities** 
* Manage the end\-to\-end delivery of technology consulting projects, including planning, execution, and delivery
* Assembles and leads project teams, identifies the appropriate resources needed for project execution, and develops schedules to ensure timely completion of projects, while controlling for project cost, quality, schedule, and scope.
* Act as a primary point of contact for clients, managing client expectations and ensuring a high level of satisfaction
* Partner with product manager in managing customer expectations for project deliverables, managing stakeholder communications, and helping to identify dependencies to help remove impediments for the team to deliver value
* Demonstrates understanding of the business value of the project and its broader impact on programs, initiatives, and the enterprise
* Actively manages stakeholder partnerships, identify and mitigate project risks, ensuring that projects are delivered on time and within budget
* May contribute and/or is familiar with defining the project’s scope and objectives of the desired outcomes, as well as the role and function of each team member, to effectively coordinate the activities of the team.
* Oversees the interdependencies and integration of interrelated projects.
* Possess specialized knowledge of SDLC and project frameworks used to manage delivery of technology projects.
* Exercises considerable latitude in determining objectives and approaches to assignments.
**Required Skills and Experience** 
* 10\+ years of banking experience (ideally within Commercial/Treasury and/or merger, acquisition, conversion experience)
* 10\+ years of technical experience, delivery focused, hands\-on, self starter
* Ability to exercise independent judgment and decision making on complex issues regarding job duties and related tasks.
* Ability to work under minimal supervision and uses independent judgment to analyze variable factors and determine the best course of action.
* Ability to make decisions regarding own work methods, occasionally in ambiguous situations, and requires minimal direction and receives guidance where needed.
* Solid understanding of software development life cycle models as well as expert knowledge of both Agile and traditional project management principles and practices and the ability to blend them together in the right proportions to fit a project and business environment.
* Experience with Agile/Kanban project management methodology
* Excellent verbal and written communication skills
* Bachelor’s degree or higher in relevant information technology field (Information Technology, Information Systems Management, Computer Science, etc.)
**Compensation:** 
 6\-Month Contract with potential to convert
**Location:** 
 Remote
**About Our Team \&amp; Culture** 
 Ignite Banking is a high\-performing team of senior consultants working on mission\-critical, complex financial services projects. We are united by a shared belief that innovation, accountability, and collaboration drive the best results.
 Our culture is built on five guiding principles:
* Treat people well – Our employees are our greatest asset.
* Create opportunities – Drive growth, value, and satisfaction.
* Take ownership – Empower and enable associates.
* Go beyond the expected – Success requires more than the minimum.
* Celebrate wins – Recognize and appreciate all contributions.
**Who We Hire** 
 We seek individuals who thrive in dynamic environments, embrace technical and business complexity, and are motivated to deliver meaningful impact. Whether your expertise lies in digital or payments technologies, enterprise data strategy, or operational transformation, Ignite Banking is a place where ambitious and talented professionals can grow and make a difference.
**About Us** 
 Ignite Banking is a boutique consulting firm serving exclusively banks and financial institutions in hands\-on technology delivery roles. We are not a staffing firm. We are a trusted partner to our clients, standing shoulder to shoulder with them while we work together to deliver technically complex capabilities/projects/programs.
 Our engagements support all aspects of retail and commercial banking, including digital channel transformation, payments, core banking, software and outsourcing, enterprise distributed software, and beyond. Our experts help our clients navigate the most challenging aspects of selecting and implementing new technology, saving them time, frustration, and financial resources.
 Our consultants have a deep and thorough knowledge of the major enterprise banking platforms and digital channel vendors. Our understanding of the various market offerings allows us to separate fact from spin, and provide clients unbiased guidance about which products best suit their needs. Our experts collaborate with key stakeholders across the enterprise, and partner with vendors to find the right solution to achieve business goals.
 We select associates based on how well their specific background and subject matter expertise aligns with the needs of the clients we serve. Our consultants share a can\-do, roll\-up\-your\-sleeves approach. We’re team players, and we’re in the trenches with our clients, ready to do the hard work it takes to build a stronger, more efficient organization. In short, we have the right solution and the relevant people to create real results.</t>
        </is>
      </c>
    </row>
    <row r="65">
      <c r="A65" t="inlineStr">
        <is>
          <t>li-4321417708</t>
        </is>
      </c>
      <c r="B65" t="inlineStr">
        <is>
          <t>Food Program Manager</t>
        </is>
      </c>
      <c r="C65" t="inlineStr">
        <is>
          <t>Greenawalt Hospitality</t>
        </is>
      </c>
      <c r="D65" t="inlineStr">
        <is>
          <t>linkedin</t>
        </is>
      </c>
      <c r="E65" t="inlineStr"/>
      <c r="F65" t="inlineStr"/>
      <c r="G65" t="inlineStr">
        <is>
          <t>Auburn, AL</t>
        </is>
      </c>
      <c r="H65" t="inlineStr"/>
      <c r="I65" t="inlineStr">
        <is>
          <t>Greenawalt Hospitality is launching a new Food Department within its Hospitality Division and is seeking a Food Program Manager to lead the initial build\-out of its national food and concessions platform.
 This role is intentionally positioned at the front end of a new Food Department, with a mandate to design, test, and standardize systems before scale. The Food Program Manager is hired ahead of expansion to ensure food operations, standards, and execution models are proven in live tour and event environments prior to departmental growth.
 The Food Program Manager works directly in the field during the early stages, supporting concessions execution, vendor coordination, VIP food service, staffing models, and compliance, while documenting and refining systems that enable long\-term scalability. Over time, this role is expected to evolve into a formal leadership position as volume increases and additional team members are hired.
**Job Type**
 : Full Time 
**Job Location
 :** 
 In\-Person (Auburn) \[Extensive Travel Required]
**Key Responsibilities**
* Support and execute food and concessions operations for national tours and events
* Coordinate food vendors, menus, timelines, and on\-site execution
* Assist with VIP food service planning and delivery
* Work hands\-on to test staffing models, workflows, and operational assumptions
* Build SOPs, checklists, and training documentation based on real\-world execution
* Identify operational risks, inefficiencies, and improvement opportunities
* Influence vendor selection, menu strategy, and operational standards through field\-tested recommendations
* Partner cross\-divisionally to ensure alignment across Hospitality, Site Services, Staffing, and CORE teams
* Contribute to long\-term planning for a scalable national concessions model
**Required Qualifications**
* Experience in food service, concessions, hospitality, or event\-based operations with demonstrated management responsibility, including ownership of people, vendors, or operational outcomes
* Strong organizational and problem\-solving skills
* Comfort working in build\-out and evolving operational environments
* Clear, professional communicator who collaborates effectively across teams
* Willingness to travel extensively and work non\-traditional hours during tour seasons
 Additional Clarity
 This role is not entry\-level. Prior management experience is required. Early success in this position will be measured by the quality of systems, documentation, and operational clarity created—not by the size of a team managed.
 U.S. Equal Employment Opportunity laws make it illegal to discriminate against a job applicant or an employee because of the person's race, color, religion, sex (including pregnancy, transgender status, and sexual orientation), national origin, age (40 or older), disability or genetic information. All candidates that apply to B\&amp;B will be treated equally and given the same opportunity for the applied position. We ask and follow the same interview questions and procedures to all applicants and do not discriminate. The most qualified candidate will be chosen for the position.</t>
        </is>
      </c>
    </row>
    <row r="66">
      <c r="A66" t="inlineStr">
        <is>
          <t>li-4355798644</t>
        </is>
      </c>
      <c r="B66" t="inlineStr">
        <is>
          <t>Compliance Program Manager</t>
        </is>
      </c>
      <c r="C66" t="inlineStr">
        <is>
          <t>Teachers Federal Credit Union</t>
        </is>
      </c>
      <c r="D66" t="inlineStr">
        <is>
          <t>linkedin</t>
        </is>
      </c>
      <c r="E66" t="inlineStr"/>
      <c r="F66" t="inlineStr"/>
      <c r="G66" t="inlineStr">
        <is>
          <t>Hauppauge, NY</t>
        </is>
      </c>
      <c r="H66" t="inlineStr"/>
      <c r="I66" t="inlineStr">
        <is>
          <t>**Brief Description**
 Join Our Team
 For over 70 years, Teachers Federal Credit Union has been committed to guiding members toward building a strong financial foundation today for a better tomorrow. Recognized by Forbes Magazine as one of America’s Best\-In\-State Credit Unions in 2025, Teachers has grown into one of the nation’s leading credit unions. As we expand our reach across the country, we remain focused on being both a Best Place to Bank and a Best Place to Work. From part\-time roles to executive leadership positions, Teachers offers a wide range of meaningful career opportunities.
**Summary**
 The Compliance Program Manager manages Teachers regulatory compliance programs, policies, reporting, and practices.
**Qualifications \&amp; Education**
* Bachelor’s Degree or minimum of eight years directly related experience required
* Minimum five years of compliance program experience required
* Minimum five years in an audit, financial service or related industry in a compliance role required
* Requires a thorough knowledge Corporate Communications \| Internal Audit \| Internal Controls \| Regulatory Environment \| Regulatory Reporting \| Training Program Administration \| Organizational Policy Development \| Compliance Documentation \| Compliance Risk Assessment \| Governance, Risk \&amp; Compliance Software
* Client Administration \| Customer Care \| Customer Communications \| Customer Complaint Escalation \| Customer Complaint Resolution \| Customer Interaction \| Customer Lifecycle Management \| Customer Relations \| Customer Relationship Management (CRM) \| Customer Retention \| Customer Satisfaction \| Customer Service Metrics \| Customer Support \| Escalation Management \| Issue Resolution \| Customer Service Monitoring Software
* Excellent strategic, problem solving, and analytical skills
* Exceptional verbal and written communication skills.
* Ability to maintain confidentiality
* Proficient with Microsoft Office
**Job Duties**
* Ensures that all activities follow regulatory requirements related to the governance of the organization as well as any industry\-specific or location\-specific laws
* Oversees internal controls and auditing systems that monitor and report on regulated activities and processes
* Implements risk\-based compliance testing of existing procedures and controls to identify, detect, and correct noncompliance
* Evaluates and implements changes to compliance processes due to new or amended regulations
* Delivers communication and training initiatives that inform stakeholders about compliance requirements
* Oversees the resolution of customer complaints that have escalated to the highest level within the organization
* Acts as a liaison with product/service suppliers to determine validity of complaints and design and implement product or process change to reduce the number of complaints
* Performs other duties upon request of immediate manager
**Benefits Of Joining The Teachers Team**
 We provide a competitive compensation and benefits package that includes, but is not limited to:
* This position is eligible for our annual discretionary bonus program. Some positions within the credit union also qualify for quarterly performance incentives
* Paid time off for vacation, personal days, and holidays
* 401(k) company contribution
* Teachers pays 100% of Dental \&amp; Vision premium
* Tuition reimbursement is offered to full\-time employees
* Exclusive employee discount of 0\.96% APR on credit card loans and a 1\.00% APR on all other loans through Teachers
 The good faith range for this position is $93,000 \- $116,250 annually. This range is an estimate based on potential employee qualifications and operational needs. The salary may vary above and below the stated amounts, as permitted by applicable law.
 All candidates will be subject to a background check, credit check, and drug test to determine employment eligibility.
 To learn more about Teachers and to view a full list of our job opportunities please visit https://www.teachersfcu.org/about/careers
 Click here to view: California Privacy Notice</t>
        </is>
      </c>
    </row>
    <row r="67">
      <c r="A67" t="inlineStr">
        <is>
          <t>li-4366175775</t>
        </is>
      </c>
      <c r="B67" t="inlineStr">
        <is>
          <t>Senior IS Program Manager - Clinical and Revenue Cycle, Virtual</t>
        </is>
      </c>
      <c r="C67" t="inlineStr">
        <is>
          <t>Providence</t>
        </is>
      </c>
      <c r="D67" t="inlineStr">
        <is>
          <t>linkedin</t>
        </is>
      </c>
      <c r="E67" t="inlineStr"/>
      <c r="F67" t="inlineStr"/>
      <c r="G67" t="inlineStr">
        <is>
          <t>Texas, United States</t>
        </is>
      </c>
      <c r="H67" t="inlineStr"/>
      <c r="I67" t="inlineStr">
        <is>
          <t>**Description**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**As a Service Line Program Manager at Providence, you’re the strategic connector who bridges clinical, revenue cycle, and technology teams to shape the future of healthcare delivery. You don’t just manage initiatives—you architect multi\-year roadmaps that align IS solutions with organizational vision, driving innovation, efficiency, and value across every service line. You thrive in complexity, orchestrating partnerships with clinical leaders, engineering, and governance to prioritize what matters most. With a keen eye for portfolio optimization, you champion application rationalization, cost reduction, and the adoption of cutting\-edge technologies. Your influence is felt in every conversation—from surfacing emerging opportunities to facilitating tough decisions and ensuring every stakeholder’s voice is heard. If you’re energized by cross\-functional leadership, continuous improvement, and the challenge of transforming healthcare through strategic alignment and operational excellence, this is where your impact will be felt organization\-wide.**
**Required Qualifications**
* Bachelor's Degree Project Management, Business, Healthcare Administration, Clinical Operations or Information Technology \-OR\- a combination of equivalent education and experience
* 8 or more years of Information Technology and/or Healthcare Industry experience
* 8 or more years of Experience in the project/program management field
* 1 or more years of relevant portfolio management experience
* Expertise and experience with Project Management methodology based upon project management principles, including experience implementing and facilitating complex decision\-making structures among multiple executive stakeholders with varied interests and priorities
* Demonstrated experience as a speaker in a professional presentation environment, such as conferences and association meetings
* Experience with vendor/contract management and negotiations
* Development and execution experience with business development, marketing, communications, financial planning, and benchmarks/metrics in support of improved quality and process design
**Preferred Qualifications**
* Master's Degree Information technology, business management, healthcare admin or clinical field
* Coursework/Training Project Management methodologies
* Upon hire: Project Management (PMI) Certification
* Upon hire: Certified Associate in Project Management (PMI) Certification
* Upon hire: Certifications in process optimization such as Six Sigma, Lean, CQIA, or other nationally recognized program
* Upon hire: PgMP (Program Management Professional)
* 6 or more years of experience working in the healthcare industry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406320
**Company:** 
 Providence Jobs
**Job Category:** 
 IT Administration
**Job Function:** 
 Information Technology
**Job Schedule:** 
 Full time
**Job Shift:** 
 Day
**Career Track:** 
 Business Professional
**Department:** 
 4011 SS IS CRCA PPMO EPC PR
**Address:** 
 WA Olympia 525 Lilly Rd NE
**Work Location:** 
 Providence St Peter Professional Bld\-Olympia
**Workplace Type:** 
 On\-site
**Pay Range:** 
 $60\.92 \- $96\.18
 The amounts listed are the base pay range; additional compensation may be available for this role, such as shift differentials, standby/on\-call, overtime, premiums, extra shift incentives, or bonus opportunities.</t>
        </is>
      </c>
    </row>
    <row r="68">
      <c r="A68" t="inlineStr">
        <is>
          <t>li-4355728185</t>
        </is>
      </c>
      <c r="B68" t="inlineStr">
        <is>
          <t>Program Manager - Virtual Admin</t>
        </is>
      </c>
      <c r="C68" t="inlineStr">
        <is>
          <t>Houston Methodist</t>
        </is>
      </c>
      <c r="D68" t="inlineStr">
        <is>
          <t>linkedin</t>
        </is>
      </c>
      <c r="E68" t="inlineStr"/>
      <c r="F68" t="inlineStr"/>
      <c r="G68" t="inlineStr">
        <is>
          <t>Houston, TX</t>
        </is>
      </c>
      <c r="H68" t="inlineStr"/>
      <c r="I68" t="inlineStr">
        <is>
          <t>Come lead with us at Corporate
 At Houston Methodist, the Program Manager position is responsible for comprehensive program management, including coordinating work and administrative support, for programs and is accountable for performance. This position will execute strategies while managing relationships internally with hospital leadership and externally with clients, partners and vendors. Success in the Program Manager position includes partnering with key operations stakeholders to design and successfully execute program elements that ensure leadership engagement of the strategy. This position focuses on the development of a strong network of internal stakeholders that will contribute to and drive the achievement of strategic goals. The Program Manager position works independently and collaboratively to proactively identify problems and creative solutions to address requirements and partnering with vendors in assigned areas of responsibility on data, process solutions, and advisement. This position is responsible for various administrative and operational functions, and financial stewardship while providing education and technical expertise related to the program for successful implementation and sustainability.
**FLSA STATUS**
 Exempt
**Qualifications**
**EDUCATION**
* Bachelor’s degree in business, healthcare administration, clinical or related field OR Master’s degree combined with HM Fellow
**Experience**
* Three years of experience related to business or healthcare administration; may consider HM employee with two years of experience who demonstrates progressive responsibilities
**LICENSES AND CERTIFICATIONS**
**Preferred**
* Registered and/or certified professional in area of expertise preferred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concerning activities impacting patient or employee safety or security.
* Demonstrated initiative in managing projects and communication with stakeholders.
* Ability to effectively communicate with patients, physicians, family members, and co\-workers in a manner consistent with a customer service focus and application of positive language principles.
* Ability to lead meetings, conversations and present with authority
* Ability to work under pressure and balance many competing priorities
* Ability to multi\-task and work in an organized manner
* Ability to uphold confidential and sensitive information
* Proficiency in relevant software programs such as MS Outlook, Word, Excel, and PowerPoint
* Strong judgment and decision\-making ability, with analytical and critical thinking skills; understands when to escalate issues
* Ability to engage and be open to ideas offered by others; works collaboratively, and contributes to the dialogue
* Effective and influential oral and written communication and presentation skills when working with physician leadership, administrators and peers and a variety of audiences
* Ability to work autonomously on multiple tactical and strategic initiatives
* Strategic thinker that demonstrates innovation and creativity in program management
**Essential Functions**
**PEOPLE ESSENTIAL FUNCTIONS**
* Works creatively and analytically in a problem\-solving environment fostering teamwork, innovation, and excellence. Actively leads program meetings, providing meaningful contributions that drive decision\-making and clearly identifies next steps. Works cross\-departmentally to achieve innovative and actionable outcomes.
* Leads program strategies with key stakeholders and others to ensure department timelines, deliverables, and budgets are met. Serves as a primary resource/subject matter expert and a key liaison to councils and professional groups.
* Facilitates communication with authority to individuals and groups in a manner that engages and helps them understand and retain information.
* Recommends opportunities for improvement of department/program score for turnover/retention/employee engagement.
**Service Essential Functions**
* Collaborates with colleagues, peers, and other stakeholders to improve the effectiveness and efficiency of programs. Regularly communicates with customers/clients to arrange meetings, confirm program schedules and discuss any program problems, ensuring that customers/clients are regularly informed on the status.
* Implements change management strategies to ensure successful execution of the program and to improve targeted outcomes. Obtains buy\-in to change efforts.
* Partners with management to evaluate the implementation and effectiveness of the assigned program, monitors progress and achievement of objectives and identifies corrective actions as indicated. Provides leadership with decision support needed to make informed strategic decisions and drive improved outcomes for the patient experience.
**Quality/Safety Essential Functions**
* Operationalizes strategic plans with timely execution of deliverables. Tracks the status and coordinates deadlines, identifying potential barriers to progression and implementing solutions/resolutions. Follows up on action items necessary to ensure completion of assignments.
* Implements a plan for launching programmatic elements within the focus area, providing support in planning and organizing cross\-functional unit activities and committees. Drives strategy and ensures the success of programs and/or assigned sponsorships/events.
* Participates in internal committees and task forces as assigned, ensuring that critical objectives are clearly explained, and action items are appropriately delegated.
* Identifies key measures to periodically assess outcomes and metrics and continuously improves training to drive improved outcomes for the patient and/or employee experience.
**Finance Essential Functions**
* Effectively manages the scope, schedule, and budget of assigned programs. Tracks year\-to\-year trends and identifies opportunities for financial improvement. Monitors the success of the program, engagement strategies, and budget, identifying cost\-saving and waste\-elimination opportunities.
* Maintains interdepartmental accountability for issues that impact the financial feasibility of the program. Forecasts potential schedule delays and develops alternate plans. Provides timely submission of invoices; tracks and adheres to budgetary objectives for assigned projects.
**Growth/Innovation Essential Functions**
* Serves as part of an inter\-professional team that creates and executes mission\-driven events. Proactively and independently problem solves when challenges present themselves. Completes and updates the My Development plan on an ongoing basis. Ensures own career discussions occur with appropriate management.
* Assists in leading the development of outreach and communications strategies and plans, including assessing needs and opportunities and developing strategies and implementation plans relating to all external outreach, marketing, and communications within the scope of the role.
**Supplemental Requirements**
**WORK ATTIRE**
* Uniform: No
* Scrubs: No
* Business professional: Yes
* Other (department approved): No
**ON\-CALL\***
* Note that employees may be required to be on\-call during emergencies (ie. Disaster, Severe Weather Events, etc) regardless of selection below.
* On Call\* No
**TRAVEL\*\***
* Travel specifications may vary by department\*\*
* May require travel within the Houston Metropolitan area Yes
* May require travel outside Houston Metropolitan area Yes</t>
        </is>
      </c>
    </row>
    <row r="69">
      <c r="A69" t="inlineStr">
        <is>
          <t>li-4360091572</t>
        </is>
      </c>
      <c r="B69" t="inlineStr">
        <is>
          <t>Program Manager - Energy Efficiency &amp; Electrification</t>
        </is>
      </c>
      <c r="C69" t="inlineStr">
        <is>
          <t>Utility Energy Services</t>
        </is>
      </c>
      <c r="D69" t="inlineStr">
        <is>
          <t>linkedin</t>
        </is>
      </c>
      <c r="E69" t="inlineStr"/>
      <c r="F69" t="inlineStr"/>
      <c r="G69" t="inlineStr">
        <is>
          <t>Chicago, IL</t>
        </is>
      </c>
      <c r="H69" t="inlineStr"/>
      <c r="I69" t="inlineStr">
        <is>
          <t>The Program Manager – Energy Efficiency \&amp; Electrification is responsible for managing the day\-to\-day execution of Illinois\-based utility programs supporting energy efficiency, demand\-side management, and electrification initiatives. This role serves as the primary point of contact for internal teams and utility partners, ensuring programs are delivered on time, within budget, and in full compliance with Illinois TRMs, Commission requirements, and utility scopes of work.
 The ideal candidate has experience managing utility programs, coordinating cross\-functional teams, and delivering measurable energy savings while supporting customer adoption of electrification technologies.
 The salary range for this role is $90,000\-$110,000 dependent upon related experience. The selected candidate will be expected to be in\-person at our Chicago office at least 4 days per week. UES offers a comprehensive benefits package, including health, dental, and vision insurance, paid time off, 401(k) matching, and more.
**Key Responsibilities:** 
* Execute programs in accordance with approved scopes, contracts, TRMs, and ICC requirements
* Develop and maintain implementation plans, schedules, and program documentation
* Coordinate field service delivery for assessments, direct install, and electrification measures
* Ensure volume, savings, and incentive targets are met or exceeded
* Serve as the primary day\-to\-day liaison with utility clients and program administrators
* Lead regular status meetings, performance reviews, and reporting discussions
* Proactively escalate risks, constraints, and proposed solutions
* Support annual planning, mid\-year adjustments, and program modifications
* Partner closely with Field Operations, Scheduling, Customer Experience, Supply Chain, Finance, and Data teams
* Coordinate staffing plans, ramp schedules, and training needs with Operations leadership
* Collaborate with Marketing and Outreach teams to support lead generation and customer engagement
* Align systems, workflows, and reporting across departments
* Support delivery of measures such as smart thermostats, demand response devices, weatherization, heat pump water heaters, heat pump HVAC, and fuel switching offerings
* Ensure eligibility, application, and installation requirements meet utility and Illinois TRM standards
* Track and validate energy savings, kWh/therm reductions, and incentive payments
* Partner with QA/QC teams to ensure programming and measure compliance
* Own operational tracking of program budgets, incentives, and invoices
* Monitor KPIs including completed appointments, conversion rates, savings performance, quality scores, and customer satisfaction
* Utilize dashboards and reports (Salesforce, Power BI, Excel) to inform decision\-making
* Support audits, evaluations, and data requests
* Identify opportunities to improve program efficiency, customer experience, and cost effectiveness
* Support pilot initiatives and new measure rollouts
* Contribute to proposals, recompete, and expansion efforts within Illinois
* Document lessons learned and best practices
**Qualifications:** 
* Bachelor’s degree required in Engineering, Energy Management, Environmental Science, Sustainability, Environmental Policy, or a related technical field.
* Master’s degree in a relevant discipline is a plus but not required.
* Professional certifications such as Certified Energy Manager (CEM), Project Management Professional (PMP), LEED GA/AP, or BPI certifications are preferred but not mandatory.
* 3\+ years of experience managing utility energy efficiency or DSM programs
* Must have experience with both client management and people management
* Experience working with Illinois utilities, ICC regulations, and TRMs strongly preferred
* Familiarity with electrification technologies and programs (heat pumps, HPWHs, EV\-related measures a plus)
* Strong project management and organizational skills
* Experience coordinating cross\-functional teams and external stakeholders
* Proficiency with Salesforce (FSL a plus), Excel, and reporting tools
* Excellent written and verbal communication skills</t>
        </is>
      </c>
    </row>
    <row r="70">
      <c r="A70" t="inlineStr">
        <is>
          <t>li-4330606317</t>
        </is>
      </c>
      <c r="B70" t="inlineStr">
        <is>
          <t>Commercial Program Manager</t>
        </is>
      </c>
      <c r="C70" t="inlineStr">
        <is>
          <t>ICF</t>
        </is>
      </c>
      <c r="D70" t="inlineStr">
        <is>
          <t>linkedin</t>
        </is>
      </c>
      <c r="E70" t="inlineStr"/>
      <c r="F70" t="inlineStr"/>
      <c r="G70" t="inlineStr">
        <is>
          <t>Houston, TX</t>
        </is>
      </c>
      <c r="H70" t="inlineStr"/>
      <c r="I70" t="inlineStr">
        <is>
          <t>**Description**
**Commercial Program Manager, Energy Efficiency
 Location: Houston, TX area (must be able to travel in the Houston Metro to be considered)**
**Ready to make difference?**
 To support our growth, we are currently seeking a Program Manager for our Utility Programs and Services Division to lead and grow ICF’s energy efficiency programs in Houston, TX. You will manage an established commercial energy efficiency program, including individuals who contribute to that program’s performance. This would require you to provide technical guidance for energy\-efficient products, savings calculations, and best practices as well as build relationships and trust with clients, work collaboratively with the implementation team, internal IT teams, and marketing departments to implement a program within goal and budget.
**Why you will love working here:**
* Quality of life: Flexible workplace arrangements, work\-life balance
* Investment of the community: Donation matching, volunteer opportunities
* Investment in you: Tuition reimbursement, access to professional development resources, 401k matching, Employee Stock Purchase Plan
* And many, many more (Ask your recruiter for more details!)
**What You Will Be Doing**
* Program implementation and management of a diverse team, quality control, and adherence to best practices to ensure successful program goal targets are met
* Collaboration with multiple groups to ensure processing, outreach, IT systems and staff are aligned to reach a common annual goal
* Technical guidance and knowledge of M\&amp;V protocols on common mechanical and electrical equipment in commercial buildings, including energy savings potential with a significant focus on HVAC, Building Automation systems and Lighting technologies. Customer segments include Education, Healthcare, Religious, Non\-Profits, Data Centers and others
* Ensure evaluation benchmarks are being met and work with the utility evaluator to implement standard requirements for baseline selections and trend data
* Day to day management of technical team, including guidance and judgement on electrical energy savings calculations, performance feedback and career development
* Ensure best practices in processes as well as on\-site QA/QC standards for the program are met
* Interface with the client team for day\-to\-day planning and program rule questions
* Provide insight and recommendations for program changes based on existing market knowledge and program trends
* Travel Requirements: Must have reliable vehicle for local travel up to 15% of the time in the Houston Metro area (reimbursement for mileage provided)
**What We Need You To Have (minimum Qualifications)**
* Bachelor’s degree (or applicants can substitute one year of related experience for one year of education)
* 5\+ years of experience managing energy efficiency programs and/or related experience
* 1\+ year(s) experience with energy efficiency evaluation protocols and methodologies, net to gross savings calculations, energy code standards for existing buildings and new construction (such as ASHRAE, LEED/WELL and other Green Building standards) and/or financial forecasting
**What We Would Like You To Have (preferred Skills)**
* Commercial energy efficiency program experience strongly preferred
* Utility experience and understanding of Demand Side Management (DSM) program implementation
* Certified Energy Managers, Certified Lighting Professionals, or Certified Energy Auditor
* Program implementation and management of a diverse team, quality control, and adherence to best practices to ensure successful program goal targets are met
* Collaboration with multiple groups to ensure processing, outreach, IT systems and staff are aligned in order to reach a common annual goal
* Technical guidance on common mechanical and electrical equipment in commercial buildings, including energy savings potential with a significant focus on lighting technology experience.
* Day to day management of outreach/sales team and field service inspectors, including outreach goal setting, performance feedback and career development.
* Ensure best practices in processes as well as QA/QC standards for the program are met.
* Interface with the client team for day\-to\-day planning and program rule questions.
* Provide insight and recommendations for program changes based on existing market knowledge and program trends.
* Experience using Technical Resource Manuals (TRMs) and supervising the development of tools that utilize deemed savings methodologies
**Professional Skills You Will Use**
* Ability to form and develop strategic relationships with industry stakeholders
* Superior interpersonal skills including courtesy, professionalism and a cooperative attitude
* Strong persuasion, business writing and presentation skills
* Can analyze situations, identify existing or potential problems and recommend solutions
* Sound business ethics, including the responsibility of protection of proprietary and confidential information
* Must be able to work and communicate with all levels of internal staff, as well as outside vendors and clients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$98,614\.00 \- $167,644\.00
 Texas Remote Office (TX99\)</t>
        </is>
      </c>
    </row>
    <row r="71">
      <c r="A71" t="inlineStr">
        <is>
          <t>li-4348771853</t>
        </is>
      </c>
      <c r="B71" t="inlineStr">
        <is>
          <t>Program Manager</t>
        </is>
      </c>
      <c r="C71" t="inlineStr">
        <is>
          <t>Alutiiq, LLC</t>
        </is>
      </c>
      <c r="D71" t="inlineStr">
        <is>
          <t>linkedin</t>
        </is>
      </c>
      <c r="E71" t="inlineStr"/>
      <c r="F71" t="inlineStr"/>
      <c r="G71" t="inlineStr">
        <is>
          <t>Blackstone, VA</t>
        </is>
      </c>
      <c r="H71" t="inlineStr"/>
      <c r="I71" t="inlineStr">
        <is>
          <t>Alutiiq Career Ventures, LLC a subsidiary of Alutiiq LLC has a future opportunity for a Program Manager (PM) in Blackstone, VA.
 The PM, will ensure delivery of all performance under the contract and subordinate task orders for the Foreign Affairs Security Training Center (FASTC). The PM will directly supervise and oversee all Site Managers, DPM, Recruiter, Program Financial Analyst, and contractor Program Management Office (PMO), and ensure quality recruiting, hiring, personnel management, and support of all personnel under the contract. Places of performance will include SA\-11, FASTC, SA\-7, other USG facilities, and contractor office as required.
***This opportunity is for a POTENTIAL CONTRACT award and is contingent upon the contract being awarded. Consideration for a potential contract may require a signed letter of intent. If the contract is awarded, another position posting will be available on the Company Careers portal.***
* Serve as focal point for all contractor functions that pertain to performance under the contract.
* Interacts on a weekly basis with Contracting Officer, Contracting Officer’s Representative, and Government Technical Monitors to ensure required performance levels.
* Supervise, oversee, and direct ongoing strategy to mitigate risk and maintain continuity of operations in accordance with the requirements specified in the contract and task orders.
* Advise and assist regarding the technical scope of the contract.
* Accomplish human resource objectives by overseeing and ensuring effective recruiting, selecting, orienting, developing, counseling, and disciplining employees.
* Plan, establish, and review compensation actions, enforce policies and procedures.
* Ensure timely and accurate reporting, provision of qualified personnel for each task order, and timely and accurate implementation of the requirements of the contract SOW
* Ensure all aspects of planning, scheduling, organizing, managing of all contractor personnel.
* Ensure professional development training as required for personnel.
* Oversees on\-time delivery of requirements, invoicing, and other fiscal management functions.
* Review, assess, manage, and correct any behavior by contractor personnel that would reflect poorly on the Department of State or contract company
**Required Experience \&amp; Qualifications** 
 :
* Bachelor’s degree required in a Business, Management, or Security Administration related field.
* At least thirty (30\) years of professional experience, at least fifteen (15\) managing large government programs.
* Must have at least five (5\) years of experience as a program manager responsible for meeting government contract requirements as a contractor.
* Must have at least fifteen (15\) years of leadership/supervisory experience
* Demonstrated ability to manage contracts including handling Diversity Initiatives, HR, and EEO related issue in a Government workforce setting.
* Security Clearance Required: Top Secret.
* Pursuant to the Government Contract, you must be a U.S. Citizen
* Demonstrated ability managing contracts in excess of $30 million annually and a workforce of over 250\+ personnel.
* Experience with Department of State (DOS) policies and procedures domestically and abroad.
* Experience with the function, policies, and procedures associated with security operations of U.S. Embassies and Consulates.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contractor and government audiences.</t>
        </is>
      </c>
    </row>
    <row r="72">
      <c r="A72" t="inlineStr">
        <is>
          <t>li-4312753913</t>
        </is>
      </c>
      <c r="B72" t="inlineStr">
        <is>
          <t>Industrial Security Program Manager - Goleta, CA</t>
        </is>
      </c>
      <c r="C72" t="inlineStr">
        <is>
          <t>Raytheon</t>
        </is>
      </c>
      <c r="D72" t="inlineStr">
        <is>
          <t>linkedin</t>
        </is>
      </c>
      <c r="E72" t="inlineStr"/>
      <c r="F72" t="inlineStr"/>
      <c r="G72" t="inlineStr">
        <is>
          <t>Goleta, CA</t>
        </is>
      </c>
      <c r="H72" t="inlineStr"/>
      <c r="I72" t="inlineStr">
        <is>
          <t>**Date Posted:**
 2025\-10\-09
**Country:**
 United States of America
**Location:**
 CA601: Goleta (EW) Bldg H01 6380 Hollister Avenue Building H01, Goleta, CA, 93117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DoD Clearance: Top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Industrial Security Program Manager will coordinate and monitor highly sensitive aspects of DoD or other industrial security programs and other security activities while ensuring compliance with government and company security policies and procedures. You will support clearance processing, visit certifications, document control, and physical security, including alarm response for controlled areas. You must possess a thorough understanding of security databases such as DISS, NISS, NBIS eApp, and other government databases. You will also be responsible for implementing and providing guidance to customers and management on security issues such as security education, insider threat, classified document control, security investigations, classification control and personnel clearances. You will be required to apply knowledge of, and experience with, strong understanding of Physical Security requirements to include collateral Closed Areas/Open Storage Areas and Sensitive Compartmented Information Facilities (SCIFs) along with working knowledge of SF\-86, SF\-312, DD\-254, SF700, SF702, Operations Security (OPSEC) in order to develop, implement, and maintain the OPSEC Program to protect sensitive unclassified information, activities, equipment and materials.
 In order to be successul you must have a thorough knowledge of the government personnel and facility clearance processes, NBIS eApp Instruction and all government security systems, such as DISS/NISS.
 You also must have a thorough knowledge of Change Condition Packages, including how and when they are prepared and submitted. Your ability to manage complex situations, along with a demonstrated ability to prioritize multiple tasks while still meeting deadlines will be essential to this position.
**What You Will Do**
* Process and maintain personnel clearances, the facility clearance, and the insider threat program.
* Maintain personnel training and certifications as required for clearance maintenance and contract compliance.
* Train and orient employees in security policies and procedures to ensure compliance with government and customer regulations.
* Provide security briefing and debriefing to employees, subcontractors and consultants, and regularly re\-brief employees on foreign travel, hostile intelligence, insider threats and the like.
* Maintain personnel and facility security records, including foreign travel.
* Manage the Insider Threat Program (ITP) Plan, including leading ITP Working Groups Meetings.
* Analyze security issues/problems and provide focused solutions with the ability to effectively communicate information to various audiences.
* Ensure compliance with the NISPOM Rule and all security protocols required by customers or contracts.
* Keep abreast of ever\-changing industrial security regulations and develop and implement compliance strategies.
* Maintain successful working relationships with internal stakeholders, government agencies, and client security offices.
* Be Responsible for successful preparation for and completion of annual security inspections to ensure government compliance.
* Collaborate with leadership and operational departments, including the Contracts Department and Human Resources to ensure compliance with all prime, subcontractor and consultant security requirements, including the completion and tracking of all DD254s, classified nondisclosure agreements, and clearance justifications.
* Perform all aspects of the FSO and ITPSO roles, and other duties as assigned.
**Qualifications You Must Have**
* Typically requires: A University Degree or equivalent experience and minimum 8 years prior relevant experience with at least 2 years as an FSO or CSSO supportin Department of Defense or Intelligence Community Programs, or An Advanced Degree in a related field and minimum 5 years experience
* Experience with 32 CFR Part 117, NISPOM requirements
* Completion of FSO for non\-possessing or possessing facilities STEPP education program required. Completion of ITPSO training is preferred.
* Experience with DCSA audits preferred.
* Experience with facility clearance sponsorship preferred.
**Qualifications We Prefer**
* Experience with SWIFT preferred.
* Experience as an ITPSO preferred.
**What We Offer**
* Our values drive our actions, behaviors, and performance with a vision for a safer, more connected world. At RTX we value: Safety, Trust, Respect, Accountability, Collaboration, and Innovation.
* This position is eligible for Relocation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112,000 USD \- 224,000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3">
      <c r="A73" t="inlineStr">
        <is>
          <t>li-4365850509</t>
        </is>
      </c>
      <c r="B73" t="inlineStr">
        <is>
          <t>Tuberculosis Elimination Program Manager</t>
        </is>
      </c>
      <c r="C73" t="inlineStr">
        <is>
          <t>Texas Department of State Health Services</t>
        </is>
      </c>
      <c r="D73" t="inlineStr">
        <is>
          <t>linkedin</t>
        </is>
      </c>
      <c r="E73" t="inlineStr"/>
      <c r="F73" t="inlineStr"/>
      <c r="G73" t="inlineStr">
        <is>
          <t>Houston, TX</t>
        </is>
      </c>
      <c r="H73" t="inlineStr"/>
      <c r="I73" t="inlineStr">
        <is>
          <t>Date: Jan 26, 2026
 Location:
 HOUSTON, TX
 DSHS is committed to hiring skilled and dedicated individuals who share a passion for public health to pursue our vision of A Healthy Texas. If you are looking to make an impact and tackle new challenges, we encourage you to consider a career with us.
**Employee Benefits**
 DSHS offers insurance coverage and other benefits available through the State of Texas Group Benefits Plan administered by the Employee Retirement System of Texas (ERS). To learn more about all the benefits available to you as a DSHS employee and other DSHS opportunities for early career pathways, visit the DSHS Careers Page.
 Review our Top 10 Tips for Success when Applying to State of Texas Jobs.
**Functional Title:** 
 Tuberculosis Elimination Program Manager
**Job Title:** 
 Manager III
**Agency:** 
 Dept of State Health Services
**Department:** 
 Region 6/5
**Posting Number:** 
 13236
**Closing Date:** 
 03/27/2026
**Posting Audience:** 
 Internal and External
**Occupational Category:** 
 Management
**Salary Group:** 
 TEXAS\-B\-24
**Salary Range:** 
 $5,425\.33 \- $8,886\.16
**Pay Frequency:** 
 Monthly
**Shift:** 
 Day
**Telework**
**Additional Shift:**
**Travel:** 
 Up to 20%
**Regular/Temporary:** 
 Regular
**Full Time/Part Time:** 
 Full time
**FLSA Exempt/Non\-Exempt:** 
 Exempt
**Facility Location:**
**Job Location City:** 
 HOUSTON
**Job Location Address:** 
 5425 POLK ST
**Other Locations:**
**MOS Codes:** 
 0203,0207,0302,0520,0602,0802,1802,5502,6302,6502,7202,7208,7210,7220,111X,112X,113X,114X,16GX,41AX
 611X,612X,631X,632X,641X,648X,86M0,86P0,8U000,9G100,SEI15
**Job Description**
 Under the direction of the Communicable Disease Manager, the Tuberculosis (TB) Elimination Program Manager directs and oversees the regional TB Control Program and is responsible for the overall management of daily program operations. This position provides direct supervision to the TB Nurse Case Management Team, Contact Investigation staff, Directly Observed Therapy team, and additional support personnel to ensure effective case oversight, contact screening, follow\-up services, and the delivery of public and professional education related to TB prevention and control. The Program Manager ensures that all program activities adhere to CDC guidelines, DSHS TB standards, and regional requirements. This includes oversight of diagnostic and treatment practices to ensure compliance with accepted clinical and public health standards. The position reviews program performance, provides technical consultation, and collaborates closely with local health department directors and their staff to support consistent and high\-quality TB services across the region. Works collaboratively with public health agencies, private healthcare providers, community partners, and other stakeholders to coordinate TB control efforts. Responsibilities include overseeing the collection, analysis, and reporting of TB surveillance and program data; establishing and approving program goals, objectives, and guidelines; and ensuring that all procedures, policies, rules, and regulations are implemented and maintained. Works under general supervision, with moderate latitude for the use of initiative and independent judgment.
**Essential Job Functions**
 MANAGMENT/SUPERVISION (40%) \- Supervises, prioritizes, and coordinates the activities of TB Program personnel to ensure efficient and effective program operations. Develops and maintains position descriptions and leads recruitment, interviewing, and selection processes. Oversees staffing and training to ensure employees meet established expectations and requirements. Manages program operations to ensure adherence to CDC guidelines, DSHS TB standards, and all applicable program requirements. Evaluates employee performance and develops, implements, and refines methods for assessing the effectiveness of program functions and service delivery. Develops and implements performance improvement and professional development plans for employees as needed, and establishes additional performance standards when required. Devises program improvement plans and ensures their effective implementation through monitoring and evaluation of outcomes. Maintains comprehensive documentation for all program activities and TB care requirements. Meets regularly with staff and oversees client care leads to ensure high\-quality case management and continuity of services. Leads regional TB program planning, development, and implementation efforts. Keeps regional executive leadership informed of program status, emerging issues, and key updates, and provides recommendations and feedback as needed. Participates in regional committees and multidisciplinary teams, fostering collaboration and teamwork.
 DISEASE SURVEILLANCE/REPORTING (30%) \- Interacts with state, local and regional governmental and non\-governmental entities and health care providers using tact and diplomacy to ensure the goals of the TB Program and Public Health Region are met. Analyzes disease data, reports on trends, identifies problems, and formulates plans to utilize local, state, and federal resources to control outbreaks and reduce disease incidence. Prepares and submits technical reports and narratives reflecting disease trends, surveillance activities, containment activities, case management, quality assurance, and community partnerships. Develops and/or advises on strategic plans as well as long\- and short\-term goals. Utilizes data management systems (NEDSS, CMIS, other) to monitor program objectives. Ensures Region 6/5 South program and staff meet or exceed CDC and DSHS performance standards. Participates as member of the Region 6/5 South Communicable Disease Team and supports other communicable disease programs in regional disease prevention initiatives as directed.
 FISCAL \&amp; RESOURCE MANAGEMENT (10%) \- Uses initiative and sound judgment to ensure the program operates within established budgetary limits. Oversees the preparation of budget requests and establishes, monitors, and directs program expenditures. Anticipates program needs, develops financial projections, monitors account balances, and makes timely budgetary adjustments to maximize the effective use of fiscal resources. Oversees purchasing processes to support programmatic needs, including the procurement of supplies and equipment in accordance with budgetary allocations and agency purchasing policies. Prepares and reviews expenditure reports and ensures accuracy and compliance with fiscal requirements. Attends budget meetings and responds promptly to requests for financial information. Maintains effective working relationships with internal and external partners, including Central Office staff, to support budget management and coordination. Utilizes relevant computer software to track budgets, expenditures, and projections. Provides required fiscal and programmatic information to support grant applications and ensures the completion and maintenance of grant\-related documentation in accordance with funding requirements.
 PLANNING, COMMUNITY DEVELOPMENT \&amp; TECHNICAL ASSISTANCE (10%) \- Oversee the coordination of TB care, including community collaboration. Develops local health department partnerships to address TB related activities. Acts as a subject matter expert and leads program actions to provide consultative services or technical assistance throughout the Public Health Region. Leads consultations with regional staff, physicians, nurses, private health care providers, local health departments, community health clinics, school and children health facilities, central office staff and all other public and private stakeholders, to accomplish program goals and objectives. Works with TB Nurse Consultant to provide Nurse Case Management expertise. Conducts education and information sharing related to TB prevention and elimination. Coordinates regional/local resources for TB client services. Negotiates and monitors contracts for necessary services. Identifies and develops local partnerships to ensure availability and accessibility of TB services to all communities of the region.
 STAFF TRAINING (5%) \- Conducts training needs assessment of all TB staff and identifies professional development opportunities. Oversees training (e.g., continuing education/continuing medical education approved) of health professionals and development of applicable education and training opportunities in collaboration with other stakeholders. Conducts appropriate training. Ensures that healthcare providers are informed of current medical/epidemiological information as well as state/regional policies and recommendations. Reviews/distributes current TB literature.
 OTHER DUTIES (5%) \- Completes special projects as assigned. Actively participates and/or serves in a supporting role to meet the agency’s obligations for disaster response and/or recovery or Continuity of Operations (COOP) activation. May be required to work an alternate shift pattern assignment and/or location to respond to public health emergencies.
**Knowledge Skills Abilities**
 Knowledge of Tuberculosis diseases including symptomatology, diagnostic techniques, recommended treatment, and the most current accepted prevention and control strategies.
 Knowledge of the principles, processes, practices, and techniques used to develop and deliver state, regional, and local public health programs.
 Knowledge of federal, state, and local rules and regulations governing the reporting and control of TB.
 Knowledge of pertinent techniques of management, evaluation, and program monitoring.
 Knowledge of medical terms and familiarity with medical records.
 Knowledge of, and sensitivity to prejudices and stereotypes which influence TB surveillance and intervention efforts.
 Knowledge of statistical analysis processes.
 Knowledge of active and passive disease surveillance.
 Skill in team management, including managing change.
 Skill in clear and effective oral and written communication with a wide range of audiences and forums, including interpersonal, public presentations, and publications.
 Skill in the application of administrative and analytical methods and techniques within the framework of local, regional, or state public health organization to achieve program goals.
 Skill in gathering and analyzing information.
 Skills in the use of word processing (Word), spreadsheet (Excel), electronic mail (Outlook), and presentation (PowerPoint) software and personal computer in a network environment.
 Skill in TB disease surveillance, case investigation, including reading patient records and epidemiology.
 Ability to apply the concepts of public health practices.
 Ability to successfully engage diverse populations to prevent and control TB.
 Ability to maintain confidentiality.
 Ability to develop training techniques and educational media and to motivate public health personnel in program planning and implementation.
 Ability to collect and evaluate facts and use analytical processes to draw meaningful conclusions.
 Ability to initiate and complete complex, goal\-oriented independent projects and tasks.
 Ability to work effectively with teams and communicate with medical professionals.
 Ability to prepare concise reports.
 Ability to develop and evaluate policies and procedures.
 Ability to assign and supervise the work of others.
 Ability to establish effective working relationships with public and private health care providers, school officials, community leaders, public health agencies, community partners, clients, management, coworkers and employees.
**Registration Or Licensure Requirements**
* Must be Registered Nurse in Texas or registered in a state that recognizes reciprocity through the Nurse Licensure Compact.
* Valid Texas Driver's License.
**Initial Selection Criteria**
* Bachelor of science in nursing (BSN) degree from an accredited college or university required.
* Master’s degree from an accredited college or university with major course work in a field relevant to public health (preferred).
* Experience working in the field of TB required.
* Experience supervising or providing direct management to public health staff required.
**Additional Information**
 PLEASE NOTE: The posted salary range is the full range for this position. Agency salary policy, budget and candidate’s qualifications will dictate final salary offer. Typically, salary offers are at or near the midpoint of the range, depending on qualifications or other factors.
 Must follow all agency policies, including immunizations. Must provide transportation, driver’s records verified.
 Flexibility in work hours may be required by DSHS for this position. Candidates must be able to travel independently and adhere to agency travel policies. Travel required from main work location in Houston across the 16 counties in Public Health Region 6/5S and to other locations, as necessary, in the State of Texas, including the DSHS main campus in Austin. Travel is usually scheduled in advance to allow for advance planning.
 See also the information about the DSHS TB Program at Texas Department of State Health Services (dshs.texas.gov) and federal TB information at Centers for Disease Control and Prevention (cdc.gov).
 In addition to rewarding, meaningful work, DSHS offers a variety of benefits, which can be found at https://ers.texas.gov/Benefits\-at\-a\-Glance, and generous leave based on years of service. A list of State of Texas holidays is available at: http://www.hr.sao.texas.gov/Holidays.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for this position. For more information see the Texas State Auditor’s Military Crosswalk at https://hr.sao.texas.gov/CompensationSystem/JobDescriptions/.
**ADA Accommodations**
 In compliance with the Americans with Disabilities Act (ADA), DSHS will provide reasonable accommodation during the hiring process for individuals with a qualifying disability. If reasonable accommodation is needed to participate in the interview process, please notify the person who contacts you to schedule the interview. If you need assistance completing the on\-line application, contact the HHS Employee Service Center at 1\-888\-894\-4747 or via email at HHSServiceCenter.Applications@ngahrhosting.com.
**Salary Information, Pre\-employment Checks, And Work Eligibility**
* The salary offered will follow DSHS starting salary guidelines. Any employment offer is contingent upon available budgeted funds.
* Depending on the program area and position requirements, applicants selected for hire may be required to pass background and other due diligence checks.
* DSHS uses E\-Verify. You must bring your I\-9 documentation with you on your first day of work. Download the I\-9 form
**Nearest Major Market:** 
 Houston</t>
        </is>
      </c>
    </row>
    <row r="74">
      <c r="A74" t="inlineStr">
        <is>
          <t>li-4366189020</t>
        </is>
      </c>
      <c r="B74" t="inlineStr">
        <is>
          <t>HR Program Manager - Labor Relations *Hybrid*</t>
        </is>
      </c>
      <c r="C74" t="inlineStr">
        <is>
          <t>Providence</t>
        </is>
      </c>
      <c r="D74" t="inlineStr">
        <is>
          <t>linkedin</t>
        </is>
      </c>
      <c r="E74" t="inlineStr"/>
      <c r="F74" t="inlineStr"/>
      <c r="G74" t="inlineStr">
        <is>
          <t>Renton, WA</t>
        </is>
      </c>
      <c r="H74" t="inlineStr"/>
      <c r="I74" t="inlineStr">
        <is>
          <t>**Description**
* HR Program Manager \\Hybrid
* Candidates residing in the greater Renton/Seattle area are encouraged to apply.\*\*
 As an expert member of the HR team, the LER Program Manager is responsible for serving as a strategic data and report consultant to local HR, LERC Executive Directors, Labor and Employment VPs and operational leaders who face organizing activity and employee relations issues where labor relations and data reporting subject matter expertise is needed. The role includes facilitating and recommending best practice approaches to labor and employee relations, adherence to HR policies, compliance with regulatory and policy requirements, investigation guidance, preparing data metrics and dashboards and making recommendations for workplace environment improvement. A LER Program Manager will provide seasoned expertise and appropriate data systems to support regulatory and agency requirements, as well as all federal and state employment laws.
 This role will work onsite locally 2 to 3 days a week.
 Providence caregivers are not simply valued – they’re invaluable. Join our team at Providence Human Resources and thrive in our culture of patient\-focused, whole\-person care built on understanding, commitment, and mutual respect. Your voice matters here, because we know that to inspire and retain the best people, we must empower them.
**Required Qualifications**
* 8 years related work experience.
* Experience at an exempt level as an HR Strategic Partner or HR Consultant.
* Multi\-site/location, multi\-line of business, and/or integrated health system experience.
* Demonstrates advanced experience in one or more of the following specialty areas: labor relations, ADAAA, Leaves of Absence, Affirmative Action, mediation, or OD.
* Experience in leading project work within a matrix environment.
* Experience in HR strategic planning and working through local strategic partnerships, service center environment and centers of expertise to achieve aligned objectives.
**Preferred Qualifications**
* Bachelor's Degree in Human Resources, Business, or related field.
* Consulting experience.
* Program Management
* Upon hire: SPHR, PHR certificate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407883
**Company:** 
 Providence Jobs
**Job Category:** 
 HR Generalist
**Job Function:** 
 Human Resources
**Job Schedule:** 
 Full time
**Job Shift:** 
 Day
**Career Track:** 
 Business Professional
**Department:** 
 4002 SS HR LABOR RELATIONS
**Address:** 
 WA Renton 1801 Lind Ave SW
**Work Location:** 
 Providence Valley Office Park\-Renton
**Workplace Type:** 
 Hybrid
**Pay Range:** 
 $44\.35 \- $68\.86
 The amounts listed are the base pay range; additional compensation may be available for this role, such as shift differentials, standby/on\-call, overtime, premiums, extra shift incentives, or bonus opportunities.</t>
        </is>
      </c>
    </row>
    <row r="75">
      <c r="A75" t="inlineStr">
        <is>
          <t>li-4366227804</t>
        </is>
      </c>
      <c r="B75" t="inlineStr">
        <is>
          <t>Senior/Lead Product Manager</t>
        </is>
      </c>
      <c r="C75" t="inlineStr">
        <is>
          <t>Finexio</t>
        </is>
      </c>
      <c r="D75" t="inlineStr">
        <is>
          <t>linkedin</t>
        </is>
      </c>
      <c r="E75">
        <f>HYPERLINK("https://www.linkedin.com/jobs/view/4366227804", "https://www.linkedin.com/jobs/view/4366227804")</f>
        <v/>
      </c>
      <c r="F75" t="inlineStr"/>
      <c r="G75" t="inlineStr">
        <is>
          <t>New York, NY</t>
        </is>
      </c>
      <c r="H75" t="inlineStr"/>
      <c r="I75" t="inlineStr">
        <is>
          <t>****About Finexio****
 Finexio is a leading innovator in the B2B payments space, pioneering "AP Payments as a Service" — an embedded payments solution that seamlessly integrates with our customers' accounts payable and procurement software. Our mission is to eliminate manual, complex payment workflows so that finance leaders only have to decide "what" to pay — while our technology handles the "how" and the "when."
 Backed by strategic fintech investors including JP Morgan, Capital One, NBH Bank, Mendon Venture Partners, and Patriot Financial Partners, Finexio is growing rapidly, and we are building a world\-class team to support our next phase of scale.
****Position Overview****
 As Lead/Senior Product Management, you will be responsible for leading the end\-to\-end delivery of Finexio's product initiatives. This role blends
 **strategic thinking** 
 ,
 **cross\-functional collaboration** 
 , and
 **execution rigor** 
 to translate customer and business needs into actionable product development plans. You will serve as the connective tissue between business stakeholders, engineering, and external partners — ensuring timely delivery, user satisfaction, and measurable business impact.
 You will manage the development of detailed product requirements, user acceptance criteria, and drive the internal and external commercialization of new capabilities working with one tenured product management resource on your team to execute on all initiatives. A successful candidate will be a highly motivated product leader with strong business acumen, technical fluency, and a passion for building impactful B2B SaaS solutions.
****Key Responsibilities****
**Planning \&amp; Execution**
* Define, implement, and manage a scalable product management framework, including scoring and prioritization models
* Translate business cases and customer insights into clear product roadmaps and execution timelines
* Partner with P\&amp;L owners, engineering, operations, and sales to ensure consistent delivery of customer value
* Own maintenance of company product roadmap including internal and external views
**Product Delivery**
* Lead the product development lifecycle from concept through delivery, managing scope, acceptance criteria, and release schedules
* Write business and technical requirement documents, including user stories, project plans, and user acceptance criteria
* Coordinate and drive engineering team to deliver high\-quality, timely releases
* Monitor release readiness, UAT outcomes, and post\-launch performance to drive improvements
**Stakeholder Engagement \&amp; Communication**
* Serve as the primary liaison between engineering and internal stakeholders including Sales, Operations, and Fraud Prevention
* Host regular roadmap reviews and cross\-functional alignment meetings to ensure transparency and prioritization
* Create and distribute C\-suite\-ready materials to communicate progress against plan, goals, and KPIs
* Collaborate with marketing and sales teams to support product launches and customer education efforts
**Customer\-Focused Development**
* Define and manage internal and external product roadmaps with input from key stakeholders and customer feedback loops
* Ingest, organize, and prioritize customer requests and suggestions for future roadmap alignment
* Ensure the voice of the customer is embedded into every stage of the product development lifecycle
* Build product solutions that deliver measurable outcomes — especially in security, compliance, automation, and partner/channel integrations
****Requirements****
* Bachelor's degree required; MBA or technical graduate degree highly preferred
* 6\+ years of progressive product management experience, including leading small (1\-3\) product teams for enterprise SaaS platforms
* Proven success defining and launching B2B products with cross\-functional teams
* Strong technical understanding of modern SaaS architecture, APIs, Agile/Scrum methodologies, and the software development lifecycle (SDLC)
* Experience working with or within payments, fintech, AP/AR automation, or ERP\-integrated platforms is strongly preferred
* Excellent written and verbal communication skills — able to convey technical and strategic concepts to both internal and external stakeholders
* Data\-driven mindset; comfortable using KPIs to track product health, customer value, and ROI
**Critical Success Competencies**
**Accountability \&amp; Execution Excellence**
* Proven track record of consistently meeting deadlines with multiple concurrent projects and competing priorities
* Demonstrated ability to proactively escalate blockers before they impact deliverables, rather than missing commitments silently
* Experience taking full ownership of cross\-functional initiatives from inception through delivery, including difficult conversations and decisions
* Track record of following through on written commitments from senior leadership with specific timelines
**Proactive Communication \&amp; Transparency**
* Exceptional proactive communication skills — must provide regular, unprompted status updates to leadership and stakeholders
* Strong written communication skills for creating clear guidance documents, requirements, and team direction
* Experience communicating blockers and resource needs clearly and early, before they impact deliverables
**Process Management \&amp; Organizational Excellence**
* Hands\-on experience implementing unified product roadmaps and consolidating multiple tracking systems into a single source of truth
* Proven ability to create and maintain organized documentation that the entire organization can access and understand
* Experience managing intake processes and eliminating workflow confusion across multiple stakeholders
* Demonstrated success maintaining sprint backlogs and ensuring engineering teams always have ready work
**Team Leadership \&amp; Development**
* Experience providing clear, written guidance to direct reports with specific deliverables and timelines
* Ability to create accountability systems that ensure team members are productive and aligned with priorities
* Comfort with admitting knowledge gaps and seeking help when needed, while maintaining leadership credibility
****What Success Looks Like****
* Timely delivery of high\-impact product features that support Finexio's revenue and operational goals
* Measurable improvement in internal stakeholder satisfaction and customer adoption of new features
* Streamlined cross\-functional collaboration, resulting in fewer handoff issues between sales, onboarding, and product
 Increased transparency in product decision\-making through clear scoring, documentation, and communication.
****Benefits****
**Why You'll Love Working at Finexio**
* Culture: Collaborative, humble, and client\-first — we win as a team
* Speed: We move fast, reward innovation, and give you the opportunity to make a direct impact
* Growth: Join a high\-growth fintech leader disrupting the B2B payments space
****Benefits****
* Competitive salary and equity compensation
* Medical, dental, and vision insurance
* Unlimited PTO
* Remote flexibility with periodic team offsites
* Dynamic team culture with regular engagement and collaboration opportunities
 Compensation: Base Salary $125 \- 145k \+ Equity and Performance Incentive</t>
        </is>
      </c>
    </row>
    <row r="76">
      <c r="A76" t="inlineStr">
        <is>
          <t>li-4366224843</t>
        </is>
      </c>
      <c r="B76" t="inlineStr">
        <is>
          <t>Senior/Lead Product Manager</t>
        </is>
      </c>
      <c r="C76" t="inlineStr">
        <is>
          <t>Finexio</t>
        </is>
      </c>
      <c r="D76" t="inlineStr">
        <is>
          <t>linkedin</t>
        </is>
      </c>
      <c r="E76">
        <f>HYPERLINK("https://www.linkedin.com/jobs/view/4366224843", "https://www.linkedin.com/jobs/view/4366224843")</f>
        <v/>
      </c>
      <c r="F76" t="inlineStr"/>
      <c r="G76" t="inlineStr">
        <is>
          <t>Orlando, FL</t>
        </is>
      </c>
      <c r="H76" t="inlineStr"/>
      <c r="I76" t="inlineStr">
        <is>
          <t>****About Finexio****
 Finexio is a leading innovator in the B2B payments space, pioneering "AP Payments as a Service" — an embedded payments solution that seamlessly integrates with our customers' accounts payable and procurement software. Our mission is to eliminate manual, complex payment workflows so that finance leaders only have to decide "what" to pay — while our technology handles the "how" and the "when."
 Backed by strategic fintech investors including JP Morgan, Capital One, NBH Bank, Mendon Venture Partners, and Patriot Financial Partners, Finexio is growing rapidly, and we are building a world\-class team to support our next phase of scale.
****Position Overview****
 As Lead/Senior Product Management, you will be responsible for leading the end\-to\-end delivery of Finexio's product initiatives. This role blends
 **strategic thinking** 
 ,
 **cross\-functional collaboration** 
 , and
 **execution rigor** 
 to translate customer and business needs into actionable product development plans. You will serve as the connective tissue between business stakeholders, engineering, and external partners — ensuring timely delivery, user satisfaction, and measurable business impact.
 You will manage the development of detailed product requirements, user acceptance criteria, and drive the internal and external commercialization of new capabilities working with one tenured product management resource on your team to execute on all initiatives. A successful candidate will be a highly motivated product leader with strong business acumen, technical fluency, and a passion for building impactful B2B SaaS solutions.
****Key Responsibilities****
**Planning \&amp; Execution**
* Define, implement, and manage a scalable product management framework, including scoring and prioritization models
* Translate business cases and customer insights into clear product roadmaps and execution timelines
* Partner with P\&amp;L owners, engineering, operations, and sales to ensure consistent delivery of customer value
* Own maintenance of company product roadmap including internal and external views
**Product Delivery**
* Lead the product development lifecycle from concept through delivery, managing scope, acceptance criteria, and release schedules
* Write business and technical requirement documents, including user stories, project plans, and user acceptance criteria
* Coordinate and drive engineering team to deliver high\-quality, timely releases
* Monitor release readiness, UAT outcomes, and post\-launch performance to drive improvements
**Stakeholder Engagement \&amp; Communication**
* Serve as the primary liaison between engineering and internal stakeholders including Sales, Operations, and Fraud Prevention
* Host regular roadmap reviews and cross\-functional alignment meetings to ensure transparency and prioritization
* Create and distribute C\-suite\-ready materials to communicate progress against plan, goals, and KPIs
* Collaborate with marketing and sales teams to support product launches and customer education efforts
**Customer\-Focused Development**
* Define and manage internal and external product roadmaps with input from key stakeholders and customer feedback loops
* Ingest, organize, and prioritize customer requests and suggestions for future roadmap alignment
* Ensure the voice of the customer is embedded into every stage of the product development lifecycle
* Build product solutions that deliver measurable outcomes — especially in security, compliance, automation, and partner/channel integrations
****Requirements****
* Bachelor's degree required; MBA or technical graduate degree highly preferred
* 6\+ years of progressive product management experience, including leading small (1\-3\) product teams for enterprise SaaS platforms
* Proven success defining and launching B2B products with cross\-functional teams
* Strong technical understanding of modern SaaS architecture, APIs, Agile/Scrum methodologies, and the software development lifecycle (SDLC)
* Experience working with or within payments, fintech, AP/AR automation, or ERP\-integrated platforms is strongly preferred
* Excellent written and verbal communication skills — able to convey technical and strategic concepts to both internal and external stakeholders
* Data\-driven mindset; comfortable using KPIs to track product health, customer value, and ROI
**Critical Success Competencies**
**Accountability \&amp; Execution Excellence**
* Proven track record of consistently meeting deadlines with multiple concurrent projects and competing priorities
* Demonstrated ability to proactively escalate blockers before they impact deliverables, rather than missing commitments silently
* Experience taking full ownership of cross\-functional initiatives from inception through delivery, including difficult conversations and decisions
* Track record of following through on written commitments from senior leadership with specific timelines
**Proactive Communication \&amp; Transparency**
* Exceptional proactive communication skills — must provide regular, unprompted status updates to leadership and stakeholders
* Strong written communication skills for creating clear guidance documents, requirements, and team direction
* Experience communicating blockers and resource needs clearly and early, before they impact deliverables
**Process Management \&amp; Organizational Excellence**
* Hands\-on experience implementing unified product roadmaps and consolidating multiple tracking systems into a single source of truth
* Proven ability to create and maintain organized documentation that the entire organization can access and understand
* Experience managing intake processes and eliminating workflow confusion across multiple stakeholders
* Demonstrated success maintaining sprint backlogs and ensuring engineering teams always have ready work
**Team Leadership \&amp; Development**
* Experience providing clear, written guidance to direct reports with specific deliverables and timelines
* Ability to create accountability systems that ensure team members are productive and aligned with priorities
* Comfort with admitting knowledge gaps and seeking help when needed, while maintaining leadership credibility
****What Success Looks Like****
* Timely delivery of high\-impact product features that support Finexio's revenue and operational goals
* Measurable improvement in internal stakeholder satisfaction and customer adoption of new features
* Streamlined cross\-functional collaboration, resulting in fewer handoff issues between sales, onboarding, and product
 Increased transparency in product decision\-making through clear scoring, documentation, and communication.
****Benefits****
**Why You'll Love Working at Finexio**
* Culture: Collaborative, humble, and client\-first — we win as a team
* Speed: We move fast, reward innovation, and give you the opportunity to make a direct impact
* Growth: Join a high\-growth fintech leader disrupting the B2B payments space
****Benefits****
* Competitive salary and equity compensation
* Medical, dental, and vision insurance
* Unlimited PTO
* Remote flexibility with periodic team offsites
* Dynamic team culture with regular engagement and collaboration opportunities
 Compensation: Base Salary $125 \- 145k \+ Equity and Performance Incentive</t>
        </is>
      </c>
    </row>
    <row r="77">
      <c r="A77" t="inlineStr">
        <is>
          <t>li-4366226560</t>
        </is>
      </c>
      <c r="B77" t="inlineStr">
        <is>
          <t>Director - Data Product Owner</t>
        </is>
      </c>
      <c r="C77" t="inlineStr">
        <is>
          <t>The Value Maximizer</t>
        </is>
      </c>
      <c r="D77" t="inlineStr">
        <is>
          <t>linkedin</t>
        </is>
      </c>
      <c r="E77">
        <f>HYPERLINK("https://www.linkedin.com/jobs/view/4366226560", "https://www.linkedin.com/jobs/view/4366226560")</f>
        <v/>
      </c>
      <c r="F77" t="inlineStr"/>
      <c r="G77" t="inlineStr">
        <is>
          <t>New York, NY</t>
        </is>
      </c>
      <c r="H77" t="inlineStr"/>
      <c r="I77" t="inlineStr">
        <is>
          <t>**Director \- Data Product Owner /SME (IBOR) :**
 Location: Focused on 3 markets: (1\) NY/NJ, (2\) Charlotte/Fort Mill, (2\) Austin Texas
 Reports To: Head of Wealth Management
 Experience: 8\-10 years' relevant experience (overall 12\-15 years) Level: Director
**About the role:** 
 We are seeking a Senior Data Product Owner with deep expertise in Wealth Management or Asset Management to lead enterprise data modernization initiatives. The ideal candidate will have hands\-on experience working with Investment Book of Record (IBOR), Accounting Book of Record (ABOR), Security Master, and capital markets data across top\-tier financial institutions such as JP Morgan, Morgan Stanley, State Street, or BlackRock.This role requires a strategic thinker who can bridge business, data, and technology teams to define the roadmap, drive delivery, and ensure the creation of high\-quality, scalable, and integrated data products that power investment, advisory, and reporting functions.
**Key Responsibilities:** 
 Product Ownership: Own and define the vision, roadmap, and delivery of enterprise data products serving wealth and asset management domains.
* Data Modernization: Lead initiatives modernizing data architectures (IBOR, ABOR, Client Master, Account Master, Security Master) on cloud\-based platforms
* Capital Markets Data Expertise: Drive the ingestion and management of transaction feeds, position feeds, and custodian data to enable a unified and accurate data ecosystem
* Stakeholder Collaboration: Partner with business, technology, and operations teams to translate investment and operations needs into actionable data product requirements
* Roadmap \&amp; Prioritization: Manage product backlogs aligned with business priorities, emphasizing scalability, performance, and data quality
* Data Governance \&amp; Quality: Define and enforce standards for data ownership, lineage, and stewardship across investment and reference data domains
* Cloud \&amp; Architecture Leadership: Collaborate with architecture teams to implement cloud\-native data solutions (e.g., Snowflake, AWS, Azure) and adopt modern design principles such as data mesh and data fabric
* Delivery Management: Ensure timely delivery of high\-impact features using agile practices, coordinating across engineering, QA, and business teams
* Business Partnership: Serve as the domain SME supporting front, middle, and back\-office functions including trading, portfolio management, accounting, and performance reporting. Qualifications:
* 10\+ years of experience in Wealth Management or Asset Management, ideally with exposure to top\-tier institutions (JP Morgan, Morgan Stanley, State Street, BlackRock, UBS, Bank of America, RBS, Nomura, etc. or the firms that service these domains like CapGem, TCS, Capco, Infosys, Cognizant, etc.)
* Strong understanding of capital markets data — transaction feeds, position feeds, custodian feeds, holdings, and pricing data
* Deep knowledge of investment data domains: IBOR, ABOR, Security Master, Client Master, and Account Master
* Proven experience delivering data modernization or cloud migration programs in financial services
* Proficiency with data platforms and tools such as Snowflake, AWS, Azure Data Services, Informatica, or equivalent
* Solid understanding of data governance, lineage, metadata, and reference data management frameworks (e.g., Collibra, Profisee)
* Excellent communication, analytical, and stakeholder management skills
* Experience in Agile/Scaled Agile (SAFe) environments</t>
        </is>
      </c>
    </row>
    <row r="78">
      <c r="A78" t="inlineStr">
        <is>
          <t>li-4366184790</t>
        </is>
      </c>
      <c r="B78" t="inlineStr">
        <is>
          <t>Global Product Manager</t>
        </is>
      </c>
      <c r="C78" t="inlineStr">
        <is>
          <t>Taco, Inc.</t>
        </is>
      </c>
      <c r="D78" t="inlineStr">
        <is>
          <t>linkedin</t>
        </is>
      </c>
      <c r="E78">
        <f>HYPERLINK("https://www.linkedin.com/jobs/view/4366184790", "https://www.linkedin.com/jobs/view/4366184790")</f>
        <v/>
      </c>
      <c r="F78" t="inlineStr"/>
      <c r="G78" t="inlineStr">
        <is>
          <t>Cranston, RI</t>
        </is>
      </c>
      <c r="H78" t="inlineStr"/>
      <c r="I78"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Hybrid
**Position Summary** 
 The
 Global
 Product Manager translates top\-level business strategy into actionable product strategy to achieve corporate sales, margin, and financial goals
 for a specific portfolio of products
 sold
 across multiple global markets
 .
 They manage
 the execution of all processes in the product lifecycle from concept to end\-of\-life, including market research, competitor analysis, planning, positioning, requirements, roadmap development, and product launch.
 They assess proposed product additions and enhancements, evaluating their fit, functionality, technical complexity, and viability within the existing product portfolio
 and company capabilities
 . By integrating channel and industry insights into the product development process, they create a product portfolio that meets
 identified
 market needs. Additionally, the Product Manager
 is responsible for
 developing and
 maintaining
 a dynamic 5\-year product roadmap, incorporating data from lifecycle evaluations of existing product lines.
 Measures of success:
* Maintain and deliver portfolio and product roadmap updates to stakeholders on a regularly scheduled basis.
* Facilitate
 timely
 , high quality product portfolio decisions in a collaborative and cross functional environment.
* I
 dentify
 , gain buy\-in
 for
 ,
 and
 execute
 cross\-functional
 product line initiatives
 to m
 eet or exceed revenue, profit, free cash flow, and wallet share targets
 .
* M
 eet pre\-determined deadlines to support product portfolio reviews and new product development teams
 .
* Effective co
 llaborat
 ion
 with international teams
 .
**Responsibilities** 
 Responsibilities include but are not limited to:
* Develop and
 maintain
 a comprehensive
 global
 product vision and strategy considering the entire product lifecycle
 .
* Oversee product development processes from
 inception
 to post\-launch, coordinating with sales, engineering, production, marketing, and other key stakeholders to ensure product success.
* Develop a deep understanding of
 global
 market size, trends, needs, pricing, and opportunities for assigned products and prepare strategic recommendations.
* Research,
 monitor
 , and evaluate competitive information,
 maintaining
 competitor tracking and information systems.
* Ensure compliance with regional and
 inter
 national codes
 and standards.
* Create and
 maintain
 product strategy documents detailing business cases, high\-level use cases, product requirements, revenue, and
 return on investment
 (
 ROI
 ). T
 ranslate
 into
 up to date 5\-year product roadmaps and s
 ecure internal approval
 for investments
 .
* Write Product Requirements and Market Requirements documents.
* Monitor sales and margin performance of new and existing products.
* Participate in monthly and annual unit, revenue, and profit forecasts for responsible product lines. Support sales and operations planning (S
 \&amp;
 OP).
 Determine
 product pricing strategies and recommend price adjustments to meet or exceed profitability targets.
* Coordinate and
 participate
 in voice of customer (VOC) interviews, beta tests, and field trials.
* Support the evaluation of existing and potential external vendors and
 identify
 new and existing product partnerships.
* Provide product and application
 expertise
 to enhance sales, advertising, public relations, and related activities.
* Participate in
 inter
 national and regional exhibitions as
 required
 .
* Assist
 sales personnel with product
 and technical
 document creation.
* Establish and support top\-level training for customers, manufacturer’s representatives, and internal teams covering new products and modifications.
* Evaluate warranty data
 ,
 p
 articipate
 in high\-level field troubleshooting analysis,
 and coordinate action plans for continuous product quality improvements.
* Participate in long\-range division planning and
 goal setting
 .
* Manage personal budget, including travel, education, and organizational memberships.
* Perform other related duties as
 required
 or directed.
**Qualifications** 
 Required:
* Bachelor’s degree in Marketing, Engineering or related field
* 5
 \+
 years of experience with
 progressive responsibility for sales, product
 management, product manufacturing, systems application
 ,
 or business development
 preferably in the HVAC or plumbing industry
* Experience collaborating with global teams across multiple continents, especially in North America, Latin America, Europe, the Middle East, and the Asia\-Pacific (APAC).
* Proficiency with Microsoft Office (Outlook, Word, Excel, etc.)
* Self\-directed, good communication skills
* Travel both domestically and internationally as needed up to 20% of the time to trade shows, sales reps, conferences, and product related job site visits, etc.
 Preferred:
* Master’s degree in Business Administration
* Project Management Professional (PMP) certification
* Experience with Epicor ERP (Enterprise Resource Planning), PowerBI, PDTrak and JIRA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may work from home up to 2X/week if performance is in good standing. 
**Management:** 
 This position has no direct reports.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row>
    <row r="79">
      <c r="A79" t="inlineStr">
        <is>
          <t>li-4366234598</t>
        </is>
      </c>
      <c r="B79" t="inlineStr">
        <is>
          <t>Senior/Lead Product Manager</t>
        </is>
      </c>
      <c r="C79" t="inlineStr">
        <is>
          <t>Finexio</t>
        </is>
      </c>
      <c r="D79" t="inlineStr">
        <is>
          <t>linkedin</t>
        </is>
      </c>
      <c r="E79">
        <f>HYPERLINK("https://www.linkedin.com/jobs/view/4366234598", "https://www.linkedin.com/jobs/view/4366234598")</f>
        <v/>
      </c>
      <c r="F79" t="inlineStr"/>
      <c r="G79" t="inlineStr">
        <is>
          <t>Atlanta, GA</t>
        </is>
      </c>
      <c r="H79" t="inlineStr"/>
      <c r="I79" t="inlineStr">
        <is>
          <t>****About Finexio****
 Finexio is a leading innovator in the B2B payments space, pioneering "AP Payments as a Service" — an embedded payments solution that seamlessly integrates with our customers' accounts payable and procurement software. Our mission is to eliminate manual, complex payment workflows so that finance leaders only have to decide "what" to pay — while our technology handles the "how" and the "when."
 Backed by strategic fintech investors including JP Morgan, Capital One, NBH Bank, Mendon Venture Partners, and Patriot Financial Partners, Finexio is growing rapidly, and we are building a world\-class team to support our next phase of scale.
****Position Overview****
 As Lead/Senior Product Management, you will be responsible for leading the end\-to\-end delivery of Finexio's product initiatives. This role blends
 **strategic thinking** 
 ,
 **cross\-functional collaboration** 
 , and
 **execution rigor** 
 to translate customer and business needs into actionable product development plans. You will serve as the connective tissue between business stakeholders, engineering, and external partners — ensuring timely delivery, user satisfaction, and measurable business impact.
 You will manage the development of detailed product requirements, user acceptance criteria, and drive the internal and external commercialization of new capabilities working with one tenured product management resource on your team to execute on all initiatives. A successful candidate will be a highly motivated product leader with strong business acumen, technical fluency, and a passion for building impactful B2B SaaS solutions.
****Key Responsibilities****
**Planning \&amp; Execution**
* Define, implement, and manage a scalable product management framework, including scoring and prioritization models
* Translate business cases and customer insights into clear product roadmaps and execution timelines
* Partner with P\&amp;L owners, engineering, operations, and sales to ensure consistent delivery of customer value
* Own maintenance of company product roadmap including internal and external views
**Product Delivery**
* Lead the product development lifecycle from concept through delivery, managing scope, acceptance criteria, and release schedules
* Write business and technical requirement documents, including user stories, project plans, and user acceptance criteria
* Coordinate and drive engineering team to deliver high\-quality, timely releases
* Monitor release readiness, UAT outcomes, and post\-launch performance to drive improvements
**Stakeholder Engagement \&amp; Communication**
* Serve as the primary liaison between engineering and internal stakeholders including Sales, Operations, and Fraud Prevention
* Host regular roadmap reviews and cross\-functional alignment meetings to ensure transparency and prioritization
* Create and distribute C\-suite\-ready materials to communicate progress against plan, goals, and KPIs
* Collaborate with marketing and sales teams to support product launches and customer education efforts
**Customer\-Focused Development**
* Define and manage internal and external product roadmaps with input from key stakeholders and customer feedback loops
* Ingest, organize, and prioritize customer requests and suggestions for future roadmap alignment
* Ensure the voice of the customer is embedded into every stage of the product development lifecycle
* Build product solutions that deliver measurable outcomes — especially in security, compliance, automation, and partner/channel integrations
****Requirements****
* Bachelor's degree required; MBA or technical graduate degree highly preferred
* 6\+ years of progressive product management experience, including leading small (1\-3\) product teams for enterprise SaaS platforms
* Proven success defining and launching B2B products with cross\-functional teams
* Strong technical understanding of modern SaaS architecture, APIs, Agile/Scrum methodologies, and the software development lifecycle (SDLC)
* Experience working with or within payments, fintech, AP/AR automation, or ERP\-integrated platforms is strongly preferred
* Excellent written and verbal communication skills — able to convey technical and strategic concepts to both internal and external stakeholders
* Data\-driven mindset; comfortable using KPIs to track product health, customer value, and ROI
**Critical Success Competencies**
**Accountability \&amp; Execution Excellence**
* Proven track record of consistently meeting deadlines with multiple concurrent projects and competing priorities
* Demonstrated ability to proactively escalate blockers before they impact deliverables, rather than missing commitments silently
* Experience taking full ownership of cross\-functional initiatives from inception through delivery, including difficult conversations and decisions
* Track record of following through on written commitments from senior leadership with specific timelines
**Proactive Communication \&amp; Transparency**
* Exceptional proactive communication skills — must provide regular, unprompted status updates to leadership and stakeholders
* Strong written communication skills for creating clear guidance documents, requirements, and team direction
* Experience communicating blockers and resource needs clearly and early, before they impact deliverables
**Process Management \&amp; Organizational Excellence**
* Hands\-on experience implementing unified product roadmaps and consolidating multiple tracking systems into a single source of truth
* Proven ability to create and maintain organized documentation that the entire organization can access and understand
* Experience managing intake processes and eliminating workflow confusion across multiple stakeholders
* Demonstrated success maintaining sprint backlogs and ensuring engineering teams always have ready work
**Team Leadership \&amp; Development**
* Experience providing clear, written guidance to direct reports with specific deliverables and timelines
* Ability to create accountability systems that ensure team members are productive and aligned with priorities
* Comfort with admitting knowledge gaps and seeking help when needed, while maintaining leadership credibility
****What Success Looks Like****
* Timely delivery of high\-impact product features that support Finexio's revenue and operational goals
* Measurable improvement in internal stakeholder satisfaction and customer adoption of new features
* Streamlined cross\-functional collaboration, resulting in fewer handoff issues between sales, onboarding, and product
 Increased transparency in product decision\-making through clear scoring, documentation, and communication.
****Benefits****
**Why You'll Love Working at Finexio**
* Culture: Collaborative, humble, and client\-first — we win as a team
* Speed: We move fast, reward innovation, and give you the opportunity to make a direct impact
* Growth: Join a high\-growth fintech leader disrupting the B2B payments space
****Benefits****
* Competitive salary and equity compensation
* Medical, dental, and vision insurance
* Unlimited PTO
* Remote flexibility with periodic team offsites
* Dynamic team culture with regular engagement and collaboration opportunities
 Compensation: Base Salary $125 \- 145k \+ Equity and Performance Incentive</t>
        </is>
      </c>
    </row>
    <row r="80">
      <c r="A80" t="inlineStr">
        <is>
          <t>li-4366224594</t>
        </is>
      </c>
      <c r="B80" t="inlineStr">
        <is>
          <t>Director - Data Product Owner</t>
        </is>
      </c>
      <c r="C80" t="inlineStr">
        <is>
          <t>The Value Maximizer</t>
        </is>
      </c>
      <c r="D80" t="inlineStr">
        <is>
          <t>linkedin</t>
        </is>
      </c>
      <c r="E80">
        <f>HYPERLINK("https://www.linkedin.com/jobs/view/4366224594", "https://www.linkedin.com/jobs/view/4366224594")</f>
        <v/>
      </c>
      <c r="F80" t="inlineStr"/>
      <c r="G80" t="inlineStr">
        <is>
          <t>South Carolina, United States</t>
        </is>
      </c>
      <c r="H80" t="inlineStr"/>
      <c r="I80" t="inlineStr">
        <is>
          <t>**Director \- Data Product Owner /SME (IBOR) :**
 Location: Focused on 3 markets: (1\) NY/NJ, (2\) Charlotte/Fort Mill, (2\) Austin Texas
 Reports To: Head of Wealth Management
 Experience: 8\-10 years' relevant experience (overall 12\-15 years) Level: Director
**About the role:** 
 We are seeking a Senior Data Product Owner with deep expertise in Wealth Management or Asset Management to lead enterprise data modernization initiatives. The ideal candidate will have hands\-on experience working with Investment Book of Record (IBOR), Accounting Book of Record (ABOR), Security Master, and capital markets data across top\-tier financial institutions such as JP Morgan, Morgan Stanley, State Street, or BlackRock.This role requires a strategic thinker who can bridge business, data, and technology teams to define the roadmap, drive delivery, and ensure the creation of high\-quality, scalable, and integrated data products that power investment, advisory, and reporting functions.
**Key Responsibilities:** 
 Product Ownership: Own and define the vision, roadmap, and delivery of enterprise data products serving wealth and asset management domains.
* Data Modernization: Lead initiatives modernizing data architectures (IBOR, ABOR, Client Master, Account Master, Security Master) on cloud\-based platforms
* Capital Markets Data Expertise: Drive the ingestion and management of transaction feeds, position feeds, and custodian data to enable a unified and accurate data ecosystem
* Stakeholder Collaboration: Partner with business, technology, and operations teams to translate investment and operations needs into actionable data product requirements
* Roadmap \&amp; Prioritization: Manage product backlogs aligned with business priorities, emphasizing scalability, performance, and data quality
* Data Governance \&amp; Quality: Define and enforce standards for data ownership, lineage, and stewardship across investment and reference data domains
* Cloud \&amp; Architecture Leadership: Collaborate with architecture teams to implement cloud\-native data solutions (e.g., Snowflake, AWS, Azure) and adopt modern design principles such as data mesh and data fabric
* Delivery Management: Ensure timely delivery of high\-impact features using agile practices, coordinating across engineering, QA, and business teams
* Business Partnership: Serve as the domain SME supporting front, middle, and back\-office functions including trading, portfolio management, accounting, and performance reporting. Qualifications:
* 10\+ years of experience in Wealth Management or Asset Management, ideally with exposure to top\-tier institutions (JP Morgan, Morgan Stanley, State Street, BlackRock, UBS, Bank of America, RBS, Nomura, etc. or the firms that service these domains like CapGem, TCS, Capco, Infosys, Cognizant, etc.)
* Strong understanding of capital markets data — transaction feeds, position feeds, custodian feeds, holdings, and pricing data
* Deep knowledge of investment data domains: IBOR, ABOR, Security Master, Client Master, and Account Master
* Proven experience delivering data modernization or cloud migration programs in financial services
* Proficiency with data platforms and tools such as Snowflake, AWS, Azure Data Services, Informatica, or equivalent
* Solid understanding of data governance, lineage, metadata, and reference data management frameworks (e.g., Collibra, Profisee)
* Excellent communication, analytical, and stakeholder management skills
* Experience in Agile/Scaled Agile (SAFe) environments</t>
        </is>
      </c>
    </row>
    <row r="81">
      <c r="A81" t="inlineStr">
        <is>
          <t>li-4366217656</t>
        </is>
      </c>
      <c r="B81" t="inlineStr">
        <is>
          <t>Director - Data Product Owner</t>
        </is>
      </c>
      <c r="C81" t="inlineStr">
        <is>
          <t>The Value Maximizer</t>
        </is>
      </c>
      <c r="D81" t="inlineStr">
        <is>
          <t>linkedin</t>
        </is>
      </c>
      <c r="E81">
        <f>HYPERLINK("https://www.linkedin.com/jobs/view/4366217656", "https://www.linkedin.com/jobs/view/4366217656")</f>
        <v/>
      </c>
      <c r="F81" t="inlineStr"/>
      <c r="G81" t="inlineStr">
        <is>
          <t>Austin, TX</t>
        </is>
      </c>
      <c r="H81" t="inlineStr"/>
      <c r="I81" t="inlineStr">
        <is>
          <t>**Director \- Data Product Owner /SME (IBOR) :**
 Location: Focused on 3 markets: (1\) NY/NJ, (2\) Charlotte/Fort Mill, (2\) Austin Texas
 Reports To: Head of Wealth Management
 Experience: 8\-10 years' relevant experience (overall 12\-15 years) Level: Director
**About the role:** 
 We are seeking a Senior Data Product Owner with deep expertise in Wealth Management or Asset Management to lead enterprise data modernization initiatives. The ideal candidate will have hands\-on experience working with Investment Book of Record (IBOR), Accounting Book of Record (ABOR), Security Master, and capital markets data across top\-tier financial institutions such as JP Morgan, Morgan Stanley, State Street, or BlackRock.This role requires a strategic thinker who can bridge business, data, and technology teams to define the roadmap, drive delivery, and ensure the creation of high\-quality, scalable, and integrated data products that power investment, advisory, and reporting functions.
**Key Responsibilities:** 
 Product Ownership: Own and define the vision, roadmap, and delivery of enterprise data products serving wealth and asset management domains.
* Data Modernization: Lead initiatives modernizing data architectures (IBOR, ABOR, Client Master, Account Master, Security Master) on cloud\-based platforms
* Capital Markets Data Expertise: Drive the ingestion and management of transaction feeds, position feeds, and custodian data to enable a unified and accurate data ecosystem
* Stakeholder Collaboration: Partner with business, technology, and operations teams to translate investment and operations needs into actionable data product requirements
* Roadmap \&amp; Prioritization: Manage product backlogs aligned with business priorities, emphasizing scalability, performance, and data quality
* Data Governance \&amp; Quality: Define and enforce standards for data ownership, lineage, and stewardship across investment and reference data domains
* Cloud \&amp; Architecture Leadership: Collaborate with architecture teams to implement cloud\-native data solutions (e.g., Snowflake, AWS, Azure) and adopt modern design principles such as data mesh and data fabric
* Delivery Management: Ensure timely delivery of high\-impact features using agile practices, coordinating across engineering, QA, and business teams
* Business Partnership: Serve as the domain SME supporting front, middle, and back\-office functions including trading, portfolio management, accounting, and performance reporting. Qualifications:
* 10\+ years of experience in Wealth Management or Asset Management, ideally with exposure to top\-tier institutions (JP Morgan, Morgan Stanley, State Street, BlackRock, UBS, Bank of America, RBS, Nomura, etc. or the firms that service these domains like CapGem, TCS, Capco, Infosys, Cognizant, etc.)
* Strong understanding of capital markets data — transaction feeds, position feeds, custodian feeds, holdings, and pricing data
* Deep knowledge of investment data domains: IBOR, ABOR, Security Master, Client Master, and Account Master
* Proven experience delivering data modernization or cloud migration programs in financial services
* Proficiency with data platforms and tools such as Snowflake, AWS, Azure Data Services, Informatica, or equivalent
* Solid understanding of data governance, lineage, metadata, and reference data management frameworks (e.g., Collibra, Profisee)
* Excellent communication, analytical, and stakeholder management skills
* Experience in Agile/Scaled Agile (SAFe) environments</t>
        </is>
      </c>
    </row>
    <row r="82">
      <c r="A82" t="inlineStr">
        <is>
          <t>li-4366228559</t>
        </is>
      </c>
      <c r="B82" t="inlineStr">
        <is>
          <t>Director - Data Product Owner</t>
        </is>
      </c>
      <c r="C82" t="inlineStr">
        <is>
          <t>The Value Maximizer</t>
        </is>
      </c>
      <c r="D82" t="inlineStr">
        <is>
          <t>linkedin</t>
        </is>
      </c>
      <c r="E82">
        <f>HYPERLINK("https://www.linkedin.com/jobs/view/4366228559", "https://www.linkedin.com/jobs/view/4366228559")</f>
        <v/>
      </c>
      <c r="F82" t="inlineStr"/>
      <c r="G82" t="inlineStr">
        <is>
          <t>North Carolina, United States</t>
        </is>
      </c>
      <c r="H82" t="inlineStr"/>
      <c r="I82" t="inlineStr">
        <is>
          <t>**Director \- Data Product Owner /SME (IBOR) :**
 Location: Focused on 3 markets: (1\) NY/NJ, (2\) Charlotte/Fort Mill, (2\) Austin Texas
 Reports To: Head of Wealth Management
 Experience: 8\-10 years' relevant experience (overall 12\-15 years) Level: Director
**About the role:** 
 We are seeking a Senior Data Product Owner with deep expertise in Wealth Management or Asset Management to lead enterprise data modernization initiatives. The ideal candidate will have hands\-on experience working with Investment Book of Record (IBOR), Accounting Book of Record (ABOR), Security Master, and capital markets data across top\-tier financial institutions such as JP Morgan, Morgan Stanley, State Street, or BlackRock.This role requires a strategic thinker who can bridge business, data, and technology teams to define the roadmap, drive delivery, and ensure the creation of high\-quality, scalable, and integrated data products that power investment, advisory, and reporting functions.
**Key Responsibilities:** 
 Product Ownership: Own and define the vision, roadmap, and delivery of enterprise data products serving wealth and asset management domains.
* Data Modernization: Lead initiatives modernizing data architectures (IBOR, ABOR, Client Master, Account Master, Security Master) on cloud\-based platforms
* Capital Markets Data Expertise: Drive the ingestion and management of transaction feeds, position feeds, and custodian data to enable a unified and accurate data ecosystem
* Stakeholder Collaboration: Partner with business, technology, and operations teams to translate investment and operations needs into actionable data product requirements
* Roadmap \&amp; Prioritization: Manage product backlogs aligned with business priorities, emphasizing scalability, performance, and data quality
* Data Governance \&amp; Quality: Define and enforce standards for data ownership, lineage, and stewardship across investment and reference data domains
* Cloud \&amp; Architecture Leadership: Collaborate with architecture teams to implement cloud\-native data solutions (e.g., Snowflake, AWS, Azure) and adopt modern design principles such as data mesh and data fabric
* Delivery Management: Ensure timely delivery of high\-impact features using agile practices, coordinating across engineering, QA, and business teams
* Business Partnership: Serve as the domain SME supporting front, middle, and back\-office functions including trading, portfolio management, accounting, and performance reporting. Qualifications:
* 10\+ years of experience in Wealth Management or Asset Management, ideally with exposure to top\-tier institutions (JP Morgan, Morgan Stanley, State Street, BlackRock, UBS, Bank of America, RBS, Nomura, etc. or the firms that service these domains like CapGem, TCS, Capco, Infosys, Cognizant, etc.)
* Strong understanding of capital markets data — transaction feeds, position feeds, custodian feeds, holdings, and pricing data
* Deep knowledge of investment data domains: IBOR, ABOR, Security Master, Client Master, and Account Master
* Proven experience delivering data modernization or cloud migration programs in financial services
* Proficiency with data platforms and tools such as Snowflake, AWS, Azure Data Services, Informatica, or equivalent
* Solid understanding of data governance, lineage, metadata, and reference data management frameworks (e.g., Collibra, Profisee)
* Excellent communication, analytical, and stakeholder management skills
* Experience in Agile/Scaled Agile (SAFe) environments</t>
        </is>
      </c>
    </row>
    <row r="83">
      <c r="A83" t="inlineStr">
        <is>
          <t>li-4366213433</t>
        </is>
      </c>
      <c r="B83" t="inlineStr">
        <is>
          <t>Product Manager</t>
        </is>
      </c>
      <c r="C83" t="inlineStr">
        <is>
          <t>Doppel</t>
        </is>
      </c>
      <c r="D83" t="inlineStr">
        <is>
          <t>linkedin</t>
        </is>
      </c>
      <c r="E83">
        <f>HYPERLINK("https://www.linkedin.com/jobs/view/4366213433", "https://www.linkedin.com/jobs/view/4366213433")</f>
        <v/>
      </c>
      <c r="F83" t="inlineStr"/>
      <c r="G83" t="inlineStr"/>
      <c r="H83" t="inlineStr"/>
      <c r="I83"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hiring Product Managers in SF/NYC \- who bring strong judgment, high standards, and a bias for shipping. You turn ambiguous problems into clear plans, align teams around the right priorities, and deliver products that move meaningful customer and business outcomes. You’ll get the opportunity to join a rapidly growing company that’s making the Internet a safer place every day.
* **Ownership:** 
 You set direction, make hard tradeoffs, and drive outcomes, not just features.
* **Discovery:** 
 You stay close to customers, frame the right problems, and validate solutions with fast feedback loops.
* **Data \&amp; rigor:** 
 You define success metrics, use evidence to prioritize, and keep iterating.
* **Cross\-functional leadership:** 
 You work across engineering and GTM to keep teams aligned and execution unblocked.
* **Communication:** 
 You write and think clearly. Crisp docs, clear decisions, and straightforward tradeoffs.
**What We Offer** 
 🚀 A mission\-driven culture with low ego, high ownership, deep customer obsession, and exceptional talent density
 🍽️ Free lunch and dinner in the office
 🌴 Flexible PTO
 ✈️ Quarterly team offsites</t>
        </is>
      </c>
    </row>
    <row r="84">
      <c r="A84" t="inlineStr">
        <is>
          <t>li-4366221861</t>
        </is>
      </c>
      <c r="B84" t="inlineStr">
        <is>
          <t>Senior/Lead Product Manager</t>
        </is>
      </c>
      <c r="C84" t="inlineStr">
        <is>
          <t>Finexio</t>
        </is>
      </c>
      <c r="D84" t="inlineStr">
        <is>
          <t>linkedin</t>
        </is>
      </c>
      <c r="E84">
        <f>HYPERLINK("https://www.linkedin.com/jobs/view/4366221861", "https://www.linkedin.com/jobs/view/4366221861")</f>
        <v/>
      </c>
      <c r="F84" t="inlineStr"/>
      <c r="G84" t="inlineStr">
        <is>
          <t>Charlotte, NC</t>
        </is>
      </c>
      <c r="H84" t="inlineStr"/>
      <c r="I84" t="inlineStr">
        <is>
          <t>****About Finexio****
 Finexio is a leading innovator in the B2B payments space, pioneering "AP Payments as a Service" — an embedded payments solution that seamlessly integrates with our customers' accounts payable and procurement software. Our mission is to eliminate manual, complex payment workflows so that finance leaders only have to decide "what" to pay — while our technology handles the "how" and the "when."
 Backed by strategic fintech investors including JP Morgan, Capital One, NBH Bank, Mendon Venture Partners, and Patriot Financial Partners, Finexio is growing rapidly, and we are building a world\-class team to support our next phase of scale.
****Position Overview****
 As Lead/Senior Product Management, you will be responsible for leading the end\-to\-end delivery of Finexio's product initiatives. This role blends
 **strategic thinking** 
 ,
 **cross\-functional collaboration** 
 , and
 **execution rigor** 
 to translate customer and business needs into actionable product development plans. You will serve as the connective tissue between business stakeholders, engineering, and external partners — ensuring timely delivery, user satisfaction, and measurable business impact.
 You will manage the development of detailed product requirements, user acceptance criteria, and drive the internal and external commercialization of new capabilities working with one tenured product management resource on your team to execute on all initiatives. A successful candidate will be a highly motivated product leader with strong business acumen, technical fluency, and a passion for building impactful B2B SaaS solutions.
****Key Responsibilities****
**Planning \&amp; Execution**
* Define, implement, and manage a scalable product management framework, including scoring and prioritization models
* Translate business cases and customer insights into clear product roadmaps and execution timelines
* Partner with P\&amp;L owners, engineering, operations, and sales to ensure consistent delivery of customer value
* Own maintenance of company product roadmap including internal and external views
**Product Delivery**
* Lead the product development lifecycle from concept through delivery, managing scope, acceptance criteria, and release schedules
* Write business and technical requirement documents, including user stories, project plans, and user acceptance criteria
* Coordinate and drive engineering team to deliver high\-quality, timely releases
* Monitor release readiness, UAT outcomes, and post\-launch performance to drive improvements
**Stakeholder Engagement \&amp; Communication**
* Serve as the primary liaison between engineering and internal stakeholders including Sales, Operations, and Fraud Prevention
* Host regular roadmap reviews and cross\-functional alignment meetings to ensure transparency and prioritization
* Create and distribute C\-suite\-ready materials to communicate progress against plan, goals, and KPIs
* Collaborate with marketing and sales teams to support product launches and customer education efforts
**Customer\-Focused Development**
* Define and manage internal and external product roadmaps with input from key stakeholders and customer feedback loops
* Ingest, organize, and prioritize customer requests and suggestions for future roadmap alignment
* Ensure the voice of the customer is embedded into every stage of the product development lifecycle
* Build product solutions that deliver measurable outcomes — especially in security, compliance, automation, and partner/channel integrations
****Requirements****
* Bachelor's degree required; MBA or technical graduate degree highly preferred
* 6\+ years of progressive product management experience, including leading small (1\-3\) product teams for enterprise SaaS platforms
* Proven success defining and launching B2B products with cross\-functional teams
* Strong technical understanding of modern SaaS architecture, APIs, Agile/Scrum methodologies, and the software development lifecycle (SDLC)
* Experience working with or within payments, fintech, AP/AR automation, or ERP\-integrated platforms is strongly preferred
* Excellent written and verbal communication skills — able to convey technical and strategic concepts to both internal and external stakeholders
* Data\-driven mindset; comfortable using KPIs to track product health, customer value, and ROI
**Critical Success Competencies**
**Accountability \&amp; Execution Excellence**
* Proven track record of consistently meeting deadlines with multiple concurrent projects and competing priorities
* Demonstrated ability to proactively escalate blockers before they impact deliverables, rather than missing commitments silently
* Experience taking full ownership of cross\-functional initiatives from inception through delivery, including difficult conversations and decisions
* Track record of following through on written commitments from senior leadership with specific timelines
**Proactive Communication \&amp; Transparency**
* Exceptional proactive communication skills — must provide regular, unprompted status updates to leadership and stakeholders
* Strong written communication skills for creating clear guidance documents, requirements, and team direction
* Experience communicating blockers and resource needs clearly and early, before they impact deliverables
**Process Management \&amp; Organizational Excellence**
* Hands\-on experience implementing unified product roadmaps and consolidating multiple tracking systems into a single source of truth
* Proven ability to create and maintain organized documentation that the entire organization can access and understand
* Experience managing intake processes and eliminating workflow confusion across multiple stakeholders
* Demonstrated success maintaining sprint backlogs and ensuring engineering teams always have ready work
**Team Leadership \&amp; Development**
* Experience providing clear, written guidance to direct reports with specific deliverables and timelines
* Ability to create accountability systems that ensure team members are productive and aligned with priorities
* Comfort with admitting knowledge gaps and seeking help when needed, while maintaining leadership credibility
****What Success Looks Like****
* Timely delivery of high\-impact product features that support Finexio's revenue and operational goals
* Measurable improvement in internal stakeholder satisfaction and customer adoption of new features
* Streamlined cross\-functional collaboration, resulting in fewer handoff issues between sales, onboarding, and product
 Increased transparency in product decision\-making through clear scoring, documentation, and communication.
****Benefits****
**Why You'll Love Working at Finexio**
* Culture: Collaborative, humble, and client\-first — we win as a team
* Speed: We move fast, reward innovation, and give you the opportunity to make a direct impact
* Growth: Join a high\-growth fintech leader disrupting the B2B payments space
****Benefits****
* Competitive salary and equity compensation
* Medical, dental, and vision insurance
* Unlimited PTO
* Remote flexibility with periodic team offsites
* Dynamic team culture with regular engagement and collaboration opportunities
 Compensation: Base Salary $125 \- 145k \+ Equity and Performance Incentive</t>
        </is>
      </c>
    </row>
    <row r="85">
      <c r="A85" t="inlineStr">
        <is>
          <t>li-4355757516</t>
        </is>
      </c>
      <c r="B85" t="inlineStr">
        <is>
          <t>Product Manager II, YouTube Fan Engagement</t>
        </is>
      </c>
      <c r="C85" t="inlineStr">
        <is>
          <t>Google</t>
        </is>
      </c>
      <c r="D85" t="inlineStr">
        <is>
          <t>linkedin</t>
        </is>
      </c>
      <c r="E85">
        <f>HYPERLINK("https://www.linkedin.com/jobs/view/4355757516", "https://www.linkedin.com/jobs/view/4355757516")</f>
        <v/>
      </c>
      <c r="F85">
        <f>HYPERLINK("https://careers.google.com/jobs/results/99307561341067974-product-manager-ii/?src=Online/LinkedIn/linkedin_us&amp;utm_source=linkedin&amp;utm_medium=jobposting&amp;utm_campaign=contract&amp;urlHash=CMdc", "https://careers.google.com/jobs/results/99307561341067974-product-manager-ii/?src=Online/LinkedIn/linkedin_us&amp;utm_source=linkedin&amp;utm_medium=jobposting&amp;utm_campaign=contract&amp;urlHash=CMdc")</f>
        <v/>
      </c>
      <c r="G85" t="inlineStr">
        <is>
          <t>San Bruno, CA</t>
        </is>
      </c>
      <c r="H85" t="inlineStr"/>
      <c r="I85"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consumer product management.
* 2 years of experience taking technical products from conception to launch (e.g., ideation to execution, end\-to\-end, 0 to 1, etc).
* Experience working cross\-functionally with engineering, User Experience/User Interface (UX/UI), data science, and other stakeholders.
**Preferred qualifications:**
* Experience with A/B testing and user research methodologies.
* Experience with creator\-focused products or content sharing platforms.
* Experience using data to inform product decisions, along with excellent communication, collaboration and problem\-solving skills.
* Ability to translate user needs and business objectives into detailed product specifications and road maps.
* Ability to work with cross\-functional teams including engineering, design, and data science.
* Passion for YouTube and an understanding of the platform's ecosystem, creators, and viewers.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YouTube's Community team is seeking a passionate Product Manager to work on posts, a growing format on YouTube to inspire casual creation and lightweight content consumption. Posts are the lightest weight way for people to create, connect with their fans, and are a significant growth area for YouTube.You will be joining the community organization within YouTube which is responsible for everything on YouTube that transforms a passive consumption experience to a dynamic, two way connection between creators and their fans.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goal, road map, and success metrics for posts features, contributing to the direction and road map for expanding Posts content on YouTube.
* Understand viewer and fan needs, translating insights into engaing product experiences.
* Conceptualize and build tools leveraging technology (including generative AI) to empower fan participation and drive engagement.
* Collaborate with engineering, design, and research teams to bring the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6">
      <c r="A86" t="inlineStr">
        <is>
          <t>li-4366171974</t>
        </is>
      </c>
      <c r="B86" t="inlineStr">
        <is>
          <t>Senior Product Manager, Pharma</t>
        </is>
      </c>
      <c r="C86" t="inlineStr">
        <is>
          <t>TailorMed</t>
        </is>
      </c>
      <c r="D86" t="inlineStr">
        <is>
          <t>linkedin</t>
        </is>
      </c>
      <c r="E86">
        <f>HYPERLINK("https://www.linkedin.com/jobs/view/4366171974", "https://www.linkedin.com/jobs/view/4366171974")</f>
        <v/>
      </c>
      <c r="F86">
        <f>HYPERLINK("https://tailormed.co/careers/co/us-remote/9F.367/senior-product-manager-pharma/all/?coref=1.11.p15_7913&amp;urlHash=1pp1", "https://tailormed.co/careers/co/us-remote/9F.367/senior-product-manager-pharma/all/?coref=1.11.p15_7913&amp;urlHash=1pp1")</f>
        <v/>
      </c>
      <c r="G86" t="inlineStr">
        <is>
          <t>New York, NY</t>
        </is>
      </c>
      <c r="H86" t="inlineStr"/>
      <c r="I86" t="inlineStr">
        <is>
          <t>**Join Us at TailorMed – Transforming Healthcare Affordability**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If you’re passionate about making healthcare more accessible and impactful, we’d love to have you on our team.
 As a
 **Senior Product Manager** 
 at TailorMed, you'll own part of TailorMed’s B2B and B2B2C product offerings, and own the design and delivery of a delightful user experience.
 Leveraging your product management expertise, you will play a pivotal role in executing our product strategy, guiding the roadmap, and ensuring the successful delivery of innovative solutions that meet the needs of our customers and partners. This role requires a strong combination of product craftsmanship, data\-driven decision\-making, and business acumen, with a particular focus on building products that serve pharma and life sciences organizations.
 Responsibilities:
* Develop the life sciences sponsored B2B and B2B2C user experience, creating optimal user journeys that maximize adoption and successful outcomes.
* Define and prioritize the product roadmap, balancing short\-term deliverables with long\-term strategic initiatives to drive sustainable growth and competitive advantage.
* Own the end\-to\-end product development lifecycle, from zero to one innovation through optimization, overseeing delivery, timeline management, and resource prioritization while mitigating risks.
* Own product analytics and measurement for your domain, including defining KPIs, analyzing user behavior and conversion funnels, designing customer\-facing dashboards, and using data to drive prioritization and experimentation.
* Partner with engineering to translate market and business needs into clear product requirements, ensuring high quality feature delivery and customer expectations are met.
* Collaborate across sales, marketing, customer success, and operations to align market needs, customer insights, and product direction while driving successful delivery.
* Foster a culture of high standards, growth, and accountability, promoting shared ownership of product, customer, and business outcomes.
 Requirements:
* Bachelor's degree in Computer Science, Engineering, Business, or related field; MBA or advanced degree preferred.
* 5\+ years in product management roles in digital health or healthcare technology.
* B2B or B2B2C product experience.
* Demonstrated strength in product analytics and data\-driven decision\-making, including experience with funnels, conversion metrics, experimentation, and translating insights into product improvements.
* Builder mindset with experience taking products from zero to one, including early discovery, validation, and scaling.
* Strong ability to connect product decisions to commercial outcomes and align market needs with product strategy.
* Excellent communication and interpersonal skills, with the ability to effectively engage diverse stakeholders, communicate complex concepts clearly, and influence decision\-making across all organizational levels.
* Experience working in agile environments and familiar with product management best practices and tools.
* Strong advantage: Experience working in companies selling products or platforms into pharma or life sciences organizations (e.g., market access, patient support, commercial operations).
 Join us in our mission to move mountains for patients and make a meaningful impact on the lives of millions.</t>
        </is>
      </c>
    </row>
    <row r="87">
      <c r="A87" t="inlineStr">
        <is>
          <t>li-4329725450</t>
        </is>
      </c>
      <c r="B87" t="inlineStr">
        <is>
          <t>Principal Product Manager</t>
        </is>
      </c>
      <c r="C87" t="inlineStr">
        <is>
          <t>Liberate</t>
        </is>
      </c>
      <c r="D87" t="inlineStr">
        <is>
          <t>linkedin</t>
        </is>
      </c>
      <c r="E87">
        <f>HYPERLINK("https://www.linkedin.com/jobs/view/4329725450", "https://www.linkedin.com/jobs/view/4329725450")</f>
        <v/>
      </c>
      <c r="F87" t="inlineStr"/>
      <c r="G87" t="inlineStr">
        <is>
          <t>Boston, MA</t>
        </is>
      </c>
      <c r="H87" t="inlineStr"/>
      <c r="I87" t="inlineStr">
        <is>
          <t>Location: Boston, MA OR San Francisco, CA (Hybrid – 2 days/week)
**About Liberate**
 Liberate builds AI agents to automate manual tasks for the $2\.7T insurance industry. We started with voice — the hardest and most valuable channel in insurance — and are now expanding into full workflow automation across sales, servicing, and claims. Our long\-term vision is to build reasoning agents capable of handling the entire spectrum of insurance carrier and broker operations. We've raised $72M to date, including a $50M Series B in October 2025, backed by top\-tier venture firms.
**About The Role**
 As the Principal Product Manager, you will be a key leader on the product team, owning major platform domains, driving strategic vision, and enabling the company to scale from early\-stage to high\-growth enterprise adoption. You will work closely with senior leadership, customers, engineering, design, deployment, and go\-to\-market teams to define and execute on product strategies that differentiate our AI agent platform in the market and deliver measurable business value.
 In this role, you will
* Define the long\-range product vision and roadmap for a significant platform pillar of our AI agent offering — guiding ideas from concept through market launch, adoption, iteration, and scale.
* Engage and partner with strategic enterprise customers (including Fortune 500 and high\-growth startups) to deeply understand their needs, influence product direction, and secure product/market fit in regulated industries.
* Translate high\-level strategy into clear, compelling product requirements and success metrics; work across engineering, design, deployment, and go\-to\-market to deliver robust, scalable, and enterprise\-grade solutions.
* Establish key performance indicators (KPIs) and rigorous measurement frameworks for agent performance, business impact (ROI), compliance, and trust; drive continuous improvement through data\-driven insights.
* Serve as the product champion, influencing cross\-functional teams and senior stakeholders; articulate trade\-offs, ensure alignment, manage dependencies, and escalate appropriately to remove obstacles.
* Mentor and coach other product managers, share best practices, and help build a high\-performing product organization as we scale.
 Your background looks something like this
* 8\+ years of product management experience (or equivalent), with a minimum of 5 years as a PM in enterprise SaaS, AI/ML, or deeply technical domains.
* Proven track record of shipping complex, enterprise\-grade, data\-driven or AI\-driven products (ideally in regulated industries such as insurance, healthcare, or finance).
* Strong technical acumen — you can engage confidently with engineers and architects about APIs, data models, system architecture, integrations, security and compliance requirements.
* Demonstrated ability to think strategically, communicate clearly, and influence senior leaders and stakeholders across functions.
* Comfortable working in fast\-paced, high\-growth, ambiguous environments and driving clarity, prioritization, and execution.
* Bachelor’s degree in Computer Science, Engineering, Math or related technical field (or equivalent professional experience).
 Even better if you have
* Experience with AI/ML platforms, contact center systems, or enterprise integrations at scale.
* Experience with Voice AI
* Prior involvement in a startup or early\-stage company that grew rapidly, helping define product direction and scale.
* Familiarity with working in regulated industries (insurance, healthcare, finance) and creating products with trust, transparency, oversight and compliance baked in.
* Master’s degree or additional advanced study in a technical domain (optional, but a plus).
 If this aligns with your ambitions and you’re excited to lead at the intersection of AI, enterprise software and regulated market transformation — we’d love to hear from you.</t>
        </is>
      </c>
    </row>
    <row r="88">
      <c r="A88" t="inlineStr">
        <is>
          <t>li-4366223194</t>
        </is>
      </c>
      <c r="B88" t="inlineStr">
        <is>
          <t>Product Manager, Growth</t>
        </is>
      </c>
      <c r="C88" t="inlineStr">
        <is>
          <t>Doctronic</t>
        </is>
      </c>
      <c r="D88" t="inlineStr">
        <is>
          <t>linkedin</t>
        </is>
      </c>
      <c r="E88">
        <f>HYPERLINK("https://www.linkedin.com/jobs/view/4366223194", "https://www.linkedin.com/jobs/view/4366223194")</f>
        <v/>
      </c>
      <c r="F88" t="inlineStr"/>
      <c r="G88" t="inlineStr">
        <is>
          <t>New York, NY</t>
        </is>
      </c>
      <c r="H88" t="inlineStr"/>
      <c r="I88" t="inlineStr">
        <is>
          <t>**Where Medicine Meets Intelligence**
 At Doctronic, we're merging deep medical knowledge with cutting\-edge AI to build the most advanced diagnostic system on Earth. It's not science fiction — it's already saving lives.
**About The Role**
 We're looking for a Product Manager, Growth to own and optimize the entire user journey from first visit to engaged user. You'll be responsible for the acquisition, activation, and retention funnels that introduce millions of people to AI\-powered healthcare.
 This is a high\-impact role where your experiments and insights will directly shape how people first experience Doctronic. You'll run rapid tests, analyze funnel metrics, and partner closely with marketing and engineering teams to build seamless onboarding experiences across web and mobile.
**What You'll Do**
* Own the complete growth funnel from acquisition through activation and retention
* Design and execute A/B tests to increase conversion at every stage of the user journey
* Partner with marketing to optimize campaigns and landing pages that drive qualified traffic
* Collaborate with engineering to build and refine onboarding flows across web and mobile platforms
* Analyze user behavior data to identify friction points and opportunities for improvement
* Set growth metrics and KPIs, then relentlessly drive them forward
* Build a deep understanding of what makes users stick and become engaged with AI healthcare
* Translate data insights into actionable product improvements
 Who You Are
* 4\+ years of product management experience, ideally with a focus on growth or user acquisition
* Strong analytical skills with comfort in A/B testing frameworks and funnel analysis
* Fluent in growth metrics: conversion rates, activation rates, retention curves, cohort analysis
* Data\-driven decision maker who can balance quantitative insights with qualitative user feedback
* Excellent collaborator who can work effectively across marketing, engineering, and design teams
* Comfortable with ambiguity and capable of moving fast in a startup environment
* Healthcare experience is helpful but not required—passion for improving healthcare access is what matters
 Nice to Have
* Experience with healthcare or regulated industries
* Background in consumer mobile apps or web products
* Familiarity with product analytics tools (Mixpanel, Amplitude, etc.)
* Experience scaling products from early stage to mainstream adoption
 What we offer
**Fully Remote Team**
 Work where you thrive—at home, in a co\-working space, or anywhere in the world.
**Competitive Compensation**
 Your work should be valued—today and in the future. We offer competitive salaries along with equity opportunities, so you're not just contributing to our growth—you're sharing in it.
**Comprehensive Health Benefits**
 We offer comprehensive health, dental, and vision coverage—plus mental health support and flexible time off—because caring for others starts with caring for ourselves.
**Building AI That Matters**
 Join Doctronic and work with cutting\-edge AI that's transforming healthcare and helping people make faster, smarter decisions.
*Doctronic is an equal opportunity employer. We celebrate diversity and are committed to creating an inclusive environment for all employees.*
 Compensation Range: $140K \- $200K</t>
        </is>
      </c>
    </row>
    <row r="89">
      <c r="A89" t="inlineStr">
        <is>
          <t>li-4355737560</t>
        </is>
      </c>
      <c r="B89" t="inlineStr">
        <is>
          <t>Product Manager, YouTube Sensitive Content</t>
        </is>
      </c>
      <c r="C89" t="inlineStr">
        <is>
          <t>Google</t>
        </is>
      </c>
      <c r="D89" t="inlineStr">
        <is>
          <t>linkedin</t>
        </is>
      </c>
      <c r="E89">
        <f>HYPERLINK("https://www.linkedin.com/jobs/view/4355737560", "https://www.linkedin.com/jobs/view/4355737560")</f>
        <v/>
      </c>
      <c r="F89">
        <f>HYPERLINK("https://careers.google.com/jobs/results/126544938262241990-product-manager/?src=Online/LinkedIn/linkedin_us&amp;utm_source=linkedin&amp;utm_medium=jobposting&amp;utm_campaign=contract&amp;urlHash=mobo", "https://careers.google.com/jobs/results/126544938262241990-product-manager/?src=Online/LinkedIn/linkedin_us&amp;utm_source=linkedin&amp;utm_medium=jobposting&amp;utm_campaign=contract&amp;urlHash=mobo")</f>
        <v/>
      </c>
      <c r="G89" t="inlineStr">
        <is>
          <t>San Bruno, CA</t>
        </is>
      </c>
      <c r="H89" t="inlineStr"/>
      <c r="I89" t="inlineStr">
        <is>
          <t>**Minimum qualifications:**
* Bachelor's degree or equivalent practical experience.
* 5 years of experience in product management or a related technical role.
* 1 year of experience taking technical products from conception to launch (e.g., ideation to execution, end\-to\-end, 0 to 1, etc).
* Experience with products that utilize Machine Learning, particularly Large Language Models (LLMs).
**Preferred qualifications:**
* Experience working and communicating in areas with significant leadership and stakeholder scrutiny.
* Experience working in product areas that are at the intersection of engineering and public policy.
* Knowledge in digital well\-being, public policy, content safety, or trust and safety issues.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build impactful user\-centered features while leveraging the latest technologies in ML and AI. On this team, you will work amongst Product Managers that support Responsible Growth at YouTube; working on identifying sensitive content that viewers may find hateful, harmful, misleading or misleading. This is a high complexity, visibility and impact issues that sits at the intersection of technology, user safety, and policy.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on YouTube's sensitive content systems with a focus on measurement, metrics, and operational responsiveness.
* Define the product goal, strategy, and roadmap for metric foundations by assessing how we can efficiently measure system performance.
* Improve operational resilience by determining how to invest in threat detection and operational processes to decrease turn\-around\-time and increase scale when responding to new types of challenging content or world events.
* Partner with engineering to incorporate LLMs across our metrics and operational systems.
* Work closely with cross\-functional partners including Data Science, Trust and Safety, Public Policy, Legal, and local market specialists to identify and rapidly respond to emerging content trends and prevent escalations.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li-4366206628</t>
        </is>
      </c>
      <c r="B90" t="inlineStr">
        <is>
          <t>Senior Product Owner (Remote - U.S. Only)</t>
        </is>
      </c>
      <c r="C90" t="inlineStr">
        <is>
          <t>iBusiness Funding</t>
        </is>
      </c>
      <c r="D90" t="inlineStr">
        <is>
          <t>linkedin</t>
        </is>
      </c>
      <c r="E90">
        <f>HYPERLINK("https://www.linkedin.com/jobs/view/4366206628", "https://www.linkedin.com/jobs/view/4366206628")</f>
        <v/>
      </c>
      <c r="F90" t="inlineStr"/>
      <c r="G90" t="inlineStr">
        <is>
          <t>Fort Lauderdale, FL</t>
        </is>
      </c>
      <c r="H90" t="inlineStr"/>
      <c r="I90" t="inlineStr">
        <is>
          <t>**About IBusiness Funding**
 iBusiness Funding is a software and lender service provider specializing in small business lending. Our technology, team, and process enable us to support loans from $10,000 to $25 million for our lending partners. Our technology solutions have been proven to quickly scale our clients’ portfolios without the need for additional overhead. Our flagship product, LenderAI, features end\-to\-end lending functionality from sales all the way through servicing
 To date, we’ve processed over $11 billion in SBA and non\-SBA volume and handle more than 1,000 business loan applications daily. Our team is driven by our core values of innovation, integrity, enjoyment, and family.
 Join us and be part of a team that’s transforming the finance industry and empowering businesses to thrive!
 Position Description
 Do you want to develop technology that reshapes our financial landscape? Do you have a passion for supporting businesses and for helping them achieve their dreams? So do we! IBusiness Funding is the Fintech arm of publicly traded Ready Capital Corporation, located in sunny Ft. Lauderdale, Florida.
 We build software that is used by internal staff, external partners and our software clients. Our platforms help business gain access to capital in fast frictionless ways. The iBusiness Funding Product department is looking for a technical project manager (Product Owner) to lead a team of software engineers.
* This role is open only to candidates currently located in the United States and legally authorized to work here.
 Major Areas of Responsibility
* Plan, define and prioritize the product backlog and product roadmap
* Clarify requirements and make timely decisions on execution details
* Work with stakeholders to evaluate best the approach when solving business problems
* Maintain development and production environments and properly deploy changes
* Establish timelines and product benchmarks, holds team accountable to deadlines
* Conduct daily standup meetings with Development team
* Coach developers to achieve high performance
**Required Knowledge, Skills, And Abilities**
* 5\+ years in product management role
* Thrive in an agile, fast\-paced and constantly changing environment
* Deep understanding of OOP and experience with at least two OOP languages (Apex, Java, Javascript, Python)
* Solid understanding of web technologies, such as JavaScript, CSS, HTML5, XML, JSON, and Ajax
* Solid knowledge of Database technologies such as MySQL, SQL, and relational database schema design and development
* Experience in automated testing including unit and functional testing using Python, Java, JUnit, Selenium
* Exposure to Salesforce.com and or AWS cloud services
* Excellent interpersonal and communication skills
* Team focused
* Extremely detailed oriented
 The anticipated salary range for this position is $150,000 \- $200,000 annually, depending on experience and qualifications. iBusiness Funding provides a comprehensive benefits package, including medical, dental, and vision coverage; 401(k) with company match, and paid time off.
 Conclusion
 This job description is intended to convey information essential to understanding the scope of the job and the general nature and level of work performed by job holders within this job. This job description is not intended to be an exhaustive list of qualifications, skills, efforts, duties, responsibilities, or working conditions associated with the position.
 The company is an equal opportunity employer and will consider all applications without regard to race, sex, age, color, religion, national origin, veteran status, disability, genetic information, or any other characteristic protected by law.</t>
        </is>
      </c>
    </row>
    <row r="91">
      <c r="A91" t="inlineStr">
        <is>
          <t>li-4355961781</t>
        </is>
      </c>
      <c r="B91" t="inlineStr">
        <is>
          <t>Product Manager</t>
        </is>
      </c>
      <c r="C91" t="inlineStr">
        <is>
          <t>Joyin US Corp</t>
        </is>
      </c>
      <c r="D91" t="inlineStr">
        <is>
          <t>linkedin</t>
        </is>
      </c>
      <c r="E91">
        <f>HYPERLINK("https://www.linkedin.com/jobs/view/4355961781", "https://www.linkedin.com/jobs/view/4355961781")</f>
        <v/>
      </c>
      <c r="F91">
        <f>HYPERLINK("https://www.ziprecruiter.com/jobs/joyin-inc-b35878c1/product-manager-bfe9b69436?tsid=123303395&amp;enc_campaign_id=e5c5742c&amp;lk=DI7cS1BdjeJgPPCY0OxTIw&amp;urlHash=v2Ao", "https://www.ziprecruiter.com/jobs/joyin-inc-b35878c1/product-manager-bfe9b69436?tsid=123303395&amp;enc_campaign_id=e5c5742c&amp;lk=DI7cS1BdjeJgPPCY0OxTIw&amp;urlHash=v2Ao")</f>
        <v/>
      </c>
      <c r="G91" t="inlineStr">
        <is>
          <t>Tempe, AZ</t>
        </is>
      </c>
      <c r="H91" t="inlineStr"/>
      <c r="I91" t="inlineStr">
        <is>
          <t>**Job Description**
**Vision:** 
 JOYIN is to be your go\-to for toys and celebrations.
**Mission:** 
 We deliver joy to you by designing and providing the best selection of creative toys, holiday decorations, and celebration products at an outstanding value. And offering an incredibly convenient online and unrivaled customer experience.
**ABOUT US:**
 Joyin Inc is the fastest\-growing and No.1 Amazon seller in the toy category. With super\-efficient and fully functional internal teams, we have been able to create hundreds of best\-sellers in various toy subcategories on Amazon. Within 2022 Joyin has served over 10 million customers with over 6000 SKUs. With a series of new investments, we are determined to bring the company to a new next level with full sales channels\- Amazon, Director to Customer (DTC), and offline wholesales. Our branded toy products open the lens of a child's perspective and play, enhancing a child’s cognitive\-behavioral, creativity, hands\-on, and social learning skills. Our party products start and propel the celebration, helping our customers create great events and happy memories. We strive to create fun and exciting Party Supplies, Toys, Costumes, Holiday Decor and so much more, bringing the Celebration home to thousands of satisfied customers.
 We are looking to add a passionate full\-time
 **Manager, Product Development (Bilingual Mandarin Preferred)** 
 to our team. You will work with our Sourcing Team, Designers and Marketing team to create fun and exciting products that delight our customers, their families, and friends.
 As we are a growing company, you will take on various responsibilities and learn and grow rapidly with the company.
 Job Type: Full\-time
 Salary: $60,000 \- $85,000
 Schedule: Monday to Friday
**Responsibilities:**
* Carry out marketing research of products, analyze business data, identify trends and plan out strategies for new product developments.
* Form product concepts based on marketing research results. Work with designers to create the most exciting products that meet market needs.
* Communicate with foreign manufacturers on product designs and prototypes to ensure great quality.
* Cooperate with the creative production team to prepare marketing materials such as photos, videos, and e\-commerce listing descriptions.
* Manage product information online to ensure accuracy.
* Analyze and control costs including manufacturing cost, marketing cost, and operation cost.
* Coordinate with the Marketing and Sales Team to boost profit for each product.
**Requirements:**
* Bachelor’s degree or above, design background is a plus.
* Proficiency in Mandarin \&amp; English is a MUST
* 5 year\+ of consumer product development experience is required. Experience in toys, crafts, party supplies, apparel, and furniture is preferred.
* Proficiency in Excel \&amp; Google Sheet.
* Multitasking and the ability to shift priorities in a fast\-paced environment.
* Self\-motivated, consistently giving your best efforts, and continually looking for ways to improve.
* Strong interpersonal abilities and project management skills.
 Location: Rancho Cucamonga, CA
 Job Type: Full\-time
 Pay: $60,000\.00 \- $85,000\.00 per year</t>
        </is>
      </c>
    </row>
    <row r="92">
      <c r="A92" t="inlineStr">
        <is>
          <t>li-4355918120</t>
        </is>
      </c>
      <c r="B92" t="inlineStr">
        <is>
          <t>Product Manager</t>
        </is>
      </c>
      <c r="C92" t="inlineStr">
        <is>
          <t>Joyin US Corp</t>
        </is>
      </c>
      <c r="D92" t="inlineStr">
        <is>
          <t>linkedin</t>
        </is>
      </c>
      <c r="E92">
        <f>HYPERLINK("https://www.linkedin.com/jobs/view/4355918120", "https://www.linkedin.com/jobs/view/4355918120")</f>
        <v/>
      </c>
      <c r="F92">
        <f>HYPERLINK("https://www.ziprecruiter.com/jobs/joyin-inc-b35878c1/product-manager-1e6bc2fd36?tsid=123303395&amp;enc_campaign_id=e5c5742c&amp;lk=Ke3t6jatZSDRvThrf_yIHg&amp;urlHash=HQ4f", "https://www.ziprecruiter.com/jobs/joyin-inc-b35878c1/product-manager-1e6bc2fd36?tsid=123303395&amp;enc_campaign_id=e5c5742c&amp;lk=Ke3t6jatZSDRvThrf_yIHg&amp;urlHash=HQ4f")</f>
        <v/>
      </c>
      <c r="G92" t="inlineStr">
        <is>
          <t>Rancho Cucamonga, CA</t>
        </is>
      </c>
      <c r="H92" t="inlineStr"/>
      <c r="I92" t="inlineStr">
        <is>
          <t>**Job Description**
**Vision:** 
 JOYIN is to be your go\-to for toys and celebrations.
**Mission:** 
 We deliver joy to you by designing and providing the best selection of creative toys, holiday decorations, and celebration products at an outstanding value. And offering an incredibly convenient online and unrivaled customer experience.
**ABOUT US:**
 Joyin Inc is the fastest\-growing and No.1 Amazon seller in the toy category. With super\-efficient and fully functional internal teams, we have been able to create hundreds of best\-sellers in various toy subcategories on Amazon. Within 2022 Joyin has served over 10 million customers with over 6000 SKUs. With a series of new investments, we are determined to bring the company to a new next level with full sales channels\- Amazon, Director to Customer (DTC), and offline wholesales. Our branded toy products open the lens of a child's perspective and play, enhancing a child’s cognitive\-behavioral, creativity, hands\-on, and social learning skills. Our party products start and propel the celebration, helping our customers create great events and happy memories. We strive to create fun and exciting Party Supplies, Toys, Costumes, Holiday Decor and so much more, bringing the Celebration home to thousands of satisfied customers.
 We are looking to add a passionate full\-time
 **Manager, Product Development (Bilingual Mandarin Preferred)** 
 to our team. You will work with our Sourcing Team, Designers and Marketing team to create fun and exciting products that delight our customers, their families, and friends.
 As we are a growing company, you will take on various responsibilities and learn and grow rapidly with the company.
 Job Type: Full\-time
 Salary: $60,000 \- $85,000
 Schedule: Monday to Friday
**Responsibilities:**
* Carry out marketing research of products, analyze business data, identify trends and plan out strategies for new product developments.
* Form product concepts based on marketing research results. Work with designers to create the most exciting products that meet market needs.
* Communicate with foreign manufacturers on product designs and prototypes to ensure great quality.
* Cooperate with the creative production team to prepare marketing materials such as photos, videos, and e\-commerce listing descriptions.
* Manage product information online to ensure accuracy.
* Analyze and control costs including manufacturing cost, marketing cost, and operation cost.
* Coordinate with the Marketing and Sales Team to boost profit for each product.
**Requirements:**
* Bachelor’s degree or above, design background is a plus.
* Proficiency in Mandarin \&amp; English is a MUST
* 5 year\+ of consumer product development experience is required. Experience in toys, crafts, party supplies, apparel, and furniture is preferred.
* Proficiency in Excel \&amp; Google Sheet.
* Multitasking and the ability to shift priorities in a fast\-paced environment.
* Self\-motivated, consistently giving your best efforts, and continually looking for ways to improve.
* Strong interpersonal abilities and project management skills.
 Location: Rancho Cucamonga, CA
 Job Type: Full\-time
 Pay: $60,000\.00 \- $85,000\.00 per year</t>
        </is>
      </c>
    </row>
    <row r="93">
      <c r="A93" t="inlineStr">
        <is>
          <t>li-4366208597</t>
        </is>
      </c>
      <c r="B93" t="inlineStr">
        <is>
          <t>Senior Product Manager</t>
        </is>
      </c>
      <c r="C93" t="inlineStr">
        <is>
          <t>FMX</t>
        </is>
      </c>
      <c r="D93" t="inlineStr">
        <is>
          <t>linkedin</t>
        </is>
      </c>
      <c r="E93">
        <f>HYPERLINK("https://www.linkedin.com/jobs/view/4366208597", "https://www.linkedin.com/jobs/view/4366208597")</f>
        <v/>
      </c>
      <c r="F93" t="inlineStr"/>
      <c r="G93" t="inlineStr">
        <is>
          <t>Columbus, OH</t>
        </is>
      </c>
      <c r="H93" t="inlineStr"/>
      <c r="I93" t="inlineStr">
        <is>
          <t>We are seeking a
 *Senior Product Manager* 
 to identify, validate, and launch new product offerings that expand FMX’s addressable market and revenue. This role focuses on discovering and shaping products for segments and use cases FMX does not serve well today, while keeping a tight connection to our core platform and strategy.
 You will partner closely with Sales, Marketing, Customer Success, and leadership to uncover new revenue potential, validate market fit, and turn promising opportunities into well\-scoped, high\-confidence MVPs. Success in this role means turning ambiguous opportunities into sellable products that drive net\-new ARR and inform FMX’s overall product strategy. You will own a focused set of outcome metrics for your area and use them to shape, prioritize, and evaluate a portfolio of new\-market bets, including defining TAM/SAM, revenue targets, and the minimum viable product needed to enter a market quickly and credibly.
**Responsibilities**
 As a Senior Product Manager you will:
* Maintain a clear, prioritized list of problems, opportunities, and bets across target new markets.
* Describe market and customer problems in simple, concrete language so anyone on the team can understand them.
* Lead discovery for new markets and use cases, owning the problem framing to identify high\-potential opportunities aligned with FMX’s strategy.
* Conduct structured market, customer, and competitive research to validate problem spaces, define market categories, understand where FMX needs to compete to "play ball," and size opportunities (including TAM/SAM and expected revenue impact).
* Define clear problem statements, target personas, and success metrics for new initiatives.
* Develop and champion product vision, narratives, and roadmaps for new markets, ensuring alignment with company strategy and financial goals, and reflecting a clear view of market structure, competitive dynamics, and budget realities within target segments.
* Work with Design and Engineering to translate validated concepts into MVPs and experiment plans that can be delivered in small, testable increments, balancing time\-to\-market with long\-term platform health.
* Run lean experiments, beta programs, and early\-access pilots to validate product assumptions, iterating quickly based on customer feedback and data.
* Evaluate and compare potential new\-market offerings (for example, competing product concepts or segments) using structured criteria such as revenue potential, strategic fit, customer demand, and development effort, and recommend which bets to pursue first.
* Partner with Sales, Marketing, and Customer Success to shape and coordinate go\-to\-market plans, positioning, pricing and packaging assumptions, and enablement for new offerings.
* Establish and track KPIs and revenue targets for each new\-market initiative, and plan follow\-up changes based on results.
* Ensure learnings from new markets feed back into core product and roadmap decisions and into a P\&amp;L\-level understanding of the portfolio you own.
**Requirements**
**Preferred Experience \&amp; Qualities:
 What are we looking for in this role?:**
* 4–7 years of product management, new markets, or closely related experience in B2B SaaS or a similar environment.
* Actively embraces AI and modern productivity tools in daily workflows to accelerate output and drive better decision\-making.
* Comfortability navigating ambiguous markets by framing hypotheses and running structured discovery to validate pricing, willingness to pay, and new opportunities.
* The ability to connect customer pain points and competitive landscape to FMX’s overarching strategy to place coherent, high\-impact product bets.
* Experience leveraging quantitative and qualitative data to size opportunities (including TAM/SAM), estimate revenue impact, and evaluate tradeoffs in product areas through the lens of P\&amp;L and unit economics. The ability to synthesize complex situations into a concise set of specific, solvable problems.
* Articulates compelling visions and rationales for new bets through clear storytelling that resonates with executives, peers, and customers alike.
* A passion for engaging deeply with prospects and customers to understand their workflows, constraints, budgets, and buying drivers.
* Prioritizes learning velocity through an experimentation mindset, using pilots and experiments to validate direction before scaling, while remaining comfortable reshaping or sunsetting bets when the data does not support them.
* Works collaboratively with Sales, Marketing, Customer Success, and Engineering to ensure organizational alignment and successful execution.
* Approaches issues with a structured, step\-by\-step methodology to arrive at focused, realistic, and implementable solutions.
* A match with our core pillars: Teamwork, Excellence, and Integrity.
**The Hiring Process For This Role**
* Apply! Submit your resume and answers to the application questions via the Workable portal.
* Phone screen with People Ops: A 30\-minute conversation to review your background and experiences, discuss the culture at FMX, and ensure that you understand the general expectations for the role. Also, a great time for you to ask questions about compensation, benefits, etc.
* Hiring manager conversation: A 60\-minute conversation with the hiring team. Be prepared to discuss your background as well as what you’re looking for in your next role and what direction you see your career path taking. Also, this is a great time for you to ask questions about the expectations for this role, team culture, etc.
* Take Home Assessment: Selected candidates will complete a brief at\-home assessment as part of the hiring process. This will be a time‑boxed assessment designed to understand how you think, communicate, and solve problems in scenarios similar to what you would encounter in this role. After submitting the assessment, there may be a virtual call with the hiring team to discuss the contents of the assessment.
* Final Panel Interview: A 60\-minute peer interview with the members of the Product, Engineering, and Go\-to\-Market teams.
* Questions for you from the team on your background, as well as time to discuss the day\-to\-day responsibilities and team culture.
**Offer \&amp; Onboarding:** 
 Candidates who receive an offer will be required to complete a background check prior to onboarding. New hires are also expected to work onsite at our Columbus, OH office during their first week to complete onboarding and connect with the team in person.
**Benefits**
**FMX Benefits** 
**and Life at FMX:**
* You’ll make a big impact: You’ll have significant influence over the direction of our product and the future of our company.
* Competitive benefits: 100% company\-paid health, dental, vision, long and short term disability, and life insurance.
* Work from home: At FMX, we are remote first, but you’re welcome to use our office as you need. We have one all\-company event a year to ensure that you can put a face to that name and establish high\-trust relationships with your teammates and co\-workers. When you’re in the office, you can take advantage of our free snacks, beverages, and office kegerator.
* Home office stipend: We’ll give you everything necessary to do your job (company\-sponsored laptop, headset, etc.). We will also provide up to $500 to help with equipment, furniture, and accessories. You will also get $60/month toward your home internet connection.
* Generous PTO and UTO (unplanned time off) policies: If you’re sick, why should that cut into your vacation time?
* Flexible Schedule: We offer a flexible schedule to help you manage personal appointments, such as doctor or dentist visits, as long as you're meeting performance expectations and project timelines.
* You can wear jeans and tees: Feel free to keep it casual, we do.
* You’ll enjoy a collaborative culture and a close\-knit team: We're a team of hard\-working, high\-fiving, friendly folks. We take collaboration, transparency, continuous improvement, and work/life balance seriously.
**Compensation**
* This position is eligible for a base salary as well as a Company Performance Bonus. The compensation range for this position is expected to be $110,000\-$130,000\.
* 401(k) and medical / dental / vision / short and long term disability / life insurance.
**Other considerations:** 
 The candidate for this position can be located anywhere in the US.
**Company**
 FMX is founded and headquartered in Columbus, Ohio and develops a cloud\-based, software\-as\-a\-service facility maintenance and management product. FMX serves education, property management, manufacturing, and other markets and is one of the fastest\-growing companies in its space. Check us out at: https://www.gofmx.com/
***Note: All other company requirements are documented in the FMX Teammate Handbook. FMX is an equal opportunity employer and a drug\-free workplace.***</t>
        </is>
      </c>
    </row>
    <row r="94">
      <c r="A94" t="inlineStr">
        <is>
          <t>li-4355887773</t>
        </is>
      </c>
      <c r="B94" t="inlineStr">
        <is>
          <t>Product Manager II, YouTube Fan Engagement</t>
        </is>
      </c>
      <c r="C94" t="inlineStr">
        <is>
          <t>Google</t>
        </is>
      </c>
      <c r="D94" t="inlineStr">
        <is>
          <t>linkedin</t>
        </is>
      </c>
      <c r="E94">
        <f>HYPERLINK("https://www.linkedin.com/jobs/view/4355887773", "https://www.linkedin.com/jobs/view/4355887773")</f>
        <v/>
      </c>
      <c r="F94" t="inlineStr"/>
      <c r="G94" t="inlineStr">
        <is>
          <t>Mountain View, CA</t>
        </is>
      </c>
      <c r="H94" t="inlineStr"/>
      <c r="I94"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consumer product management.
* 2 years of experience taking technical products from conception to launch (e.g., ideation to execution, end\-to\-end, 0 to 1, etc).
* Experience working cross\-functionally with engineering, User Experience/User Interface (UX/UI), data science, and other stakeholders.
**Preferred qualifications:**
* Experience with A/B testing and user research methodologies.
* Experience with creator\-focused products or content sharing platforms.
* Experience using data to inform product decisions, along with excellent communication, collaboration and problem\-solving skills.
* Ability to translate user needs and business objectives into detailed product specifications and road maps.
* Ability to work with cross\-functional teams including engineering, design, and data science.
* Passion for YouTube and an understanding of the platform's ecosystem, creators, and viewers.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YouTube's Community team is seeking a passionate Product Manager to work on posts, a growing format on YouTube to inspire casual creation and lightweight content consumption. Posts are the lightest weight way for people to create, connect with their fans, and are a significant growth area for YouTube.You will be joining the community organization within YouTube which is responsible for everything on YouTube that transforms a passive consumption experience to a dynamic, two way connection between creators and their fans.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goal, road map, and success metrics for posts features, contributing to the direction and road map for expanding Posts content on YouTube.
* Understand viewer and fan needs, translating insights into engaing product experiences.
* Conceptualize and build tools leveraging technology (including generative AI) to empower fan participation and drive engagement.
* Collaborate with engineering, design, and research teams to bring the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li-4366204848</t>
        </is>
      </c>
      <c r="B95" t="inlineStr">
        <is>
          <t>Principal Product Manager, Prop Trading</t>
        </is>
      </c>
      <c r="C95" t="inlineStr">
        <is>
          <t>NinjaTrader</t>
        </is>
      </c>
      <c r="D95" t="inlineStr">
        <is>
          <t>linkedin</t>
        </is>
      </c>
      <c r="E95">
        <f>HYPERLINK("https://www.linkedin.com/jobs/view/4366204848", "https://www.linkedin.com/jobs/view/4366204848")</f>
        <v/>
      </c>
      <c r="F95" t="inlineStr"/>
      <c r="G95" t="inlineStr"/>
      <c r="H95" t="inlineStr"/>
      <c r="I95"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In this role, you’ll lead the product strategy and roadmap for NinjaTrader’s Evaluation Services business, which powers our B2B partner platform network by offering simulated trading environments for prop firms. Our B2B partners use our award\-winning trading software to train futures traders in a simulated environment, and these partners expect NinjaTrader to deliver its trading platform reliably and with real\-time monitoring, scale for their user growth, create features that resonate with their users, and deliver insights to help them run their business better. This role will collaborate with the GM for Evaluation Services, Product leaders, internal stakeholders, and external partners to deliver a reliable, scalable, and intuitive product offering that meets the needs of trading firms while enabling their users to confidently progress toward becoming funded traders.
**In this role you will:**
* Drive the product vision, strategy, and execution plan for Evaluation Services in close partnership with engineering, design, marketing, and evaluation service teams
* Define, prioritize, and execute against a roadmap that delivers meaningful value to our partner network and evaluation services users
* Write clear PRDs, manage backlogs, and collaborate with engineering to translate product needs into scalable APIs and workflows
* Engage directly with B2B partners to uncover pain points, validate requirements, and shape solutions that align with their goals
* Work closely with technical teams to define API requirements and technical specifications
* Use data, user insights, and business priorities to inform decision\-making and continuously improve the Evaluation Services experience and roadmap
* Support go\-to\-market activities including positioning, pricing, and partner enablement in collaboration with business and marketing leaders
* Help evolve operational processes to scale the Evaluation Services offering across an expanding partner base
**What you’ll need:**
* 7\+ years of experience as a Product Manager, preferably with 3\+ years in B2B
* Strong technical understanding and comfort writing API technical specifications or working closely with API documentation and developer teams. STEM background or equivalent technical background highly preferred
* Demonstrated ability to lead zero\-to\-one initiatives affecting many functions across the business, including effective influencing and prioritization
* Demonstrated ability to lead cross\-functional teams and drive alignment across business, engineering, and external stakeholders
* Strong analytical skills with experience using data to guide prioritization and product iteration
* Entrepreneurial mindset, comfortable owning large problem areas and operating in ambiguity
* Team\-first mentality with an ability to mentor peers and influence without authority
**Bonus points for:**
* Experience in fintech or trading platforms
* Experience launching zero\-to\-one products and scaling them in partnership\-heavy environments
* Experience building and shipping APIs products
**Compensation:**
 The salary range for this role will be $180,000 \- $210,000 USD. In addition, this position will also receive an annual target bonus of 15%.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23 days per year (some positions may qualify for more) plus seven paid holidays. Additional details on our total compensation package and benefits are listed below
**Location:**
 This role is based in Chicago, IL. \*There may be remote flexibility for exceptional candidates in the following states: California, Colorado, Florida, Georgia, Illinois, Indiana, Minnesota, New York, North Carolina, Ohio, Oregon, South Carolina, Texas, Utah, Virginia, Washington, Washington D.C., Wisconsin, New Jersey, Pennsylvania.
**Hybrid:**
 For Chicago\-based employees, we follow a hybrid work schedule: In\-office Tuesday through Thursday, with remote work on Mondays and Fridays. In addition to these weekly remote days, we offer:
* 20 additional flex remote days annually
* 5 company\-wide remote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96">
      <c r="A96" t="inlineStr">
        <is>
          <t>li-4366232445</t>
        </is>
      </c>
      <c r="B96" t="inlineStr">
        <is>
          <t>Senior Product Manager- Technical Apparel</t>
        </is>
      </c>
      <c r="C96" t="inlineStr">
        <is>
          <t>REI</t>
        </is>
      </c>
      <c r="D96" t="inlineStr">
        <is>
          <t>linkedin</t>
        </is>
      </c>
      <c r="E96">
        <f>HYPERLINK("https://www.linkedin.com/jobs/view/4366232445", "https://www.linkedin.com/jobs/view/4366232445")</f>
        <v/>
      </c>
      <c r="F96" t="inlineStr"/>
      <c r="G96" t="inlineStr">
        <is>
          <t>Seattle, WA</t>
        </is>
      </c>
      <c r="H96" t="inlineStr"/>
      <c r="I96" t="inlineStr">
        <is>
          <t>**Overview**
 Are you a strategic product leader who thrives at the intersection of creativity, commerce, and collaboration? Join our Co\-op Brands team as a Senior Product Manager, where you’ll shape the future of outdoor gear and apparel that reflects our values, inspires our members, and drives meaningful growth.
**What You’ll Do:**
 As a Senior Product Manager, you’ll lead the seasonal brand and product strategy for technical apparel activities within REI’s Co\-op Brands. You’ll ensure every product we create is member\-informed, aligned with our brand vision, and meets our business goals.
**Responsibilities And Qualifications**
* Lead Strategy \&amp; Execution: Develop and drive 1\-2 year product and brand strategies aligned with our 3\-5 year roadmap.
* Cross\-Functional Leadership: Collaborate with merchandising, design, and development to deliver cohesive, profitable, and compelling product lines.
* Product Creation: Decision maker and driver of the seasonal product creation process from concept to buy\-ready, ensuring alignment, accountability, and timely execution.
* Market \&amp; Consumer Insights: Use data, trends, and consumer feedback to inform strategy and identify new opportunities.
* Team Leadership: Supervise and mentor 1\-2 direct reports, fostering growth and performance.
* Financial Impact: Support the development and execution of financial plans, ensuring margin targets and revenue goals are met.
**Qualifications**
* A strategic thinker with 7\+ years in product line management and merchandising planning.
* A collaborative leader with strong communication, analytical, and business planning skills.
* Experienced in brand building, with a keen eye for relevant trends and commercial potential.
* A natural team builder who can inspire, align, and drive results across functions.
* Comfortable operating with autonomy and influencing at all levels of the organization.
* 3\+ years of people management experience preferred
* Experience in outdoor, lifestyle, or consumer goods industries is a plus.
**Closing**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**Pay Range**
 $113,200\.00 \- $171,100\.00 per year</t>
        </is>
      </c>
    </row>
    <row r="97">
      <c r="A97" t="inlineStr">
        <is>
          <t>li-4365873618</t>
        </is>
      </c>
      <c r="B97" t="inlineStr">
        <is>
          <t>Senior Product Manager (E-Commerce)</t>
        </is>
      </c>
      <c r="C97" t="inlineStr">
        <is>
          <t>HungerRush</t>
        </is>
      </c>
      <c r="D97" t="inlineStr">
        <is>
          <t>linkedin</t>
        </is>
      </c>
      <c r="E97">
        <f>HYPERLINK("https://www.linkedin.com/jobs/view/4365873618", "https://www.linkedin.com/jobs/view/4365873618")</f>
        <v/>
      </c>
      <c r="F97" t="inlineStr"/>
      <c r="G97" t="inlineStr">
        <is>
          <t>Houston, TX</t>
        </is>
      </c>
      <c r="H97" t="inlineStr"/>
      <c r="I97" t="inlineStr">
        <is>
          <t>**Who We Are**
 HungerRush is a leading provider of integrated restaurant technology solutions. HungerRush 360 is our flagship cloud POS system that makes it easier to delight guests, drive loyalty, and manage restaurants from anywhere. The all\-in\-one system integrates digital ordering (including AI\-powered text and talk ordering), delivery management, customer engagement, restaurant management, and payment processing features with flexible software designed to give operators more insight into their customers, more control over their operations, and more power to profitably grow their business. Learn more at www.hungerrush.com.
**Position Overview**
 HungerRush is transforming how guests interact with restaurants online. As the
 **Senior Product Manager for Online Ordering** 
 , you will own the end\-to\-end consumer journey for our online ordering experience. Your mission will be to deliver a best\-in\-class digital ordering experience that feels intuitive and seamless.
 You will lead initiatives across funnel optimization using data, experimentation, and customer insights to continuously improve outcomes.
 This role is perfect for someone who obsesses over reducing friction, loves analyzing funnels and behavior patterns, moves quickly from insight to action, and thrives in a high\-growth fast\-paced environment.
 This is a remote role.
**Essential Responsibilities And Duties**
* Analyze ecommerce funnels end\-to\-end to identify friction points and optimize.
* Own customer journey mapping, usability analysis, and qualitative research to surface pain points and opportunities.
* Define and maintain a strategic roadmap for a consumer facing product, driving consumer engagement and business impact.
* Partner with engineering to deliver innovative, high\-quality features.
* Use customer insights, data, and market trends to inform product decisions.
* Balance speed and quality, making bold decisions when needed while ensuring execution excellence.
* Define clear Objectives and Key Results (OKRs), and track progress against them to ensure measurable outcomes.
* Experiment rapidly—hypothesize, test, learn, and iterate.
* Conduct market research and competitive analysis to identify trends and opportunities and keep the product competitive.
* Collaborate with stakeholders to prioritize features and capabilities based on customers' needs and business goals.
* Provide education and guidance to internal teams, including sales, product marketing, and customer success, ensuring alignment on product capabilities and value propositions
**Required Qualifications**
* 5\+ years of product management experience
* Strong track record of building and launching innovative products in fast\-paced environments.
* Customer\-centric mindset \- Deep empathy for users and ability to translate insights into product features; Experience with user research, feedback loops, and customer journey mapping
* Data\-driven decision making \- Proficient in setting measurable goals (OKRs, KPIs). Skilled at using product analytics (Google Analytics, Mixpanel, etc.), experimentation (A/B testing) to drive decisions
* Execution excellence \- Proven track record of shipping successful products. Strong prioritization skills and knowing what to build and what not to build
* Collaboration \&amp; influence \- Ability to work cross\-functionally with engineering, design, sales, marketing, and operations. Strong communicator with the ability to influence, align, and inspire cross\-functional teams.
**Why HungerRush?**
* Be part of a company that's redefining the restaurant experience with cutting\-edge technology.
* Work on products that sit at the intersection of AI, voice, and consumer engagement.
* A culture that values innovation, experimentation, and collaboration.
* Opportunity to make a direct impact in a high\-growth environment.
**Additional Details**
 This position is open to candidates who are authorized to work in the United States, without sponsorship, either now or in the future. At this time, and in the foreseeable future, HungerRush is not able to support assistance with additional visa sponsorship, regarding this specific position.
**Disclaimer:** 
 This Job Description indicates the general nature and level of work expected of the incumbent(s). It is not designed to cover or contain a comprehensive listing of activities, duties or responsibilities required of the incumbent. Incumbent(s) may be asked to perform other duties in addition to those described above.
 HungerRush is an Equal Opportunity Employer and does not unlawfully discriminate on the basis of any status or condition protected by applicable federal, state, or local municipal law.</t>
        </is>
      </c>
    </row>
    <row r="98">
      <c r="A98" t="inlineStr">
        <is>
          <t>li-4365882580</t>
        </is>
      </c>
      <c r="B98" t="inlineStr">
        <is>
          <t>Product Owner - Remote</t>
        </is>
      </c>
      <c r="C98" t="inlineStr">
        <is>
          <t>ICF</t>
        </is>
      </c>
      <c r="D98" t="inlineStr">
        <is>
          <t>linkedin</t>
        </is>
      </c>
      <c r="E98">
        <f>HYPERLINK("https://www.linkedin.com/jobs/view/4365882580", "https://www.linkedin.com/jobs/view/4365882580")</f>
        <v/>
      </c>
      <c r="F98" t="inlineStr"/>
      <c r="G98" t="inlineStr">
        <is>
          <t>Reston, VA</t>
        </is>
      </c>
      <c r="H98" t="inlineStr"/>
      <c r="I98" t="inlineStr">
        <is>
          <t>**Description**
**About the Role**
 We are seeking an experienced Technical Product Owner to define product vision, manage backlogs, and ensure successful delivery of high\-quality software solutions. This is a highly technical role supporting a team of engineers building complex systems. The TPO must have the ability to analyze technical requirements, understand system architecture, and write detailed features and user stories that guide development. You will partner closely with engineering teams and stakeholders to ensure clarity, technical feasibility, and timely execution.
**Key Responsibilities**
*Product Ownership \&amp; Delivery Oversight*
* Define and maintain product vision, roadmap, and backlog aligned with business objectives and technical constraints.
* Gather, analyze, and prioritize requirements from stakeholders; translate them into epics, features, and user stories with clear technical acceptance criteria.
* Act as the primary liaison between business stakeholders and engineering teams, including architecture, ensuring transparency and shared understanding.
* Employ technical and thought leadership to drive products from inception to release, ensuring alignment with architectural standards and delivery goals.
* Collaborate with engineers to validate feasibility, clarify technical dependencies, and ensure solutions meet performance and security standards.
* Coordinate readiness efforts for releases, including pre\-launch quality checks and internal sign\-offs.
* Establish post\-launch monitoring and analyze product performance to inform future priorities.
* Communicate product health, risks, and successes to program leadership and customer stakeholders.
* Work with and align with Training and Communications team on training needs, and provide support as necessary to both TAC and in user facing calls
**Required Qualifications**
* Bachelor’s degree plus 5 or more years of experience; OR Associate’s degree plus 7 or more years of experience; OR Master’s degree plus 3 or more years of experience
* 5\+ years in a technical role with experience as a Product Owner or similar role in Agile environments to include:
* Candidate must be able to obtain and maintain a Federal Public Trust Clearance
* Candidate must reside in the U.S., be authorized to work in the U.S., and all work must be performed in the U.S.
* Candidate must have lived in the U.S. for three (3\) full years out of the last five (5\) years
**Preferred Qualifications**
* Experience in healthcare domain and/or federal contracting.
**Professional Skills**
* Experience balancing technical debt, platform work, and feature delivery
* Strong technical background with ability to understand APIs, data models, integration patterns, and system architecture.
* Experience writing detailed technical user stories and acceptance criteria.
* Strong understanding of software development lifecycle and Agile frameworks (Scrum, SAFe).
* Experience managing product backlogs and using tools like Jira.
* Experience supporting distributed teams and scaling Agile delivery.
* Knowledge of human\-centered design principles in Agile environments.
* Strong technical communication skills (written and verbal).
* Ability to synthesize delivery and product data into actionable insights.
* Skilled at facilitating cross\-team coordination and removing delivery blockers.
* Excellent time management, organizational, and interpersonal skills.
* Comfortable navigating ambiguity and balancing strategic priorities with tactical execution.
* Known for driving accountability, delivery focus, and fostering a culture of continuous improvement.
**Job Location:** 
 This position requires that the job be performed in the United States. If you accept this position, you should note that ICF does monitor employee work locations and blocks access from foreign locations/foreign IP addresses, and also prohibits personal VPN connections.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$81,499\.00 \- $138,549\.00
 Nationwide Remote Office (US99\)</t>
        </is>
      </c>
    </row>
    <row r="99">
      <c r="A99" t="inlineStr">
        <is>
          <t>li-4366188841</t>
        </is>
      </c>
      <c r="B99" t="inlineStr">
        <is>
          <t>Product Manager - Instagram Reels Monetization Creative</t>
        </is>
      </c>
      <c r="C99" t="inlineStr">
        <is>
          <t>Sarafu</t>
        </is>
      </c>
      <c r="D99" t="inlineStr">
        <is>
          <t>linkedin</t>
        </is>
      </c>
      <c r="E99">
        <f>HYPERLINK("https://www.linkedin.com/jobs/view/4366188841", "https://www.linkedin.com/jobs/view/4366188841")</f>
        <v/>
      </c>
      <c r="F99">
        <f>HYPERLINK("https://about.instagram.com/careers/734572489439844/&amp;urlHash=silh", "https://about.instagram.com/careers/734572489439844/&amp;urlHash=silh")</f>
        <v/>
      </c>
      <c r="G99" t="inlineStr">
        <is>
          <t>Menlo Park, CA</t>
        </is>
      </c>
      <c r="H99" t="inlineStr"/>
      <c r="I99" t="inlineStr">
        <is>
          <t>Meta Product Managers work with cross\-functional teams of engineers, designers, data scientists and researchers to build products. We are looking for Product Managers who value moving quickly.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**Compensation**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Apply</t>
        </is>
      </c>
    </row>
    <row r="100">
      <c r="A100" t="inlineStr">
        <is>
          <t>li-4361943639</t>
        </is>
      </c>
      <c r="B100" t="inlineStr">
        <is>
          <t>Product Manager, Meridian</t>
        </is>
      </c>
      <c r="C100" t="inlineStr">
        <is>
          <t>AngelList</t>
        </is>
      </c>
      <c r="D100" t="inlineStr">
        <is>
          <t>linkedin</t>
        </is>
      </c>
      <c r="E100">
        <f>HYPERLINK("https://www.linkedin.com/jobs/view/4361943639", "https://www.linkedin.com/jobs/view/4361943639")</f>
        <v/>
      </c>
      <c r="F100" t="inlineStr"/>
      <c r="G100" t="inlineStr"/>
      <c r="H100" t="inlineStr"/>
      <c r="I100"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$124B\+ in assets and have powered investments into over 12,000 startups—over 300 of which are unicorns. Today, 57% of top\-tier U.S. VC deals involve investors on AngelList. While our scale is large, our ambition is larger.
 If you're excited to build the future of private markets, come build with us.
**About the Role:** 
 Meridian is AngelList’s wealth platform for private markets. Meridian is building wealth products for the growing class of self\-directed investors who want unique and direct access to private markets. Built on more than a decade of AngelList innovation, Meridian extends the platform that already supports founders and fund managers to serve investors now. Meridian is early, and this role presents an opportunity to help shape the next generation of products for private market investing.
 As a Product Manager on Meridian, you’ll own core investor\-facing product areas—from onboarding and investing to portfolio insights and reporting. You’ll work from first principles to define the modern wealth platform for private markets. Your job is to turn customer insights, data, and regulatory constraints into elegant, performant experiences that deepen investor engagement and increase capital deployed.
 This is a hands\-on, early\-stage product role with meaningful scope. You’ll partner tightly with engineering, design, compliance, and the GM to ship high\-quality product in a fast\-moving, regulated environment.
**You will have the opportunity to:** 
* Own major product surfaces across investing and portfolio management, shaping what Meridian becomes
* Build new products on top of AngelList infra, with real distribution advantages
* Translate insights and data into sharp, opinionated product decisions
* Prioritize ruthlessly and drive clarity in ambiguous problem spaces
* Collaborate with engineering, design, legal, and operations to scope and sequence effectively
* Partner directly with the GM to influence product strategy and team direction
**What we’re looking for:** 
* 5\+ years of PM experience with full ownership across discovery, launch, and iteration
* Experience building fintech, private market, or regulated consumer products
* Strong product judgment and taste, you know what good looks like and push for it
* 0→1 product experience; comfort with ambiguity, tradeoffs, and limited resources
* Familiarity with working across legal, compliance, and operational teams
* High agency and urgency with a bias toward thoughtful execution
* Excitement about Meridian’s vision and the opportunity to help build a category\-defining wealth platform
**Working Here** 
 If you don’t meet every requirement above, we still encourage you to apply. We value complementary strengths and operators who learn by doing.
 We operate out of hubs in New York City and San Francisco. For most roles on those teams, we work from the office at least two days per week (Tuesdays and either Wednesday or Thursday). Exceptions may be made for exceptional individual contributor candidates in other locations.
**Compensation:** 
 The compensation for this role consists of a competitive base salary, benefits, and equity package. The base salary for this role is $200,000\+ annually but actual will vary based on a number of factors including a candidate’s professional background, experience, and location. Full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101">
      <c r="A101" t="inlineStr">
        <is>
          <t>li-4321447593</t>
        </is>
      </c>
      <c r="B101" t="inlineStr">
        <is>
          <t>Associate Product Manager</t>
        </is>
      </c>
      <c r="C101" t="inlineStr">
        <is>
          <t>CarMax</t>
        </is>
      </c>
      <c r="D101" t="inlineStr">
        <is>
          <t>linkedin</t>
        </is>
      </c>
      <c r="E101">
        <f>HYPERLINK("https://www.linkedin.com/jobs/view/4321447593", "https://www.linkedin.com/jobs/view/4321447593")</f>
        <v/>
      </c>
      <c r="F101">
        <f>HYPERLINK("https://careers.carmax.com/associate-product-manager/job/51C7A1E17CE171DBF2260EAEB78D03E3&amp;urlHash=oAnk", "https://careers.carmax.com/associate-product-manager/job/51C7A1E17CE171DBF2260EAEB78D03E3&amp;urlHash=oAnk")</f>
        <v/>
      </c>
      <c r="G101" t="inlineStr">
        <is>
          <t>Richmond, VA</t>
        </is>
      </c>
      <c r="H101" t="inlineStr"/>
      <c r="I101" t="inlineStr">
        <is>
          <t>8116 \- Midtown Office \- 2220 W. Broad Street, Richmond, Virginia, 23220
 CarMax, the way your career should be!
**Are you an innovator that wants to learn Product Management at CarMax?**
 As an Associate Product Manager, you will learn from our existing Product Teams and gain hands on experience driving product discovery and delivery activities. In addition to mentorship, guidance and developmental focus from Senior Product Managers and Product Directors, Associate Product Managers will complete CarMax PREP (Product Education Program) \- a tailored learning agenda designed to provide you the skillset necessary to be successful in a Product Manager role after completion. Your work will put customer needs at the heart of our process, and make the car buying and selling experience better. Thinking cross functionally, you’ll work with your design, engineering, and data science partners to create products that allow customers to buy the vehicle they want in a way that’s right for them. Innovation is at the heart of CarMax’s strategy, and in this role, you are too.
**About CarMax PREP**
* Associate Product Managers participate in the CarMax Product Education Program (PREP) to ensure they have the functional expertise to be successful as a Product Manager
* PREP focuses on building and demonstrating relevant skills, such as customer discovery, stakeholder management, and product analytics.
* PREP participants will have the opportunity to shadow existing Product Teams to see first\-hand how successful teams operate
**What You Will Do – Essential Responsibilities**
* Discovers and develops products and services that transform the car shopping, buying, and owning experience for our customers and drives business value
* Lead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work with a cross\-functional, technically 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**Desired Traits**
* Passionate about leveraging technology to power the customer experience
* Able to motivate and inspire team members, peers and stakeholders
* Analytical; loves to solve problems
* Innovative; thinks beyond boundaries, curious
* Flexible and open\-minded; proactively seeks input from others
* Exceptional organization and results focus, self\-directed leader
* Entrepreneurial drive and spirit; enjoys working in a fast\-paced environment
**Base Requirements**
* Undergraduate degree in relevant field, or 1\-2 years of experience working in Product or related field, including adjacent business areas within CarMax
**Preferred Qualifications**
* 1\-2 years of experience in Product or relevant field
* Master's degree
* Demonstrated ability to work with engineers, designers, and company leaders in a highly collaborative environment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102">
      <c r="A102" t="inlineStr">
        <is>
          <t>li-4355887772</t>
        </is>
      </c>
      <c r="B102" t="inlineStr">
        <is>
          <t>Product Manager I, YouTube Youth Responsibility</t>
        </is>
      </c>
      <c r="C102" t="inlineStr">
        <is>
          <t>Google</t>
        </is>
      </c>
      <c r="D102" t="inlineStr">
        <is>
          <t>linkedin</t>
        </is>
      </c>
      <c r="E102">
        <f>HYPERLINK("https://www.linkedin.com/jobs/view/4355887772", "https://www.linkedin.com/jobs/view/4355887772")</f>
        <v/>
      </c>
      <c r="F102" t="inlineStr"/>
      <c r="G102" t="inlineStr">
        <is>
          <t>Mountain View, CA</t>
        </is>
      </c>
      <c r="H102" t="inlineStr"/>
      <c r="I102" t="inlineStr">
        <is>
          <t>Note: By applying to this position you will have an opportunity to share your preferred working location from the following:
 **San Bruno, CA, USA; Mountain View, CA, USA** 
 .
 **Minimum qualifications:**
* Bachelor's degree or equivalent practical experience.
* 3 years of experience in product management or related technical role.
* 2 years of experience taking technical consumer software products from conception to launch.
* Experience in consumer advertising within sensitive verticals or media subscriptions.
**Preferred qualifications:**
* Master’s degree in a technology or business related field.
* 2 years of experience working cross\-functionally with engineering, UX/UXR, Partnerships, Marketing, and other stakeholders.
* 2 years of experience in a role preparing and delivering product strategy presentations to the leadership.
* Experience working with government or regulatory agencies.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YouTube Youth team is building a platform that allows kids and teens to discover new interests, learn from perspectives, and foster an engaging environment when they explore the world of online video.
 In this role you will advocate the direction by pioneering safer default experiences and helping parents with the controls they need to lead their families. You will help us navigate and innovate within an ever\-changing global regulatory landscape, turning safety challenges into opportunities to protect and inspire the next generation. Furthermore you will help us fuel the ecosystem by funding quality content in a safe and responsible manner.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road\-map and drive execution of opportunities to compensate quality youth creators maintaining excellent standards of safety and responsibility.
* Help respond to the ever changing global regulatory environment, providing insights into the market and offering optionality across our youth products.
* Serve as a domain expert for youth business generation and regulation across YouTube, working to forge alignment between collaborators in Product, Engineering, UX Research, Partnerships, Marketing, Government Affairs and Public Policy (GAPP) and Legal.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li-4366193100</t>
        </is>
      </c>
      <c r="B103" t="inlineStr">
        <is>
          <t>Senior Product Owner</t>
        </is>
      </c>
      <c r="C103" t="inlineStr">
        <is>
          <t>Abarca Health</t>
        </is>
      </c>
      <c r="D103" t="inlineStr">
        <is>
          <t>linkedin</t>
        </is>
      </c>
      <c r="E103">
        <f>HYPERLINK("https://www.linkedin.com/jobs/view/4366193100", "https://www.linkedin.com/jobs/view/4366193100")</f>
        <v/>
      </c>
      <c r="F103">
        <f>HYPERLINK("https://careers.abarcahealth.com/details/?gh_jid=7552150003&amp;urlHash=MLX2", "https://careers.abarcahealth.com/details/?gh_jid=7552150003&amp;urlHash=MLX2")</f>
        <v/>
      </c>
      <c r="G103" t="inlineStr"/>
      <c r="H103" t="inlineStr"/>
      <c r="I103" t="inlineStr">
        <is>
          <t>**What You’ll Do**
*In a few words…*
*Abarca is igniting a revolution in healthcare. We built our company on the belief that with smarter technology we are redefining pharmacy benefits, but this is just the beginning…*
 Senior Product Owners on our team leverage a keen attention to detail and sharp observational skills to understand our product and services as well as their histories and upcoming innovations. In this role, you’ll work through analysis of the business requirements and software development life cycle to prepare all things product related! We’ll also need you to help identify improvements for operating procedures, evaluate existing or propose road maps and prepare specifications while collaborating with clients, internal operations, and technology teams.
*The fundamentals for the job…*
* Be the subject matter expert for one to two product domains within Abarca.
* Create, update, enhance, or refine business requirements, user stories and acceptance criteria in an agile framework.
* Assist and partner with other Product Owners and Product Managers in solving business needs through collaborative product feature enhancements.
* Gather requirements with internal clients and technology teams to solve complex business needs and translate ideas into requirements.
* Work collaboratively with business partners, SMEs, Developers, and Testers to ensure a shared understanding of business requirements.
* Determine feasibility of business requirements and recommend changes to support business needs and processes.
* Assist in analyzing business solution options by evaluating current system processes and identifying possible solution options for new functionality or modifications to existing functionality.
* Provide support for your product domain in research, analysis and troubleshooting related to your products.
* Provide input and engage in setting priorities to define a product roadmap working with other product owners and product managers.
* Understand the products that you own and how they interact upstream and downstream within the product ecosystem.
* Ensure that system solution options are thoroughly researched, analyzed, and documented.
* Develops acceptance criteria and leads User Acceptance Testing (UAT) efforts to ensure the product meets the needs of the business.
* Provide support to Applications Development through participation in Design Reviews.
* Project estimates and resource plans for systems solutions.
**What We Expect Of You**
*The bold requirements…*
* Bachelor’s or Master’s Degree in a related area (In lieu of a degree, equivalent relevant work experience may be considered.)
* 6 \+ years of experience as a product owner, product analyst or in roles associated and/or collaborating with product management within an Agile SDLC environment
* Experience in project management, client facing tasks, facilitating meetings, and setting priorities.
* Experience leveraging and utilizing SQL, business intelligence and associated data analysis tools.
* Experience in developing roadmaps, managing product questions, vendor management, leading meetings and developing technical product documentation.
* Experience in market research and analysis as well as sales support within requests for proposal.
* Experience in developing and documenting acceptance criteria and user stories.
* Experience in collaborating within an agile and scrum environment and with associated SDLC toolsets (example: DevOps, Jira, etc.).
* Excellent oral and written communication skills.
* We are proud to offer a flexible hybrid work model which will require certain on\-site work days (Puerto Rico Location Only)
* This position requires availability to work in a specified time zone or working schedule, accommodating the business needs of our clients and team members.
* This position may require availability for on\-call hours, including evenings, weekends, and holidays, to promptly address emergent issues or provide necessary support as dictated by operational demands (if applicable).
*Nice to haves…*
* Scrum Certified Product Owner or Product Strategy Product Owner certification preferred.
* Experience with business intelligence solutions to create ad\-hoc queries \&amp; reports to support analysis.
* Experience Healthcare, Pharmacy, and Pharmacy Benefit industries, Medicare Part D, and CMS regulations, NCPDPD standards and/or HIMSS.
* Experience in UX and/or Human Centered Design.
 Physical requirements…
* Must be able to access and navigate each department at the organization’s facilities.
* Sedentary work that primarily involves sitting/standing.
***At Abarca we value and celebrate diversity. Diversity, equity, inclusion, and belonging are guiding principles of Abarca and ensure Abarca’s workforce reflects the communities it serves.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***Abarca Health LLC is an equal employment opportunity employer and participates in E\-Verify. “Abarca Health LLC does not sponsor employment visas at this time”***
***The above description is not intended to limit the scope of the job or to exclude other duties not mentioned. It is not a final set of specifications for the position. It’s simply meant to give readers an idea of what the role entails.***</t>
        </is>
      </c>
    </row>
    <row r="104">
      <c r="A104" t="inlineStr">
        <is>
          <t>li-4365330038</t>
        </is>
      </c>
      <c r="B104" t="inlineStr">
        <is>
          <t>Senior Product Manager</t>
        </is>
      </c>
      <c r="C104" t="inlineStr">
        <is>
          <t>Storm2</t>
        </is>
      </c>
      <c r="D104" t="inlineStr">
        <is>
          <t>linkedin</t>
        </is>
      </c>
      <c r="E104">
        <f>HYPERLINK("https://www.linkedin.com/jobs/view/4365330038", "https://www.linkedin.com/jobs/view/4365330038")</f>
        <v/>
      </c>
      <c r="F104" t="inlineStr"/>
      <c r="G104" t="inlineStr">
        <is>
          <t>Sunnyvale, CA</t>
        </is>
      </c>
      <c r="H104" t="inlineStr"/>
      <c r="I104" t="inlineStr">
        <is>
          <t>🚀 Senior Product Manager/ Product Lead
 🌎 Sunnyvale \- Based
 ⚡Competitive Base (DOE) \+ Meaningful Equity
**The Company:** 
 We are a pioneering company in the blockchain\-based payments and identity management sectors. Our mission is to build innovative products that transform the digital payments landscape, offering unparalleled solutions for currency exchange, money movement, and settlement processes.
**Job Overview:** 
 Someone who will bring strong Payments and product management leadership skills which are required to successfully collaborate with cross\-functional internal teams and the service ecosystem of partners/customers to identify and build core platform\-level product capabilities around company flagship service.
 ✅
 **Responsibilities:** 
* Develop, implement, and optimize processes for handling payment reversals within the payment network
* Design and maintain a comprehensive disputes framework within the payment network ecosystem.
* Continuously evaluate and optimize payment logic algorithms to improve transaction success rates and reduce failures.
* Conduct data analysis and A/B testing to identify opportunities for enhancing payment routing and decision\-making processes.
* Conduct a thorough review of existing network and product rules governing payment transactions
* Collaborate closely with engineering, operations, legal, compliance, and business development teams to define product strategies and priorities.
 ✅
 **Qualifications:** 
* Domain expertise in payment processing methods including card network, ACH, check, virtual cards, digital wallets, and international payments.
* 5\+ years product management experience, with proven experience driving forward\-thinking vision and payments product roadmap operating at significant scale
* Deep understanding of payment network infrastructure, including transaction processing, authorization, and settlement.
* Proven track record of driving product initiatives from concept to launch in a fast\-paced, dynamic environment.
* Familiarity with regulatory requirements and industry standards governing payment networks is a plus.
 ✅
 **Why apply** 
 :
* Equity at a scaling company 💸
* Career growth opportunity 📈
* Join a rapidly growing, well\-funded start\-up with significant upside potential, working with a stellar team utilizing blockchain to effect global change
* Real ownership over core payments systems
 📧 Interested in applying? Please click on the ‘Easy Apply’ button. 😊
**Important:** 
 Our client cannot provide sponsorship, so you must be a
 **US citizen or Green Card holder** 
 .</t>
        </is>
      </c>
    </row>
    <row r="105">
      <c r="A105" t="inlineStr">
        <is>
          <t>li-4366245329</t>
        </is>
      </c>
      <c r="B105" t="inlineStr">
        <is>
          <t>Senior Product Manager</t>
        </is>
      </c>
      <c r="C105" t="inlineStr">
        <is>
          <t>Axle Health</t>
        </is>
      </c>
      <c r="D105" t="inlineStr">
        <is>
          <t>linkedin</t>
        </is>
      </c>
      <c r="E105">
        <f>HYPERLINK("https://www.linkedin.com/jobs/view/4366245329", "https://www.linkedin.com/jobs/view/4366245329")</f>
        <v/>
      </c>
      <c r="F105">
        <f>HYPERLINK("https://jobs.ashbyhq.com/axle-health/d0a26ee7-6666-4e18-b54e-67faccec0443?utm_source=LinkedInPaid&amp;urlHash=yn1q", "https://jobs.ashbyhq.com/axle-health/d0a26ee7-6666-4e18-b54e-67faccec0443?utm_source=LinkedInPaid&amp;urlHash=yn1q")</f>
        <v/>
      </c>
      <c r="G105" t="inlineStr">
        <is>
          <t>Santa Monica, CA</t>
        </is>
      </c>
      <c r="H105" t="inlineStr"/>
      <c r="I105" t="inlineStr">
        <is>
          <t>**About Us**
 Axle Health builds scheduling and workforce management software to empower in\-home healthcare providers to deliver exceptional, personalized care right where patients feel most comfortable—at home.
 Some of the biggest providers in the country use our software (like Cityblock Health and GrandCare) to improve the utilization of their field teams by 17%\+, and automate the operational burden of scheduling and dispatching.
 Our platform includes proprietary logistics algorithms to optimize scheduling, a mobile app for field staff, an operations dashboard for office teams, engagement and booking tools for patients, and a wide range of integrations and external APIs for modular access.
 We’re a team of top\-tier engineers and operators, backed by $14m from top investors such as Y Combinator, Pear VC, and F\-Prime, applying our intellect and logistics experience to upend how home healthcare is delivered.
**About You**
 We're looking for a hands\-on Senior Product Manager who can take ownership of critical product initiatives and drive execution across our roadmap. You'll collaborate closely with engineering and program management to scope, prioritize, and ship features that revolutionize home healthcare logistics and operations. This is a senior individual contributor role reporting to our CEO, where you'll have significant autonomy to shape products and features that directly impact clinician productivity and patient care.
 Our ideal candidate has built category\-defining products in logistics or operations technology, preferably within health tech. You thrive in fast\-moving startup environments where iteration speed and cross\-functional collaboration are essential. You're comfortable working directly with engineers to break down complex problems, and you can seamlessly partner with program managers to ensure what you build creates real\-world impact for healthcare providers.
 What You'll Do
* Own end\-to\-end product execution for key features within our scheduling, route optimization, and patient engagement platforms—from discovery through launch and iteration
* Work iteratively with engineering teams to scope features, make intelligent trade\-offs, and accelerate delivery of high\-impact roadmap initiatives
* Partner closely with program management to understand operational workflows, gather requirements from home healthcare providers, and ensure solutions fit seamlessly into clinical operations
* Develop deep empathy for clinicians and patients through direct user research, ride\-alongs, and continuous feedback loops
* Use data analysis and customer insights to prioritize features, validate hypotheses, and measure success metrics
* Translate business objectives and user needs into clear product requirements, user stories, and acceptance criteria
* Drive product discovery by identifying opportunities within logistics and operations workflows where technology can create step\-function improvements
* Collaborate with design to create intuitive user experiences for both web and mobile platforms used by clinicians in the field
* Contribute to competitive analysis and market positioning within the home healthcare technology landscape
**Requirements**
* 7\+ years of product management experience with a proven track record of shipping impactful products at high\-growth startups
* Health tech experience with deep understanding of healthcare operations, provider workflows, or clinical care delivery; OR demonstrated success building products in logistics, operations, scheduling, or workforce management domains
* Experience working in early\-stage startup environments (Seed through Series B) where you've had to build iteratively with limited resources
* Track record of defining and implementing data and analytics to drive product decisions in operational or logistics contexts
* Strong technical fluency and ability to work hands\-on with engineering teams to make scope and architecture decisions
* Proven ability to collaborate across engineering and program management functions to drive alignment and execution velocity
* Excellent communication skills with ability to influence without authority and build consensus across stakeholders
* Bachelor's degree in a STEM field, business, or equivalent professional experience
 Nice to Have
* Background building category\-defining products that established new standards in logistics or operations technology
* Previous experience as a Saas Product Manager for enterprise level products or platforms
* Previous experience as a software engineer or technical background that enables deep collaboration with engineering teams
* Familiarity with healthcare compliance requirements (HIPAA, etc.) and building in regulated environments
* Experience with mobile product development, particularly applications used by field workers or clinicians
* Experience working with AI/ML\-powered features, agentic products, or optimization algorithms
* Experience with communication platforms and integrations (e.g. Twilio API, etc.)
**What We Offer**
 In addition to offering a competitive salary and equity, we want to ensure every team member has the tools they need to work to the best of their ability. To that end…
**We Are Committed To Your Ownership**
* We cultivate an environment where team members feel ownership over the work they do. Everyone in an organization has big ideas and we want to hear them and implement them.
* All of our employees have equity compensation. We want you to benefit from all the hard work you do in helping patients and catalyzing this shift in healthcare.
**We Are Committed To Your Wellness**
* Comprehensive Medical, Dental, Vision
* 401k plan
* Flexible PTO, sick days, and working hours
* Santa Monica HQ with 180 degree beach views and daily catered lunches
**We Are Committed To Your Growth**
* Fast paced work environment geared towards professional growth
* Get the chance to move roles within the organization to learn new skills and continue to make an impact
**We Are Committed To Building Community**
* Monthly team events, dinners, \&amp; happy hours
* Special team outings \- some past events have included: yacht cruises, visits to Universal Studios, Magic Castle, and Vegas</t>
        </is>
      </c>
    </row>
    <row r="106">
      <c r="A106" t="inlineStr">
        <is>
          <t>li-4321479346</t>
        </is>
      </c>
      <c r="B106" t="inlineStr">
        <is>
          <t>Technical Product Manager, Data Platform</t>
        </is>
      </c>
      <c r="C106" t="inlineStr">
        <is>
          <t>Mirion Technologies</t>
        </is>
      </c>
      <c r="D106" t="inlineStr">
        <is>
          <t>linkedin</t>
        </is>
      </c>
      <c r="E106">
        <f>HYPERLINK("https://www.linkedin.com/jobs/view/4321479346", "https://www.linkedin.com/jobs/view/4321479346")</f>
        <v/>
      </c>
      <c r="F106" t="inlineStr"/>
      <c r="G106" t="inlineStr">
        <is>
          <t>Atlanta, GA</t>
        </is>
      </c>
      <c r="H106" t="inlineStr"/>
      <c r="I106" t="inlineStr">
        <is>
          <t>The Technical Product Manager is responsible for driving the vision, strategy, and roadmap of the MEDIAN data platform. This role combines product thinking with technical depth, serving as the bridge between customer needs, business strategy, and the technical teams building the platform. You'll conduct user research, manage stakeholder relationships across product and engineering teams, translate customer feedback into product requirements, and define the platform's feature priorities to maximize customer value and business impact.
**Responsibilities**
* Conduct user interviews and research with engineering teams across Mirion to understand their data and analytics needs Manage relationships with key stakeholders, including product managers, business leaders, engineering teams, and customers.
* Synthesize customer feedback and technical insights from the Data Platform and Solution steams into product direction.
* Define and maintain the product roadmap for the MEDIAN platform, balancing customer needs with strategic objectives.
* Write clear product requirements and user stories that inform the work of platform andsolutions engineers.
* Collaborate with the Data Platform and Solutions teams to understand technical constraintsand feasibility.
* Advocate for customer needs internally, while managing expectations and communicating product vision.
* Monitor market trends, competitive data platforms, and emerging technologies relevant to the space.
* Measure product success through KPIs, adoption metrics, and customer satisfaction.
* Present product vision and roadmap to leadership, customers, and internal stakeholders.
* Manage the product lifecycle, including feature prioritization, release planning, and post\-launch evaluation.
**Minimum Qualifications**
* 3\+ years of product management, product strategy, or technical program management experience.
* Strong understanding of data platforms, data pipelines, and analytics use cases (hands\-onexperience preferred).
* Excellent communication and stakeholder management skills.
* Experience conducting user research and translating feedback into product requirements.
* Ability to work in a fast\-paced, ambiguous environment with limited resources.
* Proficiency with data concepts (SQL, ETL, data modeling, cloud platforms).
* Demonstrated ability to prioritize and manage competing interests across teams.
**Preferred Qualifications**
* Background as a data engineer, data analyst, or solutions engineer before moving into product management.
* Experience with modern data platforms (Databricks, Snowflake, BigQuery, etc.).
* Experience working in regulated industries or with complex compliance requirements.
* Familiarity with the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development and product development methodologies.</t>
        </is>
      </c>
    </row>
    <row r="107">
      <c r="A107" t="inlineStr">
        <is>
          <t>li-4366206978</t>
        </is>
      </c>
      <c r="B107" t="inlineStr">
        <is>
          <t>Product Manager</t>
        </is>
      </c>
      <c r="C107" t="inlineStr">
        <is>
          <t>Crisis24</t>
        </is>
      </c>
      <c r="D107" t="inlineStr">
        <is>
          <t>linkedin</t>
        </is>
      </c>
      <c r="E107">
        <f>HYPERLINK("https://www.linkedin.com/jobs/view/4366206978", "https://www.linkedin.com/jobs/view/4366206978")</f>
        <v/>
      </c>
      <c r="F107">
        <f>HYPERLINK("https://jobs.dayforcehcm.com/en-US/crisis24/CANDIDATEPORTAL/jobs/19758?source=Linkedin&amp;urlHash=JUMh", "https://jobs.dayforcehcm.com/en-US/crisis24/CANDIDATEPORTAL/jobs/19758?source=Linkedin&amp;urlHash=JUMh")</f>
        <v/>
      </c>
      <c r="G107" t="inlineStr">
        <is>
          <t>Annapolis, MD</t>
        </is>
      </c>
      <c r="H107" t="inlineStr"/>
      <c r="I107" t="inlineStr">
        <is>
          <t>**About Crisis24**
 Crisis24 is a global, AI\-enhanced provider of travel risk management, mass communications, critical event management, crisis\-security consulting, personal protection solutions and global medical concierge capabilities, allowing prominent organizations, disruptive brands and influential people to operate with confidence in an uncertain world. At Crisis24, we go beyond mere employment; we pave the way to a realm where your skills become instrumental in shaping global security, guiding clients through a multifaceted and challenging landscape. Your journey with us will be deeply fulfilling, driven by a powerful sense of purpose and accomplishment. Within our thriving environment, you'll discover abundant chances for both personal and career advancement. Seize this moment to push your limits, broaden your expertise, and elevate your professional journey to unprecedented levels. Join the Crisis24 team today and be a part of something extraordinary where growth and impact converge.
 More information is available at www.crisis24\.garda.com
**Who We Are Looking For**
 As a member of the Product Management team, this role is responsible for driving business value for Crisis24 while delighting our customers. The person in this role will shepherd a portfolio of product features from concept to end\-of\-life: developing, maintaining and realizing the vision for the product, being familiar with its design, architecture and features, and always representing the customer needs. This includes owning relevant artifacts and facilitating related processes, such as the product roadmap, product backlog, product releases, go\-to\-market approaches, pricing and packaging, post\-launch maintenance and product profitability. To optimize their portfolio for success, this role always considers the larger Crisis24 ecosystem – providing the bridge between business and technology, and working collaboratively with multiple stakeholders (both internal and external) as well as their fellow product team members.
**What You Will Work On**
 The core duties are listed below, but there may be other related tasks as directed by line management from time\-to\-time.
 Market\-Facing
* Identifies and owns the customer needs and problems, both for existing customers and the larger prospective market.
* Understands the overall market and competitive dynamics for offerings within their portfolio (or the equivalent thereof).
* Iteratively develops product and feature requirements and acceptance criteria – consulting with clients, sales, and other stakeholders internally and externally – including outlining the market/customer problems we are trying to solve and business goals we are trying to achieve.
* Supports go\-to\-market activities, including communicating internally, assisting Marketing with external communications, collateral and other product marketing elements, coordinating the set\-up and execution of internal and customer\-facing Beta programs, initiating updates to Sales and Contract Management tools, and ensuring support for Demos and Trials.
* Demonstrates the product capabilities to customers and internal stakeholders as necessary, for existing features and new releases, and documents feedback.
 Product Development
* Identifies and defines opportunities within their portfolio for increasing internal efficiencies to provide a better quality, reduced costs, and/or increased productivity.
* Prioritizes and specifically defines that which is most valuable to Crisis24 to be delivered next for the product, and is able to clearly articulate this value.
* Is the primary creator of the stories and scenarios that comprise the product requirements.
* Works with UX on design and refinement of the user interaction.
* Participates in meetings involving key members of market\-facing and internal departments as well as peers, and presents updates on their product.
* Contributes to the creation and maintenance of personas relevant for their offerings.
* Drives creation and management of the subscription model, packaging and overall purchasing model for the go\-to\-market offerings within their portfolio.
* Monitors the usage, profitability and ROI for their product, as part of the product lifecycle management.
* Uses analytics to gauge user adoption, observe user behavior, and make data\-driven priority decisions.
 Interaction with Delivery \&amp; Engineering teams
* Presents comprehensive requirements to engineering during (pre\-)grooming, to achieve refinement of stories.
* Understands Agile/Scrum methodologies and supports iterative design and continuous improvement practices.
* Attends applicable scrum ceremonies, with guidance from the technical Delivery team.
* Answer questions from software engineers, clarifies requirements, and describes the priority for product development.
* Collaborates with Engineering leads on Buy/Build/Partner decisions pertaining to product development within their portfolio.
**What You Will Bring**
 Any combination of education and experience providing the required skill and knowledge is qualifying. Typical qualifications would be equivalent to:
* Bachelor's degree in business, engineering, software, or another relevant field.
* 3\+ years of experience in product management, product ownership, or business analysis relating to software development.
* Demonstratable experience engaging with customers to understand their unmet needs and explain clearly which of their problems the product suite can solve and how.
* Collaborative individual with a pragmatic/flexible attitude who can effectively work across teams internally and also with customers.
* Ability to take ownership of tasks and make decisions.
* Attention to detail at all times.
* Ability to demonstrate compassion and actively listen to customer requirements.
**Reporting and Place of Work**
* It is desirable that the candidate be located near the Crisis24’s regional office:
+ United States: Annapolis, MD
+ Position holder must have the right to work in the US without restrictions.
* Position holder would have to pass a pre\-employment check.
**Information Security**
 Protect the data and systems of Crisis24 and its stakeholders by adhering to policies, reporting incidents and potential problems, completing regular training, and identifying opportunities for improvement.
**Crisis24, A GardaWorld Company is dedicated to equal opportunity in employment. We are committed to a work environment that celebrates diversity. We do not discriminate against any individual based on race, color, sex, national origin, age, religion, marital or parental status, sexual orientation, gender identity, gender expression, military or veteran status, disability, or any factors protected by applicable laws.**</t>
        </is>
      </c>
    </row>
    <row r="108">
      <c r="A108" t="inlineStr">
        <is>
          <t>li-4365875524</t>
        </is>
      </c>
      <c r="B108" t="inlineStr">
        <is>
          <t>Product Manager II, Health AI, Google Research</t>
        </is>
      </c>
      <c r="C108" t="inlineStr">
        <is>
          <t>Google</t>
        </is>
      </c>
      <c r="D108" t="inlineStr">
        <is>
          <t>linkedin</t>
        </is>
      </c>
      <c r="E108">
        <f>HYPERLINK("https://www.linkedin.com/jobs/view/4365875524", "https://www.linkedin.com/jobs/view/4365875524")</f>
        <v/>
      </c>
      <c r="F108" t="inlineStr"/>
      <c r="G108" t="inlineStr">
        <is>
          <t>Mountain View, CA</t>
        </is>
      </c>
      <c r="H108" t="inlineStr"/>
      <c r="I108"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working at the intersection of AI and Health including areas such as computer aided diagnostics, healthcare delivery, biotech, and pharma.
**Preferred qualifications:**
* Master's degree, MBA, MPH, MD, JD, or graduate degree in a management or STEM field.
* Experience operating within and across cross\-functional teams (Product Management, Program Management, Engineering, Business Development, Compliance, Legal, Finance, Marketing, etc.) while selling product vision to external partners.
* Experience at large institutions, with a demonstrated track record of forming, leading, and pivoting cohesive teams.
* Domain knowledge of data acquisition, IRB, tech\-transfer, or university relations.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AI has the potential to transform healthcare, but high costs and barriers for external developers currently inhibit this progress. Our mission is to build AI\-based tools that accelerate the adoption of third\-party Health AI applications. A core part of our strategy involves enhancing Google tools like Gemini and Gemma while providing open\-source resources through our Health AI Developer Foundations (HAI\-DEF) program.
 Google Research addresses the challenges defining today’s and tomorrow’s technology. From conducting fundamental research to influencing product development, we have the unique opportunity to impact technology used by billions. We aspire to make discoveries that benefit everyone, and sharing our research is central to our approach. To fuel progress across the field, we regularly publish in academic journals, release open\-source projects, and integrate our research into Google products.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product strategy based on business, regulatory, legal, privacy, clinical, compliance, and technical considerations.
* Collaborate with engineering, clinical, and user\-experience teams to define a funnel of compelling R\&amp;D projects and prioritize to create a steady pipeline of state\-of\-the\-art product opportunities.
* Collaborate with product areas across Google including business development, legal, and compliance to ensure timely and thorough execution of projects.
* Collaborate with key opinion leaders, external partners, and intra\-Alphabet teams.
* Stay abreast of the trends in applied AI technologies and the healthcare industries. Identify new research and development opportunities across the competitive landscape.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9">
      <c r="A109" t="inlineStr">
        <is>
          <t>li-4365868614</t>
        </is>
      </c>
      <c r="B109" t="inlineStr">
        <is>
          <t>EverHealth - Product Manager: Document Management</t>
        </is>
      </c>
      <c r="C109" t="inlineStr">
        <is>
          <t>RemoteHunter</t>
        </is>
      </c>
      <c r="D109" t="inlineStr">
        <is>
          <t>linkedin</t>
        </is>
      </c>
      <c r="E109">
        <f>HYPERLINK("https://www.linkedin.com/jobs/view/4365868614", "https://www.linkedin.com/jobs/view/4365868614")</f>
        <v/>
      </c>
      <c r="F109" t="inlineStr"/>
      <c r="G109" t="inlineStr"/>
      <c r="H109" t="inlineStr"/>
      <c r="I109"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0">
      <c r="A110" t="inlineStr">
        <is>
          <t>li-4366232964</t>
        </is>
      </c>
      <c r="B110" t="inlineStr">
        <is>
          <t>Robotics Product Manager</t>
        </is>
      </c>
      <c r="C110" t="inlineStr">
        <is>
          <t>Scale AI</t>
        </is>
      </c>
      <c r="D110" t="inlineStr">
        <is>
          <t>linkedin</t>
        </is>
      </c>
      <c r="E110">
        <f>HYPERLINK("https://www.linkedin.com/jobs/view/4366232964", "https://www.linkedin.com/jobs/view/4366232964")</f>
        <v/>
      </c>
      <c r="F110" t="inlineStr"/>
      <c r="G110" t="inlineStr"/>
      <c r="H110" t="inlineStr"/>
      <c r="I110" t="inlineStr">
        <is>
          <t>**About The Role**
 The next frontier for AI is the physical world. At Scale, we're pioneering this shift, moving artificial intelligence from digital spaces into robotics and autonomous systems. We’re looking for an experienced Product Manager to help us build the data platform that will power the future of physical AI and shape the roadmap of our robotics products.
 You’ll work directly with Scale’s most important customers and their leading researchers, representing Scale as the technical expert for your products and influencing both internal and external roadmaps.
 The ideal candidate brings together a strong entrepreneurial \&amp; go\-to\-market mindset, technical depth with operational rigor, and a sense for physical AI research, enabling them to get in front of technical stakeholders to drive mission\-critical outcomes.
 You Will
* Own the roadmap for your robotics data product, setting product direction and driving execution across engineering, operations, and go\-to\-market teams
* Build technical partnerships with research teams at leading physical AI labs, identifying insights that shape new product lines and competitive strategies for your vertical
* Design, experiment with, and deliver high\-quality data pipelines, tooling, and evaluation frameworks that advance physical AI
* Collaborate cross\-functionally, influencing business priorities and diving in the weeds of research, operations, and customer interaction
* Travel :15% of the time to meet customers, attend conferences, and visit our global data operations
 You Have
* An entrepreneurial mindset \- you are a builder excited by ambiguity and motivated to rapidly grow your product
* Strong customer intuition and the ability to translate technical requirements into impactful product decisions
* Excellent communication and leadership skills, with the ability to influence cross\-functional teams
* Bias for action and comfort wearing multiple hats and operating in fast\-moving environments
* Experience with robot policies, vision\-language\-action models, and/or language\-conditioned imitation learning
* 3\+ years of experience in product management or a customer\-facing role
* A degree in Robotics or a related quantitative field (Computer Science, Mechanical Engineering, Electrical Engineering, etc.)
 Nice to Have
* Ph.D. in Robotics or a related quantitative field (Computer Science, Mechanical Engineering, Electrical Engineering, etc.) OR a Master’s degree with 3\+ years of equivalent professional experience in an applied research setting.
* Experience with Typescript, React, Python and/or MongoDB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$171,600—$214,500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11">
      <c r="A111" t="inlineStr">
        <is>
          <t>li-4365868340</t>
        </is>
      </c>
      <c r="B111" t="inlineStr">
        <is>
          <t>Principal Product Manager – Agentic AI Systems</t>
        </is>
      </c>
      <c r="C111" t="inlineStr">
        <is>
          <t>Level AI</t>
        </is>
      </c>
      <c r="D111" t="inlineStr">
        <is>
          <t>linkedin</t>
        </is>
      </c>
      <c r="E111">
        <f>HYPERLINK("https://www.linkedin.com/jobs/view/4365868340", "https://www.linkedin.com/jobs/view/4365868340")</f>
        <v/>
      </c>
      <c r="F111" t="inlineStr"/>
      <c r="G111" t="inlineStr"/>
      <c r="H111" t="inlineStr"/>
      <c r="I111" t="inlineStr">
        <is>
          <t>**Location:** 
 US (Remote / Bay Area preferred)
**Experience:** 
 5–6 years of Product Management experience
**Reports to:** 
 Head of Product / Director of Product
 About Level AI :Level AI is an AI\-native customer experience intelligence platform helping enterprises deploy
 **agentic AI systems** 
 that reason, act, and improve across high\-volume customer interactions. Our products power real\-world contact center workflows and deliver measurable business outcomes at scale.
 Role Overview : We’re looking for a
 **Principal Product Manager** 
 to help build and scale
 **agentic AI systems** 
 at Level AI. In this role, you will work closely with Engineering, Applied AI/ML, Design, and customer\-facing teams to ship production\-ready agentic capabilities and make them successful in real customer environments.This role emphasizes
 **execution, customer impact, and production rigor** 
 , with opportunities to grow into broader platform ownership over time.
 What You’ll Do: Define and execute product initiatives for
 **agentic AI systems** 
 , with a focus on measurable customer and business outcomesOwn significant parts of the
 **agentic system lifecycle** 
 , including orchestration, decisioning, evaluation, and iterationContribute to building a
 **repeatable framework** 
 for launching, evaluating, and improving agentic capabilities across customersHelp define how agentic systems are
 **measured and improved in production** 
 , balancing autonomy with safety and reliabilityPartner closely with
 **Engineering, Applied AI/ML, Design, and Solutions** 
 teams to ship production\-ready systemsWork directly with customers to understand workflows, requirements, and success criteriaDrive
 **customer\-informed prioritization** 
 by staying close to live deployments and real usage patternsSupport best practices for
 **agent evaluation, iteration, and safe rollout** 
 Represent the product in customer conversations, demos, and feedback sessions
 What We’re Looking For:
 Required \-
* 5–6 years of Product Management experience, preferably with AI\-driven or platform products
* Experience shipping and iterating on production software systems
* Exposure to LLMs, agentic systems, or AI\-powered workflows (hands\-on or via close partnership)
* Strong customer\-facing skills and comfort working with enterprise customers
* Ability to translate ambiguous problems into clear product requirements
* Excellent collaboration and communication skills
 Nice to Have:
* Experience with conversational systems, automation, or real\-time decisioning
* Familiarity with AI evaluation concepts, human\-in\-the\-loop systems, or feedback loops
* Experience working in enterprise SaaS or B2B platformsTechnical background or strong comfort working with engineering and ML teams
 Why This Role at Level AI
* Work on real production agentic AI systems, not experimentsHigh exposure to customers, data, and real\-world outcomes
* Opportunity to grow into broader platform or Principal\-level ownership
* Meaningful impact on how enterprises adopt and trust AI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li-4331053285</t>
        </is>
      </c>
      <c r="B112" t="inlineStr">
        <is>
          <t>Senior Product Manager</t>
        </is>
      </c>
      <c r="C112" t="inlineStr">
        <is>
          <t>AddEvent</t>
        </is>
      </c>
      <c r="D112" t="inlineStr">
        <is>
          <t>linkedin</t>
        </is>
      </c>
      <c r="E112">
        <f>HYPERLINK("https://www.linkedin.com/jobs/view/4331053285", "https://www.linkedin.com/jobs/view/4331053285")</f>
        <v/>
      </c>
      <c r="F112" t="inlineStr"/>
      <c r="G112" t="inlineStr">
        <is>
          <t>San Francisco, CA</t>
        </is>
      </c>
      <c r="H112" t="inlineStr"/>
      <c r="I112" t="inlineStr">
        <is>
          <t>**About us** 
 Join a small, well\-funded, high\-potential tech company that offers excellent pay, unparalleled flexibility, early\-employee benefits, and the opportunity to have a significant impact on the future of a fast\-growing company. If you want to build user\-facing products and help scale a best\-in\-class software startup to massive growth, this is your chance. AddEvent is a rapidly growing and globally distributed marketing technology SaaS company with team members in the United States, Canada, Denmark, Spain, and Malaysia. Our mission is to get events onto people’s calendars, so that no important moment is ever missed. Our products are used by some of the largest companies in the world, and also by 1000s of small businesses and organizations.
**About the role** 
 As the 2nd member of the product team, this is your chance to have an outsized impact on the growth and direction of a product with an established user base. There is massive untapped potential to further embed ourselves in these user’s workflows, as well as to expand into new market segments. You’ll be joining at a pivotal time in the company’s history: we’ve just re\-built our product from the ground up to enable and unlock non\-technical users to customize and share their events and calendars. We design, build, and ship with minimal overhead, with a focus on iterating quickly and often, and getting feedback from real customers. Your efforts will be visible, valued, and celebrated!
 This is a full\-time role, either fully remote (US\-based) or hybrid in\-person in our office in San Francisco.
**What you'll be responsible for** 
* Explore opportunities for new features and products by analyzing data and usage patterns, reviewing customer interactions and input, and collaborating with the marketing, sales, engineering, and customer support teams.
* Iterate on ideas with the product team. Explore solutions, create wireframes, and give feedback on designs. Advocate for our customers at every step.
* Write clear, detailed product specs that communicate what we will build, how we will build it, and \- most importantly \- why. Regularly review work in progress with engineers.
* Define success metrics. You will be responsible for measuring and reporting on the impact of what you ship.
**About you** 
* Revenue\-driven mindset. We ship features not because they are cool or trendy, but because they solve real problems for our customers or open up the opportunity for us to expand into new market segments.
* Strong analytical skills. Comfortable with metrics and experimentation, and desire to make data\-driven decisions. Knowledge of SQL is not required, but would be a plus.
* Bias for impact and desire to move fast.
* Clear, concise, and deliberate communicator.
* Able to distill complex flows/interactions into simpler forms. Technical enough to understand at a high level what's happening inside engineering black\-boxes and can use that to aid decision making.
* Deep empathy for our customers. Thorough and obsessed with detail. Value craftsmanship. Curious.
* Preference for shipping quickly and often \- favouring MVPs and rapid learning over perfection.
**Requirements** 
* 5\+ years of experience in a product role in PLG SaaS.
* Experience on a small team at an early stage company.
* Strong and demonstrable product sense and intuition.
* Technical or engineering background.
**Why should you apply** 
* Competitive pay and excellent benefits
* Opportunity for true ownership over your work, with the chance to directly impact the future of a young company
* High\-performing and a tight\-knit team dedicated to quality and execution without unnecessary bureaucracy
* Fun and growth\-oriented work environment
**Apply for this job** 
 To apply, please send an email to product@addevent.com with "Senior Product Manager" as the subject line.
 Please include the following information:
* Name
* Email address
* Where you are based
* Resume/CV
* LinkedIn profile (optional)
* Why you think you’d be a good fit for the team!</t>
        </is>
      </c>
    </row>
    <row r="113">
      <c r="A113" t="inlineStr">
        <is>
          <t>li-4366233218</t>
        </is>
      </c>
      <c r="B113" t="inlineStr">
        <is>
          <t>Senior Principal Product Manager, Strategy Collection</t>
        </is>
      </c>
      <c r="C113" t="inlineStr">
        <is>
          <t>Atlassian</t>
        </is>
      </c>
      <c r="D113" t="inlineStr">
        <is>
          <t>linkedin</t>
        </is>
      </c>
      <c r="E113">
        <f>HYPERLINK("https://www.linkedin.com/jobs/view/4366233218", "https://www.linkedin.com/jobs/view/4366233218")</f>
        <v/>
      </c>
      <c r="F113" t="inlineStr"/>
      <c r="G113" t="inlineStr">
        <is>
          <t>Mountain View, CA</t>
        </is>
      </c>
      <c r="H113" t="inlineStr"/>
      <c r="I11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**Overview**
 We're looking for a seasoned, strategic, and results\-driven product management leader to join Atlassian's Strategy Collection product management team! Strategy Collection is Atlassian’s "roof of the house" for the Atlassian System of Work that aligns a company's strategy to its execution. Reporting to the Head of Product for Focus and Talent, you will be responsible for driving experience innovation and impact across Strategy Collection apps and agents, maximizing customer value, and driving new innovation.
 This is a hands\-on position; we are looking for someone who is autonomous, strong at execution, can break down a grand vision into meaningful first steps, and lead or influence teams to get it over the line. As one of the most senior independent contributors in the team, you'll frequently need to take Atlassian's senior leadership team with you on the journey, explain and defend the direction and roadmap.
****Responsibilities****
**Product Strategy:** 
 Develop, refine, and execute a strategic vision for products that meet the needs of our customers in a scalable way. Take a holistic approach to problem\-solving, identifying the interconnections between product components and designing solutions that consider the bigger picture.
**Collaboration \&amp; Communication:** 
 Communicate complex concepts in a way that’s easily understood by diverse stakeholders, both technical and non\-technical. Engage cross\-functional partners to ensure alignment and clear communication, fostering strong partnerships across the organization.
**Experimentation\-mindset:** 
 Lead a culture of testing, learning, and rapid iteration to drive product innovation and enhance user experience.
**Deep \&amp; Critical Thinker:** 
 You see the bigger picture and design solutions that take every interconnected piece into account. You dig into problems, exploring layers beneath the surface and finding opportunities others might miss.
**Bias for action:** 
 You have a strong sense of urgency, coupled with the drive to deliver impactful results.
**Results\-driven:** 
 Consistently demonstrate ability to move ideas from conception through to execution.
****Qualifications****
* 10\+ years of tech industry experience, including significant tenure in leading product in the B2B/enterprise domain
* Demonstrated founder\-level experience: You have either founded a company yourself or worked directly alongside a founder for a significant period, gaining firsthand exposure to the challenges, decision\-making, and end\-to\-end ownership required to build and scale products from the ground up.
* Demonstrated, consistent track record of delivering high\-impact results throughout your career.
* Thought leader in product craft. Bring creative solutions to challenging problems
* Have exceptional relationship\-building and communication skills at all levels, from C\-levels down, across geographies, both inside and outside of Atlassian
* Openness to a transparent communication culture that values contributions and feedback from other individuals and teams
* Rely deep analytical thinking to match product instincts. Comfortable defining and tracking key business and usage success metrics
* Past relevant experience include CPA certification, Mgmt / Financial mgmt. consulting, Financial systems implementation (e.g. Oracle, SAP), financial roles in CFO or BizOps orgs is a plus.
****Qualifications****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224100 \- USD 292575
 Zone B: USD 202500 \- USD 264375
 Zone C: USD 186300 \- USD 243225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14">
      <c r="A114" t="inlineStr">
        <is>
          <t>li-4352930619</t>
        </is>
      </c>
      <c r="B114" t="inlineStr">
        <is>
          <t>Data Product Manager</t>
        </is>
      </c>
      <c r="C114" t="inlineStr">
        <is>
          <t>Emerald</t>
        </is>
      </c>
      <c r="D114" t="inlineStr">
        <is>
          <t>linkedin</t>
        </is>
      </c>
      <c r="E114">
        <f>HYPERLINK("https://www.linkedin.com/jobs/view/4352930619", "https://www.linkedin.com/jobs/view/4352930619")</f>
        <v/>
      </c>
      <c r="F114" t="inlineStr"/>
      <c r="G114" t="inlineStr">
        <is>
          <t>New York, NY</t>
        </is>
      </c>
      <c r="H114" t="inlineStr"/>
      <c r="I114" t="inlineStr">
        <is>
          <t>We are seeking a
 ****Data Product Manager****
 to support the VP of Data Strategy \&amp; Analytics in shaping and delivering high\-impact data products across our B2B events and media business. This role will serve as the critical bridge between business stakeholders and technical teams, ensuring that data initiatives are grounded in clear requirements, aligned with strategic priorities, and successfully executed.
 You will be responsible for gathering and documenting business needs, translating them into detailed user stories and technical requirements, and supporting the full lifecycle of data product development. This includes analytics dashboards, audience intelligence tools, data integrations, reporting capabilities, and emerging AI\-enhanced features.
 Ideal candidates combine strong analytical thinking with structured product documentation skills and a deep understanding of data concepts. This role is responsible for gathering business requirements, prioritization and execution of the roadmap.
******Responsibilities******
****Business Requirements \&amp; Analysis****
* Partner closely with stakeholders across events, sales, marketing, product, and editorial to capture and clarify business needs related to analytics, reporting, and data\-driven workflows.
* Conduct stakeholder interviews, workshops, and process mapping to define business problems, desired outcomes, and success criteria.
* Translate findings into clear, actionable product requirements, including user journeys, acceptance criteria, and functional specifications.
****User Story Development \&amp; Backlog Management****
* Write detailed user stories that articulate business value, user needs, and technical considerations for data engineers, analysts, and platform teams.
* Manage and prioritize the product backlog in alignment with the VP’s strategic direction and business impact.
* Ensure user stories are refined, sized, and ready for sprint planning sessions.
****Data Product Development \&amp; Delivery****
* Partner with data engineering and analytics teams to guide the development of dashboards, data models, integration workflows, and customer\-facing data products.
* Validate deliverables against requirements and acceptance criteria, ensuring accuracy, usability, and business alignment.
* Support user acceptance testing (UAT) and orchestrate feedback loops with business partners.
****Stakeholder Communication \&amp; Enablement****
* Communicate product updates, timelines, and changes to internal stakeholders in a structured and transparent manner.
* Create documentation, release notes, and user guides to support adoption and ongoing usage.
* Evangelize data products across the organization, helping teams understand their value and applications.
****Process, Governance \&amp; Quality****
* Contribute to data governance initiatives by documenting data definitions, sources, and lineage as part of product requirements.
* Ensure product decisions adhere to data quality, privacy, and compliance standards.
* Identify opportunities for process improvement within data workflows, reporting systems, and request intake.
******Qualifications******
* Bachelor’s degree in business, data analytics, information systems, or related field.
* 3–5 years of experience as a product manager, business systems analyst, data analyst, or similar role within a data\-driven environment.
* Proven experience writing detailed user stories, functional requirements, and process documentation.
* Solid understanding of data concepts such as data models, data pipelines, KPIs, and BI/reporting tools.
* Strong knowledge of cloud data platforms (e.g., AWS, Azure, GCP, Snowflake, Databricks), modern BI tools (e.g., Power BI, Tableau), and analytics environments.
* Strong communication, facilitation, and stakeholder management skills.
* Ability to break down ambiguous problems, prioritize needs, and align stakeholders around shared outcomes.
* Comfortable operating in a fast\-paced environment with shifting priorities across multiple teams.
******About Emerald******
 At Emerald, we strive to foster a diverse and inclusive community. We actively recruit and champion candidates who bring new perspectives from varied professional backgrounds and experiences, and we are intentional about ensuring a positive hiring experience for everyone. Our job postings don’t contain experience inflation, and most don’t require college degrees. Instead, they’re crafted to focus on outcomes and transferable experiences that are assessed in a structured interview process carried out by trained hiring teams.
******COMPENSATION \&amp; BENEFITS******
 Target Compensation: $90,000\-100,000
 Please note that this range reflects a reasonable estimate of the target compensation for this position. This range may ultimately vary based on a candidate’s qualifications and may be higher where required by applicable law.
 We offer a competitive benefits package designed to strengthen our employees’ physical and mental health, including unlimited vacation for exempt employees, flexible working locations, 401(k) plan with a company match, medical/dental/vision coverage with inclusive provisions including transgender services and fertility benefits, parental and caregiver leave, dependent, commuter and FSA benefits, professional development programs like Toastmasters, and mental wellness tools.
 If you need accommodation in our application process or have questions about our posted salary range, please email our Talent Acquisition team at Careers@EmeraldX.com.
******About Emerald******
 Emerald’s talented and experienced teams grow our customers’ businesses 365 days a year with products that create connections, deliver content, and drive commerce. We produce over 140 annual events, create and deliver content through print and digital channels, and power commerce through our seamlessly integrated in\-person and digital platforms and channels. For more information, please visit http://www.emeraldx.com.</t>
        </is>
      </c>
    </row>
    <row r="115">
      <c r="A115" t="inlineStr">
        <is>
          <t>li-4321128470</t>
        </is>
      </c>
      <c r="B115" t="inlineStr">
        <is>
          <t>Product Manager, Digital Assets</t>
        </is>
      </c>
      <c r="C115" t="inlineStr">
        <is>
          <t>Franklin Templeton</t>
        </is>
      </c>
      <c r="D115" t="inlineStr">
        <is>
          <t>linkedin</t>
        </is>
      </c>
      <c r="E115">
        <f>HYPERLINK("https://www.linkedin.com/jobs/view/4321128470", "https://www.linkedin.com/jobs/view/4321128470")</f>
        <v/>
      </c>
      <c r="F115" t="inlineStr"/>
      <c r="G115" t="inlineStr">
        <is>
          <t>St. Petersburg, FL</t>
        </is>
      </c>
      <c r="H115" t="inlineStr"/>
      <c r="I115"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Role**
 Franklin Templeton’s Digital Assets Technology group is seeking a dynamic and results\-driven Product Manager. The Product Manager will oversee and drive the planning, execution, and delivery of strategic initiatives related to products and platforms within the rapidly evolving digital asset ecosystems. This role will focus on bridging traditional finance and blockchain\-enabled investment solutions, developing products that leverage tokenization, distributed ledger technology (DLT), and other digital asset innovations to enhance client outcomes and operational efficiency. This role requires a unique blend of financial services experience, emerging technology fluency, and disciplined project management. This role is ideal for a seasoned project leader with a passion for emerging technologies and a proven ability to manage complex, cross\-functional programs in a fast\-paced environment with a changing regulatory landscape.
**What are the ongoing responsibilities of the Product Manager?**
* Product Strategy and Development: Manage end\-to\-end product lifecycle from concept to launch for digital assets and blockchain based investment products and platforms.
* Stakeholder Engagement: Serve as the central liaison and SME between executive sponsors and collaborate with technology, product, operations, compliance, and business teams to align project goals with organizational strategy.
* Strategic Program Management: Create, lead, define and maintain product roadmaps, milestones, deliverables, and performance metrics.
* Risk \&amp; Issue Management: Work with legal and compliance to ensure adherence to evolving global digital asset and securities regulations and identify project risks and dependencies early, develop mitigation strategies, and escalate critical issues as needed.
* Documentation \&amp; Reporting: Maintain project documentation, dashboards, and status reports for internal and external stakeholders.
* Market Analysis and Innovation: Monitor digital asset market trends, competitor offerings, and emerging technologies to inform strategic decision\-making.
* What ideal qualifications would help someone be successful?
* Bachelor’s Degree in Business, finance or related field; or 10 years of demonstrated work experience
* 5\+ years of experience in product management, preferably in financial services or technology domains.
* Demonstrated experience with digital asset products, tokenization, blockchain infrastructure, or DLT\-based platforms.
* Understanding institutional\-grade digital custody, AML/KYC processes, and regulatory considerations related to digital assets (e.g., SEC, FINRA, MiCA).
* Understanding Agile/SCRUM methodologies and tools (e.g., Jira, Confluence, Azure DevOps).
* Excellent communication, leadership, and organizational skills.
* Comfortable working in fast\-paced, evolving environments with emerging technologies.
* Proven ability to translate complex technical and regulatory concepts into business opportunities.
**Preferred Qualifications**
* PMP, PMI\-ACP, or Scrum Master certification.
* Experience with product development in tokenized funds, digital asset trading, or on\-chain fund administration.
* Knowledge of DeFi concepts, Web3 infrastructure, and interoperability protocols.
* Familiarity with regulatory frameworks related to digital assets and financial technology.
 Why Join Us?
 Be part of a pioneering team at Franklin Templeton that is shaping the future of finance through blockchain innovation. You’ll work alongside top technologists and strategists to deliver impactful solutions in a collaborative and forward\-thinking environment.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$122,000\- $166,000 depending on location and level of relevant experience, plus discretionary bonus.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 Three weeks paid time off the first year
* Medical, dental and vision insurance
* 401(k) Retirement Plan with 85% company match on your pre\-tax and/or Roth contributions, up to the IRS limits
* Employee Stock Investment Program
* Tuition Assistance Program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row>
    <row r="116">
      <c r="A116" t="inlineStr">
        <is>
          <t>li-4366193743</t>
        </is>
      </c>
      <c r="B116" t="inlineStr">
        <is>
          <t>Senior Product Manager, Agentic AI- IFS Loops</t>
        </is>
      </c>
      <c r="C116" t="inlineStr">
        <is>
          <t>IFS</t>
        </is>
      </c>
      <c r="D116" t="inlineStr">
        <is>
          <t>linkedin</t>
        </is>
      </c>
      <c r="E116">
        <f>HYPERLINK("https://www.linkedin.com/jobs/view/4366193743", "https://www.linkedin.com/jobs/view/4366193743")</f>
        <v/>
      </c>
      <c r="F116" t="inlineStr"/>
      <c r="G116" t="inlineStr">
        <is>
          <t>San Francisco, CA</t>
        </is>
      </c>
      <c r="H116" t="inlineStr"/>
      <c r="I116" t="inlineStr">
        <is>
          <t>TheLoops, an IFS company, is the first enterprise\-grade AI Agent platform built for mission\-critical applications and industries. Our AI Agents act as digital coworkers that are governed, secure, always learning, and working 24/7 to drive measurable business outcomes.
 As we grow, we’re looking for driven, collaborative and ambitious individuals to help us deliver the future of AI\-powered operations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We’re building intelligent, autonomous AI agents that can reason, plan, and act across real\-world workflows. These agents go beyond chat — they take meaningful action, work across tools and systems, and operate in complex, high\-stakes environments.
 As our
 **Product Manager** 
 , you’ll lead the definition and delivery of early use cases for agentic AI. You’ll turn cutting\-edge agent capabilities — like long\-term memory, tool use, and planning — into
 **applied, valuable products** 
 .
 You’ll be use\-case–driven, but
 **platform\-aware** 
 — working closely with engineering and research to ensure what we build is feasible, scalable, and aligned with the underlying agent architecture.
**Qualifications**
**Use Case Discovery \&amp; Validation**
* Identify and prioritize agent use cases with high ROI: operational automation, coordination agents, internal task delegation, etc.
* Work with users and stakeholders to understand their workflows, challenges, and trust boundaries.
* Prototype and iterate agent behaviors in production\-like environments to validate fit and reliability.
**Product Design \&amp; Execution**
* Define the agent experience — from delegation to monitoring to escalation — for real\-world scenarios.
* Translate use cases into clear product specs: user flows, system interactions, prompts, safety requirements, and interfaces.
* Own the roadmap and ship iteratively: starting small, learning fast, scaling wisely.
**Cross\-Functional Collaboration**
* Collaborate with engineering to align product needs with agent platform capabilities (planning, memory, tool orchestration, retries, etc.).
* Partner with AI research to bring experimental features into real\-world settings.
* Ensure the platform supports the complexity of applied, multi\-step, tool\-using agents.
**Strategy \&amp; Metrics**
* Define success metrics around
 **outcomes** 
 — time saved, accuracy improved, failures recovered — not just clicks or sessions.
* Build product foundations that allow for vertical reuse, system generalization, and long\-term scalability.
****Minimum Qualifications****
* 5\+ years of product management or startup experience building technically complex, user\-facing systems
* Strong intuition for applied use cases — especially in
 **automation, operations, or real\-world workflows**
* Familiarity with agentic AI patterns and tooling (e.g., LLM agents, tool use, LangChain, OpenAI functions, memory systems)
* Experience working closely with engineers and researchers on system\-level product decisions
* Strong communication, prioritization, and execution skills
****Preferred** 
**Qualifications****
* Exposure to or interest in domains like logistics, field ops, manufacturing, or systems integration
* Background in AI/ML infrastructure, developer platforms, robotics, or IIoT
* Experience designing for human\-in\-the\-loop or semi\-autonomous systems
* Hands\-on experience with prototyping workflows or agents using modern frameworks (e.g. LangGraph, AutoGen)
**Additional Information**
**What We’re Offering**
* Salary Range: $180,000\-220,000
* Flexible paid time off, including sick and holiday
* Medical, dental, \&amp; vision insurance
* 401K with Company contribution
* Flexible spending accounts
* Life insurance and disability benefits
* Tuition assistance
* Community involvement and volunteering events
 M/F/Disabled/Vet VEVRAA Federal Contractor. We are a Drug\-Free Workplace. Interested candidates should apply at: www.ifs.com/about/careers\-at\-ifs
 All qualified applicants will receive consideration for employment without regard to race, color, religion, sex, sexual orientation, gender identity, national origin, disability, or status as a protected veteran. VEVRAA Federal Contractor, Equal Opportunity Employer</t>
        </is>
      </c>
    </row>
    <row r="117">
      <c r="A117" t="inlineStr">
        <is>
          <t>li-4366174821</t>
        </is>
      </c>
      <c r="B117" t="inlineStr">
        <is>
          <t>Leachate Product Manager</t>
        </is>
      </c>
      <c r="C117" t="inlineStr">
        <is>
          <t>APTIM</t>
        </is>
      </c>
      <c r="D117" t="inlineStr">
        <is>
          <t>linkedin</t>
        </is>
      </c>
      <c r="E117">
        <f>HYPERLINK("https://www.linkedin.com/jobs/view/4366174821", "https://www.linkedin.com/jobs/view/4366174821")</f>
        <v/>
      </c>
      <c r="F117" t="inlineStr"/>
      <c r="G117" t="inlineStr">
        <is>
          <t>Findlay, OH</t>
        </is>
      </c>
      <c r="H117" t="inlineStr"/>
      <c r="I117" t="inlineStr">
        <is>
          <t>**Job Overview**
 We have an immediate need for an in\-office
 **Leachate Evaporator** 
 Product Manager. LFG Specialties, an APTIM company, is a leading supplier of gas processing equipment and combustion and leachate treatment systems for the solid waste and petroleum industries. If you are interested in working for a leader in the industry that provides a comprehensive benefits package, please see below for applicant criteria:
**Key Responsibilities/Accountabilities**
* Provides technical guidance to project team including development of mass and energy balances, P\&amp;IDs, equipment specifications, control narratives, and leading HAZOP reviews.
* Will work with gas compression, leachate treatment, wastewater, and combustion equipment related to the waste industry.
* Perform Project Management tasks including review of client specifications, industry regulations, proposal writing, estimating, development of drawings (PFD P\&amp;ID), O\&amp;M manuals, and management of projects from concept through completion, including field start\-up support.
* Perform work on wastewater treatment and chemical processes
* Work in design, fabrication, and/or operation of wastewater treatment and/or chemical processing equipment.
* Plans, organizes, coordinates, and executes projects in accordance with established policies, procedures, systems, and requirements.
* Supervises personnel on project team.
* Supports business development activities and may serve as a proposal manager.
* Represents the company to clients and industry and maintains client relationships and industry leadership positions.
* Applies technical and/or leadership expertise to improve effectiveness and provide guidance to employees in own area
* Anticipates and interprets customer needs to identify solutions
* Interprets business issues and adapts work priorities in own area
* Manages budget and financial resources for assigned area and allocates resources accordingly Simultaneously manage multiple projects.
**Basic Qualifications**
* BS degree in Chemical Engineering with 10 or more years of experience is preferred. Other disciplines considered with appropriate experience (ex \-\- Process, Environmental, Mechanical Engineering).
* Understanding of chemical processes and industry, with an emphasis on wastewater treatment technologies.
* Experience with gas compression, leachate treatment, wastewater, and combustion equipment related to the waste industry.
* Candidate must have a firm grasp of engineering principles and understand basic business principles including cost estimating and pricing.
* Good inter\-personal skills are required to interface with clients and internal personnel at all levels of the organization.
**Desired/Preferred Qualifications**
* Previous experience with an original equipment manufacturer is preferred.
* Chemical, Solid Waste, or Wastewater industry experience.
* 5\+ years of project management experience
* 10\+ years of experience in design, fabrication, or operation of wastewater treatment or chemical processing equipment.
**About APTIM**
 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As of the date of this posting, a good faith estimate of the current pay range for this position is $90,000 to $110,000 per year. Compensation depends on several factors including: experience, education, key skills, geographic location of the position, client requirements, external market competitiveness, and internal equity among other employees within APTIM.
**Employee Benefits**
 APTIM Environmental and Infrastructure, LLC is committed to providing an extensive range of benefits that protect and promote the health and financial well\-being of our employees and their families through the APTIM Benefits Marketplace https://aptim.makeityoursource.com/.
* Medical, vision, and dental insurance: Through the marketplace, our employees can choose benefits from five metallic levels and several carriers to find the right benefits that work for them in their location.
* Company paid and optional Life insurance
* Short\-term and long\-term disability insurance
* Accident, Critical Illness, and Hospital Indemnity coverage
* Paid holidays, vacation, and sick leave (eligibility based on company policy and applicable law)
* 401(k) APTIM offers three 401k plans through the Aon Pooled Employer Plan (PEP). The specific plan you are eligible for depends on the business unit you are in. The details of the largest plan are found here:
+ APTIM 401(k) Guide
+ APTIM \- Helpful Documents
**Watch Our Video**
**About APTIM \- In Pursuit of Better**
**LI\-Onsite**</t>
        </is>
      </c>
    </row>
    <row r="118">
      <c r="A118" t="inlineStr">
        <is>
          <t>li-4365865309</t>
        </is>
      </c>
      <c r="B118" t="inlineStr">
        <is>
          <t>Senior Product Manager Leader</t>
        </is>
      </c>
      <c r="C118" t="inlineStr">
        <is>
          <t>Vanguard</t>
        </is>
      </c>
      <c r="D118" t="inlineStr">
        <is>
          <t>linkedin</t>
        </is>
      </c>
      <c r="E118">
        <f>HYPERLINK("https://www.linkedin.com/jobs/view/4365865309", "https://www.linkedin.com/jobs/view/4365865309")</f>
        <v/>
      </c>
      <c r="F118" t="inlineStr"/>
      <c r="G118" t="inlineStr">
        <is>
          <t>Charlotte, NC</t>
        </is>
      </c>
      <c r="H118" t="inlineStr"/>
      <c r="I118" t="inlineStr">
        <is>
          <t>Vanguard is looking for an experienced digital product management leader to guide a team dedicated to portfolio analytics and product insights within our Financial Advisor Services division. This role drives one of our top strategic priorities: being the most trusted source of investment and portfolio construction solutions that make the complex simple. In this role you will shape product strategy, lead execution, and deliver meaningful value to advisors and portfolio construction specialists. Recent team achievements include portfolio stress testing, automated portfolio analysis and insights, and enhanced web experiences generating increased tool task completion. If you thrive on building data\-driven products, inspiring high\-performing teams, and driving outcomes, please consider applying for this role.
**Core Responsibilities**
* Hires, evaluates, and supervises crew. Provides guidance and training as necessary to develop crew. Sets performance standards, reviews performance, and makes informed compensation decisions in accordance with all applicable Human Resources policies and procedures.
* Oversees digital product management activities for multiple digital products, or one strategic product, with cross\-divisional impact.
* Influences and collaborates with cross\-functional teams to create best practices that drive significant change to the client experience.
* Provides guidance and coaches digital product teams towards best practices and learnings. Oversees digital product teams' support of the messaging, communication, and customer outreach as necessary.
* Facilitates strong business support through working with team members to promote a consistent approach to decisions/impacts and client propositions. Drives connection across all appropriate internal and external stakeholders.
* Leads the planning, development and implementation of new products with cross\-divisional impact. Defines and analyzes markets, developing detailed product features and requirements, and developing implementation plans.
* Influences and employs a variety of qualitative and quantitative analysis techniques to continually improve the user experience.
* Participates in and influences ongoing business planning and departmental prioritization activities.
* Participates in and influences ongoing business planning and departmental prioritization activities.
* Participates in special projects and performs other duties as assigned.
**Qualifications**
* Minimum of eight years related work experience, with at least three years innovation strategy and execution experience. Supervisory experience preferred.
* Undergraduate degree or equivalent combination of training and experience. Graduate degree preferred.
* Experience with portfolio analysis products.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9">
      <c r="A119" t="inlineStr">
        <is>
          <t>li-4346272711</t>
        </is>
      </c>
      <c r="B119" t="inlineStr">
        <is>
          <t>Principal Product Manager, Core Standards</t>
        </is>
      </c>
      <c r="C119" t="inlineStr">
        <is>
          <t>Unity</t>
        </is>
      </c>
      <c r="D119" t="inlineStr">
        <is>
          <t>linkedin</t>
        </is>
      </c>
      <c r="E119">
        <f>HYPERLINK("https://www.linkedin.com/jobs/view/4346272711", "https://www.linkedin.com/jobs/view/4346272711")</f>
        <v/>
      </c>
      <c r="F119" t="inlineStr"/>
      <c r="G119" t="inlineStr"/>
      <c r="H119" t="inlineStr"/>
      <c r="I119" t="inlineStr">
        <is>
          <t>**The opportunity**
 Join us in shaping the future of development at Unity. We're building Core Standards—a groundbreaking initiative that will transform how developers trust, manage, and integrate third\-party tools in the Unity ecosystem. You'll be responsible for leading the evolution of guidelines and verification systems that ensure the third\-party ecosystem is secure and stable.
 As developers gain more control over their data through our Data Developer Framework—where they maintain complete ownership while Unity provides the infrastructure to collect, organize, and unlock its value—Core Standards becomes even more critical. You'll ensure that packages touching developer data and gameplay are trustworthy, work reliably with diagnostics, and remain dependable over the lifetime of a project. This is your chance to raise the bar for the entire industry, making games more performant, efficient, and stable for end\-users everywhere. We announced Core Standards at Unite, and now we're ready to bring this vision to market in 2026\.
**What You'll Be Doing**
* Define and evolve the Core Standards framework, establishing the criteria against which third\-party Unity packages are measured and verified
* Partner with third\-party developers and publishers through negotiation and collaboration, building trust and adoption across the ecosystem
* Craft and evangelize a compelling narrative that connects Core Standards and the Data Developer Framework, helping developers understand how verified packages and data control work together
* Responsible for leading Package Manager integration strategy, ensuring verified packages are discoverable and easy to adopt
* Shape the product roadmap and go\-to\-market strategy, turning the Unite announcement into a successful 2026 launch
**What We're Looking For**
* Technical background in mobile app development with understanding of package management systems and integration workflows
* Proven track record bringing developer\-facing products or platform features to market successfully
* Experience negotiating and building partnerships with third\-party developers or technology providers
* Strong abilities in product strategy for ecosystem or marketplace products
* Effective written and verbal communication skills to inspire both technical and business audiences
**You might also have**
* Experience in game development or familiarity with the gaming industry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120">
      <c r="A120" t="inlineStr">
        <is>
          <t>li-4358411164</t>
        </is>
      </c>
      <c r="B120" t="inlineStr">
        <is>
          <t>Senior Product Manager</t>
        </is>
      </c>
      <c r="C120" t="inlineStr">
        <is>
          <t>Collegium Pharmaceutical, Inc.</t>
        </is>
      </c>
      <c r="D120" t="inlineStr">
        <is>
          <t>linkedin</t>
        </is>
      </c>
      <c r="E120">
        <f>HYPERLINK("https://www.linkedin.com/jobs/view/4358411164", "https://www.linkedin.com/jobs/view/4358411164")</f>
        <v/>
      </c>
      <c r="F120" t="inlineStr"/>
      <c r="G120" t="inlineStr">
        <is>
          <t>Stoughton, MA</t>
        </is>
      </c>
      <c r="H120" t="inlineStr"/>
      <c r="I120" t="inlineStr">
        <is>
          <t>Collegium Pharmaceutical is building a leading, diversified biopharmaceutical company committed to improving the lives of people living with serious medical conditions. We have a leading portfolio of responsible pain management and neuropsychiatry medications.
**Hybrid:** 
 Required to be onsite in Stoughton, MA on Tuesday, Wednesday and Thursday.
**Position Overview**
 The Senior Product Manager will be responsible for developing and implementing marketing tactics to ensure optimal brand performance. This role will perform activities such as sales strategy and messaging, development and management of non\-personal promotions and digital strategy, and managed care pull through. They will collaborate closely with key stakeholders across the organization including Sales, Training, Commercial Operations and Market Access \&amp; Trade.
**Responsibilities**
* Develop and execute key strategic tactics for the brand to meet corporate and department objectives
* Manage the creation, development, approval, and implementation of promotional tactics and non\-personal promotions
* Develop and optimize HCP journeys across personal and non\-personal channels
* Oversee and maintain vendor partnerships, including advertising agency to ensure tactical elements are properly executed in a timely manner and within budget
* Provide support for brand planning process
* Translate market and product data into a concise story, and adjust strategy/tactics accordingly
* Measure performance across tactics and optimize based on results
* Uphold and consistently demonstrate Collegium’s Core Values
**Required Leadership Behaviors**
 Leadership Behaviors are a core set of behaviors that vary based on Level in the organization. We have categorized these under Head, Heart, and Guts.
* Head
+ Know our Business
+ Think Critically
+ Decide
+ Execute
* Heart
+ Collaborate
+ Develop
+ Communicate
+ Embrace Authenticity
* Guts
+ Be Disruptive
+ Innovate
+ Evolve
+ Be Tenacious
**Qualifications**
* Bachelor’s degree required, Master’s degree preferred
* 6\-8 years of related experience required
* Minimum of 3 years as brand manager in Pharmaceutical or Life Sciences required
* Experience in Pain market preferred
* Proficiency with Microsoft Office (Excel, Outlook, PowerPoint, Word) required
* Proficiency with Veeva systems (Vault CRM and PromoMats) and SalesForce Marketing Cloud preferred
 Pay Range
 $182,000 \- $207,428 USD
 Collegium is an equal opportunity employer. It is the policy of Collegium, in all of its relations with its employees and applicants for employment, to base all employment\-related decisions upon valid job\-related factors, without regard to age, national origin, citizenship status, ancestry, race, color, religion, creed, sex or gender (including pregnancy, childbirth and related medical conditions), gender identity or expression (including transgender status), sexual orientation, military or veteran status, physical or mental disability, genetic information, or any other status protected by applicable federal, state, or local law. This policy applies to hiring, training, promotion, compensation, disciplinary measures, access to facilities and programs, and all other personnel actions and conditions of employment. By this policy, Collegium seeks to ensure that all employees have the opportunity to make their maximum contribution to Collegium and to their own career goals. This policy provides for an equal employment opportunity program that will simultaneously serve the requirements of society, the law, sound business practices and individual dignity.
 If you have questions or concerns about equal employment opportunities in the workplace, you are encouraged to bring these issues to the attention of the Head of Human Resources. We will not allow any form of retaliation against employees who raise issues of equal employment opportunity. To ensure our workplace is free of artificial barriers, violation of this policy may result in disciplinary action, up to and including termination.</t>
        </is>
      </c>
    </row>
    <row r="121">
      <c r="A121" t="inlineStr">
        <is>
          <t>li-4358376298</t>
        </is>
      </c>
      <c r="B121" t="inlineStr">
        <is>
          <t>Product Manager II</t>
        </is>
      </c>
      <c r="C121" t="inlineStr">
        <is>
          <t>Cox Automotive Inc.</t>
        </is>
      </c>
      <c r="D121" t="inlineStr">
        <is>
          <t>linkedin</t>
        </is>
      </c>
      <c r="E121">
        <f>HYPERLINK("https://www.linkedin.com/jobs/view/4358376298", "https://www.linkedin.com/jobs/view/4358376298")</f>
        <v/>
      </c>
      <c r="F121" t="inlineStr"/>
      <c r="G121" t="inlineStr">
        <is>
          <t>Austin, TX</t>
        </is>
      </c>
      <c r="H121" t="inlineStr"/>
      <c r="I121" t="inlineStr">
        <is>
          <t>**Cox Automotive** 
 is looking for a
 **Product Manager II** 
 to join our Inventory Management Enablement Services release train. In this role, you'll develop and execute a comprehensive approach to enhance and improve vAuto platform capabilities.
 You will collaborate with cross\-functional teams to deliver solutions that improve vAuto platform \- all while experiencing competitive pay, awesome benefits and an award\-winning workplace culture.
 Excited to dive in? Let's talk!
**What's In It for You?**
 Here's a sneak peek at the benefits you could experience as a Cox employee:
* A competitive salary and top\-notch bonus/incentive plans.
* Professional development and continuing education opportunities.
* The chance to work with fascinating, cutting\-edge platforms.
* Exceptional work\-life balance, flexible time\-off policies and accommodating work schedules.
* Comprehensive healthcare, with multiple options for individuals and families.
* Generous 401(k) retirement plans with company match.
* Inclusive parental leave policies, plus comprehensive fertility coverage and adoption assistance. Check out all our benefits.
**What You'll Do**
 In a nutshell, you'll oversee our teams' efforts to deliver products, capabilities, services and enhancements. Here's what that looks like:
* Supporting release train and scrum teams in product increment (PI) planning, defect prioritization and backlog management.
* Partnering with product managers to understand and influence product strategy.
* Generate ideas for enhancing performance and achieving KPIs.
* Collaborating with scrum teams to build, enhance and manage products.
* Managing stakeholder engagement, addressing problems, managing resolutions and collecting feedback.
* Defining and managing scoping, requirements and prioritization activities, ensuring adherence to standards and traceability.
* Coordinating with other Agile Product Managers to deliver on a vision that crosses multiple delivery streams or release trains.
* Leading projects, identifying and managing risks, applying appropriate project management methods and ensuring project closure and review.
* Conducting analysis and performance monitoring for specified products, supporting problem resolution and contributing to product launches.
**Who You Are**
 You're an expert multitasker who enjoys collaborating with other technical teams. Here's what more you bring to the table:
* A bachelor's degree and 2 years of experience in a related field. The right candidate could also have a different combination, such as a master's degree and up to 2 years of experience; or 6 years' experience in a related field.
* Working knowledge of SAFe Agile methodology.
* The ability to translate data into quantifiable actions or deliverables.
* Experience in design, development and implementation of product plans.
* Experience in full product lifecycle methodologies.
* Experience creating, prioritizing and recommending epics and features.
**Preferred**
* Technical background with hands\-on development experience.
* Experience with cloud platforms (AWS Preferred)
 Let's build something great together. Join Cox today!
 USD 98,300\.00 \- 147,500\.00 per year
**Compensation**
 Compensation includes a base salary of $98,300\.00 \- $147,500\.00\.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122">
      <c r="A122" t="inlineStr">
        <is>
          <t>li-4365874623</t>
        </is>
      </c>
      <c r="B122" t="inlineStr">
        <is>
          <t>Software Product Manager</t>
        </is>
      </c>
      <c r="C122" t="inlineStr">
        <is>
          <t>Astrion</t>
        </is>
      </c>
      <c r="D122" t="inlineStr">
        <is>
          <t>linkedin</t>
        </is>
      </c>
      <c r="E122">
        <f>HYPERLINK("https://www.linkedin.com/jobs/view/4365874623", "https://www.linkedin.com/jobs/view/4365874623")</f>
        <v/>
      </c>
      <c r="F122">
        <f>HYPERLINK("https://careers.astrion.us/jobs/22945?lang=en-us&amp;iis=LinkedIn&amp;mode=apply&amp;urlHash=dJrz", "https://careers.astrion.us/jobs/22945?lang=en-us&amp;iis=LinkedIn&amp;mode=apply&amp;urlHash=dJrz")</f>
        <v/>
      </c>
      <c r="G122" t="inlineStr">
        <is>
          <t>Bedford, MA</t>
        </is>
      </c>
      <c r="H122" t="inlineStr"/>
      <c r="I122" t="inlineStr">
        <is>
          <t>**Overview**
**SENIOR SOFTWARE PRODUCT MANAGER**
**LOCATION** 
 : Hanscom AFB Bedford MA
**Salary Range** 
 :$150\-$160,000 Annually
**JOB STATUS:** 
 Full\-time
**CLEARANCE:** 
 Secret
**CERTIFICATION:** 
 n/a
**TRAVEL:** 
 Limited, as needed
 Astrion has an exciting opportunity for a
 **Senior** 
**Software Product** 
 Manager located at
 **Hanscom** 
**AFB** 
 in
 **Bedford** 
**Massachusetts** 
 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This position specifically supports the Foreign Military Salses (FMS) Japan AWACs program.
**Required Qualifications / Skills**
* Citizenship: Must be a US citizen
* Clearance: Must have an Active Secret Clearance
* Education: BA/BS Degree
* Years of Experience:10 years of directly related experience with 5 years of experience in a DoD setting
* Extensive product management experience in customer facing technology
* Experience of leveraging testing and research techniques such as A/B or spli testing, usability, and/or other customer research techniques
* Experience in tactical experience with analytics and dashboarding tools such as Google Analytics, Google Optimize and Looker (or tools with similar functionality)
* Experience with agile and lean methodologies
* Experience with the full product development life cycle, with success managing medium to large size products through various phases, from vision to launch
* Ability to multi\-task and work well within a dynamic, fast\-paced tech\-savvy organization
* Deep understanding of business strategy and metrics
* Ability to think and perform both tactically and strategically
* Excellent analytical skills with demonstrated experience synthesizing data into actionable insights
* Excellent communication and stakeholder management skills to the senior leadership level
* Experience with the full product development life cycle, with success managing medium to large size products through various phases, from vision to launch
* Self\-motivated, self\-directed, and able to thrive in a fast\-paced environment
* Highly entrepreneurial mindset, with a bias for customer\-focused innovation
**Responsibilities**
* Assist in developing a deep understanding of internal and external customers/stakeholders and their use cases.
* Assist in the definition, monitoring, and communication of key performance indicators (KPI)’s for your product area.
* Assist in the creation of the product roadmap process, including defining the sequence of the roadmap an assuring that the initiatives within the roadmap align with the appropriate corresponding business objectives and metrics.
* Assist in defining and documenting product specifications and user stories to enable efficient implementation of new or enhanced features.
* Assist in building strong relationships with all levels throughout the organization, ensuring transparency across our roadmaps, managing trade\-offs, driving organizational alignment, and maximizing business value while minimizing risks.
* Partner closely with data analysts, data scientists, engineers, Creative/UX/UI, and product teammates to execute against our roadmap objectives.
* Use quantitative and qualitative data to continually improve our product in ways that matter most to our users and have the biggest impact on our KPIs.</t>
        </is>
      </c>
    </row>
    <row r="123">
      <c r="A123" t="inlineStr">
        <is>
          <t>li-4366169940</t>
        </is>
      </c>
      <c r="B123" t="inlineStr">
        <is>
          <t>Senior Product Manager (Practice OS)</t>
        </is>
      </c>
      <c r="C123" t="inlineStr">
        <is>
          <t>Blue Heron Capital</t>
        </is>
      </c>
      <c r="D123" t="inlineStr">
        <is>
          <t>linkedin</t>
        </is>
      </c>
      <c r="E123">
        <f>HYPERLINK("https://www.linkedin.com/jobs/view/4366169940", "https://www.linkedin.com/jobs/view/4366169940")</f>
        <v/>
      </c>
      <c r="F123" t="inlineStr"/>
      <c r="G123" t="inlineStr">
        <is>
          <t>Salt Lake City, UT</t>
        </is>
      </c>
      <c r="H123" t="inlineStr"/>
      <c r="I123" t="inlineStr">
        <is>
          <t>Location
 Remote
 Employment Type
 Full time
 Location Type
 Remote
 Department
 R\&amp;D
 OverviewApplication
**About Tava**
 If you could spend your time doing something truly meaningful, chances are you’d choose work that could change people's lives for the better. At Tava Health, that's exactly what we do every day. Tava Health is a quickly growing venture\-backed startup, focused on scaling access to behavioral healthcare.
 We make meaningful connections between providers and clients accessible and easy by partnering with organizations to bring high\-quality mental health care to their employees, members, and communities.
**About The Role**
 Tava Health is seeking a Senior Product Manager to lead the discovery and development of provider\-facing product experiences. This role is responsible for building a comprehensive practice operating system that enables individual therapists and groups to run successful practices with Tava. The scope spans administrative, clinical, billing, and operational workflows.
 Key Responsibilities
* Lead development of new platform capabilities that support practice growth, operational efficiency, and high\-quality care delivery.
* Collaborate and coordinate effectively with other provider\-facing product managers
* Partner closely with clinical, operational, and payer\-focused stakeholders
* Leverage AI tools to improve product insight, efficiency, and provider workflows.
* Prioritize high\-impact opportunities and drive measurable outcomes through rapid iteration and experimentation.
* Communicate clearly with leadership, manage up and down to align on priorities, and drive execution
**Qualifications**
* 5\+ years of product management experience, with ownership of complex, customer\-facing platforms.
* Experience building products for providers, practices, or operationally complex domains (healthcare, fintech, marketplaces, or similar).
* Strong track record of shipping high\-quality software and driving measurable business and customer outcomes.
* Comfort operating across ambiguous problem spaces and balancing short\-term execution with long\-term platform strategy.
* Experience working cross\-functionally with engineering, design, clinical, operations, and external partners.
* High product judgment, strong written and verbal communication skills, and a bias toward action.
* Demonstrated ability to use AI tools to accelerate product discovery, execution, and learning.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
 This site is protected by reCAPTCHA and the Google Privacy Policy and Terms of Service apply.
 Powered by Ashby
 Privacy PolicySecurityVulnerability Disclosure</t>
        </is>
      </c>
    </row>
    <row r="124">
      <c r="A124" t="inlineStr">
        <is>
          <t>li-4355102024</t>
        </is>
      </c>
      <c r="B124" t="inlineStr">
        <is>
          <t>Senior Product Manager, B2B Payments Product Management</t>
        </is>
      </c>
      <c r="C124" t="inlineStr">
        <is>
          <t>Visa</t>
        </is>
      </c>
      <c r="D124" t="inlineStr">
        <is>
          <t>linkedin</t>
        </is>
      </c>
      <c r="E124">
        <f>HYPERLINK("https://www.linkedin.com/jobs/view/4355102024", "https://www.linkedin.com/jobs/view/4355102024")</f>
        <v/>
      </c>
      <c r="F124" t="inlineStr"/>
      <c r="G124" t="inlineStr">
        <is>
          <t>Foster City, CA</t>
        </is>
      </c>
      <c r="H124" t="inlineStr"/>
      <c r="I124"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Commercial Solutions (VCS) is a world\-class organization responsible for growing all flows between businesses and governments, from small businesses to the largest global corporations. The Core Products and Vertical Platforms team within VCS works closely with financial institutions and fintechs to bring payment solutions that meet the needs of growth corporates, large enterprises, multinationals, governments, public sector entities, and small businesses around the world. The team is responsible for the product development and management of a comprehensive array of solutions that meet the needs of these organizations. These solutions target such important segments as Fleet and Mobility, B2B Travel and Corporate Travel, B2B supplier payments, and Small Business (SMB).
 The Senior Product Manager, B2B Payments Product Management plays a central role in the development and launch of a highly strategic next generation payment solution designed to capture new B2B spend and displace legacy payment methods such as EFT, ACH, Check and Wire. This next generation solution will deliver differentiated value through a suite of integrated, value\-added solution components that address client pain points and unlock new use cases
 The Senior Product Manager will support product strategies to lead the definition of product requirements for the components of this new solution. The role is responsible for advancing the product strategy by owning key product development activities and managing product development tools like Jira, Jira Align, or Figma.. This role is a primary liaison between business and tech teams to ensure on\-time, high quality delivery of capabilities and ongoing communication and alignment. Success in this role will require deep familiarity with B2B payment ecosystems, including working capital optimization, technology integrations, and the end\-to\-end procure\-to\-pay process.
 The ideal candidate is an experienced product leader with the ability to influence in a fast\-paced and dynamic environment. He/she must have proven experience developing network\-based platform technology solutions—alongside value\-added software capabilities – that deliver substantial value propositions to the market. Familiarity with both Waterfall and Agile delivery methodologies, as well as a strong track record of engaging cross\-functional technology teams, will be critical to ensuring successful execution of Visa’s product roadmap and scalable commercialization of our B2B solution.
 This role requires strategic leadership, innovation, collaboration, and problem\-solving skills. He/she is creative and hands\-on, has a bias towards action and is able to inspire others with his/her vision.
**RESPONSIBILITIES**
 :
* Define and prioritize product features and lead Product development with Tech teams
* Manage Pilot implementations in collaboration with Partner product and tech teams to ensure successful Pilot rollouts
* Establish and codify processes to ensure a simplified sales, implementation and onboarding model to support scale
* Measure, track, and report on pilot success criteria and product performance
* Lead effort to define new solution Rules, in partnership with Legal and Rules teams
* Lead commercialization and marketing activities, e.g., development of sales materials, branding/naming, and coordinate with product, sales, and marketing to ensure successful rollout
* Educate and empower regional teams to drive client adoption and market penetration
* Capture voice of customer, understand market needs and analyze data to help inform product strategies, feature roadmap and/or new use case opportunities
* Ensure the product strategy and product roadmaps are aligned and well\-articulated to customers, prospects and partners, as well as internally within Visa
* Demonstrate thought leadership and enable flawless execution
* Serve as the subject matter expert, both internally and externally with Visa clients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MBA or Advanced Degree is highly desirable
* Deep product management experience within commercial/B2B payments
* Prior experience with Interchange or Pricing frameworks
* Experienced product leader with a record of accomplishment for creating and developing new product capabilities from initial concept to industry leadership
* Proven track record of developing and executing a product vision for successful products based on a deep understanding of customer needs
* Demonstrated thought leadership and the aptitude to think creatively and identify new opportunities to innovate and differentiate with evidence of tangible business results
* Experience managing and developing strong partnerships across cross\-functional teams within matrixed organizations to influence and create roadmaps
* Excellent ability to develop and communicate strategy, and secure internal investment for products
* Natural collaborator, with excellent communication skills and strong executive presence
* Self\-motivated and comfortable with ambiguity, possessing the maturity and competence to influence across multiple levels and organizations including internal and external stakeholders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169,100 to 270,800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5">
      <c r="A125" t="inlineStr">
        <is>
          <t>li-4365863588</t>
        </is>
      </c>
      <c r="B125" t="inlineStr">
        <is>
          <t>Engineering Program Manager</t>
        </is>
      </c>
      <c r="C125" t="inlineStr">
        <is>
          <t>Evergreen</t>
        </is>
      </c>
      <c r="D125" t="inlineStr">
        <is>
          <t>linkedin</t>
        </is>
      </c>
      <c r="E125">
        <f>HYPERLINK("https://www.linkedin.com/jobs/view/4365863588", "https://www.linkedin.com/jobs/view/4365863588")</f>
        <v/>
      </c>
      <c r="F125" t="inlineStr"/>
      <c r="G125" t="inlineStr"/>
      <c r="H125" t="inlineStr"/>
      <c r="I125" t="inlineStr">
        <is>
          <t>**ABOUT THIS ROLE** 
 The Engineering Program Manager is responsible for providing strategic leadership and direction to a team of project managers executing projects across diverse industries. The ideal candidate will possess strong technical knowledge, exceptional organizational skills, and the ability to drive cross\-functional teams toward successful project delivery in a fast\-paced, multi\-disciplinary environment.
**WHAT YOU'LL DO** 
 • Lead, mentor, and develop a team of project managers overseeing engineering projects in various sectors such as infrastructure, utilities, construction, and manufacturing.
 • Establish and maintain program governance, ensuring alignment with organizational objectives, budgets, and timelines.
 • Coordinate multi\-disciplinary teams, including engineers, drafters, field technicians, and asset managers, to ensure seamless project execution.
 • Monitor project progress, proactively identify risks and obstacles, and implement effective mitigation strategies.
 • Develop and manage program schedules, resource allocation, and financial forecasts to ensure successful delivery of all projects.
 • Facilitate communication and collaboration among internal teams, external partners, and key stakeholders.
 • Oversee the adherence to industry standards, client requirements, and company policies throughout the project lifecycle.
 • Continuously improve program management processes and tools to enhance efficiency and quality.
 • Report regularly to senior leadership on program status, key metrics, and critical issues.
 • Partner with sales personnel to strategize portfolio growth and sales strategy.
**WHAT YOU'LL NEED TO SUCCEED** 
 • Bachelor’s degree in Engineering, Project Management, or a related field; advanced degree preferred.
 • 5\+ years of experience managing complex engineering projects, with at least 3 years in a leadership or program management role.
 • Proven track record of successfully delivering projects involving engineering best practices.
 • Strong understanding of project management methodologies (such as PMI, Agile, or Lean).
 • Exceptional leadership, interpersonal, and communication skills.
 • Ability to manage multiple projects and priorities simultaneously across different industries.
 • Proficiency with project management software and collaboration tools.
 • PMP, PgMP, or similar certification is highly desirable.
 • Willingness to travel as required for project oversight and stakeholder engagement.</t>
        </is>
      </c>
    </row>
    <row r="126">
      <c r="A126" t="inlineStr">
        <is>
          <t>li-4355932502</t>
        </is>
      </c>
      <c r="B126" t="inlineStr">
        <is>
          <t>Senior Product Manager, Marketplace Growth</t>
        </is>
      </c>
      <c r="C126" t="inlineStr">
        <is>
          <t>Jerry</t>
        </is>
      </c>
      <c r="D126" t="inlineStr">
        <is>
          <t>linkedin</t>
        </is>
      </c>
      <c r="E126">
        <f>HYPERLINK("https://www.linkedin.com/jobs/view/4355932502", "https://www.linkedin.com/jobs/view/4355932502")</f>
        <v/>
      </c>
      <c r="F126">
        <f>HYPERLINK("https://jobs.ashbyhq.com/Jerry.ai/dd67e211-bc96-4275-95e9-28d2000eff74?utm_source=6Vdva5VPyD&amp;urlHash=ZklP", "https://jobs.ashbyhq.com/Jerry.ai/dd67e211-bc96-4275-95e9-28d2000eff74?utm_source=6Vdva5VPyD&amp;urlHash=ZklP")</f>
        <v/>
      </c>
      <c r="G126" t="inlineStr">
        <is>
          <t>Houston, TX</t>
        </is>
      </c>
      <c r="H126" t="inlineStr"/>
      <c r="I12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7">
      <c r="A127" t="inlineStr">
        <is>
          <t>li-4355708685</t>
        </is>
      </c>
      <c r="B127" t="inlineStr">
        <is>
          <t>Senior Product Manager, Marketplace Growth</t>
        </is>
      </c>
      <c r="C127" t="inlineStr">
        <is>
          <t>Jerry</t>
        </is>
      </c>
      <c r="D127" t="inlineStr">
        <is>
          <t>linkedin</t>
        </is>
      </c>
      <c r="E127">
        <f>HYPERLINK("https://www.linkedin.com/jobs/view/4355708685", "https://www.linkedin.com/jobs/view/4355708685")</f>
        <v/>
      </c>
      <c r="F127">
        <f>HYPERLINK("https://jobs.ashbyhq.com/Jerry.ai/dd67e211-bc96-4275-95e9-28d2000eff74?utm_source=6Vdva5VPyD&amp;urlHash=ZklP", "https://jobs.ashbyhq.com/Jerry.ai/dd67e211-bc96-4275-95e9-28d2000eff74?utm_source=6Vdva5VPyD&amp;urlHash=ZklP")</f>
        <v/>
      </c>
      <c r="G127" t="inlineStr">
        <is>
          <t>Chicago, IL</t>
        </is>
      </c>
      <c r="H127" t="inlineStr"/>
      <c r="I12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8">
      <c r="A128" t="inlineStr">
        <is>
          <t>li-4355678899</t>
        </is>
      </c>
      <c r="B128" t="inlineStr">
        <is>
          <t>Senior Product Manager, Marketplace Growth</t>
        </is>
      </c>
      <c r="C128" t="inlineStr">
        <is>
          <t>Jerry</t>
        </is>
      </c>
      <c r="D128" t="inlineStr">
        <is>
          <t>linkedin</t>
        </is>
      </c>
      <c r="E128">
        <f>HYPERLINK("https://www.linkedin.com/jobs/view/4355678899", "https://www.linkedin.com/jobs/view/4355678899")</f>
        <v/>
      </c>
      <c r="F128">
        <f>HYPERLINK("https://jobs.ashbyhq.com/Jerry.ai/dd67e211-bc96-4275-95e9-28d2000eff74?utm_source=6Vdva5VPyD&amp;urlHash=ZklP", "https://jobs.ashbyhq.com/Jerry.ai/dd67e211-bc96-4275-95e9-28d2000eff74?utm_source=6Vdva5VPyD&amp;urlHash=ZklP")</f>
        <v/>
      </c>
      <c r="G128" t="inlineStr">
        <is>
          <t>Durham, NC</t>
        </is>
      </c>
      <c r="H128" t="inlineStr"/>
      <c r="I12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9">
      <c r="A129" t="inlineStr">
        <is>
          <t>li-4321341835</t>
        </is>
      </c>
      <c r="B129" t="inlineStr">
        <is>
          <t>Technical Program Manager</t>
        </is>
      </c>
      <c r="C129" t="inlineStr">
        <is>
          <t>Marlabs</t>
        </is>
      </c>
      <c r="D129" t="inlineStr">
        <is>
          <t>linkedin</t>
        </is>
      </c>
      <c r="E129">
        <f>HYPERLINK("https://www.linkedin.com/jobs/view/4321341835", "https://www.linkedin.com/jobs/view/4321341835")</f>
        <v/>
      </c>
      <c r="F129" t="inlineStr"/>
      <c r="G129" t="inlineStr">
        <is>
          <t>Maryland, United States</t>
        </is>
      </c>
      <c r="H129" t="inlineStr"/>
      <c r="I129" t="inlineStr">
        <is>
          <t>Hiring Fulltime Technical Program Manager in Rockville, MD \- Hybrid
* 12\-15 yrs experience in Financial / Investment banking background and enterprise systems and solutions</t>
        </is>
      </c>
    </row>
    <row r="130">
      <c r="A130" t="inlineStr">
        <is>
          <t>li-4355708678</t>
        </is>
      </c>
      <c r="B130" t="inlineStr">
        <is>
          <t>Senior Product Manager, AI Powered Messaging</t>
        </is>
      </c>
      <c r="C130" t="inlineStr">
        <is>
          <t>Jerry</t>
        </is>
      </c>
      <c r="D130" t="inlineStr">
        <is>
          <t>linkedin</t>
        </is>
      </c>
      <c r="E130">
        <f>HYPERLINK("https://www.linkedin.com/jobs/view/4355708678", "https://www.linkedin.com/jobs/view/4355708678")</f>
        <v/>
      </c>
      <c r="F130" t="inlineStr"/>
      <c r="G130" t="inlineStr">
        <is>
          <t>Atlanta, GA</t>
        </is>
      </c>
      <c r="H130" t="inlineStr"/>
      <c r="I13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1">
      <c r="A131" t="inlineStr">
        <is>
          <t>li-4355708686</t>
        </is>
      </c>
      <c r="B131" t="inlineStr">
        <is>
          <t>Senior Product Manager, Marketplace Growth</t>
        </is>
      </c>
      <c r="C131" t="inlineStr">
        <is>
          <t>Jerry</t>
        </is>
      </c>
      <c r="D131" t="inlineStr">
        <is>
          <t>linkedin</t>
        </is>
      </c>
      <c r="E131">
        <f>HYPERLINK("https://www.linkedin.com/jobs/view/4355708686", "https://www.linkedin.com/jobs/view/4355708686")</f>
        <v/>
      </c>
      <c r="F131">
        <f>HYPERLINK("https://jobs.ashbyhq.com/Jerry.ai/4112eb10-8d43-4713-817d-17f30a03a57b?utm_source=6Vdva5VPyD&amp;urlHash=zDzm", "https://jobs.ashbyhq.com/Jerry.ai/4112eb10-8d43-4713-817d-17f30a03a57b?utm_source=6Vdva5VPyD&amp;urlHash=zDzm")</f>
        <v/>
      </c>
      <c r="G131" t="inlineStr">
        <is>
          <t>Phoenix, AZ</t>
        </is>
      </c>
      <c r="H131" t="inlineStr"/>
      <c r="I13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2">
      <c r="A132" t="inlineStr">
        <is>
          <t>li-4355718805</t>
        </is>
      </c>
      <c r="B132" t="inlineStr">
        <is>
          <t>Senior Product Manager, AI Powered Messaging</t>
        </is>
      </c>
      <c r="C132" t="inlineStr">
        <is>
          <t>Jerry</t>
        </is>
      </c>
      <c r="D132" t="inlineStr">
        <is>
          <t>linkedin</t>
        </is>
      </c>
      <c r="E132">
        <f>HYPERLINK("https://www.linkedin.com/jobs/view/4355718805", "https://www.linkedin.com/jobs/view/4355718805")</f>
        <v/>
      </c>
      <c r="F132">
        <f>HYPERLINK("https://jobs.ashbyhq.com/Jerry.ai/c2301b48-3a6a-433f-8d6a-268c3bc31b0e?utm_source=6Vdva5VPyD&amp;urlHash=W99T", "https://jobs.ashbyhq.com/Jerry.ai/c2301b48-3a6a-433f-8d6a-268c3bc31b0e?utm_source=6Vdva5VPyD&amp;urlHash=W99T")</f>
        <v/>
      </c>
      <c r="G132" t="inlineStr">
        <is>
          <t>Boston, MA</t>
        </is>
      </c>
      <c r="H132" t="inlineStr"/>
      <c r="I13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3">
      <c r="A133" t="inlineStr">
        <is>
          <t>li-4355908221</t>
        </is>
      </c>
      <c r="B133" t="inlineStr">
        <is>
          <t>Senior Product Owner - CRM</t>
        </is>
      </c>
      <c r="C133" t="inlineStr">
        <is>
          <t>CLA (CliftonLarsonAllen)</t>
        </is>
      </c>
      <c r="D133" t="inlineStr">
        <is>
          <t>linkedin</t>
        </is>
      </c>
      <c r="E133">
        <f>HYPERLINK("https://www.linkedin.com/jobs/view/4355908221", "https://www.linkedin.com/jobs/view/4355908221")</f>
        <v/>
      </c>
      <c r="F133">
        <f>HYPERLINK("https://cliftonlarsonallen.wd1.myworkdayjobs.com/CLA/job/Austin-TX/Senior-Product-Owner\u002d\u002d-CRM_R16770?src=APPLICANT_SOURCE-3-38&amp;urlHash=OYNr", "https://cliftonlarsonallen.wd1.myworkdayjobs.com/CLA/job/Austin-TX/Senior-Product-Owner\u002d\u002d-CRM_R16770?src=APPLICANT_SOURCE-3-38&amp;urlHash=OYNr")</f>
        <v/>
      </c>
      <c r="G133" t="inlineStr">
        <is>
          <t>Phoenix, AZ</t>
        </is>
      </c>
      <c r="H133" t="inlineStr"/>
      <c r="I133"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 Flexible PTO (designed to offer flexible time away for you!)
* Up to 12 weeks paid parental leave
* Paid Volunteer Time Off
* Mental health coverage
* Quarterly Wellness stipend
* Fertility benefits
* Complete list of benefits here
 CLA is growing and seeking to hire an experienced
 **Senior Product Owner \- CRM**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The Senior Product Owner, CRM drives business value through full\-stack, end\-to\-end product ownership for the firm’s CRM environment. This role aligns cross‑functional teams to deliver shared outcomes and business value in an Agile environment.
**How you’ll
 *create opportunities* 
 in this Senior Product Owner – CRM** 
**role:**
**Requirements / Backlog Management**
* Develop Product Requirements Documents, process flows, and prototypes that define user needs, business goals, and functional/non\-functional requirements for the environment.
* Translate concepts into epics, features, and user stories with clear acceptance criteria, dependencies, and compliance considerations.
* Own, prioritize, and refine the backlog to maximize productivity, coordinating with cross functional teams and subject matter experts to gather feedback on risks and dependencies.
**Continuous Discovery**
* Lead discovery using qualitative and quantitative research to validate user problems and identify opportunities within defined scope.
* Translate discovery insights into hypotheses and actionable backlog items with confirmed feasibility and outcome alignment.
* Communicate priorities, findings, and progress clearly to facilitate solutions.
**Technical \&amp; Solution Alignment**
* Collaborate with engineering and architecture to ensure requirements translate to viable technical solutions aligned to platform patterns.
* Facilitate Agile ceremonies, establish delivery milestones and success criteria, monitor progress, remove impediments, and ensure delivery aligns with OKRs, quality standards, and timelines.
**Soft Skills**
* Strong communication skills, including presentation skills; ability to navigate technical discussion and translate complex concepts for varied audiences.
* Strategic thinker with ability to balance long‑term vision and short‑term execution. Ability to prioritize effectively and escalate conflicts when needed.
* Highly collaborative, outcome‑driven, and comfortable managing ambiguity.
* Ability to work with large teams and a variety of people, including users, product team members, management team members, and business owners/stakeholders.
**What You Will Need**
* 4\+ years of experience defining clear requirements and driving continuous discovery in an Agile environment.
* Experience with Microsoft Dynamics CRM platform is strongly preferred.
* Certified Scrum Product Owner (CSPO) or SAFe Product Owner/Product Manager (PO/PM) is preferred.
* Bachelor's degree or a combination of relevant experience and training may be considered in lieu of a degree.
**Technical Competencies**
* Experience working within Agile delivery tools to manage backlogs, user stories, and workflow processes.
* Azure DevOps (ADO) or Jira systems experience preferred.
 Equal Opportunity Employer/Protected Veterans/Individuals with Disabilities
 Click here to learn about your hiring rights.
**Wellness at CLA**
 To support our CLA family members, we focus on their physical, financial, social, and emotional well\-being and offer comprehensive benefit options that include health, dental, vision, 401k and much more.
 To view a complete list of benefits click here.</t>
        </is>
      </c>
    </row>
    <row r="134">
      <c r="A134" t="inlineStr">
        <is>
          <t>li-4355927908</t>
        </is>
      </c>
      <c r="B134" t="inlineStr">
        <is>
          <t>Senior Product Manager, AI Powered Messaging</t>
        </is>
      </c>
      <c r="C134" t="inlineStr">
        <is>
          <t>Jerry</t>
        </is>
      </c>
      <c r="D134" t="inlineStr">
        <is>
          <t>linkedin</t>
        </is>
      </c>
      <c r="E134">
        <f>HYPERLINK("https://www.linkedin.com/jobs/view/4355927908", "https://www.linkedin.com/jobs/view/4355927908")</f>
        <v/>
      </c>
      <c r="F134" t="inlineStr"/>
      <c r="G134" t="inlineStr">
        <is>
          <t>Portland, OR</t>
        </is>
      </c>
      <c r="H134" t="inlineStr"/>
      <c r="I1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5">
      <c r="A135" t="inlineStr">
        <is>
          <t>li-4366214889</t>
        </is>
      </c>
      <c r="B135" t="inlineStr">
        <is>
          <t>Sr. Lead Product Manager - Digital Assets</t>
        </is>
      </c>
      <c r="C135" t="inlineStr">
        <is>
          <t>Early Warning®</t>
        </is>
      </c>
      <c r="D135" t="inlineStr">
        <is>
          <t>linkedin</t>
        </is>
      </c>
      <c r="E135">
        <f>HYPERLINK("https://www.linkedin.com/jobs/view/4366214889", "https://www.linkedin.com/jobs/view/4366214889")</f>
        <v/>
      </c>
      <c r="F135" t="inlineStr"/>
      <c r="G135" t="inlineStr">
        <is>
          <t>San Francisco, CA</t>
        </is>
      </c>
      <c r="H135" t="inlineStr"/>
      <c r="I135"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Sr.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The role may lead multiple products.
**Essential Functions**
* Visionary and Strategist: Builds the right cross\-functional team to obtain a common understanding of customer pain points, empathy and excitement for solving customer issues and driving product revenue. Articulates product strategy and vision across the enterprise across multiple products.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Oversees the integration of strong risk and security controls. Ensures compliance to laws and regulations.
* Technical Understanding: Able and adept at working directly with the technologists to deliver market solutions. Clearly defines requirements, grooms user stories, motivates technical teams and partners with technology closely
**Area of Specialty: Digital Assets**
* Define the product vision, roadmap, and backlog for digital asset–enabled cross\-border payment capabilities, including transaction orchestration, settlement, and partner integrations.
* Lead cross\-functional discovery and delivery for end\-to\-end cross\-border payment journeys, influencing upstream and downstream platform dependencies.
* Partner closely with Engineering, Risk, Compliance, and Legal teams to ensure products meet AML, sanctions, consumer protection, and regulatory requirements across jurisdictions.
* Balance customer experience, scalability, and risk considerations in designing global payment flows, including error handling, reconciliation, and transparency.
**Minimum Qualifications**
* Education and/or experience typically obtained through completion of a bachelors degree.
* 9 or more years of related work experience OR post\-secondary degree and at least 4 years of related work experience
* Strong understanding of payments ecosystems, cross\-border remittance models, and emerging digital asset / stablecoin use cases.
* Ability to translate complex regulatory and technical constraints into clear product requirements and user stories.
* Experience working in regulated environments with high availability, security, and auditability expectations.
* Demonstrated experience in design thinking and agile development process and methodology
* Demonstrated leadership experience and cross functional collaboration experience
* Proven experience in and passion for building and delivering great products
* Demonstrated experience in setting a product strategy, roadmap and in meeting product revenue targets
* Excellent listening and execution skills
* Background and drug screen
**Preferred Qualifications**
* Master’s degree
* Certifications in design thinking and/or agile.
* Prior experience working in payments, financial services or similar regulated industry.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$145,000 \- $186,000\.
 New York, NY/ San Francisco, CA in USD per year is: $174,000 \- $223,000\.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36">
      <c r="A136" t="inlineStr">
        <is>
          <t>li-4355728971</t>
        </is>
      </c>
      <c r="B136" t="inlineStr">
        <is>
          <t>Product Manager, Marketplace Growth</t>
        </is>
      </c>
      <c r="C136" t="inlineStr">
        <is>
          <t>Jerry</t>
        </is>
      </c>
      <c r="D136" t="inlineStr">
        <is>
          <t>linkedin</t>
        </is>
      </c>
      <c r="E136">
        <f>HYPERLINK("https://www.linkedin.com/jobs/view/4355728971", "https://www.linkedin.com/jobs/view/4355728971")</f>
        <v/>
      </c>
      <c r="F136" t="inlineStr"/>
      <c r="G136" t="inlineStr">
        <is>
          <t>Nashville, TN</t>
        </is>
      </c>
      <c r="H136" t="inlineStr"/>
      <c r="I1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7">
      <c r="A137" t="inlineStr">
        <is>
          <t>li-4355908929</t>
        </is>
      </c>
      <c r="B137" t="inlineStr">
        <is>
          <t>Advisor Web/Mobile Product Owner Digital Channels</t>
        </is>
      </c>
      <c r="C137" t="inlineStr">
        <is>
          <t>Enbridge</t>
        </is>
      </c>
      <c r="D137" t="inlineStr">
        <is>
          <t>linkedin</t>
        </is>
      </c>
      <c r="E137">
        <f>HYPERLINK("https://www.linkedin.com/jobs/view/4355908929", "https://www.linkedin.com/jobs/view/4355908929")</f>
        <v/>
      </c>
      <c r="F137" t="inlineStr"/>
      <c r="G137" t="inlineStr">
        <is>
          <t>Akron, OH</t>
        </is>
      </c>
      <c r="H137" t="inlineStr"/>
      <c r="I137" t="inlineStr">
        <is>
          <t>**Posting End Date**
 February 12, 2026
**Employee Type**
 Regular\-Full time
**Union/Non**
 This is a non\-union position
 We have an exciting opportunity for you to join our Customer Care Development team as an
 **Advisor, Web/Mobile Digital Product Owner, Digital Channels** 
 supporting the strategic growth and day\-to\-day operations of Enbridge’s digital channels to drive customer engagement and improve the overall digital experience.
 This role will work closely with business and technology partners in defining the backlog and delivering capabilities that deliver a differentiated customer experience. The ideal candidate will have extensive digital experience and a proven track record of driving results.
 Apply today for this outstanding vacancy and be part of a team that values collaboration, continuous improvement, and professional growth.
**What You Will Do**
* Employ knowledge of web and mobile capabilities to identify and deliver leading edge digital experiences.
* Define and communicate the product vision and strategy to stakeholders.
* Gather and prioritize product requirements based on customer needs, market trends, and business objectives.
* Drive strategic digital initiatives that align with business goals and objectives.
* Collaborate with cross\-functional teams including marketing, technology, and customer service timely and high\-quality product delivery.
* Analyze user behavior, conduct usability testing and leverage data and analytics to inform decision\-making and measure the success of digital products.
* Stay up\-to\-date with industry trends and emerging technologies to ensure digital products remain competitive and innovative.
* Create and maintain a product backlog, ensuring it is well\-organized and prioritized.
* Present results, insights, requirements, and designs in a compelling way to leadership and partner teams.
* Develop and send communication to stakeholders informing them of the impacts of system enhancements.
* Accountable for managing performance and customer adoption of Digital Channels
* Providing forecast data and insights to support business decisions
* Subject Matter Expert for digital channels role will represent customer’s best interest by advocating for strong customer experience principles to be considered on all projects
**Who You Are**
 You will have the following combination of education and experience:
* Associate's degree preferred in Business, Marketing, Digital Technology, Communications or related background with 4\+ years of experience OR a combination of formal education and experience.
* Curiosity and a desire to continuously improve.
* Excellent communication and collaboration skills.
* Excellent working knowledge of web and mobile technologies.
* Strong working knowledge of web content management systems
* Superior analytical skills using innovative problem solving and expert judgment.
* Excellent interpersonal skills include building consensus, negotiation, and facilitation.
* Ability to think creatively and critically.
* Apply problem\-solving, analytical, and critical thinking skills to facilitate end\-to\-end delivery of results.
* Knowledge of technology implementation requirements and methodologies.
* Demonstrated ability to work on multiple tasks and shift priorities without loss of efficiency and effectiveness.
* Team player, who is able to work independently to deliver results.
* Proven Microsoft Office Suite proficiency, i.e. Visio, Word, Excel, PowerPoint, Adobe Creative Suite
* Ability to travel within North America if required (Minimal \- About one or two times per quarter)
**The Following Would Be An Asset**
* Demonstrated ability to create and design a user experience that follows a user\-centric approach.
* Experience with web designs and related technologies.
* Ability and willingness to grow, develop and evolve skills suitable for other opportunities within Customer Care.
**Working Conditions**
* This position will have some project implementation requirements which occur overnight or on weekends. The successful candidate may need to be available during these timeframes to support and lead projects as they launch.
* Will require some travel to the contact centres.
**Physical Requirements Include But Are Not Limited To**
 Grasping, kneeling, light – moderate lifting (objects up to 20 pounds), reaching above shoulder, repetitive motion, typing, sitting, standing, visual requirement (able to see screens, detect color coding, read fine print), hearing requirement and the ability to work in tight spaces.
**Mental Requirements (Both Field \&amp; Office) include but are not limited to:**
 Ability to: understand, remember and apply oral and/or written instructions or other information, understand complex problems and collaborate/explore alternative solutions, organize thoughts and ideas into understandable terminology, organize and prioritize work schedule on a short\-term basis, make decisions which have moderate impact on the immediate work unit and monitor impact outside this area, understand and follow basic instructions and guidelines, complete routine forms, compose letters, outlines, memoranda and basic reports and communicate with individuals via telephone.
**Salary Range:** 
 $80,500 \- 110,000 USD\*
* Internal applicants may refer to applicable compensation policies. Salaries are determined based on education, experience, certifications and skills.
**Pension And Benefits Overview**
* A flexible benefits program that allows each employee to select the level of coverage needed for their family in the areas of health, dental, insurance and disability
* A paid maternity and parental leave benefit that offers up to 20 weeks of paid leave for birth\-giving parents and up to 12 weeks for other eligible parents, providing flexibility and support during this important life event
* Valuable retirement savings plans, including a savings plan with company stock as an investment option
* Paid time off/vacation/sick, plus paid personal days off (depending on location), and paid holidays
* An Employee and Family Assistance Program
* A Wellness Program, which focuses on supporting healthier employees by providing tools, resources, and opportunities to improve physical, mental, social and financial well\-being
* Enbridge’s FlexWork (hybrid work model) offers eligible employees the option to work from home on Wednesdays and Fridays, opt for a compressed workweek schedule, and have flexible start and end times. Role requirements determine your eligibility for each option.
 Due to our ongoing integration with Dominion Energy, certain positions may involve access to information and technology subject to export controls under U.S. law. Compliance with these export controls may result in Dominion Energy limiting its consideration of certain applicants.
 At this time, Enbridge cannot transfer or sponsor a work visa or employment authorization for this position.
 This position does not offer relocation assistance.
 At Enbridge, we are dedicated to our core value of Inclusion. We are proud to be an Equal Opportunity Employer. We are committed to providing employment opportunities to all qualified individuals, without regard to age, race, color, national or ethnic origin, religion, sex, sexual orientation, gender identity or expression, marital status, family status, veteran status, Indigenous status, disability, or any other reason protected by federal, state, or local law. Applicants with disabilities can request accessible formats, communication supports, or other accessibility assistance by contacting careers@enbridge.com.
**Information For Applicants**
* Applications can be submitted via our online recruiting system only.
* We appreciate your interest in working with us; however, only those applicants selected for interviews will be contacted.
* Final candidates for this position may be required to undergo a security screening, including a criminal records check.
 To learn more about us, visit www.enbridge.com</t>
        </is>
      </c>
    </row>
    <row r="138">
      <c r="A138" t="inlineStr">
        <is>
          <t>li-4366194430</t>
        </is>
      </c>
      <c r="B138" t="inlineStr">
        <is>
          <t>Staff Technical Program Manager, Infrastructure</t>
        </is>
      </c>
      <c r="C138" t="inlineStr">
        <is>
          <t>LinkedIn</t>
        </is>
      </c>
      <c r="D138" t="inlineStr">
        <is>
          <t>linkedin</t>
        </is>
      </c>
      <c r="E138">
        <f>HYPERLINK("https://www.linkedin.com/jobs/view/4366194430", "https://www.linkedin.com/jobs/view/4366194430")</f>
        <v/>
      </c>
      <c r="F138" t="inlineStr"/>
      <c r="G138" t="inlineStr">
        <is>
          <t>Mountain View, CA</t>
        </is>
      </c>
      <c r="H138" t="inlineStr"/>
      <c r="I13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Infrastructure Engineering TPM Organization is seeking a Staff Technical Program Manager to lead multiple cross\-functional technical programs while driving operational best practices. This role will play a key role in helping define and drive strategy, working with various cross\-functional teams to manage program roadmaps and execution plans. Program scope can include new infrastructure product rollouts to compliance initiatives to ensure LinkedIn applies and upholds best practices in data governance.
 This Staff Technical Program Manager will partner with engineering leaders to own a portfolio of products and services that allow applications at LinkedIn to store, access/query, process and manage data. These include massive\-scale distributed data systems, pub/sub and streaming technologies, DataLake storage and batch data processing systems. In addition to strong technical knowledge, the ideal candidate should thrive in a fast\-paced rapidly evolving environment, be passionate about solving ambiguous problems, have a bias towards action and have the aptitude to drive the strategic vision and execution of our transformative initiatives around Infrastructure.
**Responsibilities:**
* Support multiple cross\-functional technical teams in delivering their objectives across fast\-paced, complex data infrastructure and compliance initiatives
* Plan and set execution priorities and roadmaps to align technical and operational decisions.
* Develop strong partnerships with engineering and product management leaders to drive focus on strategic and tactical program objectives
* Drive new organization\-wide programs to ensure reliability, scalability, and maintainability of the data ecosystem including compliance, data governance and operational excellence.
* Drive alignments and prioritization across all technology initiatives, manage roadmap for a single consistent view and lead communications
* Build strategic relationships with key technology and business leaders to ensure program success
* Drive teams and individuals in planning and executing roadmaps, releases, and work backlogs
* Lead efforts to identify risks, resolve key project conflicts, and establish appropriate resolution paths
* Fill in gaps across roles and functions as needed, performing as an adaptive problem solver
* Report on project status or portfolio roadmap, risks, issues and mitigation plans
* Create a collaborative work environment that fosters shared understanding, transparency, mastery, autonomy, innovation and continuous learning
* Coach and mentor others in the best practices of modern planning and execution
**Qualifications**
**Basic Qualifications:**
* B.S./B.A. Engineering, Computer Science or related technical field, or equivalent practical experience
* 5\+ years professional experience in an engineering or technical team, managing technical programs/projects
**Preferred Qualifications:**
* Experience with infrastructure, data infrastructure, and/or AI platforms
* Past software engineering experience
* Experience managing company wide, large scale, high impact programs
* Proven success on establishing organization\-wide processes and communication framework for R\&amp;D initiatives
* Direct work experience in a technical project management capacity to drive large technical initiatives including all aspects of process development and execution
* Knowledge of complex technical ecosystems and adequate technical depth
* Experience managing multiple major and concurrent projects/programs executed through multiple geographic locations
* Direct experience working with software engineering leadership, technical teams and individual contributors
* Ability to quickly adapt to faster pace, shifting priorities, demands, and timelines through analytical and problem\-solving capabilities
**Suggested Skills:**
* Cross Functional Collaboration
* Technical Program Management
* Core Engineering
* Data Governance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to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9">
      <c r="A139" t="inlineStr">
        <is>
          <t>li-4321499719</t>
        </is>
      </c>
      <c r="B139" t="inlineStr">
        <is>
          <t>Product Manager - FIS</t>
        </is>
      </c>
      <c r="C139" t="inlineStr">
        <is>
          <t>Jobs via Dice</t>
        </is>
      </c>
      <c r="D139" t="inlineStr">
        <is>
          <t>linkedin</t>
        </is>
      </c>
      <c r="E139">
        <f>HYPERLINK("https://www.linkedin.com/jobs/view/4321499719", "https://www.linkedin.com/jobs/view/4321499719")</f>
        <v/>
      </c>
      <c r="F139" t="inlineStr"/>
      <c r="G139" t="inlineStr">
        <is>
          <t>Irving, TX</t>
        </is>
      </c>
      <c r="H139" t="inlineStr"/>
      <c r="I139" t="inlineStr">
        <is>
          <t>Dice is the leading career destination for tech experts at every stage of their careers. Our client, AgreeYa Solutions, is seeking the following. Apply via Dice today!
**Job Title:** 
**Product Manager \- FIS**
**Job Location:** 
**Irving, TX \| 5 days onsite**
**Description:**
 AgreeYa is a global Systems Integrator and is seeking an
 **Product Manager** 
 to join our growing team.
**Job Responsibilities:**
* Lead business requirement gathering, analysis, and documentation for lending and credit initiatives.
* Work closely with business stakeholders, operations, and technology teams to ensure clear and complete requirements.
* Translate business needs into functional specifications, user stories, and process flows
* Support UAT planning and execution, including defect management and business sign\-off.
* Ensure alignment with banking standards, controls, and regulatory requirements.
**Must\-Have Skills**
* Strong product knowledge of FIS ACBS (Advanced Commercial Banking System), including loan lifecycle and core banking processes.
* Strong product knowledge of FIS IBS (International Banking System), with experience in commercial and corporate lending platforms.
**Nice\-to\-Have Skills**
* Experience with Bulk Loan playbooks, including bulk processing and operational workflows
* Experience with LSF migration, APIs, and system integrations.
**Education Required:**
* Bachelor s degree in Computer Science, Information Technology, Engineering, or equivalent practical experience.
 AgreeYa is a global systems integrator delivering competitive advantage for its customers through software, solutions, and services. Established in 1999, AgreeYa is headquartered in Folsom, California, with a global footprint and a team of more than 2,200 staff across offices. AgreeYa works with 500\+ organizations ranging from Fortune 100 firms to small and large businesses across industries such as Telecom, Banking, Financial Services \&amp; Insurance, Healthcare, Utility \&amp; Energy, Technology, Public sector, Pharma \&amp; Biotech, and others.
 AgreeYa is an equal opportunity employer. We evaluate qualified applicants without regard to race, color, religion, gender identity, sexual orientation, national origin, disability, veteran status or other protected characteristics.</t>
        </is>
      </c>
    </row>
    <row r="140">
      <c r="A140" t="inlineStr">
        <is>
          <t>li-4366230761</t>
        </is>
      </c>
      <c r="B140" t="inlineStr">
        <is>
          <t>Global Product Manager - Aftermarket Parts</t>
        </is>
      </c>
      <c r="C140" t="inlineStr">
        <is>
          <t>Flowserve Corporation</t>
        </is>
      </c>
      <c r="D140" t="inlineStr">
        <is>
          <t>linkedin</t>
        </is>
      </c>
      <c r="E140">
        <f>HYPERLINK("https://www.linkedin.com/jobs/view/4366230761", "https://www.linkedin.com/jobs/view/4366230761")</f>
        <v/>
      </c>
      <c r="F140">
        <f>HYPERLINK("https://rr.jobsyn.org/8599870CDE074DE0BBEC6339CB9EC2F81606?utm_source=LinkedIn.com-DE&amp;utm_medium=Social+Media&amp;utm_campaign=LinkedIn.com&amp;urlHash=ZvZF", "https://rr.jobsyn.org/8599870CDE074DE0BBEC6339CB9EC2F81606?utm_source=LinkedIn.com-DE&amp;utm_medium=Social+Media&amp;utm_campaign=LinkedIn.com&amp;urlHash=ZvZF")</f>
        <v/>
      </c>
      <c r="G140" t="inlineStr">
        <is>
          <t>Austin, TX</t>
        </is>
      </c>
      <c r="H140" t="inlineStr"/>
      <c r="I140"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We are seeking a passionate, growth‑driven business leader to oversee our highly strategic Aftermarket Parts product family within the Flow Control Division. This Product Management–oriented role is responsible for shaping and executing the global strategy for aftermarket parts, building and scaling new parts programs and kitting offerings, strengthening OE parts identity and branding, and developing a long‑term roadmap to drive sustainable growth. This position is based in either Houston, TX or Irving, TX and requires approximately 20% domestic and international travel.
**Responsibilities:**
* Own and drive the overall product line strategy and growth for the Aftermarket Parts portfolio (Valve Division)
* Develop a comprehensive product plan that serves as the foundation for long‑term product line strategy
* Lead the development and scaling of aftermarket parts and kitting solutions
* Establish OE parts identity and branding for valve‑related aftermarket products to differentiate Flowserve parts in the market
* Define and manage product lifecycle and End‑of‑Life processes, ensuring alignment with supply chain and business continuity needs
* Create and maintain a five‑year strategic roadmap for the aftermarket parts product family
* Use market insights to define strategic direction and build value propositions that create sustainable competitive advantage, win market share, and grow the business
* Collaborate with global cross‑functional teams to shape and lead Parts program development, pricing, commercial approaches, and operational initiatives aligned to the product family strategy
* Define and sustain effective channel strategies across Fulfillment Centers, Company‑Owned Service Centers, and Certified Service Centers, and lead the development and deployment of go‑to‑market plans
* Create and drive organizational accountability to set, track, and achieve growth targets
**Requirements:**
* Four‑year business or engineering degree required
* Strong market‑led and customer‑driven mindset
* At least 5 years of experience in Services, Aftermarket, Product Management, or Commercial/Sales Operations, demonstrating flexibility, agility, and high energy
* Proven track record in one or more global industries such as Oil \&amp; Gas, Chemical, Energy, Power, Water, or General Industrial
* At least 3 years in a functional leadership role delivering measurable business impact in Product Management, Marketing, Commercial, Sales, or Engineering for industrial products
* Proven success working within global matrix organizations in multinational environments
* Emotionally intelligent leader able to influence at all levels, solve complex problems, and manage conflict effectively
* Clear and confident communicator with strong storytelling skills and executive presence
* Ability to operate effectively within a complex global organization
* Strong prioritization, time‑management, and urgency, including working across multiple time zones
* Results‑driven approach with a commitment to driving accountability
* Experience using voice‑of‑customer insights, market and competitor analysis, and financial analysis to inform decision‑making
* Ability to develop hardware‑digital value propositions tied to customer needs and application‑specific value drivers
* Innovative thinker who promotes creative, “outside‑the‑box” solutions
* Demonstrated strength in leading go‑to‑market and commercialization initiatives
* Ability to travel up to 20%, both domestically and internationally
**Preferred:**
* MBA and/or advanced engineering degree
* Experience in the Flow Control industry, including actuation, control valves, and isolation valves
**Benefits:**
 Flowserve offers competitive pay, annual bonuses, medical benefits starting on day one, generous paid vacation time, paid holidays, a 401(k), and many other excellent benefits.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R\-17666
**Job Family Group** 
 : Marketing
**Job Family** 
 : MK Product Management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row>
    <row r="141">
      <c r="A141" t="inlineStr">
        <is>
          <t>li-4355728960</t>
        </is>
      </c>
      <c r="B141" t="inlineStr">
        <is>
          <t>Product Manager, AI Powered Messaging</t>
        </is>
      </c>
      <c r="C141" t="inlineStr">
        <is>
          <t>Jerry</t>
        </is>
      </c>
      <c r="D141" t="inlineStr">
        <is>
          <t>linkedin</t>
        </is>
      </c>
      <c r="E141">
        <f>HYPERLINK("https://www.linkedin.com/jobs/view/4355728960", "https://www.linkedin.com/jobs/view/4355728960")</f>
        <v/>
      </c>
      <c r="F141" t="inlineStr"/>
      <c r="G141" t="inlineStr">
        <is>
          <t>Salt Lake City, UT</t>
        </is>
      </c>
      <c r="H141" t="inlineStr"/>
      <c r="I14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2">
      <c r="A142" t="inlineStr">
        <is>
          <t>li-4355927918</t>
        </is>
      </c>
      <c r="B142" t="inlineStr">
        <is>
          <t>Product Manager, Marketplace Growth</t>
        </is>
      </c>
      <c r="C142" t="inlineStr">
        <is>
          <t>Jerry</t>
        </is>
      </c>
      <c r="D142" t="inlineStr">
        <is>
          <t>linkedin</t>
        </is>
      </c>
      <c r="E142">
        <f>HYPERLINK("https://www.linkedin.com/jobs/view/4355927918", "https://www.linkedin.com/jobs/view/4355927918")</f>
        <v/>
      </c>
      <c r="F142" t="inlineStr"/>
      <c r="G142" t="inlineStr">
        <is>
          <t>Richmond, VA</t>
        </is>
      </c>
      <c r="H142" t="inlineStr"/>
      <c r="I14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3">
      <c r="A143" t="inlineStr">
        <is>
          <t>li-4321549536</t>
        </is>
      </c>
      <c r="B143" t="inlineStr">
        <is>
          <t>Product Owner</t>
        </is>
      </c>
      <c r="C143" t="inlineStr">
        <is>
          <t>Jobs via Dice</t>
        </is>
      </c>
      <c r="D143" t="inlineStr">
        <is>
          <t>linkedin</t>
        </is>
      </c>
      <c r="E143">
        <f>HYPERLINK("https://www.linkedin.com/jobs/view/4321549536", "https://www.linkedin.com/jobs/view/4321549536")</f>
        <v/>
      </c>
      <c r="F143" t="inlineStr"/>
      <c r="G143" t="inlineStr">
        <is>
          <t>Dallas, TX</t>
        </is>
      </c>
      <c r="H143" t="inlineStr"/>
      <c r="I143" t="inlineStr">
        <is>
          <t>Dice is the leading career destination for tech experts at every stage of their careers. Our client, ASCII Group LLC, is seeking the following. Apply via Dice today!
**Hi** 
 ,
**The following requirement is open with our client.**
**Title** 
 :
 **Product Owner**
**Location :** 
**Jersey City, NJ / Dallas, TX / Tampa, FL \- (Onsite)**
**Duration : 12\+ Months**
**Relevant Experience (in Yrs.):**
**Job Description:**
 Product Owner (PO) defines product vision\| manages the product backlog\| prioritizes features (user storiesepics)\| and acts as the customers voice to guide agile development teams towards delivering valuable software\| working with stakeholders\| designers\| and engineers to translate business needs into actionable requirements and ensuring releases align with company goals. Key responsibilities include roadmap planning\| sprint support\| acceptance of deliverables\| and continuous stakeholder communication. Key Responsibilities Vision Strategy Define and communicate the product vision\| strategy\| and roadmap\| ensuring alignment with business objectives.
 Backlog Management Create\| groom\| and prioritize the product backlog (user stories\| features) based on business value\| user needs\| and market demands.
 Stakeholder Collaboration Serve as the bridge between stakeholders (customers\| management) and the development team\| gathering feedback and ensuring clarity.
 Agile Execution Lead sprint
 Thanks \&amp; regards,
***Balu Garibe***
**ASCII Group, LLC**
 Mobile: / Email:</t>
        </is>
      </c>
    </row>
    <row r="144">
      <c r="A144" t="inlineStr">
        <is>
          <t>li-4366216913</t>
        </is>
      </c>
      <c r="B144" t="inlineStr">
        <is>
          <t>Sr. Lead Product Manager - Digital Assets</t>
        </is>
      </c>
      <c r="C144" t="inlineStr">
        <is>
          <t>Early Warning®</t>
        </is>
      </c>
      <c r="D144" t="inlineStr">
        <is>
          <t>linkedin</t>
        </is>
      </c>
      <c r="E144">
        <f>HYPERLINK("https://www.linkedin.com/jobs/view/4366216913", "https://www.linkedin.com/jobs/view/4366216913")</f>
        <v/>
      </c>
      <c r="F144">
        <f>HYPERLINK("https://earlywarning.wd5.myworkdayjobs.com/earlywarningcareers/job/New-York-City/Sr-Lead-Product-Manager\u002d\u002d-Digital-Assets_REQ202685?source=LinkedIn&amp;urlHash=KHA0", "https://earlywarning.wd5.myworkdayjobs.com/earlywarningcareers/job/New-York-City/Sr-Lead-Product-Manager\u002d\u002d-Digital-Assets_REQ202685?source=LinkedIn&amp;urlHash=KHA0")</f>
        <v/>
      </c>
      <c r="G144" t="inlineStr">
        <is>
          <t>Chicago, IL</t>
        </is>
      </c>
      <c r="H144" t="inlineStr"/>
      <c r="I144"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Sr.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The role may lead multiple products.
**Essential Functions**
* Visionary and Strategist: Builds the right cross\-functional team to obtain a common understanding of customer pain points, empathy and excitement for solving customer issues and driving product revenue. Articulates product strategy and vision across the enterprise across multiple products.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Oversees the integration of strong risk and security controls. Ensures compliance to laws and regulations.
* Technical Understanding: Able and adept at working directly with the technologists to deliver market solutions. Clearly defines requirements, grooms user stories, motivates technical teams and partners with technology closely
**Area of Specialty: Digital Assets**
* Define the product vision, roadmap, and backlog for digital asset–enabled cross\-border payment capabilities, including transaction orchestration, settlement, and partner integrations.
* Lead cross\-functional discovery and delivery for end\-to\-end cross\-border payment journeys, influencing upstream and downstream platform dependencies.
* Partner closely with Engineering, Risk, Compliance, and Legal teams to ensure products meet AML, sanctions, consumer protection, and regulatory requirements across jurisdictions.
* Balance customer experience, scalability, and risk considerations in designing global payment flows, including error handling, reconciliation, and transparency.
**Minimum Qualifications**
* Education and/or experience typically obtained through completion of a bachelors degree.
* 9 or more years of related work experience OR post\-secondary degree and at least 4 years of related work experience
* Strong understanding of payments ecosystems, cross\-border remittance models, and emerging digital asset / stablecoin use cases.
* Ability to translate complex regulatory and technical constraints into clear product requirements and user stories.
* Experience working in regulated environments with high availability, security, and auditability expectations.
* Demonstrated experience in design thinking and agile development process and methodology
* Demonstrated leadership experience and cross functional collaboration experience
* Proven experience in and passion for building and delivering great products
* Demonstrated experience in setting a product strategy, roadmap and in meeting product revenue targets
* Excellent listening and execution skills
* Background and drug screen
**Preferred Qualifications**
* Master’s degree
* Certifications in design thinking and/or agile.
* Prior experience working in payments, financial services or similar regulated industry.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$145,000 \- $186,000\.
 New York, NY/ San Francisco, CA in USD per year is: $174,000 \- $223,000\.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45">
      <c r="A145" t="inlineStr">
        <is>
          <t>li-4366186044</t>
        </is>
      </c>
      <c r="B145" t="inlineStr">
        <is>
          <t>Senior IS Program Manager - Clinical and Revenue Cycle, Virtual</t>
        </is>
      </c>
      <c r="C145" t="inlineStr">
        <is>
          <t>Providence</t>
        </is>
      </c>
      <c r="D145" t="inlineStr">
        <is>
          <t>linkedin</t>
        </is>
      </c>
      <c r="E145">
        <f>HYPERLINK("https://www.linkedin.com/jobs/view/4366186044", "https://www.linkedin.com/jobs/view/4366186044")</f>
        <v/>
      </c>
      <c r="F145">
        <f>HYPERLINK("https://rr.jobsyn.org/83AF5A98F8FB455EA6FB80D78CB0F5156000?utm_source=linkedin&amp;utm_medium=jobboard&amp;urlHash=-7rn", "https://rr.jobsyn.org/83AF5A98F8FB455EA6FB80D78CB0F5156000?utm_source=linkedin&amp;utm_medium=jobboard&amp;urlHash=-7rn")</f>
        <v/>
      </c>
      <c r="G145" t="inlineStr">
        <is>
          <t>Oregon, United States</t>
        </is>
      </c>
      <c r="H145" t="inlineStr"/>
      <c r="I145" t="inlineStr">
        <is>
          <t>**Description**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**As a Service Line Program Manager at Providence, you’re the strategic connector who bridges clinical, revenue cycle, and technology teams to shape the future of healthcare delivery. You don’t just manage initiatives—you architect multi\-year roadmaps that align IS solutions with organizational vision, driving innovation, efficiency, and value across every service line. You thrive in complexity, orchestrating partnerships with clinical leaders, engineering, and governance to prioritize what matters most. With a keen eye for portfolio optimization, you champion application rationalization, cost reduction, and the adoption of cutting\-edge technologies. Your influence is felt in every conversation—from surfacing emerging opportunities to facilitating tough decisions and ensuring every stakeholder’s voice is heard. If you’re energized by cross\-functional leadership, continuous improvement, and the challenge of transforming healthcare through strategic alignment and operational excellence, this is where your impact will be felt organization\-wide.**
**Required Qualifications**
* Bachelor's Degree Project Management, Business, Healthcare Administration, Clinical Operations or Information Technology \-OR\- a combination of equivalent education and experience
* 8 or more years of Information Technology and/or Healthcare Industry experience
* 8 or more years of Experience in the project/program management field
* 1 or more years of relevant portfolio management experience
* Expertise and experience with Project Management methodology based upon project management principles, including experience implementing and facilitating complex decision\-making structures among multiple executive stakeholders with varied interests and priorities
* Demonstrated experience as a speaker in a professional presentation environment, such as conferences and association meetings
* Experience with vendor/contract management and negotiations
* Development and execution experience with business development, marketing, communications, financial planning, and benchmarks/metrics in support of improved quality and process design
**Preferred Qualifications**
* Master's Degree Information technology, business management, healthcare admin or clinical field
* Coursework/Training Project Management methodologies
* Upon hire: Project Management (PMI) Certification
* Upon hire: Certified Associate in Project Management (PMI) Certification
* Upon hire: Certifications in process optimization such as Six Sigma, Lean, CQIA, or other nationally recognized program
* Upon hire: PgMP (Program Management Professional)
* 6 or more years of experience working in the healthcare industry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406320
**Company:** 
 Providence Jobs
**Job Category:** 
 IT Administration
**Job Function:** 
 Information Technology
**Job Schedule:** 
 Full time
**Job Shift:** 
 Day
**Career Track:** 
 Business Professional
**Department:** 
 4011 SS IS CRCA PPMO EPC PR
**Address:** 
 WA Olympia 525 Lilly Rd NE
**Work Location:** 
 Providence St Peter Professional Bld\-Olympia
**Workplace Type:** 
 On\-site
**Pay Range:** 
 $60\.92 \- $96\.18
 The amounts listed are the base pay range; additional compensation may be available for this role, such as shift differentials, standby/on\-call, overtime, premiums, extra shift incentives, or bonus opportunities.</t>
        </is>
      </c>
    </row>
    <row r="146">
      <c r="A146" t="inlineStr">
        <is>
          <t>li-4365859924</t>
        </is>
      </c>
      <c r="B146" t="inlineStr">
        <is>
          <t>Technical Program Manager</t>
        </is>
      </c>
      <c r="C146" t="inlineStr">
        <is>
          <t>Jobs via Dice</t>
        </is>
      </c>
      <c r="D146" t="inlineStr">
        <is>
          <t>linkedin</t>
        </is>
      </c>
      <c r="E146">
        <f>HYPERLINK("https://www.linkedin.com/jobs/view/4365859924", "https://www.linkedin.com/jobs/view/4365859924")</f>
        <v/>
      </c>
      <c r="F146" t="inlineStr"/>
      <c r="G146" t="inlineStr">
        <is>
          <t>Menlo Park, CA</t>
        </is>
      </c>
      <c r="H146" t="inlineStr"/>
      <c r="I146" t="inlineStr">
        <is>
          <t>**Meta Platforms, Inc. (f/k/a Facebook, Inc.) has the following positions in Menlo Park, CA:**
 Technical Program Manager: Drive campaign measurement projects end\-to\-end in partnership with Communications. (ref. code REQ\-2512\-158434: $156,563/year to $170,170/year).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147">
      <c r="A147" t="inlineStr">
        <is>
          <t>li-4355758784</t>
        </is>
      </c>
      <c r="B147" t="inlineStr">
        <is>
          <t>Residential Program Manager</t>
        </is>
      </c>
      <c r="C147" t="inlineStr">
        <is>
          <t>CSAAC</t>
        </is>
      </c>
      <c r="D147" t="inlineStr">
        <is>
          <t>linkedin</t>
        </is>
      </c>
      <c r="E147">
        <f>HYPERLINK("https://www.linkedin.com/jobs/view/4355758784", "https://www.linkedin.com/jobs/view/4355758784")</f>
        <v/>
      </c>
      <c r="F147" t="inlineStr"/>
      <c r="G147" t="inlineStr">
        <is>
          <t>Montgomery Village, MD</t>
        </is>
      </c>
      <c r="H147" t="inlineStr"/>
      <c r="I147" t="inlineStr">
        <is>
          <t>**Job Description**
**POSITION SUMMARY**
 Reporting to the Residential Director, the Residential Program Manager is responsible for daily operation of the Residential Supports Program, with responsibility for the oversight of multiple residences.
**Qualifications**
**Education:** 
 Bachelors’ degree or equivalent in a human services discipline (e.g., Psychology, Social Work, etc.)
**Experience:** 
 Minimum of three (3\) years’ experience working with individuals with autism. Certification as a Qualified Mental Retardation Professional (QMRP) or Qualified Developmental Disabilities Professional (QDDP) is a plus. Supervisory experience is highly desirable.
**Skills:** 
 Strong organizational and coordinative ability required to manage the daily operations of multiple residences. Must be detailed\-oriented, must possess a professional demeanor, with the ability to remain calm and composed in sometime stressful situations and be ability diffuse potential tense or volatile situations as needed. Computer literacy required, with competency in the use of standard business software applications (e.g. word processing, spreadsheet and e\-mail software).
**Essential Functions**
**RESIDENCE MANAGEMENT** 
**:**
* Oversees the efficient and smooth operation of multiple residences housing children and adults served by CSAAC. Ensures the residential environment is welcoming, clean and safe.
* Coordinates services with the appropriate Employment Supports services/School/Day programs, service coordinators, and other consultants. Reviews data on all Individual Plan and behavioral programs at least every two weeks. Reviews data on all Individual Plan and behavioral programs at least every two weeks so that a current knowledge on program progress is maintained for individual within the manager’s caseload. Prepares materials for individual team meetings annually and interim meetings as needed.
* Assists with the selection of staff in assigned group residences. Ensures house staff complete all training requirements in a timely manner and that all certification/licensing remains current. Promptly addresses gaps in certification/training.
* Provides on\-site supervision of staff in the group residences. Trains staff on the implementation of Individual Plans (IP) and behavioral programs. Ensures IPs Behavior Plans are properly implemented at the residences. Completes progress reports in a timely manner. Allocates 50% of his/her weekly work schedule to be performed at group residences while supervised staff is on shift, including but not limited to oversight of staff, training of staff on programming, house operations, documentation of progress and reporting.
* Maintains files and records by insuring that counselors are filling out and handing in necessary forms, and by personally completing program service records and medical service records.
* Conducts weekly review of house budgets to ensure compliance with spending guidelines. Check house monies weekly.
* Schedules staff coverage in the group residences on a day to day basis. Arrange relief staff as necessary.
* Arranges for the day to day maintenance of the group homes as necessary.
**DAILY PROGRAM IMPLEMENTATION** 
**:**
* Implements an activity schedule that reflects the individual’s personal choices. Ensures the resident has transportation to and from all activities (e.g., walking, use of a van, public transportation, etc.).
* Develops a robust residential schedule that reflects needs/interests of individual and incorporates all elements as required by CSAAC standards and state regulations. Provides on\-going monitoring and updating of schedule.
* Assists with the development of goals, Goal Protocols, instructional and behavioral programs in conjunction with the psychologist or psychology associate. Ensures staff is available for onsite visits by the behavior specialist and participates in those onsite visits once a month or more often as needed.
**RESIDENT SUPPORT** 
 :
* Ensures resident’s hygiene and dress reflects community norms.
* Monitors individual's monies within the residences.
* Monitors, schedules and ensures transportation for medical and dental appointments as necessary (at least annually). Ensures other assessments/evaluations (as determined by IP team) are completed in a timely manner.
* Provides crisis intervention in the group home when necessary. Provides coverage when relief staff is unavailable. Assist existing staff with conflict resolution and problem\-solving.
* Encourages and assists parents and other family members to participate and be fully involved in all aspects of the individual’s life.
* Communicates with all stakeholders and maintains monthly (at a minimum) contact with family members involved in the life of the individuals supported.
* Supports involvement in recreational and community\-based activities and documents said activities as required by CSAAC standards.
* Adheres to mandatory use of CIMS system to access, send email, message staff and access and report health information, data and incidents for individuals supported in CSAAC program. As requested, mandatory use of HRMS software for Human Resources and Accounting related duties.
* Ensures that the records and individual files for those individuals assigned to the manager’s caseload at both the residential site and in the CSAAC records room are current, properly maintained, complete and comply with state and organizational requirements.
* Other Duties as Assigned
**Required Training/Professional Certifications**
* Completion and demonstration of techniques taught in the Behavioral Principles and Strategies Training (BPST). Maintains current training for all CSAAC and state\-required training.
* Successfully completes annual recertification of the BPST.
* Driver license, defensive driver training, must operate own vehicle and CSAAC vehicles as required.
**Physical Requirements**
 While performing the duties of this job, the employee is regularly required to talk, hear, and use hands to finger, handle or feel objects, tools, or controls. The employee is required to reach with hands and arms. Specific vision abilities required by this job include close vision.
 Employee must be able to effectively complete a non\-adverse physical intervention with individuals supported of varying heights, weights and levels of physical strength according to the guidelines presented in Behavioral Principles and Strategies training.</t>
        </is>
      </c>
    </row>
    <row r="148">
      <c r="A148" t="inlineStr">
        <is>
          <t>li-4366187029</t>
        </is>
      </c>
      <c r="B148" t="inlineStr">
        <is>
          <t>Senior IS Program Manager - Clinical and Revenue Cycle, Virtual</t>
        </is>
      </c>
      <c r="C148" t="inlineStr">
        <is>
          <t>Providence</t>
        </is>
      </c>
      <c r="D148" t="inlineStr">
        <is>
          <t>linkedin</t>
        </is>
      </c>
      <c r="E148">
        <f>HYPERLINK("https://www.linkedin.com/jobs/view/4366187029", "https://www.linkedin.com/jobs/view/4366187029")</f>
        <v/>
      </c>
      <c r="F148" t="inlineStr"/>
      <c r="G148" t="inlineStr">
        <is>
          <t>Washington, United States</t>
        </is>
      </c>
      <c r="H148" t="inlineStr"/>
      <c r="I148" t="inlineStr">
        <is>
          <t>**Description**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**As a Service Line Program Manager at Providence, you’re the strategic connector who bridges clinical, revenue cycle, and technology teams to shape the future of healthcare delivery. You don’t just manage initiatives—you architect multi\-year roadmaps that align IS solutions with organizational vision, driving innovation, efficiency, and value across every service line. You thrive in complexity, orchestrating partnerships with clinical leaders, engineering, and governance to prioritize what matters most. With a keen eye for portfolio optimization, you champion application rationalization, cost reduction, and the adoption of cutting\-edge technologies. Your influence is felt in every conversation—from surfacing emerging opportunities to facilitating tough decisions and ensuring every stakeholder’s voice is heard. If you’re energized by cross\-functional leadership, continuous improvement, and the challenge of transforming healthcare through strategic alignment and operational excellence, this is where your impact will be felt organization\-wide.**
**Required Qualifications**
* Bachelor's Degree Project Management, Business, Healthcare Administration, Clinical Operations or Information Technology \-OR\- a combination of equivalent education and experience
* 8 or more years of Information Technology and/or Healthcare Industry experience
* 8 or more years of Experience in the project/program management field
* 1 or more years of relevant portfolio management experience
* Expertise and experience with Project Management methodology based upon project management principles, including experience implementing and facilitating complex decision\-making structures among multiple executive stakeholders with varied interests and priorities
* Demonstrated experience as a speaker in a professional presentation environment, such as conferences and association meetings
* Experience with vendor/contract management and negotiations
* Development and execution experience with business development, marketing, communications, financial planning, and benchmarks/metrics in support of improved quality and process design
**Preferred Qualifications**
* Master's Degree Information technology, business management, healthcare admin or clinical field
* Coursework/Training Project Management methodologies
* Upon hire: Project Management (PMI) Certification
* Upon hire: Certified Associate in Project Management (PMI) Certification
* Upon hire: Certifications in process optimization such as Six Sigma, Lean, CQIA, or other nationally recognized program
* Upon hire: PgMP (Program Management Professional)
* 6 or more years of experience working in the healthcare industry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406320
**Company:** 
 Providence Jobs
**Job Category:** 
 IT Administration
**Job Function:** 
 Information Technology
**Job Schedule:** 
 Full time
**Job Shift:** 
 Day
**Career Track:** 
 Business Professional
**Department:** 
 4011 SS IS CRCA PPMO EPC PR
**Address:** 
 WA Olympia 525 Lilly Rd NE
**Work Location:** 
 Providence St Peter Professional Bld\-Olympia
**Workplace Type:** 
 On\-site
**Pay Range:** 
 $60\.92 \- $96\.18
 The amounts listed are the base pay range; additional compensation may be available for this role, such as shift differentials, standby/on\-call, overtime, premiums, extra shift incentives, or bonus opportunities.</t>
        </is>
      </c>
    </row>
    <row r="149">
      <c r="A149" t="inlineStr">
        <is>
          <t>li-4330800464</t>
        </is>
      </c>
      <c r="B149" t="inlineStr">
        <is>
          <t>Research Program Manager</t>
        </is>
      </c>
      <c r="C149" t="inlineStr">
        <is>
          <t>Arkansas Children's</t>
        </is>
      </c>
      <c r="D149" t="inlineStr">
        <is>
          <t>linkedin</t>
        </is>
      </c>
      <c r="E149">
        <f>HYPERLINK("https://www.linkedin.com/jobs/view/4330800464", "https://www.linkedin.com/jobs/view/4330800464")</f>
        <v/>
      </c>
      <c r="F149" t="inlineStr"/>
      <c r="G149" t="inlineStr">
        <is>
          <t>Little Rock, AR</t>
        </is>
      </c>
      <c r="H149" t="inlineStr"/>
      <c r="I149" t="inlineStr">
        <is>
          <t>**ARKANSAS CHILDREN'S IS A TOBACCO FREE WORKPLACE. FLU VACCINES ARE REQUIRED. ARKANSAS CHILDREN'S IS AN EQUAL OPPORTUNITY EMPLOYER. ALL QUALIFIED APPLICANTS WILL RECEIVE CONSIDERATION FOR EMPLOYMENT WITHOUT REGARD TO RACE, COLOR, RELIGION, SEX, SEXUAL ORIENTATION, GENDER IDENTITY OR EXPRESSION, NATIONAL ORIGIN, AGE, DISABILITY, PROTECTED VETERAN STATUS OR ANY OTHER CHARACTERISTIC PROTECTED BY FEDERAL, STATE, OR LOCAL LAWS.**
 This position has been designated as safety sensitive and cannot be filled by a candidate who is a current user of medical marijuana.
 CURRENT EMPLOYEES: Please apply via the internal career site by logging into your Workday Account (https://www.myworkday.com/archildrens/)and search the "Find Jobs" report.
**Work Shift:**
**Please See Job Description For Details.**
**Time Type:**
 Full time
**Department:**
 CC038927 Acnc General
**Summary:**
 Additional Information:
 Oversees project implementation, assists with monitoring project progress, develops and manages operational databases, and ensures regulatory compliance. Contributes to grant proposal development, provides program administration support, and assists with preparing documentation that communicates research findings, project updates, or other relevant information to various audiences.
**Required Education:**
 High school diploma or GED or equivalent
**Recommended Education:**
 Bachelor's degree in a related field of study.
**Required Work Experience:**
 High School Diploma/GED and 4 years of relevant experience, or 6 years of experience in lieu of a diploma/GED.
**Recommended Work Experience:**
**Required Certifications:**
**Recommended Certifications:**
**Description**
* Manage program/project implementation and assists with monitoring research projects by meeting regularly with PI and study team members and obtaining feedback on project progress.
* Develop and maintain operational support databases and program management tools.
* Provides support for program\-level data collection, entry, analysis, and communication.
* Leads and/or assists in preparation of annual and periodic data reports for program and projects.
* Maintains current and complete manual of procedures, standard operating procedures and other relevant documentation.
* Oversee and ensure compliance with all pertinent regulatory requirements for the program activities.
* Assists in the development and submission of grant proposals.
* Participates in the development (including writing, editing and/or formatting) of abstracts, posters, presentations, reports and publications.
* Provide support with administrative tasks such as scheduling, developing presentations, document development, event planning, marketing and communications (website maintenance and newsletter).
* Other duties as assigned</t>
        </is>
      </c>
    </row>
    <row r="150">
      <c r="A150" t="inlineStr">
        <is>
          <t>li-4366191937</t>
        </is>
      </c>
      <c r="B150" t="inlineStr">
        <is>
          <t>Sr NOC Safety Performance Program Manager</t>
        </is>
      </c>
      <c r="C150" t="inlineStr">
        <is>
          <t>Southwest Airlines</t>
        </is>
      </c>
      <c r="D150" t="inlineStr">
        <is>
          <t>linkedin</t>
        </is>
      </c>
      <c r="E150">
        <f>HYPERLINK("https://www.linkedin.com/jobs/view/4366191937", "https://www.linkedin.com/jobs/view/4366191937")</f>
        <v/>
      </c>
      <c r="F150" t="inlineStr"/>
      <c r="G150" t="inlineStr"/>
      <c r="H150" t="inlineStr"/>
      <c r="I150" t="inlineStr">
        <is>
          <t>**Department:** 
 Network Operations Control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As the Sr NOC Safety Performance Program Manager, you’ll lead the safety programs that support the daily operation of Southwest’s Network Operations Center (NOC), ensuring compliance with the FAA’s 14 CFR Part 5 Safety Management System framework and Company safety policies. You’ll drive Safety Risk Management for all NOC operational, technological, and procedural changes—identifying risks, documenting them, and guiding mitigations through Leadership review and approval. Working collaboratively across Dispatch, Technology, Operations, and Safety Teams, you’ll support Safety Policy, Safety Assurance, and Safety Promotion to elevate safety performance across the organization. Through proactive oversight and strong cross‑functional partnership, you’ll help ensure the NOC operates safely, reliably, and with unwavering commitment to our Customers and Employees.
 Additional details
*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 U.S. citizenship or current authorization to work in the U.S. required and no current or future work authorization sponsorship available.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 Develop, design, enhance, implement, evaluate and monitor policies, processes, and procedures that enhance safety performance at Southwest Airlines
* Serve as a point of contact for NOC safety reporting systems (e.g., ASAP, Irregularity Reporting \[IR], Safety Reporting System \[SRS])
* Manage, coordinate and execute functions of NOC’s Safety program as assigned (e.g., Aviation Safety Action Partnership \[ASAP])
* Review, research and analyze safety data
* Develop accurate and quantitative insights
* Prepare professional presentations and reports
* Prepare recommendations to enhance Safety performance
* Develop, author and present safety information to NOC and Company Leadership
* Develop, author and deliver safety promotion (e.g., communication, training, briefings, news, workshops) to NOC Employees
* Collaborate with various Southwest Airlines Teams (e.g., Safety and Security, Emergency Response, other Operating Departments)
* Participate in and/or facilitate safety investigations and event debriefs
* Assist FAA and NTSB investigations involving NOC functions
* Attend and/or present at industry meetings, conferences, or seminars
* Provide friendly service and maintain positive relationships with all internal and external Customers
* May perform other job duties as directed by Employee's Leaders
 Knowledge, Skills and Abilities
* Working knowledge of airline, operational control, flight planning and flight following standards, policies and procedures
* Working knowledge of 14 CFR Part 5 and Part 121 regulatory requirements and associated regulatory guidance
* Knowledge of interfaces with other Southwest Airlines operating departments (e.g., organization, operation, philosophy, procedures)
* Skilled analytical work with investigative and problem\-solving abilities
* Skilled in appropriate computer software knowledge and skills
* Skilled in written and verbal communication
* Skilled in detailed work, applying technical documents, managing multiple concurrent tasks with frequent interruptions
* Ability to influence others to fain buy in and support
* Ability to assemble and organize technical data, preparing comprehensive and logical factual and analytical reports, and creating and communicating effective presentations to large and small audiences regarding these findings
* Ability to handle sensitive and confidential information
* Ability to work well under tight time constraints to accomplish assignments and projects within regulatory constraints
* Ability to take initiative and work independently
* Ability to work well with others as part of a team and work well in a fast paced environment
 Education
* Required: High School Diploma or GED
 Experience
* Required: Expert level, expansive and far\-reaching knowledge in:
* 14 CFR Part 121 airline operational experience
* Any combination of: safety investigation or safety management experience or project management experience
* Preferred: Strong background in Dispatch, including prior dispatch experience or an active/previous dispatch license; familiarity with Dispatch and SMS, ideally within Part 121 airlines
* Preferred: Experience with Safety Management Systems (SMS) and understanding of how SMS integrates into airline operations
 Licensing/Certification
* N/A
 Physical Abilities
* Ability to perform work duties from \[limited space workstation/desk/office area] for extended periods of time
* Ability to communicate and interact with others in the English language to meet the demands of the job
* Ability to use a computer and other office productivity tools with sufficient speed and accuracy to meet the demands of the job
 Other Qualifications
* Must maintain a well\-groomed appearance per Company appearance standards as described in established guidelines
* Must be a U.S. citizen or have authorization to work in the United States as defined by the Immigration Reform Act of 1986
* Must be at least 18 years of age
* Must be able to comply with Company attendance standards as described in established guidelines
* Ability to work extended hours based on operational needs
* Must meet confidentiality expectations as to confidential, proprietary and sensitive Company information
 Pay \&amp; Benefits:
 Competitive market salary from $132,200\.00 \- $146,900\.00 per year\* depending on qualifications and experience. For eligible Leadership and individual contributor roles, additional bonus opportunities are available and awarded at the discretion of the company.
 Benefits you’ll love:
 • Fly for free, as a privilege, on any open seat on all Southwest flights (your eligible
 dependents too)
 • Southwest will help fund your 401(k) retirement savings with Company
 contributions up to 9\.3% of your eligible earnings\*\*
 • Potential for annual ProfitSharing contribution in the Southwest Retirement
 Savings Plan\- when Southwest profits, you profit\*\*\*
 • Competitive health insurance for you and your eligible dependents (including
 pets)
 • Southwest offers health plan coverage options that start from the very first day of
 employment. You will have 30 days to select and enroll in your health plan with
 coverage retroactively available to your first day of employment.
 • Explore more Benefits you’ll love: https://careers.southwestair.com/benefits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01/29/2026</t>
        </is>
      </c>
    </row>
    <row r="151">
      <c r="A151" t="inlineStr">
        <is>
          <t>li-4355981079</t>
        </is>
      </c>
      <c r="B151" t="inlineStr">
        <is>
          <t>Program Manager 4-ProdDev</t>
        </is>
      </c>
      <c r="C151" t="inlineStr">
        <is>
          <t>Oracle</t>
        </is>
      </c>
      <c r="D151" t="inlineStr">
        <is>
          <t>linkedin</t>
        </is>
      </c>
      <c r="E151">
        <f>HYPERLINK("https://www.linkedin.com/jobs/view/4355981079", "https://www.linkedin.com/jobs/view/4355981079")</f>
        <v/>
      </c>
      <c r="F151" t="inlineStr"/>
      <c r="G151" t="inlineStr"/>
      <c r="H151" t="inlineStr"/>
      <c r="I151" t="inlineStr">
        <is>
          <t>**Job Description**
 The TPM will manage the schedule and implementation for specific data center projects involving departmental or cross\-functional teams focused delivering new capacity. The TPM must have strong influencing skills and direct schedules while mitigating risks and blockers. To succeed, the TPM must organize the interdepartmental activities ensuring completion of the project on schedule.
 Projects managed by the TPM begin with Delivery Build exiting the planning process and conclude with handover to our customers. The project encompasses all components of the build. This includes project planning, design, material ordering, networking, transportation, build, and handover. The TPM manages all of these work streams through partners and stakeholders. Each of these must be tracked and escalated quickly when blockers are encountered.
 The TPM must be able to manage a high degree of ambiguity and be able to lead a team through it. This means being able to breakdown novel, complex problems into appropriate pieces to enable systematic and repeatable solutions. This includes breaking down new technical blockers not previously encountered and resolving them. Problems often arise as new technologies present them and the TPM must continuously learn and adapt to new requirements.
**Responsibilities**
* Lead complex technical programs: plan, coordinate, and deliver enterprise\-scale modernization or migration programs aligning with OCI's strategic goals.
* Cross\-functional collaboration: align and execute initiatives across engineering, product, support, and field teams.
* Stakeholder communication: provide consistent program updates, conduct executive briefings, and manage global field expectations.
* Technical enablement: create and deliver documentation such as program roadmaps, solution guides, and workshops to support global adoption and troubleshooting.
* Metrics \&amp; risk management: track KPIs, dependencies, and risk; drive resolution and ensure delivery milestones are met on time and within scope.
* Operational excellence: conduct post\-mortems, capture lessons learned, and partner with product and engineering teams to improve future program execution.
**Qualifications**
* 10\+ years of experience in technical program management, solutions architecture, or related leadership roles.
* Proven program delivery experience in cloud infrastructure, database modernization, or large\-scale enterprise migration projects.
* Cross\-geography experience, coordinating globally distributed teams and stakeholders.
* Technical credibility: familiarity with Oracle Exadata, OCI, Autonomous DB, AWS, or hybrid cloud is highly desirable.
* Excellent communication skills, including delivering executive updates and leading workshops.
* Metrics\-driven mindset, balancing delivery, customer satisfaction, and operational outcomes.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2">
      <c r="A152" t="inlineStr">
        <is>
          <t>li-4366214474</t>
        </is>
      </c>
      <c r="B152" t="inlineStr">
        <is>
          <t>Coaching &amp; Program Manager</t>
        </is>
      </c>
      <c r="C152" t="inlineStr">
        <is>
          <t>Secured Investment Corp</t>
        </is>
      </c>
      <c r="D152" t="inlineStr">
        <is>
          <t>linkedin</t>
        </is>
      </c>
      <c r="E152">
        <f>HYPERLINK("https://www.linkedin.com/jobs/view/4366214474", "https://www.linkedin.com/jobs/view/4366214474")</f>
        <v/>
      </c>
      <c r="F152" t="inlineStr"/>
      <c r="G152" t="inlineStr">
        <is>
          <t>Coeur d'Alene, ID</t>
        </is>
      </c>
      <c r="H152" t="inlineStr"/>
      <c r="I152" t="inlineStr">
        <is>
          <t>**Description**
**Company:** 
 Cogo Nation
**Location:** 
 Onsite – Coeur d’Alene, Idaho
*EDUCATE – LOAN \- INVEST*
*We get more of what we want by helping others get more of what they want.*
**The Opportunity**
 Cogo Nation operates at the intersection of real estate education, private lending, commercial development, and digital marketing. Our growing portfolio includes national brands such as Secured Investment Corp, Cogo Capital, Lake City Servicing, and The Lee Arnold System of Real Estate Investing. Headquartered in scenic Coeur d’Alene, Idaho, we’re proud to be recognized Top 10 Best Places to Work in Idaho for three consecutive years.
 As Coaching and Program Manager, you lead the systems, people, and standards behind a high\-touch coaching experience that helps clients make confident real estate and lending decisions. You balance empathy with accountability, structure with flexibility, and leadership with hands\-on problem solving. You’ll guide internal and contract coaches, step into complex client escalations, and tighten the operational backbone that supports long\-term client success.
 This role is ideal for someone who thrives at the intersection of leadership, client experience, and execution, and who wants to build something that scales with integrity.
**What You’ll Do**
* Lead, coach, and performance\-manage contract coaches
* Assign clients to coaches based on expertise, capacity, and goals
* Serve as the primary escalation point for coaching\-related client issues
* Develop and maintain coaching playbooks, standards, and frameworks
* Host trainings, 1:1s, and peer\-learning sessions to elevate performance
* Oversee client accountability programs, progress tracking, and follow\-up
* Partner cross\-functionally to align client roadmaps and success metrics
* Integrate virtual assistants into the coaching workflow with a third\-party vendor
* Document and standardize onboarding, client assignment, and reporting workflows
* Ensure accurate CRM data, reporting, and performance insights
**What You’ll Need**
* Frontline leadership experience managing teams, including contract\-based roles
* Client\-facing experience in coaching, education, client success, or advisory settings
* Strong escalation management and communication skills
* Ability to balance people leadership with operational rigor
* Experience building or improving processes and workflows
* Comfort using data to assess performance and guide decisions
* Professional proficiency with CRM and reporting systems
**It’s Great If You Have**
* Familiarity with real estate investment, lending, or housing\-related services
* Program or project management experience
* Experience partnering with external vendors or service providers
* Background in accountability\-based coaching or education models
**WHY YOU’LL LOVE IT HERE**
* Full Benefits Package: Medical, dental, vision, EAP, and confidential support from Marketplace Chaplains, available 24/7 for life’s tough moments.
* PTO \+ 9 Paid Holidays: Because rest isn’t a luxury, it’s a necessity.
* 401(k): Build a future you’re proud of.
* Free Shoes: After 90 days and a one\-page book report on a book selection by Lee Arnold, you’ll earn a new pair of kicks (up to $250!).
* Get Paid to Read: Join our Book Club and earn up to $1,560/year just for reading and sharing your thoughts.
* Unlimited Learning: Access over $300,000 in industry\-leading training and education. No gatekeeping here.
* Career Growth: Big opportunities, real advancement.
* Referral Bonus: Bring your friends. Get rewarded.
* Culture That Celebrates You: From company potlucks and monthly wins to our legendary Christmas party, birthday surprises, walk\-a\-thons, and sports tournaments. We work hard and have fun doing it!
* A Culture of Excellence, Ownership, and Purpose: You’ll never just be a number here.
*At Cogo Nation, we value drive, integrity, and a willingness to grow. If you’re passionate about what we do but don’t meet every qualification, we still encourage you to apply. Your potential matters more than perfection.*
**About Cogo Nation**
 Cogo Nation is more than a brand. It’s a movement of entrepreneurs, real estate investors, brokers, and rehabbers committed to building lasting wealth together. Founded by Lee Arnold, Cogo Nation was born out of a bold idea: that financial freedom should be learned, shared, and scaled. What began as a single training system, the Circle of Wealth, has grown into a national community anchored by real results, strong values, and powerful partnerships.
 Today, Cogo Nation brings together a thriving network of corporate team members, regional coaches, private lenders, and clients. Our collective mission? To unlock prosperity for every person in the ecosystem, whether they're just starting out or scaling to new levels.
 Cogo Nation includes the Lee Arnold System of Real Estate Investing, which provides education and mentoring for real\-world investors; Cogo Capital, a nationwide private money lender offering fast and flexible funding; Secured Investment Corp, which delivers trust deed and private equity investment opportunities; Lake City Servicing, specializing in the management and servicing of real estate\-backed assets; and BB4J, an organization dedicated to personal growth and leadership development. At Cogo Nation, we believe wealth is a journey best traveled together…and we’re just getting started
 Salary Description
 $58,240 Annually</t>
        </is>
      </c>
    </row>
    <row r="153">
      <c r="A153" t="inlineStr">
        <is>
          <t>li-4366182883</t>
        </is>
      </c>
      <c r="B153" t="inlineStr">
        <is>
          <t>Senior Product Manager, Enterprise Model Platform (EMP) Training</t>
        </is>
      </c>
      <c r="C153" t="inlineStr">
        <is>
          <t>Capital One</t>
        </is>
      </c>
      <c r="D153" t="inlineStr">
        <is>
          <t>linkedin</t>
        </is>
      </c>
      <c r="E153">
        <f>HYPERLINK("https://www.linkedin.com/jobs/view/4366182883", "https://www.linkedin.com/jobs/view/4366182883")</f>
        <v/>
      </c>
      <c r="F153" t="inlineStr"/>
      <c r="G153" t="inlineStr">
        <is>
          <t>Richmond, VA</t>
        </is>
      </c>
      <c r="H153" t="inlineStr"/>
      <c r="I15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Chicago, IL: $182,500 \- $208,300 for Sr. Mgr, Product Management
 McLean, VA: $200,700 \- $229,100 for Sr. Mgr, Product Management
 New York, NY: $219,000 \- $249,900 for Sr. Mgr, Product Management
 Richmond, VA: $182,500 \- $208,300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4">
      <c r="A154" t="inlineStr">
        <is>
          <t>li-4365884630</t>
        </is>
      </c>
      <c r="B154" t="inlineStr">
        <is>
          <t>Information Technology Program Manager</t>
        </is>
      </c>
      <c r="C154" t="inlineStr">
        <is>
          <t>Infinite Computer Solutions</t>
        </is>
      </c>
      <c r="D154" t="inlineStr">
        <is>
          <t>linkedin</t>
        </is>
      </c>
      <c r="E154">
        <f>HYPERLINK("https://www.linkedin.com/jobs/view/4365884630", "https://www.linkedin.com/jobs/view/4365884630")</f>
        <v/>
      </c>
      <c r="F154" t="inlineStr"/>
      <c r="G154" t="inlineStr">
        <is>
          <t>California, United States</t>
        </is>
      </c>
      <c r="H154" t="inlineStr"/>
      <c r="I154" t="inlineStr">
        <is>
          <t>**Role: Program Manager** 
**Location: California(Remote)** 
**Job Type: Full time** 
 The ideal candidate will be comfortable outlining and planning all aspects of work related to a given project such as budget, timelines and teams. They will have strong communication skills that enable them to effectively communicate with all relevant teams. This individual should be able to foresee any problems related to the completion of a project and act in a timely manner to mitigate any issues.
**Responsibilities** 
* Experience in Program Management, delivery and governance
* Should have good technical background.
* Must have led large scale programs from end to end.
* Highly proficient in reporting skills (Office, Visio, MS Project).
* Must be flexible to attend program need.
**Qualifications** 
* Bachelor's degree 10\+ years of experience in program management
* Proficient in Microsoft Office suite
* Strong communication, organizational, analytical and critical thinking skills</t>
        </is>
      </c>
    </row>
    <row r="155">
      <c r="A155" t="inlineStr">
        <is>
          <t>li-4321487675</t>
        </is>
      </c>
      <c r="B155" t="inlineStr">
        <is>
          <t>Life and Leisure Program Manager</t>
        </is>
      </c>
      <c r="C155" t="inlineStr">
        <is>
          <t>State of South Carolina</t>
        </is>
      </c>
      <c r="D155" t="inlineStr">
        <is>
          <t>linkedin</t>
        </is>
      </c>
      <c r="E155">
        <f>HYPERLINK("https://www.linkedin.com/jobs/view/4321487675", "https://www.linkedin.com/jobs/view/4321487675")</f>
        <v/>
      </c>
      <c r="F155">
        <f>HYPERLINK("https://www.governmentjobs.com/careers/sc/jobs/5211530/life-and-leisure-program-manager&amp;urlHash=UUQx", "https://www.governmentjobs.com/careers/sc/jobs/5211530/life-and-leisure-program-manager&amp;urlHash=UUQx")</f>
        <v/>
      </c>
      <c r="G155" t="inlineStr">
        <is>
          <t>Greenwood County, SC</t>
        </is>
      </c>
      <c r="H155" t="inlineStr"/>
      <c r="I155" t="inlineStr">
        <is>
          <t>**Job Responsibilities**
 This position will develop, coordinate, and evaluate all Life \&amp; Leisure courses for the Workforce Innovation division, with a particular emphasis on youth camps. Additionally, this position will create fliers and internal marketing materials used to promote Workforce Innovation courses, as well as maintain the division's Facebook page.
**Minimum And Additional Requirements**
 A high school diploma and work experience that is directly related to the area of employment. A bachelor's degree may be substituted for the related work experience.
**Additional Comments**
 Please review Agency Specific Application procedures for our required application procedures that include attaching a letter of interest, a current resume, and copies of transcripts to the application.
 We regret that due to the volume of applications we receive, we are unable to respond to candidates individually regarding the status of their application or the status of the interview process.</t>
        </is>
      </c>
    </row>
    <row r="156">
      <c r="A156" t="inlineStr">
        <is>
          <t>li-4355952012</t>
        </is>
      </c>
      <c r="B156" t="inlineStr">
        <is>
          <t>Technical Program Manager</t>
        </is>
      </c>
      <c r="C156" t="inlineStr">
        <is>
          <t>SiriusXM</t>
        </is>
      </c>
      <c r="D156" t="inlineStr">
        <is>
          <t>linkedin</t>
        </is>
      </c>
      <c r="E156">
        <f>HYPERLINK("https://www.linkedin.com/jobs/view/4355952012", "https://www.linkedin.com/jobs/view/4355952012")</f>
        <v/>
      </c>
      <c r="F156" t="inlineStr"/>
      <c r="G156" t="inlineStr">
        <is>
          <t>Washington, DC</t>
        </is>
      </c>
      <c r="H156" t="inlineStr"/>
      <c r="I156"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**How You’ll Make An Impact**
 SiriusXM is rapidly expanding its services to drive further engagement of consumers via smartphones, tablets, PCs, and connected devices, while continuing to maintain and grow its adoption in connected cars. This position will be responsible for managing the software engineering team(s) developing the platform APIs supporting SiriusXM, Pandora, \&amp; Stitcher applications, which provides a cohesive experience across Client Applications. You'll also function as the primary contact collaborating with Product, Marketing and partnering Engineering teams to harmonize our efforts toward shared company goals. The Technical Program Manager will help ensure our teams are aligned with the product roadmap and deliver best\-in\-class consumer applications for all of our products. This role reports to a Manager of Technical Program Management.
**What You’ll Do**
* Demonstrate product knowledge, and facilitate the development of requirements in consideration
* of known technical capabilities, limitations, and interdependencies across entities.
* Drive execution and delivery of multiple high\-profile product or software development projects from start to finish and/or managing the work of one to two midsize to large engineering teams.
* Contribute to developing a roadmap for the team and maintain it in line with the priorities defined by product.
* Assist teams in story writing, backlog maintenance, prioritization and planning. Facilitating creation and prioritization of project\-level features and backlogs.
* Continuous evaluation of process and seeking for ways to improve at every iteration.
* Lead planning, refinement, and release ceremonies for the engineering team.
* Adapt to changing conditions and modify project execution plans as appropriate.
* Identify blockers and facilitate the removal of those impediments.
* Proactively highlight and resolve risks and issues and clearly communicate those risks to stakeholders
* Maintain stakeholders informed of day\-to\-day project statuses, updates, and risk.
* Cultivate relationships across engineering and technical teams to drive progress forward, influence negotiations, and advocate for desired outcomes that best serve our teams.
**What You’ll Need**
* Bachelor's Degree or equal relevant work experience.
* 3\+ years of experience as a Technical Program Manager, Technical Project Manager, or Scrum Master, managing cross\-functional projects.
* Have strong technical proficiency demonstrated in any number of ways, ex. coding skills, quality assurance experience or technical writing background or similar
* Experienced in Project Management Methodologies, Frameworks, and tooling.
* Excellent communication skills and the ability to facilitate parties working collaboratively and efficiently.
* An innate problem solver with the ability to thrive under pressure.
* Working knowledge in release planning and management.
* Experience in risk reporting, management and mitigation.
* Preferred certifications: Scrum Master Certification (such as CSM or PSM) or PMP and any other relevant certifications.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$118,000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R\-2026\-01\-23</t>
        </is>
      </c>
    </row>
    <row r="157">
      <c r="A157" t="inlineStr">
        <is>
          <t>li-4355709277</t>
        </is>
      </c>
      <c r="B157" t="inlineStr">
        <is>
          <t>Technical Program Manager</t>
        </is>
      </c>
      <c r="C157" t="inlineStr">
        <is>
          <t>SiriusXM</t>
        </is>
      </c>
      <c r="D157" t="inlineStr">
        <is>
          <t>linkedin</t>
        </is>
      </c>
      <c r="E157">
        <f>HYPERLINK("https://www.linkedin.com/jobs/view/4355709277", "https://www.linkedin.com/jobs/view/4355709277")</f>
        <v/>
      </c>
      <c r="F157">
        <f>HYPERLINK("https://careers.siriusxm.com/careers/jobs/17193?lang=en-us&amp;mode=apply&amp;iis=LinkedIn&amp;urlHash=RUBM", "https://careers.siriusxm.com/careers/jobs/17193?lang=en-us&amp;mode=apply&amp;iis=LinkedIn&amp;urlHash=RUBM")</f>
        <v/>
      </c>
      <c r="G157" t="inlineStr">
        <is>
          <t>Washington, DC</t>
        </is>
      </c>
      <c r="H157" t="inlineStr"/>
      <c r="I157"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**How You’ll Make An Impact**
 SiriusXM is rapidly expanding its services to drive further engagement of consumers via smartphones, tablets, PCs, and connected devices, while continuing to maintain and grow its adoption in connected cars. This position will be responsible for managing the software engineering team(s) developing the platform APIs supporting SiriusXM, Pandora, \&amp; Stitcher applications, which provides a cohesive experience across Client Applications. You'll also function as the primary contact collaborating with Product, Marketing and partnering Engineering teams to harmonize our efforts toward shared company goals. The Technical Program Manager will help ensure our teams are aligned with the product roadmap and deliver best\-in\-class consumer applications for all of our products. This role reports to a Manager of Technical Program Management.
**What You’ll Do**
* Demonstrate product knowledge, and facilitate the development of requirements in consideration
* of known technical capabilities, limitations, and interdependencies across entities.
* Drive execution and delivery of multiple high\-profile product or software development projects from start to finish and/or managing the work of one to two midsize to large engineering teams.
* Contribute to developing a roadmap for the team and maintain it in line with the priorities defined by product.
* Assist teams in story writing, backlog maintenance, prioritization and planning. Facilitating creation and prioritization of project\-level features and backlogs.
* Continuous evaluation of process and seeking for ways to improve at every iteration.
* Lead planning, refinement, and release ceremonies for the engineering team.
* Adapt to changing conditions and modify project execution plans as appropriate.
* Identify blockers and facilitate the removal of those impediments.
* Proactively highlight and resolve risks and issues and clearly communicate those risks to stakeholders
* Maintain stakeholders informed of day\-to\-day project statuses, updates, and risk.
* Cultivate relationships across engineering and technical teams to drive progress forward, influence negotiations, and advocate for desired outcomes that best serve our teams.
**What You’ll Need**
* Bachelor's Degree or equal relevant work experience.
* 3\+ years of experience as a Technical Program Manager, Technical Project Manager, or Scrum Master, managing cross\-functional projects.
* Have strong technical proficiency demonstrated in any number of ways, ex. coding skills, quality assurance experience or technical writing background or similar
* Experienced in Project Management Methodologies, Frameworks, and tooling.
* Excellent communication skills and the ability to facilitate parties working collaboratively and efficiently.
* An innate problem solver with the ability to thrive under pressure.
* Working knowledge in release planning and management.
* Experience in risk reporting, management and mitigation.
* Preferred certifications: Scrum Master Certification (such as CSM or PSM) or PMP and any other relevant certifications.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$118,000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R\-2026\-01\-24</t>
        </is>
      </c>
    </row>
    <row r="158">
      <c r="A158" t="inlineStr">
        <is>
          <t>li-4355980642</t>
        </is>
      </c>
      <c r="B158" t="inlineStr">
        <is>
          <t>Program Manager - Onsite, OH</t>
        </is>
      </c>
      <c r="C158" t="inlineStr">
        <is>
          <t>Ocean Blue Solutions Inc</t>
        </is>
      </c>
      <c r="D158" t="inlineStr">
        <is>
          <t>linkedin</t>
        </is>
      </c>
      <c r="E158">
        <f>HYPERLINK("https://www.linkedin.com/jobs/view/4355980642", "https://www.linkedin.com/jobs/view/4355980642")</f>
        <v/>
      </c>
      <c r="F158" t="inlineStr"/>
      <c r="G158" t="inlineStr">
        <is>
          <t>Columbus, OH</t>
        </is>
      </c>
      <c r="H158" t="inlineStr"/>
      <c r="I158" t="inlineStr">
        <is>
          <t>**Submission Due Date:** 
 01/29/2026
**Client** 
 \- State of Ohio
**On site interviews**
**On site 5x week**
**Scope Of Work Summary**
 This position will be responsible for managing and overseeing Ohio Department of Medicaid (ODM) Office of Information \&amp; Technology Services (ITS) project activities for both external vendor systems projects and internal ODM ITS projects. Examples include software development projects, IT infrastructure projects, and COTS products implementation. The position will function as a member of the ITS team.
**Responsibilities**
* Provides project oversight ensuring that ODM ITS and contracted vendors meet their commitments to bring the project in on time and within budget and scope.
* Manage high level ITS projects and work as a liaison between ODM ITS and stakeholder groups to ensure projects are delivered within the stipulated project criteria and timeline.
* Works with ITS project resources, planning, monitoring and managing projects, managing timelines \&amp; deliverables, escalating where appropriate, facilitating meetings, providing summaries, action items and communicating with key stakeholders with the focus to ensure projects are successfully implemented on the agreed upon deployment date.
* Collaborates and coordinates effort with system vendor project managers and/or ODM PMO in managing Ohio Medicaid Enterprise Systems (OMES) related vendor projects/activities, especially from technical and security aspects. Monitors, tracks, and reports project progress when appropriate.
* Provides overall direction, guidance, communication, and facilitation of assigned projects, including working with cross\-functional teams at ODM, contracted vendor and external stakeholders (as required).
* Develop comprehensive project plans including scope, schedule, budget, risk management strategies, and resource allocation. Executes and updates project plans and maintains all project documentation.
* Manages project risks and issues and oversees supporting processes including change management.
* Schedules and facilitates meetings with business stakeholders (ODM, other state agencies, external entity users), ODM ITS, DAS/OIT and/or external system vendors.
* Coordinates and manages work of both technical and business workstreams.
* Manages, coordinates, communicates, and establishes priorities for complete life cycle of projects including the planning, requirements gathering, design, building, configuration, testing, training, and implementation of systems/solutions.
* Collaborate with ODM PMO to establish project/program practices, templates, policies, tools, and partnerships to expand and mature these capabilities for the organization.
* Manages all aspects of multiple related projects to ensure the overall program is aligned to and directly supports the achievement of strategic objectives.
* Other project management and coordination duties as assigned.
**Required Skill Sets**
* Required Education: BS/BA degree or combination of education \&amp; experience.
* 8\+ years of experience in Information Technology (IT) project and program management, implementing large scale projects, including working with multiple stakeholders on both business and technical projects.
* 3\+ years of experience with full product lifecycle with understanding of development lifecycle and various technology methodologies that support that lifecycle.
* Proven ability to work in an ambiguous environment and collaborate across multiple areas to achieve a common business objective.
* Excellent interpersonal and written/oral communication skills, including ability to negotiate compromise and demonstrate diplomacy in sensitive situations as well as interact effectively with peers and management across diverse cultures and fast\-paced environment.
**Desired Skill Sets**
* PMP certification
* 3\+ year Information Technology technical experience.
* 1\+ year procurement and vendor management experience.
* 1\+ year of experience with gathering and analysis of business requirements.
* 1\+ year of experience in Medicaid and/or healthcare systems development projects.
* Experience with Smartsheet, MS Project, MS Teams, SharePoint or other schedule management and collaboration tools.
* Demonstrate effective leadership, analytical and problem\-solving skills.
* Recognize patterns and opportunities for improvement throughout the entire organization.
* Establish facts and draw valid conclusions.</t>
        </is>
      </c>
    </row>
    <row r="159">
      <c r="A159" t="inlineStr">
        <is>
          <t>li-4355820498</t>
        </is>
      </c>
      <c r="B159" t="inlineStr">
        <is>
          <t>Lead Product Owner, Supply Chain Finance, Commercial Bank - Wells Fargo</t>
        </is>
      </c>
      <c r="C159" t="inlineStr">
        <is>
          <t>Jobs via eFinancialCareers</t>
        </is>
      </c>
      <c r="D159" t="inlineStr">
        <is>
          <t>linkedin</t>
        </is>
      </c>
      <c r="E159">
        <f>HYPERLINK("https://www.linkedin.com/jobs/view/4355820498", "https://www.linkedin.com/jobs/view/4355820498")</f>
        <v/>
      </c>
      <c r="F159" t="inlineStr"/>
      <c r="G159" t="inlineStr">
        <is>
          <t>Charlotte, NC</t>
        </is>
      </c>
      <c r="H159" t="inlineStr"/>
      <c r="I159" t="inlineStr">
        <is>
          <t>**About this role:**
 Wells Fargo is seeking a customer\-centric Lead Product Owner to support the build of our next\-generation Supply Chain Finance (SCF) platform. Partnering closely with Product, Technology, Risk, Operations, and Business stakeholders, you will translate strategy into clear, actionable backlog items and lead agile delivery squads to ship high\-quality capabilities that elevate client experience and business results.
 This role sits within the Commercial Bank's Supply Chain Finance business and is integral to delivering the SCF platform's end\-to\-end outcomes.
**In this role, you will:**
 Own the Backlog \&amp; Outcomes
* Translate product strategy into a prioritized backlog with well\-formed epics/features/user stories; continuously refine scope and acceptance criteria to drive measurable customer and business value.
* Establish and track product goals and KPIs/OKRs, ensuring delivery stays aligned to vision, regulatory expectations, and risk controls.
 Drive Customer\-Centered Delivery
* Facilitate frequent collaboration with clients, stakeholders, and scrum teams; synthesize feedback into backlog updates and release plans
* Partner with our Client Advisory Board program to ingest insights and close the "feedback\-to\-action" loop within sprints and quarterly planning.
 Enable High\-Velocity, High\-Quality Execution
* Lead sprint ceremonies (planning, refinement, reviews) with Technology to ensure clarity, flow, and quality; review and accept completed work against defined DoD/DoR.
* Coordinate dependencies across squads and product areas to deliver cohesive, omni\-channel experiences on a modern SCF platform.
 Anchor on Risk, Compliance \&amp; Governance
* Embed policy, SDLC, and control requirements into stories and release processes; maintain transparent documentation and auditability.
 Elevate Team Craft \&amp; Continuous Improvement
* Champion agile and product best practices; coach partners on discovery, experimentation, and data\-informed decisions that improve speed and outcomes.
**As the ideal candidate, you are:**
* A Builder with Bias for Action: You thrive in complex environments, turning ambiguity into clarity and momentum through crisp backlog management and decisive prioritization.
* A Customer\-Obsessed Problem Solver: You translate qualitative and quantitative insights into simple, valuable solutions\-and keep client experience at the center.
* A Cross\-Functional Connector: You collaborate seamlessly with Technology, Risk, Operations, and Business partners to ship secure, scalable capabilities on a modern platform.
**Required Qualifications:**
* 5\+ years of Product Management, product development, strategic planning, process management, change delivery experience, or equivalent demonstrated through one or a combination of the following: work experience, training, military experience, education
* Hands\-on experience writing user stories, defining acceptance criteria, leading testing/feature acceptance, and managing a backlog for agile delivery teams
**Desired Qualifications:**
* Experience in Financial Services/Commercial Banking/Supply Chain Finance or other B2B platforms.
* Proven collaboration across multiple scrum teams, delivery leads, and cross\-functional stakeholders (engineering, XD, data).
* Familiarity with SDLC/policy requirements and embedding risk, compliance, and controls into product delivery.
* Strength in customer discovery, insight synthesis, and metrics\-driven prioritization (OKRs/KPIs).
**Job Expectations:**
* Travel: 10% of the time
* This position offers a hybrid work schedule
* Willingness to work on\-site at stated location on the job opening.
* 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
**Posting End Date:**
 27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t>
        </is>
      </c>
    </row>
    <row r="160">
      <c r="A160" t="inlineStr">
        <is>
          <t>li-4366225446</t>
        </is>
      </c>
      <c r="B160" t="inlineStr">
        <is>
          <t>Program Manager</t>
        </is>
      </c>
      <c r="C160" t="inlineStr">
        <is>
          <t>JLL</t>
        </is>
      </c>
      <c r="D160" t="inlineStr">
        <is>
          <t>linkedin</t>
        </is>
      </c>
      <c r="E160">
        <f>HYPERLINK("https://www.linkedin.com/jobs/view/4366225446", "https://www.linkedin.com/jobs/view/4366225446")</f>
        <v/>
      </c>
      <c r="F160" t="inlineStr"/>
      <c r="G160" t="inlineStr">
        <is>
          <t>Oakland, CA</t>
        </is>
      </c>
      <c r="H160" t="inlineStr"/>
      <c r="I160" t="inlineStr">
        <is>
          <t>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As the Facilities Repair \&amp; Maintenance Program Manager reporting to the Project Director, you will oversee a budget of $40M allocated across 5 Regions covering northern California and manage a team of 2\-5 project managers. You will develop programs that provide both cost and schedule efficiencies while collaborating with the Regional on\-site facilities teams. The projects and programs will be varied including asphalt paving, roof repairs/replacement, building painting, perimeter gates, and office renovations etc. Success will depend on your organizational skills to develop Regional Plans and drive the execution of the program while maintaining strong teamwork and Client relationships.
**Principal Responsibilities:**
* Support a purposeful environment to realize standardized and consistent service delivery, enhanced communication, accountability and prioritization alignment, clear roles and responsibilities, alignment across business units, risk mitigation and relationship management.
* Develop, build, and/or implement methodologies, tools, and processes to manage the client partnership.
* Develop and oversee management routines to manage account performance and performance metrics.
* Take ownership of program specific goals. Develop objectives/desired results and work with the team and other managers to achieve completion.
* Successfully work in a hybrid office environment 2\-3 days per week for collaboration and Client meetings located in downtown Oakland, CA.
* Comply with all JLL policies and procedures, including but not limited to ethics and business practice.
* Proactively manage programs in accordance with account and client standard processes, procedures, and KPIs to ensure superior customer satisfaction and performance levels.
* Support the creation of business requirement documents.
**Required Knowledge, Skills, and Abilities:**
* Experience in driving change management plans aimed at setting up new services or profoundly transforming existing ones.
* Strong interpersonal skills and problem\-solving ability.
* Hands on approach, show attention to detail and ownership.
* Proven history of interaction with multiple stakeholders at all levels of the organization and establishing effective relationships.
* Excellent verbal/written communication and presentation skills. Strong use of MS Excel, Word, PowerPoint and Project. Knowledge of Primavera v6 (P6\) is preferred.
* Proven record of providing excellent internal and external customer service.
* Strong organizational, management, and supervisory skills.
* Experience working on highly regulated projects and/or highly regulated project delivery environments.
* Ability to work on multiple projects at the same time.
* Demonstrated ability to develop successful relationships with and influence customers, both internal and external.
**Essential Skills and Experience** 
 :
* 7\+ years of real estate, project management or program management experience
* Bachelor’s degree or advance degree preferred in Architecture, Engineering, Construction Management or Business.
* Strong oral, written, and presentation communication skills.
* Strong planning, scheduling and organization skills.
* Advanced computer skills (Word, Excel, Project, PowerPoint).
* Primavera 6 (P6\) experience preferred.</t>
        </is>
      </c>
    </row>
    <row r="161">
      <c r="A161" t="inlineStr">
        <is>
          <t>li-4355961166</t>
        </is>
      </c>
      <c r="B161" t="inlineStr">
        <is>
          <t>Senior Technical Program Manager, M&amp;A Systems</t>
        </is>
      </c>
      <c r="C161" t="inlineStr">
        <is>
          <t>CoreWeave</t>
        </is>
      </c>
      <c r="D161" t="inlineStr">
        <is>
          <t>linkedin</t>
        </is>
      </c>
      <c r="E161">
        <f>HYPERLINK("https://www.linkedin.com/jobs/view/4355961166", "https://www.linkedin.com/jobs/view/4355961166")</f>
        <v/>
      </c>
      <c r="F161">
        <f>HYPERLINK("https://coreweave.com/careers/job?4638835006&amp;board=coreweave&amp;gh_jid=4638835006&amp;urlHash=Bi8R", "https://coreweave.com/careers/job?4638835006&amp;board=coreweave&amp;gh_jid=4638835006&amp;urlHash=Bi8R")</f>
        <v/>
      </c>
      <c r="G161" t="inlineStr">
        <is>
          <t>Livingston, NJ</t>
        </is>
      </c>
      <c r="H161" t="inlineStr"/>
      <c r="I16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**Description of the Team**
 This role sits within the
 **CIO Strategy \&amp; Transformation** 
 organization, which partners closely with IT, Corporate Development, Security, Legal, Finance, People Technology, and business leaders to scale CoreWeave through disciplined, repeatable transformation initiatives. The team focuses on building operating models, systems, and technology foundations that support hyper\-growth, including mergers and acquisitions.
**About The Role**
 We are seeking a
 **Technical Program Manager, M\&amp;A Systems Integration** 
 to own the end\-to\-end planning and execution of IT and systems integration for mergers and acquisitions at CoreWeave. In this role, you will design and operate a repeatable M\&amp;A integration playbook and serve as the technical program owner for individual deals from diligence through full post\-close integration. You will drive Day 0, Day 1, and post–Day 1 execution across enterprise systems, infrastructure, and data while managing dependencies, risks, and executive\-level reporting. The role partners deeply with cross\-functional IT and business teams to ensure continuity, security, and a scalable end\-state architecture.
**Who You Are**
**What You’ll Bring**
* 7\+ years of experience in Technical Program Management, IT Program Management, or a closely related role delivering large, cross\-functional technology initiatives
* Hands\-on experience leading IT and systems integration for M\&amp;A or post\-merger integration programs
* Proven experience operating across multiple enterprise IT domains, including identity and access management, endpoint/device management, collaboration platforms, ERP/finance systems, data platforms, or infrastructure
* Ability to analyze and document technical architectures across identity, applications, integrations, networking, and data, and convert them into executable integration plans
* Demonstrated experience building integrated program plans, managing schedules and dependencies, tracking risks and issues, and driving change management
* Experience partnering with engineers and architects on integration platforms, APIs, automation, and event\-driven workflows
* Strong capability using metrics, dashboards, and KPIs to measure integration readiness, execution progress, and outcomes
* Experience operating in fast\-paced, time\-bound M\&amp;A environments while balancing execution speed with risk management and compliance requirements
**Preferred**
* Prior experience integrating IT systems in cloud infrastructure, data center, or high\-growth SaaS environments
* Familiarity with SOX, SOC 2, or similar compliance frameworks and their impact on M\&amp;A system integrations
* Exposure to GenAI\-enabled automation, AI agents, or workflow tooling applied to system migrations, data mapping, or IT support during M\&amp;A
 Wondering if you’re a good fit?
 We Believe In Investing In Our People And Value Candidates Who Bring Diverse Experiences—even If You’re Not a 100% Match. You Might Be a Great Fit If
* You love designing repeatable systems and playbooks that scale across multiple deals
* You’re curious about how technology, automation, and AI can accelerate complex integrations
* You’re an expert at turning ambiguity into structured, executable plans
 Why CoreWeave?
**About**
 At CoreWeave, we work hard, have fun, and move fast. We’re in an exciting stage of hyper\-growth that you won’t want to miss. We’re not afraid of a little chaos, and we’re constantly learning. Our team cares deeply about how we build our platform and how we work together, which is reflected in our core values:
* Be Curious at Your Core
* Act Like an Owner
* Empower Employees
* Deliver Best\-in\-Class Client Experiences
* Achieve More Together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62">
      <c r="A162" t="inlineStr">
        <is>
          <t>li-4365851794</t>
        </is>
      </c>
      <c r="B162" t="inlineStr">
        <is>
          <t>Program Manager</t>
        </is>
      </c>
      <c r="C162" t="inlineStr">
        <is>
          <t>Diversified Systems.com</t>
        </is>
      </c>
      <c r="D162" t="inlineStr">
        <is>
          <t>linkedin</t>
        </is>
      </c>
      <c r="E162">
        <f>HYPERLINK("https://www.linkedin.com/jobs/view/4365851794", "https://www.linkedin.com/jobs/view/4365851794")</f>
        <v/>
      </c>
      <c r="F162" t="inlineStr"/>
      <c r="G162" t="inlineStr">
        <is>
          <t>Columbus, OH</t>
        </is>
      </c>
      <c r="H162" t="inlineStr"/>
      <c r="I162" t="inlineStr">
        <is>
          <t>*Onsite*
**Description** 
 :
 Diversified Systems is searching for a Program Manager who will be responsible for managing and overseeing Ohio Department of Medicaid (ODM) Office of Information \&amp;
 Technology Services (ITS) project activities for both external vendor systems projects and internal ODM ITS projects. Examples include software development projects, IT infrastructure projects, and COTS products implementation. The position will function as a member of the ITS team.
**Responsibilities** 
 :
* Provides project oversight ensuring that ODM ITS and contracted vendors meet their commitments to bring the project in on time and within budget and scope.
* Manage high level ITS projects and work as a liaison between ODM ITS and stakeholder groups to ensure projects are delivered within the stipulated project criteria and timeline.
* Works with ITS project resources, planning, monitoring and managing projects, managing timelines \&amp; deliverables, escalating where appropriate, facilitating meetings, providing summaries, action items and communicating with key stakeholders with the focus to ensure projects are successfully implemented on the agreed upon deployment date.
* Collaborates and coordinates effort with system vendor project managers and/or ODM PMO in managing Ohio Medicaid Enterprise Systems (OMES) related vendor projects/activities, especially from technical and security aspects. Monitors, tracks, and reports project progress when appropriate.
* Provides overall direction, guidance, communication, and facilitation of assigned projects, including working with cross\-functional teams at ODM, contracted vendor and external stakeholders (as required).
* Develop comprehensive project plans including scope, schedule, budget, risk
* management strategies, and resource allocation. Executes and updates project plans and maintains all project documentation.
* Manages project risks and issues and oversees supporting processes including change management.
* Schedules and facilitates meetings with business stakeholders (ODM, other State agencies, external entity users), ODM ITS, DAS/Client and/or external system vendors.
* Coordinates and manages work of both technical and business workstreams.
* Manages, coordinates, communicates, and establishes priorities for complete life cycle of projects including the planning, requirements gathering, design, building, configuration, testing, training, and implementation of systems/solutions.
* Collaborate with ODM PMO to establish project/program practices, templates, policies, tools, and partnerships to expand and mature these capabilities for the organization.
* Manages all aspects of multiple related projects to ensure the overall program is aligned to and directly supports the achievement of strategic objectives.
* Other project management and coordination duties as assigned.
**Requirements** 
 :
* BS/BA degree or combination of education \&amp; experience.
* 8\+ years of experience in Information Technology (IT) project and program
* management, implementing large scale projects, including working with multiple stakeholders on both business and technical projects.
* 3\+ years of experience with full product lifecycle with understanding of development lifecycle and various technology methodologies that support that lifecycle.
* Proven ability to work in an ambiguous environment and collaborate across multiple areas to achieve a common business objective.
* Excellent interpersonal and written/oral communication skills, including ability to negotiate compromise and demonstrate diplomacy in sensitive situations as well as interact effectively with peers and management across diverse cultures and fast\-paced environment.
**Desired Skill Sets** 
 :
* PMP certification.
* 3\+ year Information Technology technical experience.
* 1\+ year procurement and vendor management experience.
* 1\+ year of experience with gathering and analysis of business requirements.
* 1\+ year of experience in Medicaid and/or healthcare systems development projects.
* Experience with Smartsheet, MS Project, MS Teams, SharePoint or other schedule management and collaboration tools.
* Demonstrate effective leadership, analytical and problem\-solving skills.
* Recognize patterns and opportunities for improvement throughout the entire organization.
* Establish facts and draw valid conclusions.
**About Diversified Systems**
 Founded in 1990, Diversified Systems is an award\-winning Technology Services corporation providing all levels of IT project consulting services nationwide. DSI is headquartered in Columbus, Ohio with regional offices in the American Midwest and East Coast. We offer our consultants a number of flexible and competitive compensation benefit packages.
 Diversified Systems is committed to the principles of equal employment. We are committed to complying with all federal, state, and local laws providing equal employment opportunities, and all other employment laws and regulations.
**Diversity, Equity and Inclusion**
 DSI values authenticity and is committed to making sure our employees and partners are valued and respected. At DSI, we believe building a diverse culture is important because we know when people work together, we can achieve better results as a team. DSI realizes that everyone comes from various backgrounds. We celebrate these differences because our employees are our greatest asset as we strive to best meet the needs of those we serve. As part of our ongoing efforts, DSI is focused on advancing equality, diversity, and inclusion by setting high standards to continually evolve our culture. This includes but is not limited to recruiting, community involvement, client delivery, and career development.</t>
        </is>
      </c>
    </row>
    <row r="163">
      <c r="A163" t="inlineStr">
        <is>
          <t>li-4366197899</t>
        </is>
      </c>
      <c r="B163" t="inlineStr">
        <is>
          <t>Production Program Manager</t>
        </is>
      </c>
      <c r="C163" t="inlineStr">
        <is>
          <t>Bollinger Shipyards</t>
        </is>
      </c>
      <c r="D163" t="inlineStr">
        <is>
          <t>linkedin</t>
        </is>
      </c>
      <c r="E163">
        <f>HYPERLINK("https://www.linkedin.com/jobs/view/4366197899", "https://www.linkedin.com/jobs/view/4366197899")</f>
        <v/>
      </c>
      <c r="F163" t="inlineStr"/>
      <c r="G163" t="inlineStr">
        <is>
          <t>Houma, LA</t>
        </is>
      </c>
      <c r="H163" t="inlineStr"/>
      <c r="I163" t="inlineStr">
        <is>
          <t>**Job Title:** 
 Production Program Manager
**Location:** 
 Houma, LA
**Position Overview:** 
 The Production Program Manager coordinates and leads the build strategy efforts and activities for completing vessels, working under the general direction of the Program Management department.
**Key Responsibilities**
* Coordinate the entire effort of activities on the vessel(s), including monitoring the status of all production budgets and schedules.
* Oversee the efforts of production and subcontract crafts.
* Manage material/receiving orders and develop compartment completion and delivery schedules.
* Act as the primary contact with the owner’s representative on production aspects of the project.
**Qualifications**
* Minimum of eight (8\) years of experience in a shipbuilding or related manufacturing field setting, including production planning/scheduling or production supervisory experience.
**Skills And Abilities**
* Highly knowledgeable in ship production practices and procedures.
* Ability to analyze and interpret blueprints and production drawings.
* Capable of planning cost\-effective work procedures compatible with quality requirements.
* Effective communication, instructional, and leadership skills for directing a production team.
* Basic knowledge of MS Office applications (MS Word, MS Excel, MS PowerPoint).
* Strong problem\-solving ability and capability of multi\-tasking.
* Knowledgeable of USCG, regulatory, and customer requirements, as well as craft\-specific processes and techniques.
 Bollinger is an equal opportunity employer and is committed to providing employment opportunities to minorities, females, veterans and disabled individuals, and without regard to sexual orientation and gender identity.</t>
        </is>
      </c>
    </row>
    <row r="164">
      <c r="A164" t="inlineStr">
        <is>
          <t>li-4366196739</t>
        </is>
      </c>
      <c r="B164" t="inlineStr">
        <is>
          <t>Senior Program Manager (PM) - Integrated Processes</t>
        </is>
      </c>
      <c r="C164" t="inlineStr">
        <is>
          <t>Raytheon</t>
        </is>
      </c>
      <c r="D164" t="inlineStr">
        <is>
          <t>linkedin</t>
        </is>
      </c>
      <c r="E164">
        <f>HYPERLINK("https://www.linkedin.com/jobs/view/4366196739", "https://www.linkedin.com/jobs/view/4366196739")</f>
        <v/>
      </c>
      <c r="F164">
        <f>HYPERLINK("https://careers.rtx.com/global/en/job/RAYTGLOBAL01819078EXTERNALENGLOBAL/Senior-Program-Manager-PM-Integrated-Processes?utm_source=linkedin&amp;utm_medium=phenom-feeds&amp;urlHash=gUHJ", "https://careers.rtx.com/global/en/job/RAYTGLOBAL01819078EXTERNALENGLOBAL/Senior-Program-Manager-PM-Integrated-Processes?utm_source=linkedin&amp;utm_medium=phenom-feeds&amp;urlHash=gUHJ")</f>
        <v/>
      </c>
      <c r="G164" t="inlineStr">
        <is>
          <t>Denver, CO</t>
        </is>
      </c>
      <c r="H164" t="inlineStr"/>
      <c r="I164" t="inlineStr">
        <is>
          <t>**Date Posted:**
 2026\-01\-26
**Country:**
 United States of America
**Location:**
 US\-CO\-REMOTE
**Position Role Type:**
 Remote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Raytheon Performance Excellence organization is
 **seeking a Senior Program Manager (PM) of Integrated Business Processes** 
**to execute efforts** 
 within the Life Cycle Program Management team.
 The Senior Program Manager (Senior PM) selected for this role will be a transformation leader managing the integration of business processes and systems to streamline operations and improve program performance. They will collaborate across Strategic Business Units (SBU) and functions while leading workstreams to deliver transformational capabilities that leverage harmonized frameworks such as RTX Lifecycle Program Management (RLPM) with enabled digital technologies spanning the enterprise.
**Remote Work Location \-** 
 this position currently is designated as remote. Employees who are working in remote roles will work primarily offsite
 *(from home)* 
 but may be expected to travel to a site location as needed.
 **NOTE:** 
 The successful candidate for this role will be required to reside and work from one of the 50 U.S. states (excluding U.S. territories)
**What You Will Do**
* Lead cross\-functional teams to develop and deploy business capabilities that integrate disparate processes, data, and systems for enabling program performance and capacity
* Collaborate and influence across the business to effect change and integration for consistent and scalable solutions that digitally transform program management
* Manage requirements, roadmaps, schedules, resources, and governance to meet customer and stakeholder commitments
* Drive use\-cases and deployment of Artificial Intelligence (AI) that deliver advanced analytics for predictable program performance
* Identify critical paths, dependencies, constraints, and develop mitigation plans
* Create and execute change management strategies across the lifecycle from strategy and development to production and sustainment
* Support the continuous improvement and sustainment of RLPM principles, concepts and other projects as assigned
* Travel to participate in domestic business engagements
**Qualifications You Must Have**
* Typically requires a bachelor’s degree in a related field and minimum of 10 years prior relevant experience, or an advanced degree in a related field and minimum of 7 years relevant experience
* Experience leading initiatives while engaging with cross\-functional teams and various levels of stakeholders
* Experience managing program and/or project initiatives (to include execution activity)
* Experience with Microsoft Office Suite resources
* The ability to obtain and maintain a U.S. government issued security clearance is required. U.S. citizenship is required, as only U.S. citizens are eligible for a security clearance
**Qualifications We Prefer**
* Experience leading business process transformation and change management, especially involving digital technologies
* High\-level of emotional intelligence and learning agility that translates to initiative, self\-motivation, resourcefulness, patience, and the ability to work in a highly ambiguous environment
* Program Management Certification
* Earned Value Management System (EVMS) Certification or equivalent
* Customer Oriented Results and Excellence (CORE) certificate
**What We Offer**
* Our values drive our actions, behaviors, and performance with a vision for a safer, more connected world. At RTX we value: Trust, Respect, Accountability, Collaboration, and Innovation
* Not Relocation Eligible – Relocation assistance not available
**Learn More \&amp; Apply Now!**
 Please consider the following role type definition as you apply for this role.
* Remote Work Location \- this position currently is designated as remote. Employees who are working in remote roles will work primarily offsite (from home) but may be expected to travel to a site location as needed. NOTE: The successful candidate for this role will be required to reside and work from one of the 50 U.S. states (excluding U.S. territories)
 We Are RTX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5">
      <c r="A165" t="inlineStr">
        <is>
          <t>li-4355943216</t>
        </is>
      </c>
      <c r="B165" t="inlineStr">
        <is>
          <t>Principal Technical Program Manager - Health Data Intelligence</t>
        </is>
      </c>
      <c r="C165" t="inlineStr">
        <is>
          <t>Oracle</t>
        </is>
      </c>
      <c r="D165" t="inlineStr">
        <is>
          <t>linkedin</t>
        </is>
      </c>
      <c r="E165">
        <f>HYPERLINK("https://www.linkedin.com/jobs/view/4355943216", "https://www.linkedin.com/jobs/view/4355943216")</f>
        <v/>
      </c>
      <c r="F165" t="inlineStr"/>
      <c r="G165" t="inlineStr"/>
      <c r="H165" t="inlineStr"/>
      <c r="I165" t="inlineStr">
        <is>
          <t>**Job Description**
**Our Team**
 Building off our Cloud momentum, Oracle has formed a new organization \-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upbeat and creative environment. We are unencumbered and will need your contribution to make it a premier engineering center with the focus on excellence.
 Health Data Intelligence Platform has a rare opportunity to play a critical role in how Oracle Health products impact and redefine the healthcare industry by transforming how healthcare and technology intersect.
 You will have the opportunity to:
* Reach billions of people with our products \&amp; services
* Create technology in which truly impacts the world
* Ability to have immediate impact on developing technology
* Unlimited growth potential with inspiring work
* Work with the best minds in the industry
* Enjoy working in an open, diverse, and productive environment
**About The Job**
 A unique opportunity to join a rapidly growing best\-in\-class team to engineer groundbreaking Oracle Cloud technologies and infrastructure that make up the Oracle Cloud solutions. As part of the Program Management team, you will be continually challenged and have an opportunity to chip in to the Oracle Cloud success every day, working closely with the development partners.
 As a Program Manager, you will take large, complex projects and break them down into manageable pieces while identifying process gaps and working to drive closure. You will collaboration with management and department leaders, performing an array of business operations functions from leading project deliverables, generating communications and presentations, and planning and coordinating meetings. You will drive program schedules from design to launch, communicate to partners and senior leaders, all while gaining a deep understanding of OCI processes and teams to be able to drive the direction of the cross\-functional/cross\-service projects.
 The ideal candidate is a technical program manager with very strong hands\-on project management skills and 10\+ years of diverse experience running the delivery of both software and infrastructure projects. All these qualities bundled up in an affable communicator in order to make our Oracle Cloud customers successful.
**What You'll Do**
* Project Integration You will develop, lead, and deliver on multiple projects simultaneously against bold schedules
* Scope Management As a Program Manager, you will take large, complex projects and break them down into manageable pieces. You will drive issues, track tasks, and evaluate priorities on a daily basis.
* Quality You will identify process gaps and drive closure to improve current processes and coordinate organizational procedures for optimized efficiency and productivity.
* Communication As a Program Manager, you will develop and own communication plans to effectively and proactively communicate program status from design to launch, issues, and risks to stakeholders and senior and executive management.
* Risk Management You will lead cross functional dependencies, risks and changes efficiently by optimizing scope, schedule, and resources accordingly. As you gain a deep understanding of OCI processes and teams, you will develop the ability to anticipate, identify and mitigate risk with key partners \&amp; impacted teams providing risk mitigations recommendations when needed.
* Collaboration You will collaborate with management and department leaders, performing an array of business operations functions from running project deliverables, generating communications and presentations, and planning and coordinating meetings while driving cross\-team and cross\-functional activities.
**Responsibilities**
**RESPONSIBILITIES**
 Our team works within the Health Data Intelligence with a core focus on cloud operations. We are responsible for building and maintaining the cloud computing services and solutions that help us operate with greater efficiency, security, and attention to detail. As a member of the team, you will be surrounded by forward\-thinking and innovative minds thriving in a collaborative environment supporting infrastructure and applications. We empower our team to make advancements to be more efficient and productive in their day\-to\-day operations leading to the delivery of superior external customer product availability and support experience. A Program Manager plays a significant role in aligning priorities from various service teams, collaborating with cross\-functional stakeholders, and driving end\-to\-end execution of sophisticated projects. Understanding various cloud technologies and technical trade\-offs, the ideal candidate will be an extraordinarily strong communicator, both written and verbally, have a well\-rounded technical background, and come with a history of leading large\-scale projects end\-to\-end.
**Basic Qualifications** 
 :
* Knowledge of DevOps toolchain
* Broad understanding of cloud infrastructures
* Previous experience or understanding of cloud technologies, engineering, software, and systems development lifecycles, a strong background in Program Management
* Experience developing or leading engineering or product portfolio planning and tracking processes and cadences
* Proven track record to operate optimally and autonomously across multiple teams in situations of acute ambiguity, with only high level direction, and demonstrate critical thinking, thought leadership
* A natural problem\-solver and strategic thinker who takes ownership
* Ability to analyze project dependencies, relationships, drivers, and impacts across multiple project schedules, and make recommendations corrective actions
* Ability to communicate highly technical problems and solutions at all levels from engineer to partner teams to executive leadership.
* Most importantly, the aptitude to be a good team player and the willingness to learn and implement new Cloud technologies as needed
**Required Qualifications:**
* U.S. Citizenship and eligibility for a Federal Security Clearance
* 5\+ years of technical program management experience relevant to this position
* 5\+ years in the IT industry
* Ability to communicate optimally and establish rapport with team members
* BS or MS in Computer Science, or equivalent
 Come Join Our Team and Inspire Change!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6">
      <c r="A166" t="inlineStr">
        <is>
          <t>li-4366219454</t>
        </is>
      </c>
      <c r="B166" t="inlineStr">
        <is>
          <t>Assistant Strategic Communications Program Manager</t>
        </is>
      </c>
      <c r="C166" t="inlineStr">
        <is>
          <t>General Motors</t>
        </is>
      </c>
      <c r="D166" t="inlineStr">
        <is>
          <t>linkedin</t>
        </is>
      </c>
      <c r="E166">
        <f>HYPERLINK("https://www.linkedin.com/jobs/view/4366219454", "https://www.linkedin.com/jobs/view/4366219454")</f>
        <v/>
      </c>
      <c r="F166" t="inlineStr"/>
      <c r="G166" t="inlineStr"/>
      <c r="H166" t="inlineStr"/>
      <c r="I166" t="inlineStr">
        <is>
          <t>**Job Description**
 The
 **Assistant Strategic Communications Program Manager** 
 supports enterprise manufacturing communications initiatives by driving program readiness, adoption, and execution across U.S. manufacturing plants. This role serves as a central connector between Communications, HR, IT, and manufacturing stakeholders, ensuring initiatives are well\-coordinated, operationally sound, and embedded into plant routines and culture.
 Operating with a high degree of independence and judgment, this role acts as a strategic extension of the program lead — translating direction into action, anticipating needs, managing complexity, and delivering high\-quality outcomes across multiple, concurrent workstreams. This includes leading execution for the rollout and adoption of
 **WorkJam** 
 , GM’s digital platform for manufacturing employee communications and engagement, while also flexing to support additional strategic communications programs as priorities evolve.
**Key Responsibilities**
* Drive plant\-level readiness and adoption efforts for manufacturing communications initiatives, including WorkJam, by aligning people, process, and technology
* Lead readiness planning across sites, maintaining launch health indicators (e.g., red/yellow/green status), tracking dependencies, and proactively identifying risks
* Translate program strategy into actionable change management and adoption plans that resonate with frontline employees, plant leadership, and functional partners
* Partner closely with HR and IT to support workforce alignment, onboarding readiness, training coordination, and sustained adoption through communication and reinforcement
* Establish and maintain feedback loops to surface plant\-level insights, identify issues, and inform continuous improvement
* Develop and maintain scalable toolkits, templates, and communication frameworks to enable consistent rollout and execution across locations
* Manage program operations, including meeting cadence, agendas, documentation, decision logs, reporting, and stakeholder alignment
* Coordinate cross\-functional teams and vendors to ensure timely delivery of launch materials and program milestones
* Serve as a resource to colleagues by sharing best practices, templates, and guidance across manufacturing communications initiatives
* Contribute to additional strategic communications programs and workstreams as priorities evolve
**Skills \&amp; Capabilities**
* Strong foundation in change management, communications, program management, and/or digital enablement
* Demonstrated experience working across functions and navigating complex, matrixed organizations
* Highly organized and analytical, with excellent written, verbal, and relationship\-building skills
* Proven ability to work independently with minimal direction, exercise sound judgment, and anticipate next steps
* Comfortable balancing strategic thinking with hands\-on execution in a fast\-paced environment
* Curious, proactive, and adaptable, with a strong sense of ownership and accountability
**Required Qualifications**
* Bachelor's degree required; in Communications, Journalism, Business, Marketing, Project Management, or a related field preferred
* 5\+ years of progressive experience in internal communications, program management, change management, or a related discipline
* Demonstrated experience leading complex, cross\-function initiatives from planning through execution, with multiple stakeholders and interdependencies
* Proven ability to drive program readiness, adoption, and execution across multiple sites or business units
* Strong written and verbal communication skills, including the ability to translate strategy into clear, actionable plans for diverse audiences
* Experience working effectively in a matrixed organization, partnering across functions such as Communications, HR, IT, Legal and Labor
* High level of organizational discipline, including the ability to manage timelines, status reporting, and competing priorities
* Ability to work independently with minimal direction, exercise sound judgement, and proactively identify and resolve issues
* Comfort operating in fast\-paced, evolving environments where priorities may shift and ambiguity exists
**Preferred (Not Required) Qualifications**
* Experience supporting manufacturing, frontline, or operational employee populations
* Familiarity with large\-scale rollouts, phased launches, or enterprise adoption models
* Experience working within a regulated, operational, or unionized environment
* Exposure to digital communication platforms, employee engagement tools, or workforce technologies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7">
      <c r="A167" t="inlineStr">
        <is>
          <t>li-4330606317</t>
        </is>
      </c>
      <c r="B167" t="inlineStr">
        <is>
          <t>Commercial Program Manager</t>
        </is>
      </c>
      <c r="C167" t="inlineStr">
        <is>
          <t>ICF</t>
        </is>
      </c>
      <c r="D167" t="inlineStr">
        <is>
          <t>linkedin</t>
        </is>
      </c>
      <c r="E167">
        <f>HYPERLINK("https://www.linkedin.com/jobs/view/4330606317", "https://www.linkedin.com/jobs/view/4330606317")</f>
        <v/>
      </c>
      <c r="F167" t="inlineStr"/>
      <c r="G167" t="inlineStr">
        <is>
          <t>Houston, TX</t>
        </is>
      </c>
      <c r="H167" t="inlineStr"/>
      <c r="I167" t="inlineStr">
        <is>
          <t>**Description**
**Commercial Program Manager, Energy Efficiency
 Location: Houston, TX area (must be able to travel in the Houston Metro to be considered)**
**Ready to make difference?**
 To support our growth, we are currently seeking a Program Manager for our Utility Programs and Services Division to lead and grow ICF’s energy efficiency programs in Houston, TX. You will manage an established commercial energy efficiency program, including individuals who contribute to that program’s performance. This would require you to provide technical guidance for energy\-efficient products, savings calculations, and best practices as well as build relationships and trust with clients, work collaboratively with the implementation team, internal IT teams, and marketing departments to implement a program within goal and budget.
**Why you will love working here:**
* Quality of life: Flexible workplace arrangements, work\-life balance
* Investment of the community: Donation matching, volunteer opportunities
* Investment in you: Tuition reimbursement, access to professional development resources, 401k matching, Employee Stock Purchase Plan
* And many, many more (Ask your recruiter for more details!)
**What You Will Be Doing**
* Program implementation and management of a diverse team, quality control, and adherence to best practices to ensure successful program goal targets are met
* Collaboration with multiple groups to ensure processing, outreach, IT systems and staff are aligned to reach a common annual goal
* Technical guidance and knowledge of M\&amp;V protocols on common mechanical and electrical equipment in commercial buildings, including energy savings potential with a significant focus on HVAC, Building Automation systems and Lighting technologies. Customer segments include Education, Healthcare, Religious, Non\-Profits, Data Centers and others
* Ensure evaluation benchmarks are being met and work with the utility evaluator to implement standard requirements for baseline selections and trend data
* Day to day management of technical team, including guidance and judgement on electrical energy savings calculations, performance feedback and career development
* Ensure best practices in processes as well as on\-site QA/QC standards for the program are met
* Interface with the client team for day\-to\-day planning and program rule questions
* Provide insight and recommendations for program changes based on existing market knowledge and program trends
* Travel Requirements: Must have reliable vehicle for local travel up to 15% of the time in the Houston Metro area (reimbursement for mileage provided)
**What We Need You To Have (minimum Qualifications)**
* Bachelor’s degree (or applicants can substitute one year of related experience for one year of education)
* 5\+ years of experience managing energy efficiency programs and/or related experience
* 1\+ year(s) experience with energy efficiency evaluation protocols and methodologies, net to gross savings calculations, energy code standards for existing buildings and new construction (such as ASHRAE, LEED/WELL and other Green Building standards) and/or financial forecasting
**What We Would Like You To Have (preferred Skills)**
* Commercial energy efficiency program experience strongly preferred
* Utility experience and understanding of Demand Side Management (DSM) program implementation
* Certified Energy Managers, Certified Lighting Professionals, or Certified Energy Auditor
* Program implementation and management of a diverse team, quality control, and adherence to best practices to ensure successful program goal targets are met
* Collaboration with multiple groups to ensure processing, outreach, IT systems and staff are aligned in order to reach a common annual goal
* Technical guidance on common mechanical and electrical equipment in commercial buildings, including energy savings potential with a significant focus on lighting technology experience.
* Day to day management of outreach/sales team and field service inspectors, including outreach goal setting, performance feedback and career development.
* Ensure best practices in processes as well as QA/QC standards for the program are met.
* Interface with the client team for day\-to\-day planning and program rule questions.
* Provide insight and recommendations for program changes based on existing market knowledge and program trends.
* Experience using Technical Resource Manuals (TRMs) and supervising the development of tools that utilize deemed savings methodologies
**Professional Skills You Will Use**
* Ability to form and develop strategic relationships with industry stakeholders
* Superior interpersonal skills including courtesy, professionalism and a cooperative attitude
* Strong persuasion, business writing and presentation skills
* Can analyze situations, identify existing or potential problems and recommend solutions
* Sound business ethics, including the responsibility of protection of proprietary and confidential information
* Must be able to work and communicate with all levels of internal staff, as well as outside vendors and clients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$98,614\.00 \- $167,644\.00
 Texas Remote Office (TX99\)</t>
        </is>
      </c>
    </row>
    <row r="168">
      <c r="A168" t="inlineStr">
        <is>
          <t>li-4365860928</t>
        </is>
      </c>
      <c r="B168" t="inlineStr">
        <is>
          <t>Only w2 - Senior Data Program Manager ( Onsite in New Jersey )</t>
        </is>
      </c>
      <c r="C168" t="inlineStr">
        <is>
          <t>Jobs via Dice</t>
        </is>
      </c>
      <c r="D168" t="inlineStr">
        <is>
          <t>linkedin</t>
        </is>
      </c>
      <c r="E168">
        <f>HYPERLINK("https://www.linkedin.com/jobs/view/4365860928", "https://www.linkedin.com/jobs/view/4365860928")</f>
        <v/>
      </c>
      <c r="F168" t="inlineStr"/>
      <c r="G168" t="inlineStr">
        <is>
          <t>Jersey City, NJ</t>
        </is>
      </c>
      <c r="H168" t="inlineStr"/>
      <c r="I168" t="inlineStr">
        <is>
          <t>Dice is the leading career destination for tech experts at every stage of their careers. Our client, Bright Sol, is seeking the following. Apply via Dice today!
 Role : Senior Program Governance Lead ( P\&amp;C insurance Exp is Must )
 Location \- New Jersey, Onsite (5 days/week)
 Must have experience at a Property and Casualty Insurance projects
**Required Skills \&amp; Qualifications**
 Experience \&amp; Domain Knowledge
* Insurance Expertise: Deep understanding of the US P\&amp;C Insurance landscape (Claims, Policy, Agency data) and associated regulatory requirements (CCPA, HIPAA, etc.).
* Cloud Data Programs: Proven track record governing large\-scale migrations to Snowflake, AWS, or Azure data ecosystems.
* Seniority: 12\+ years of experience in Program Management/Governance, specifically in multi\-vendor or global delivery models.
 Technical \&amp; Tool Proficiency
* Project Management Tools: Mastery of Jira, Confluence, and MS Project for tracking agile and waterfall delivery.
* Reporting: Ability to build high\-level governance dashboards using PowerBI or Tableau to visualize program health.
* Cloud Concepts: While not a coding role, you must understand ETL/ELT patterns, Data Lakes, and Data Warehouse architectures to effectively communicate with engineers.
 Soft Skills
* Communication: Exceptional verbal and written communication skills, tailored for US\-based executive audiences.
* Cultural Competency: Experience navigating the nuances of working with US\-based clients while managing global delivery teams.
* Resilience: Ability to remain calm and structured in high\-pressure environments or during critical production issues.</t>
        </is>
      </c>
    </row>
    <row r="169">
      <c r="A169" t="inlineStr">
        <is>
          <t>li-4366171874</t>
        </is>
      </c>
      <c r="B169" t="inlineStr">
        <is>
          <t>Clinical Program Manager RN - REMOTE - Days</t>
        </is>
      </c>
      <c r="C169" t="inlineStr">
        <is>
          <t>Providence</t>
        </is>
      </c>
      <c r="D169" t="inlineStr">
        <is>
          <t>linkedin</t>
        </is>
      </c>
      <c r="E169">
        <f>HYPERLINK("https://www.linkedin.com/jobs/view/4366171874", "https://www.linkedin.com/jobs/view/4366171874")</f>
        <v/>
      </c>
      <c r="F169">
        <f>HYPERLINK("https://rr.jobsyn.org/763DDE6115484470868BECC7B9209E256000?utm_source=linkedin&amp;utm_medium=jobboard&amp;urlHash=3QS0", "https://rr.jobsyn.org/763DDE6115484470868BECC7B9209E256000?utm_source=linkedin&amp;utm_medium=jobboard&amp;urlHash=3QS0")</f>
        <v/>
      </c>
      <c r="G169" t="inlineStr">
        <is>
          <t>Orange, CA</t>
        </is>
      </c>
      <c r="H169" t="inlineStr"/>
      <c r="I169" t="inlineStr">
        <is>
          <t>**Description**
 Leads the alignment, standardization and ongoing improvement of ministry length of stay for designated patient populations. Serves as designated ministry liaison with providers and ministry Care Coordination teams, to move patients towards safe and effective discharge plans or transitions to the most appropriate next level of care.
 Providence caregivers are not simply valued – they’re invaluable. Join our team at St. Joseph Hospital Of Orange and thrive in our culture of patient\-focused, whole\-person care built on understanding, commitment, and mutual respect. Your voice matters here, because we Providence know that to inspire and retain the best people, we must empower them.
**Required Qualifications**
* Associate's Degree in Nursing
* Bachelor's Degree in Nursing. Or
* Upon hire: California Registered Nurse License.
* 3 years Experience in Utilization Management.
* Experience working with InterQual and MCG guidelines.
**Preferred Qualifications**
* Master's Degree in Nursing.
* 5 years Experience as a utilization/case manager in an acute care setting.
* Experience in a multi\-hospital and/or integrated healthcare system.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410644
**Company:** 
 Providence Jobs
**Job Category:** 
 Clinical Administration
**Job Function:** 
 Clinical Support
**Job Schedule:** 
 Full time
**Job Shift:** 
 Day
**Career Track:** 
 Nursing
**Department:** 
 7540 SJO CASE MGMT
**Address:** 
 CA Orange 1100 W Stewart Dr
**Work Location:** 
 St Joseph Hospital\-Orange
**Workplace Type:** 
 Remote
**Pay Range:** 
 $67\.93 \- $107\.26
 The amounts listed are the base pay range; additional compensation may be available for this role, such as shift differentials, standby/on\-call, overtime, premiums, extra shift incentives, or bonus opportunities.</t>
        </is>
      </c>
    </row>
    <row r="170">
      <c r="A170" t="inlineStr">
        <is>
          <t>li-4365862701</t>
        </is>
      </c>
      <c r="B170" t="inlineStr">
        <is>
          <t>Program Manager – Custody / SEI</t>
        </is>
      </c>
      <c r="C170" t="inlineStr">
        <is>
          <t>RSM US LLP</t>
        </is>
      </c>
      <c r="D170" t="inlineStr">
        <is>
          <t>linkedin</t>
        </is>
      </c>
      <c r="E170">
        <f>HYPERLINK("https://www.linkedin.com/jobs/view/4365862701", "https://www.linkedin.com/jobs/view/4365862701")</f>
        <v/>
      </c>
      <c r="F170" t="inlineStr"/>
      <c r="G170" t="inlineStr">
        <is>
          <t>Edison, NJ</t>
        </is>
      </c>
      <c r="H170" t="inlineStr"/>
      <c r="I170"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Program Manager – Custody / SEI
 Location: Jersey City, NJ (Hybrid / Onsite as required)
**Role Overview**
 RSM is seeking a Director\-level Temporary Program Manager to support Wealth Management initiatives focused on Custody and Asset Servicing. This role will manage defined programs or major workstreams related to custodial platforms, integrations, and operational change within a regulated banking environment.
**Key Responsibilities**
* Manage custody\-related programs or workstreams, including platform enhancements, integrations, and process changes
* Coordinate execution across Operations, Technology, Risk, Compliance, and vendor teams
* Support integration with SEI custodial platforms and downstream systems
* Track milestones, risks, issues, and dependencies; escalate as appropriate
* Ensure custody processes align with regulatory, control, and asset\-safekeeping requirements
* Prepare program status updates and materials for senior stakeholders
**Required Qualifications**
* 8\+ years of program or project management experience in Banking or Wealth Management
* Strong Custody / Asset Servicing domain knowledge
* Hands\-on experience with SEI custodial platforms
* Experience delivering initiatives in regulated financial services environments
* Strong organizational, communication, and stakeholder management skills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$86 \- $128 per hour</t>
        </is>
      </c>
    </row>
    <row r="171">
      <c r="A171" t="inlineStr">
        <is>
          <t>li-4321509939</t>
        </is>
      </c>
      <c r="B171" t="inlineStr">
        <is>
          <t>Lead Residential Program Manager</t>
        </is>
      </c>
      <c r="C171" t="inlineStr">
        <is>
          <t>Bay Cove Human Services</t>
        </is>
      </c>
      <c r="D171" t="inlineStr">
        <is>
          <t>linkedin</t>
        </is>
      </c>
      <c r="E171">
        <f>HYPERLINK("https://www.linkedin.com/jobs/view/4321509939", "https://www.linkedin.com/jobs/view/4321509939")</f>
        <v/>
      </c>
      <c r="F171" t="inlineStr"/>
      <c r="G171" t="inlineStr"/>
      <c r="H171" t="inlineStr"/>
      <c r="I171" t="inlineStr">
        <is>
          <t>Bay Cove Human Services’ mission is to partner with people to overcome challenges and realize personal potential. Bay Cove pursues this mission by providing individualized and compassionate services to people facing the challenges associated with developmental disabilities, mental illness, substance use disorders, and homelessness at more than 175 program sites throughout Greater Boston and Southeastern Massachusetts.
**Job Summary:**
 As a member of the multidisciplinary ACCS Integrated Team, the Lead Program Manager, in collaboration with an Assistant Program Manager, provides for the day to day administration of a group living environment or a supported independent environment for adults experiencing mental health conditions (known as the “home program”), as well as direct intervention with Persons providing modeling and onsite supervision to Engagement Partners regarding the implementation of interventions. In addition, the LPM provides direct supervision to Integrated Team Program Managers responsible for overseeing other residential programs. The LPM contributes to Bay Cove’s mission by partnering with Persons to work towards personal goals in order to achieve greater independence and improved quality of life.
 This is an exempt position.
**Supervisory Responsibilities:**
 Assistant Program Manager, if applicable
 Engagement Partners at the home program
 Program Managers responsible for other residential programs in Integrated Team
**Essential Functions of the Position:**
* Responsible for guiding program culture by demonstrating leadership in how overall engagement with Persons occurs by knowledgeably incorporating the practices and philosophies of evidence based practices such as Stages of Change, Motivational Interviewing, Harm Reduction, Seeking Safety, Trauma Recovery and Empowerment Model (TREM) into program culture.
* Utilize recovery\-oriented language and principles in all communication and interactions with Persons, colleagues, and collaterals
* Participate on the Engagement Team of assigned persons in collaboration with the Team Clinician and other Team members
* Perform and oversee residential operations in collaboration with APM for home program, and supervise the performance of assigned PMs managing other residential programs, in areas including:
* Oversee staff scheduling and shift coverage as needed.
* Provide oversight for all financial and budgetary procedures including petty cash, client finances, and payroll.
* Monitor collection of rent and other charges and assist in developing responses including applications for oversight of finances and debt elimination plans.
* Provide oversight of Medication Administration Program (MAP) and periodic medication administration.
* Maintain accurate programmatic documentation such as fire drills, emergency reports, transportation sheets, daily logs, progress notes, teaching programs, and any other documentation assigned
* Ensure that agency and regulatory standards are met and maintained, including agency QA audits, DMH licensing, Executive Order 509, and MAP reviews.
* Ensure proper maintenance of the physical site in compliance with all city, state, federal, DMH and Bay Cove regulations and requirements.
* Collaborate with Care Coordination Entities and other providers to ensure access to appropriate medical, clinical, self\-help, and peer modalities during times of crisis, care transitions, other life transitions and changes in health status.
* Contribute to the overall
* functioning of the Integrated Team by sharing in the
* functioning of the Integrated Team by sharing in the administrative responsibilities and on\-call coverage
* on a rotating basis as assigned.
* Provide supervision of program staff, including hiring, training, progressive disciplinary action, and evaluation.
* Oversee and participate in implementation of Bay Cove Environment Matters process
* Produce DMH incident reports, assure the accuracy and quality of those produced by other staff and use information from reports to inform action regarding individual Persons served and to identify and address potential trends/themes
* Collaborate with other Bay Cove departments (e.g. Housing, Accounting) and external entities including the Department of Mental Health, Department of Corrections, public and private housing agencies, etc.
* Flexibly shift between remote and onsite work as directed by supervisor given the needs of Persons and programs and external factors that may come into play
* Perform other duties as assigned by supervisor
**Requirements for the Position:**
* Bachelor’s Degree, preferably in Psychology, Social Work, or a related area.
* A High School diploma or GED plus three years direct care experience providing services to adults with mental health issues or related population can be substituted for the above degree requirement.
* Strong commitment to the right of each Person with mental health challenges to live in community residences, to work in market jobs, and to have access to helpful, adequate, competent, and continuous supports and services of their own choosing.
* Demonstrated supervisory and management experience.
* Professional writing and verbal communications skills.
* High degree of personal organization, attention to detail, and time management skills.
* Proficiency in word processing and other computer functions using Windows, Word, and Google Email and Apps.
* Department of Public Health certification in medication administration required within 3 months of hire.
* CPR and First Aid certification required within 3 months of hire.
* Ability to go up and down stairs to monitor clients on multiple floors and physical capacity to assist people with mobility impairments as needed.
* Use of personal cellular telephone for work communication.
* Valid driver's license preferred.
* Bilingual candidates encouraged to apply, pay differential offered for candidates with fluency in certain essential languages.
*Bay Cove Human Services is an Equal Opportunity Employer and does not discriminate on the basis of race, ethnicity, religion, sex, gender identity or expression, national origin, sexual orientation, disability, age, veteran status, or any other groups as protected by Massachusetts or federal law. All qualified candidates, regardless of background, are encouraged to apply.*
*Bay Cove Human Services does not offer visa sponsorships at this time and will require candidates to be authorized to work in the United States.*
 Pay Range: $67,000\-$68,850 annually
 \#BayCoveACCS</t>
        </is>
      </c>
    </row>
    <row r="172">
      <c r="A172" t="inlineStr">
        <is>
          <t>li-4365874061</t>
        </is>
      </c>
      <c r="B172" t="inlineStr">
        <is>
          <t>Behavioral Health Program Manager II - Futures Youth Services - FT (Mon-Fri, 8:00am - 4:30p)</t>
        </is>
      </c>
      <c r="C172" t="inlineStr">
        <is>
          <t>University Health KC</t>
        </is>
      </c>
      <c r="D172" t="inlineStr">
        <is>
          <t>linkedin</t>
        </is>
      </c>
      <c r="E172">
        <f>HYPERLINK("https://www.linkedin.com/jobs/view/4365874061", "https://www.linkedin.com/jobs/view/4365874061")</f>
        <v/>
      </c>
      <c r="F172" t="inlineStr"/>
      <c r="G172" t="inlineStr">
        <is>
          <t>Kansas City, MO</t>
        </is>
      </c>
      <c r="H172" t="inlineStr"/>
      <c r="I172" t="inlineStr">
        <is>
          <t>**If you are a current University Health or University Health Physicians employee and wish to be considered, you must apply via the internal career site.**
**Please log into myWORKDAY to search for positions and apply.**
 Behavioral Health Program Manager II \- Futures Youth Services \- FT (Mon\-Fri, 8:00am \- 4:30p)
 101 Truman Medical Center
**Job Location**
 UH Behavioral Health
 Kansas City, Missouri
**Department**
 Community Mental Health Center
**Position Type**
 Full time
**Work Schedule**
 8:00AM \- 4:30PM
**Hours Per Week**
 40
**Job Description**
 The manager provides effective and coordinated leadership in conjunction with and in the absence of the UHBH Director. The Manager has responsibility for ensuring that assigned bachelors degree and non\-clinical staff are providing quality services while promoting evidence based practices. Ensures that all staff that report to them provide accurate and timely documentation of clinical services. Reports on performance improvement measures and oversees improvements. Provides fiscal management for treatment team. Works to develop and improve department, program, and service line outcomes.
**Minimum Requirements**
* Master’s or doctorate degree from an accredited program in social work, psychology, counseling, or any other related human services field approved by the State of Missouri if hired into the position after July 1, 2023\. (Staff hired into position effective prior to 7/1/23 may possess lower level degrees)
* Must be a Qualified Mental Health Provider (i.e. RN, Social Worker, Licensed Counselor, etc)
* Two years’ experience; one of which was working with the behavioral health population.
* Must be licensed or licensable in the State of Missouri. Must have strong communication skills, both verbal and written, and a willingness to work with multicultural staff and clientele.
* Staff with a master’s degree in social work are required to have a minimum licensure of MO LMSW.
* If driving is a requirement for the employee, he/she must meet the requirements specified in the Fleet Driving Safety and Compliance Policy and must continue to meet these requirements as a condition of employment.
* Completion of training as directed through orientation and/or by Leadership, Management or Educators in the established timeline for continued employment.</t>
        </is>
      </c>
    </row>
    <row r="173">
      <c r="A173" t="inlineStr">
        <is>
          <t>li-4355679279</t>
        </is>
      </c>
      <c r="B173" t="inlineStr">
        <is>
          <t>Dev Cloud Product Manager</t>
        </is>
      </c>
      <c r="C173" t="inlineStr">
        <is>
          <t>AMD</t>
        </is>
      </c>
      <c r="D173" t="inlineStr">
        <is>
          <t>linkedin</t>
        </is>
      </c>
      <c r="E173">
        <f>HYPERLINK("https://www.linkedin.com/jobs/view/4355679279", "https://www.linkedin.com/jobs/view/4355679279")</f>
        <v/>
      </c>
      <c r="F173">
        <f>HYPERLINK("https://careers.amd.com/jobs/77959?lang=en-us&amp;iis=Job+Board&amp;iisn=Linkedin&amp;urlHash=Thz1", "https://careers.amd.com/jobs/77959?lang=en-us&amp;iis=Job+Board&amp;iisn=Linkedin&amp;urlHash=Thz1")</f>
        <v/>
      </c>
      <c r="G173" t="inlineStr">
        <is>
          <t>San Jose, CA</t>
        </is>
      </c>
      <c r="H173" t="inlineStr"/>
      <c r="I173"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looking for an influential software engineer who is passionate about improving the performance of key applications and benchmarks
 **.**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 Work with AMD’s architecture specialists to improve future products
* Apply a data minded approach to target optimization efforts
* Stay informed of software and hardware trends and innovations, especially pertaining to algorithms and architecture
* Design and develop new groundbreaking AMD technologies
* Participating in new ASIC and hardware bring ups
* Debugging/fix existing issues and research alternative, more efficient ways to accomplish the same work
* Develop technical relationships with peers and partners
**Preferred Experience**
* Strong object\-oriented programming background, C/C\+\+ preferred
* Ability to write high quality code with a keen attention to detail
* Experience with modern concurrent programming and threading APIs
* Experience with Windows, Linux and/or Android operating system development
* Experience with software development processes and tools such as debuggers, source code control systems (GitHub) and profilers is a plus
* Effective communication and problem\-solving skills
* Motivating leader with good interpersonal skills
**Academic Credentials**
* Bachelor’s or Master's degree in Computer Science, Computer Engineering, Electrical Engineering, or equivalent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2026-01-26T23:29:21Z</dcterms:created>
  <dcterms:modified xsi:type="dcterms:W3CDTF">2026-01-26T23:29:21Z</dcterms:modified>
</cp:coreProperties>
</file>