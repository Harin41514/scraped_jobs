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in-1ce13a6f1e020924</t>
        </is>
      </c>
      <c r="B2" t="inlineStr">
        <is>
          <t>Principal Applied Scientist, Amazon Special Projects</t>
        </is>
      </c>
      <c r="C2" t="inlineStr">
        <is>
          <t>Amazon.com</t>
        </is>
      </c>
      <c r="D2" t="inlineStr">
        <is>
          <t>indeed</t>
        </is>
      </c>
      <c r="E2" t="inlineStr"/>
      <c r="F2" t="inlineStr"/>
      <c r="G2" t="inlineStr">
        <is>
          <t>Boston, MA,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in-846956d2948c2107</t>
        </is>
      </c>
      <c r="B3" t="inlineStr">
        <is>
          <t>Principal Applied Scientist, Amazon Special Projects</t>
        </is>
      </c>
      <c r="C3" t="inlineStr">
        <is>
          <t>Amazon.com</t>
        </is>
      </c>
      <c r="D3" t="inlineStr">
        <is>
          <t>indeed</t>
        </is>
      </c>
      <c r="E3" t="inlineStr"/>
      <c r="F3" t="inlineStr"/>
      <c r="G3" t="inlineStr">
        <is>
          <t>Seattle, WA,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in-5cc4f5739d9e48eb</t>
        </is>
      </c>
      <c r="B4" t="inlineStr">
        <is>
          <t>Sr. Applied Scientist, AGI Foundations</t>
        </is>
      </c>
      <c r="C4" t="inlineStr">
        <is>
          <t>Amazon.com</t>
        </is>
      </c>
      <c r="D4" t="inlineStr">
        <is>
          <t>indeed</t>
        </is>
      </c>
      <c r="E4" t="inlineStr"/>
      <c r="F4" t="inlineStr"/>
      <c r="G4" t="inlineStr">
        <is>
          <t>Bellevue, WA,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in-c18f3dbb781b6f72</t>
        </is>
      </c>
      <c r="B5" t="inlineStr">
        <is>
          <t>Sr. Applied Scientist, AGI Foundations</t>
        </is>
      </c>
      <c r="C5" t="inlineStr">
        <is>
          <t>Amazon.com</t>
        </is>
      </c>
      <c r="D5" t="inlineStr">
        <is>
          <t>indeed</t>
        </is>
      </c>
      <c r="E5" t="inlineStr"/>
      <c r="F5" t="inlineStr"/>
      <c r="G5" t="inlineStr">
        <is>
          <t>New York, NY,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in-55edccecd9b9793a</t>
        </is>
      </c>
      <c r="B6" t="inlineStr">
        <is>
          <t>Sr. Applied Scientist, AGI Foundations</t>
        </is>
      </c>
      <c r="C6" t="inlineStr">
        <is>
          <t>Amazon.com</t>
        </is>
      </c>
      <c r="D6" t="inlineStr">
        <is>
          <t>indeed</t>
        </is>
      </c>
      <c r="E6" t="inlineStr"/>
      <c r="F6" t="inlineStr"/>
      <c r="G6" t="inlineStr">
        <is>
          <t>Sunnyvale, CA,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in-3885a77b1055f1fc</t>
        </is>
      </c>
      <c r="B7" t="inlineStr">
        <is>
          <t>Sr. Applied Scientist, AGI Foundations</t>
        </is>
      </c>
      <c r="C7" t="inlineStr">
        <is>
          <t>Amazon.com</t>
        </is>
      </c>
      <c r="D7" t="inlineStr">
        <is>
          <t>indeed</t>
        </is>
      </c>
      <c r="E7" t="inlineStr"/>
      <c r="F7" t="inlineStr"/>
      <c r="G7" t="inlineStr">
        <is>
          <t>Boston, MA,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in-6f9020b7e901ead1</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in-ef5253f8d3317af3</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in-6c73457c8cd622d3</t>
        </is>
      </c>
      <c r="B10" t="inlineStr">
        <is>
          <t>Sr. Applied Scientist, AGI Foundations</t>
        </is>
      </c>
      <c r="C10" t="inlineStr">
        <is>
          <t>Amazon.com</t>
        </is>
      </c>
      <c r="D10" t="inlineStr">
        <is>
          <t>indeed</t>
        </is>
      </c>
      <c r="E10" t="inlineStr"/>
      <c r="F10" t="inlineStr"/>
      <c r="G10" t="inlineStr">
        <is>
          <t>Boston, MA,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in-d533ee8067a1c2f8</t>
        </is>
      </c>
      <c r="B11" t="inlineStr">
        <is>
          <t>Applied Scientist II, Prime Video - Personalization and Discovery Science, Personalization and Discovery Science</t>
        </is>
      </c>
      <c r="C11" t="inlineStr">
        <is>
          <t>Amazon.com</t>
        </is>
      </c>
      <c r="D11" t="inlineStr">
        <is>
          <t>indeed</t>
        </is>
      </c>
      <c r="E11" t="inlineStr"/>
      <c r="F11" t="inlineStr"/>
      <c r="G11" t="inlineStr">
        <is>
          <t>New York, NY,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in-60af261b5efdba8e</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in-179cb1e913f0d0c8</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in-2729d1edd9bc4eae</t>
        </is>
      </c>
      <c r="B14" t="inlineStr">
        <is>
          <t>Applied Scientist II, Prime Video - Personalization and Discovery Science</t>
        </is>
      </c>
      <c r="C14" t="inlineStr">
        <is>
          <t>Amazon.com</t>
        </is>
      </c>
      <c r="D14" t="inlineStr">
        <is>
          <t>indeed</t>
        </is>
      </c>
      <c r="E14" t="inlineStr"/>
      <c r="F14" t="inlineStr"/>
      <c r="G14" t="inlineStr">
        <is>
          <t>New York, NY,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in-b064def7c00650e7</t>
        </is>
      </c>
      <c r="B15" t="inlineStr">
        <is>
          <t>Applied Scientist II, Prime Video - Personalization and Discovery Science</t>
        </is>
      </c>
      <c r="C15" t="inlineStr">
        <is>
          <t>Amazon.com</t>
        </is>
      </c>
      <c r="D15" t="inlineStr">
        <is>
          <t>indeed</t>
        </is>
      </c>
      <c r="E15" t="inlineStr"/>
      <c r="F15" t="inlineStr"/>
      <c r="G15" t="inlineStr">
        <is>
          <t>Seattle, WA,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in-525e384ad081bb4b</t>
        </is>
      </c>
      <c r="B16" t="inlineStr">
        <is>
          <t>Applied Scientist II, Prime Video - Personalization and Discovery Science</t>
        </is>
      </c>
      <c r="C16" t="inlineStr">
        <is>
          <t>Amazon.com</t>
        </is>
      </c>
      <c r="D16" t="inlineStr">
        <is>
          <t>indeed</t>
        </is>
      </c>
      <c r="E16" t="inlineStr"/>
      <c r="F16" t="inlineStr"/>
      <c r="G16" t="inlineStr">
        <is>
          <t>Sunnyvale, CA,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in-8028aa50ac39a7cf</t>
        </is>
      </c>
      <c r="B17" t="inlineStr">
        <is>
          <t>Applied Scientist II, Prime Video - Personalization and Discovery Science</t>
        </is>
      </c>
      <c r="C17" t="inlineStr">
        <is>
          <t>Amazon.com</t>
        </is>
      </c>
      <c r="D17" t="inlineStr">
        <is>
          <t>indeed</t>
        </is>
      </c>
      <c r="E17" t="inlineStr"/>
      <c r="F17" t="inlineStr"/>
      <c r="G17" t="inlineStr">
        <is>
          <t>Seattle, WA,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in-f3f6686d6990aed0</t>
        </is>
      </c>
      <c r="B18" t="inlineStr">
        <is>
          <t>Applied Scientist II,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in-9611d7cb6a4a6c92</t>
        </is>
      </c>
      <c r="B19" t="inlineStr">
        <is>
          <t>Sr. Applied Scientist, Prime Video - Personalization and Discovery Science</t>
        </is>
      </c>
      <c r="C19" t="inlineStr">
        <is>
          <t>Amazon.com</t>
        </is>
      </c>
      <c r="D19" t="inlineStr">
        <is>
          <t>indeed</t>
        </is>
      </c>
      <c r="E19" t="inlineStr"/>
      <c r="F19" t="inlineStr"/>
      <c r="G19" t="inlineStr">
        <is>
          <t>New York, NY,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in-429a2c0abc900cad</t>
        </is>
      </c>
      <c r="B20" t="inlineStr">
        <is>
          <t>Sr. Applied Scientist, Prime Video - Personalization and Discovery Science</t>
        </is>
      </c>
      <c r="C20" t="inlineStr">
        <is>
          <t>Amazon.com</t>
        </is>
      </c>
      <c r="D20" t="inlineStr">
        <is>
          <t>indeed</t>
        </is>
      </c>
      <c r="E20" t="inlineStr"/>
      <c r="F20" t="inlineStr"/>
      <c r="G20" t="inlineStr">
        <is>
          <t>Seattle, WA,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in-b57070981c7753eb</t>
        </is>
      </c>
      <c r="B21" t="inlineStr">
        <is>
          <t>Applied Scientist II, Prime Video - Personalization and Discovery Science</t>
        </is>
      </c>
      <c r="C21" t="inlineStr">
        <is>
          <t>Amazon.com</t>
        </is>
      </c>
      <c r="D21" t="inlineStr">
        <is>
          <t>indeed</t>
        </is>
      </c>
      <c r="E21" t="inlineStr"/>
      <c r="F21" t="inlineStr"/>
      <c r="G21" t="inlineStr">
        <is>
          <t>New York, NY,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in-3fbf90c297225df8</t>
        </is>
      </c>
      <c r="B22" t="inlineStr">
        <is>
          <t>Sr. Applied Scientist, Prime Video - Personalization and Discovery Science</t>
        </is>
      </c>
      <c r="C22" t="inlineStr">
        <is>
          <t>Amazon.com</t>
        </is>
      </c>
      <c r="D22" t="inlineStr">
        <is>
          <t>indeed</t>
        </is>
      </c>
      <c r="E22" t="inlineStr"/>
      <c r="F22" t="inlineStr"/>
      <c r="G22" t="inlineStr">
        <is>
          <t>Sunnyvale, CA,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in-986ee43d3ae0fad9</t>
        </is>
      </c>
      <c r="B23" t="inlineStr">
        <is>
          <t>Applied Scientist, Prime Video - Personalization and Discovery Science</t>
        </is>
      </c>
      <c r="C23" t="inlineStr">
        <is>
          <t>Amazon.com</t>
        </is>
      </c>
      <c r="D23" t="inlineStr">
        <is>
          <t>indeed</t>
        </is>
      </c>
      <c r="E23" t="inlineStr"/>
      <c r="F23" t="inlineStr"/>
      <c r="G23" t="inlineStr">
        <is>
          <t>New York, NY,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in-6e7dd0990ab44865</t>
        </is>
      </c>
      <c r="B24" t="inlineStr">
        <is>
          <t>Applied Scientist, Prime Video - Personalization and Discovery Science</t>
        </is>
      </c>
      <c r="C24" t="inlineStr">
        <is>
          <t>Amazon.com</t>
        </is>
      </c>
      <c r="D24" t="inlineStr">
        <is>
          <t>indeed</t>
        </is>
      </c>
      <c r="E24" t="inlineStr"/>
      <c r="F24" t="inlineStr"/>
      <c r="G24" t="inlineStr">
        <is>
          <t>Seattle, WA, US</t>
        </is>
      </c>
      <c r="H24" s="2" t="n">
        <v>45845</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in-4d57e308affe5de0</t>
        </is>
      </c>
      <c r="B25" t="inlineStr">
        <is>
          <t>Applied Scientist, Prime Video - Personalization and Discovery Science</t>
        </is>
      </c>
      <c r="C25" t="inlineStr">
        <is>
          <t>Amazon.com</t>
        </is>
      </c>
      <c r="D25" t="inlineStr">
        <is>
          <t>indeed</t>
        </is>
      </c>
      <c r="E25" t="inlineStr"/>
      <c r="F25" t="inlineStr"/>
      <c r="G25" t="inlineStr">
        <is>
          <t>Sunnyvale, CA, US</t>
        </is>
      </c>
      <c r="H25" s="2" t="n">
        <v>45845</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in-1d8997cd66d1e693</t>
        </is>
      </c>
      <c r="B26" t="inlineStr">
        <is>
          <t>Applied Scientist, Amazon Special Projects</t>
        </is>
      </c>
      <c r="C26" t="inlineStr">
        <is>
          <t>Amazon.com</t>
        </is>
      </c>
      <c r="D26" t="inlineStr">
        <is>
          <t>indeed</t>
        </is>
      </c>
      <c r="E26" t="inlineStr"/>
      <c r="F26" t="inlineStr"/>
      <c r="G26" t="inlineStr">
        <is>
          <t>Boston, MA, US</t>
        </is>
      </c>
      <c r="H26" s="2" t="n">
        <v>46026</v>
      </c>
      <c r="I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in-d48cd8a4ced9a62d</t>
        </is>
      </c>
      <c r="B27" t="inlineStr">
        <is>
          <t>Applied Scientist, Amazon Special Projects</t>
        </is>
      </c>
      <c r="C27" t="inlineStr">
        <is>
          <t>Amazon.com</t>
        </is>
      </c>
      <c r="D27" t="inlineStr">
        <is>
          <t>indeed</t>
        </is>
      </c>
      <c r="E27" t="inlineStr"/>
      <c r="F27" t="inlineStr"/>
      <c r="G27" t="inlineStr">
        <is>
          <t>Seattle, WA, US</t>
        </is>
      </c>
      <c r="H27" s="2" t="n">
        <v>46026</v>
      </c>
      <c r="I2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in-83f0d2ac13468ef1</t>
        </is>
      </c>
      <c r="B28" t="inlineStr">
        <is>
          <t>Senior Applied Scientist, Sponsored Products and Brands, Off-Search</t>
        </is>
      </c>
      <c r="C28" t="inlineStr">
        <is>
          <t>Amazon.com</t>
        </is>
      </c>
      <c r="D28" t="inlineStr">
        <is>
          <t>indeed</t>
        </is>
      </c>
      <c r="E28" t="inlineStr"/>
      <c r="F28" t="inlineStr"/>
      <c r="G28" t="inlineStr">
        <is>
          <t>Seattle, WA, US</t>
        </is>
      </c>
      <c r="H28" s="2" t="n">
        <v>46017</v>
      </c>
      <c r="I2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in-69b8be5ffc262280</t>
        </is>
      </c>
      <c r="B29" t="inlineStr">
        <is>
          <t>Senior Applied Scientist, Sponsored Products and Brands, Off-Search</t>
        </is>
      </c>
      <c r="C29" t="inlineStr">
        <is>
          <t>Amazon.com</t>
        </is>
      </c>
      <c r="D29" t="inlineStr">
        <is>
          <t>indeed</t>
        </is>
      </c>
      <c r="E29" t="inlineStr"/>
      <c r="F29" t="inlineStr"/>
      <c r="G29" t="inlineStr">
        <is>
          <t>New York, NY, US</t>
        </is>
      </c>
      <c r="H29" s="2" t="n">
        <v>46017</v>
      </c>
      <c r="I2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in-d202a82f221dc3ba</t>
        </is>
      </c>
      <c r="B30" t="inlineStr">
        <is>
          <t>Sr. Applied Scientist, Amazon Ads</t>
        </is>
      </c>
      <c r="C30" t="inlineStr">
        <is>
          <t>Amazon.com</t>
        </is>
      </c>
      <c r="D30" t="inlineStr">
        <is>
          <t>indeed</t>
        </is>
      </c>
      <c r="E30" t="inlineStr"/>
      <c r="F30" t="inlineStr"/>
      <c r="G30" t="inlineStr">
        <is>
          <t>Brooklyn, NY,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in-1bdef37603fad96c</t>
        </is>
      </c>
      <c r="B31" t="inlineStr">
        <is>
          <t>Sr. Applied Scientist, Amazon Ads</t>
        </is>
      </c>
      <c r="C31" t="inlineStr">
        <is>
          <t>Amazon.com</t>
        </is>
      </c>
      <c r="D31" t="inlineStr">
        <is>
          <t>indeed</t>
        </is>
      </c>
      <c r="E31" t="inlineStr"/>
      <c r="F31" t="inlineStr"/>
      <c r="G31" t="inlineStr">
        <is>
          <t>Corvallis, OR,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in-fc69d24f3ee9610a</t>
        </is>
      </c>
      <c r="B32" t="inlineStr">
        <is>
          <t>Sr. Applied Scientist, Amazon Ads</t>
        </is>
      </c>
      <c r="C32" t="inlineStr">
        <is>
          <t>Amazon.com</t>
        </is>
      </c>
      <c r="D32" t="inlineStr">
        <is>
          <t>indeed</t>
        </is>
      </c>
      <c r="E32" t="inlineStr"/>
      <c r="F32" t="inlineStr"/>
      <c r="G32" t="inlineStr">
        <is>
          <t>Santa Monica, CA,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in-7af6a9db9360b7bf</t>
        </is>
      </c>
      <c r="B33" t="inlineStr">
        <is>
          <t>Sr. Applied Scientist, Amazon Ads</t>
        </is>
      </c>
      <c r="C33" t="inlineStr">
        <is>
          <t>Amazon.com</t>
        </is>
      </c>
      <c r="D33" t="inlineStr">
        <is>
          <t>indeed</t>
        </is>
      </c>
      <c r="E33" t="inlineStr"/>
      <c r="F33" t="inlineStr"/>
      <c r="G33" t="inlineStr">
        <is>
          <t>Sunnyvale, CA,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in-ec42953743601887</t>
        </is>
      </c>
      <c r="B34" t="inlineStr">
        <is>
          <t>Sr. Applied Scientist, Amazon Ads</t>
        </is>
      </c>
      <c r="C34" t="inlineStr">
        <is>
          <t>Amazon.com</t>
        </is>
      </c>
      <c r="D34" t="inlineStr">
        <is>
          <t>indeed</t>
        </is>
      </c>
      <c r="E34" t="inlineStr"/>
      <c r="F34" t="inlineStr"/>
      <c r="G34" t="inlineStr">
        <is>
          <t>Boston, MA,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in-af7a1cfadf4ececc</t>
        </is>
      </c>
      <c r="B35" t="inlineStr">
        <is>
          <t>Sr. Applied Scientist, Amazon Ads</t>
        </is>
      </c>
      <c r="C35" t="inlineStr">
        <is>
          <t>Amazon.com</t>
        </is>
      </c>
      <c r="D35" t="inlineStr">
        <is>
          <t>indeed</t>
        </is>
      </c>
      <c r="E35" t="inlineStr"/>
      <c r="F35" t="inlineStr"/>
      <c r="G35" t="inlineStr">
        <is>
          <t>Seattle, WA,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in-bde46734a595f7a6</t>
        </is>
      </c>
      <c r="B36" t="inlineStr">
        <is>
          <t>Sr. Applied Scientist, Amazon Ads</t>
        </is>
      </c>
      <c r="C36" t="inlineStr">
        <is>
          <t>Amazon.com</t>
        </is>
      </c>
      <c r="D36" t="inlineStr">
        <is>
          <t>indeed</t>
        </is>
      </c>
      <c r="E36" t="inlineStr"/>
      <c r="F36" t="inlineStr"/>
      <c r="G36" t="inlineStr">
        <is>
          <t>Tukwila, WA,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in-9a851f306ef8ac20</t>
        </is>
      </c>
      <c r="B37" t="inlineStr">
        <is>
          <t>Sr. Applied Scientist, Amazon Ads</t>
        </is>
      </c>
      <c r="C37" t="inlineStr">
        <is>
          <t>Amazon.com</t>
        </is>
      </c>
      <c r="D37" t="inlineStr">
        <is>
          <t>indeed</t>
        </is>
      </c>
      <c r="E37" t="inlineStr"/>
      <c r="F37" t="inlineStr"/>
      <c r="G37" t="inlineStr">
        <is>
          <t>Boulder, CO,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in-f249c4e736673c0c</t>
        </is>
      </c>
      <c r="B38" t="inlineStr">
        <is>
          <t>Sr. Applied Scientist, Amazon Ads</t>
        </is>
      </c>
      <c r="C38" t="inlineStr">
        <is>
          <t>Amazon.com</t>
        </is>
      </c>
      <c r="D38" t="inlineStr">
        <is>
          <t>indeed</t>
        </is>
      </c>
      <c r="E38" t="inlineStr"/>
      <c r="F38" t="inlineStr"/>
      <c r="G38" t="inlineStr">
        <is>
          <t>Palo Alto, CA,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in-68d49e368cb70f1e</t>
        </is>
      </c>
      <c r="B39" t="inlineStr">
        <is>
          <t>Sr. Applied Scientist, Amazon Ads</t>
        </is>
      </c>
      <c r="C39" t="inlineStr">
        <is>
          <t>Amazon.com</t>
        </is>
      </c>
      <c r="D39" t="inlineStr">
        <is>
          <t>indeed</t>
        </is>
      </c>
      <c r="E39" t="inlineStr"/>
      <c r="F39" t="inlineStr"/>
      <c r="G39" t="inlineStr">
        <is>
          <t>New York, NY,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in-f003a22f08ac3a09</t>
        </is>
      </c>
      <c r="B40" t="inlineStr">
        <is>
          <t>Applied Scientist, ML Compiler</t>
        </is>
      </c>
      <c r="C40" t="inlineStr">
        <is>
          <t>Amazon Web Services</t>
        </is>
      </c>
      <c r="D40" t="inlineStr">
        <is>
          <t>indeed</t>
        </is>
      </c>
      <c r="E40" t="inlineStr"/>
      <c r="F40" t="inlineStr"/>
      <c r="G40" t="inlineStr">
        <is>
          <t>Seattle, WA,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in-2b4387a43b46d3c6</t>
        </is>
      </c>
      <c r="B41" t="inlineStr">
        <is>
          <t>Applied Scientist, ML Compiler</t>
        </is>
      </c>
      <c r="C41" t="inlineStr">
        <is>
          <t>Amazon Web Services</t>
        </is>
      </c>
      <c r="D41" t="inlineStr">
        <is>
          <t>indeed</t>
        </is>
      </c>
      <c r="E41" t="inlineStr"/>
      <c r="F41" t="inlineStr"/>
      <c r="G41" t="inlineStr">
        <is>
          <t>Cupertino, CA, US</t>
        </is>
      </c>
      <c r="H41" s="2" t="n">
        <v>45993</v>
      </c>
      <c r="I4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in-5453f2975edfbe92</t>
        </is>
      </c>
      <c r="B42" t="inlineStr">
        <is>
          <t>Senior Data Scientist, Data and Machine Learning, WWPS US Federal</t>
        </is>
      </c>
      <c r="C42" t="inlineStr">
        <is>
          <t>Amazon Web Services</t>
        </is>
      </c>
      <c r="D42" t="inlineStr">
        <is>
          <t>indeed</t>
        </is>
      </c>
      <c r="E42" t="inlineStr"/>
      <c r="F42" t="inlineStr"/>
      <c r="G42" t="inlineStr">
        <is>
          <t>Denver, CO, US</t>
        </is>
      </c>
      <c r="H42" s="2" t="n">
        <v>45993</v>
      </c>
      <c r="I4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3">
      <c r="A43" t="inlineStr">
        <is>
          <t>in-88fb774fd0d2f6af</t>
        </is>
      </c>
      <c r="B43" t="inlineStr">
        <is>
          <t>Data Scientist, Data and Machine Learning, WWPS US Federal</t>
        </is>
      </c>
      <c r="C43" t="inlineStr">
        <is>
          <t>Amazon Web Services</t>
        </is>
      </c>
      <c r="D43" t="inlineStr">
        <is>
          <t>indeed</t>
        </is>
      </c>
      <c r="E43" t="inlineStr"/>
      <c r="F43" t="inlineStr"/>
      <c r="G43" t="inlineStr">
        <is>
          <t>Denver, CO, US</t>
        </is>
      </c>
      <c r="H43" s="2" t="n">
        <v>45993</v>
      </c>
      <c r="I4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4">
      <c r="A44" t="inlineStr">
        <is>
          <t>in-6e71ea62b8463c74</t>
        </is>
      </c>
      <c r="B44" t="inlineStr">
        <is>
          <t>Senior Data Scientist, Data and Machine Learning, WWPS US Federal</t>
        </is>
      </c>
      <c r="C44" t="inlineStr">
        <is>
          <t>Amazon Web Services</t>
        </is>
      </c>
      <c r="D44" t="inlineStr">
        <is>
          <t>indeed</t>
        </is>
      </c>
      <c r="E44" t="inlineStr"/>
      <c r="F44" t="inlineStr"/>
      <c r="G44" t="inlineStr">
        <is>
          <t>Jessup, MD, US</t>
        </is>
      </c>
      <c r="H44" s="2" t="n">
        <v>45993</v>
      </c>
      <c r="I4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5">
      <c r="A45" t="inlineStr">
        <is>
          <t>in-f6091cf3c7e80b17</t>
        </is>
      </c>
      <c r="B45" t="inlineStr">
        <is>
          <t>Senior Data Scientist, Data and Machine Learning, WWPS US Federal</t>
        </is>
      </c>
      <c r="C45" t="inlineStr">
        <is>
          <t>Amazon Web Services</t>
        </is>
      </c>
      <c r="D45" t="inlineStr">
        <is>
          <t>indeed</t>
        </is>
      </c>
      <c r="E45" t="inlineStr"/>
      <c r="F45" t="inlineStr"/>
      <c r="G45" t="inlineStr">
        <is>
          <t>Arlington, VA, US</t>
        </is>
      </c>
      <c r="H45" s="2" t="n">
        <v>45993</v>
      </c>
      <c r="I4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6">
      <c r="A46" t="inlineStr">
        <is>
          <t>in-da3000b474803834</t>
        </is>
      </c>
      <c r="B46" t="inlineStr">
        <is>
          <t>Senior Data Scientist, Data and Machine Learning, WWPS US Federal</t>
        </is>
      </c>
      <c r="C46" t="inlineStr">
        <is>
          <t>Amazon Web Services</t>
        </is>
      </c>
      <c r="D46" t="inlineStr">
        <is>
          <t>indeed</t>
        </is>
      </c>
      <c r="E46" t="inlineStr"/>
      <c r="F46" t="inlineStr"/>
      <c r="G46" t="inlineStr">
        <is>
          <t>St. Louis, MO, US</t>
        </is>
      </c>
      <c r="H46" s="2" t="n">
        <v>45993</v>
      </c>
      <c r="I4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7">
      <c r="A47" t="inlineStr">
        <is>
          <t>in-c05cb5b79aa479c3</t>
        </is>
      </c>
      <c r="B47" t="inlineStr">
        <is>
          <t>Senior Applied Scientist, Locomotion, Amazon Industrial Robotics</t>
        </is>
      </c>
      <c r="C47" t="inlineStr">
        <is>
          <t>Amazon.com</t>
        </is>
      </c>
      <c r="D47" t="inlineStr">
        <is>
          <t>indeed</t>
        </is>
      </c>
      <c r="E47" t="inlineStr"/>
      <c r="F47" t="inlineStr"/>
      <c r="G47" t="inlineStr">
        <is>
          <t>Reading, MA, US</t>
        </is>
      </c>
      <c r="H47" s="2" t="n">
        <v>45992</v>
      </c>
      <c r="I4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in-74b61fb4d94ddc7b</t>
        </is>
      </c>
      <c r="B48" t="inlineStr">
        <is>
          <t>Senior Applied Scientist, Locomotion, Amazon Industrial Robotics</t>
        </is>
      </c>
      <c r="C48" t="inlineStr">
        <is>
          <t>Amazon.com</t>
        </is>
      </c>
      <c r="D48" t="inlineStr">
        <is>
          <t>indeed</t>
        </is>
      </c>
      <c r="E48" t="inlineStr"/>
      <c r="F48" t="inlineStr"/>
      <c r="G48" t="inlineStr">
        <is>
          <t>Reading, MA, US</t>
        </is>
      </c>
      <c r="H48" s="2" t="n">
        <v>45992</v>
      </c>
      <c r="I4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in-e88a870cbe266594</t>
        </is>
      </c>
      <c r="B49" t="inlineStr">
        <is>
          <t>Sr. Applied Scientist, SPB Advertiser Guidance</t>
        </is>
      </c>
      <c r="C49" t="inlineStr">
        <is>
          <t>Amazon.com</t>
        </is>
      </c>
      <c r="D49" t="inlineStr">
        <is>
          <t>indeed</t>
        </is>
      </c>
      <c r="E49" t="inlineStr"/>
      <c r="F49" t="inlineStr"/>
      <c r="G49" t="inlineStr">
        <is>
          <t>Seattle, WA, US</t>
        </is>
      </c>
      <c r="H49" s="2" t="n">
        <v>45981</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in-dedcef609f2bb2a1</t>
        </is>
      </c>
      <c r="B50" t="inlineStr">
        <is>
          <t>Sr. Applied Scientist, SPB Advertiser Guidance</t>
        </is>
      </c>
      <c r="C50" t="inlineStr">
        <is>
          <t>Amazon.com</t>
        </is>
      </c>
      <c r="D50" t="inlineStr">
        <is>
          <t>indeed</t>
        </is>
      </c>
      <c r="E50" t="inlineStr"/>
      <c r="F50" t="inlineStr"/>
      <c r="G50" t="inlineStr">
        <is>
          <t>Palo Alto, CA, US</t>
        </is>
      </c>
      <c r="H50" s="2" t="n">
        <v>45981</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in-99be61e68cfc4ee5</t>
        </is>
      </c>
      <c r="B51" t="inlineStr">
        <is>
          <t>Sr. Applied Scientist, SPB Advertiser Guidance</t>
        </is>
      </c>
      <c r="C51" t="inlineStr">
        <is>
          <t>Amazon.com</t>
        </is>
      </c>
      <c r="D51" t="inlineStr">
        <is>
          <t>indeed</t>
        </is>
      </c>
      <c r="E51" t="inlineStr"/>
      <c r="F51" t="inlineStr"/>
      <c r="G51" t="inlineStr">
        <is>
          <t>New York, NY, US</t>
        </is>
      </c>
      <c r="H51" s="2" t="n">
        <v>45981</v>
      </c>
      <c r="I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in-7f4fe70348259113</t>
        </is>
      </c>
      <c r="B52" t="inlineStr">
        <is>
          <t>Senior Applied Scientist, Artificial General Intelligence</t>
        </is>
      </c>
      <c r="C52" t="inlineStr">
        <is>
          <t>Amazon.com</t>
        </is>
      </c>
      <c r="D52" t="inlineStr">
        <is>
          <t>indeed</t>
        </is>
      </c>
      <c r="E52" t="inlineStr"/>
      <c r="F52" t="inlineStr"/>
      <c r="G52" t="inlineStr">
        <is>
          <t>Sunnyvale, CA,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in-88c699ed385ba1e6</t>
        </is>
      </c>
      <c r="B53" t="inlineStr">
        <is>
          <t>Senior Applied Scientist, Artificial General Intelligence</t>
        </is>
      </c>
      <c r="C53" t="inlineStr">
        <is>
          <t>Amazon.com</t>
        </is>
      </c>
      <c r="D53" t="inlineStr">
        <is>
          <t>indeed</t>
        </is>
      </c>
      <c r="E53" t="inlineStr"/>
      <c r="F53" t="inlineStr"/>
      <c r="G53" t="inlineStr">
        <is>
          <t>New York, NY,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in-d7cfab2aa684acd0</t>
        </is>
      </c>
      <c r="B54" t="inlineStr">
        <is>
          <t>Senior Applied Scientist, Artificial General Intelligence</t>
        </is>
      </c>
      <c r="C54" t="inlineStr">
        <is>
          <t>Amazon.com</t>
        </is>
      </c>
      <c r="D54" t="inlineStr">
        <is>
          <t>indeed</t>
        </is>
      </c>
      <c r="E54" t="inlineStr"/>
      <c r="F54" t="inlineStr"/>
      <c r="G54" t="inlineStr">
        <is>
          <t>Boston, MA, US</t>
        </is>
      </c>
      <c r="H54" s="2" t="n">
        <v>45980</v>
      </c>
      <c r="I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in-96f5fdfe15f5e2c4</t>
        </is>
      </c>
      <c r="B55" t="inlineStr">
        <is>
          <t>Senior Applied Scientist, Artificial General Intelligence</t>
        </is>
      </c>
      <c r="C55" t="inlineStr">
        <is>
          <t>Amazon.com</t>
        </is>
      </c>
      <c r="D55" t="inlineStr">
        <is>
          <t>indeed</t>
        </is>
      </c>
      <c r="E55" t="inlineStr"/>
      <c r="F55" t="inlineStr"/>
      <c r="G55" t="inlineStr">
        <is>
          <t>Seattle, WA,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in-2aa47328aca79c8e</t>
        </is>
      </c>
      <c r="B56" t="inlineStr">
        <is>
          <t>Applied Scientist II, SPB Advertiser Guidance</t>
        </is>
      </c>
      <c r="C56" t="inlineStr">
        <is>
          <t>Amazon.com</t>
        </is>
      </c>
      <c r="D56" t="inlineStr">
        <is>
          <t>indeed</t>
        </is>
      </c>
      <c r="E56" t="inlineStr"/>
      <c r="F56" t="inlineStr"/>
      <c r="G56" t="inlineStr">
        <is>
          <t>New York, NY, US</t>
        </is>
      </c>
      <c r="H56" s="2" t="n">
        <v>45980</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in-1832be555affd2e7</t>
        </is>
      </c>
      <c r="B57" t="inlineStr">
        <is>
          <t>Applied Scientist II, SPB Advertiser Guidance</t>
        </is>
      </c>
      <c r="C57" t="inlineStr">
        <is>
          <t>Amazon.com</t>
        </is>
      </c>
      <c r="D57" t="inlineStr">
        <is>
          <t>indeed</t>
        </is>
      </c>
      <c r="E57" t="inlineStr"/>
      <c r="F57" t="inlineStr"/>
      <c r="G57" t="inlineStr">
        <is>
          <t>Palo Alto, CA, US</t>
        </is>
      </c>
      <c r="H57" s="2" t="n">
        <v>45980</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in-63bebfe25fd478cf</t>
        </is>
      </c>
      <c r="B58" t="inlineStr">
        <is>
          <t>Applied Scientist II, SPB Advertiser Guidance</t>
        </is>
      </c>
      <c r="C58" t="inlineStr">
        <is>
          <t>Amazon.com</t>
        </is>
      </c>
      <c r="D58" t="inlineStr">
        <is>
          <t>indeed</t>
        </is>
      </c>
      <c r="E58" t="inlineStr"/>
      <c r="F58" t="inlineStr"/>
      <c r="G58" t="inlineStr">
        <is>
          <t>Seattle, WA, US</t>
        </is>
      </c>
      <c r="H58" s="2" t="n">
        <v>45980</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in-cec46dda54a645c9</t>
        </is>
      </c>
      <c r="B59" t="inlineStr">
        <is>
          <t>Principal Applied Scientist, Sponsored Products and Brands</t>
        </is>
      </c>
      <c r="C59" t="inlineStr">
        <is>
          <t>Amazon.com</t>
        </is>
      </c>
      <c r="D59" t="inlineStr">
        <is>
          <t>indeed</t>
        </is>
      </c>
      <c r="E59" t="inlineStr"/>
      <c r="F59" t="inlineStr"/>
      <c r="G59" t="inlineStr">
        <is>
          <t>Seattle, WA, US</t>
        </is>
      </c>
      <c r="H59" s="2" t="n">
        <v>45979</v>
      </c>
      <c r="I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in-57ceec25658ced61</t>
        </is>
      </c>
      <c r="B60" t="inlineStr">
        <is>
          <t>Principal Applied Scientist, Sponsored Products and Brands</t>
        </is>
      </c>
      <c r="C60" t="inlineStr">
        <is>
          <t>Amazon.com</t>
        </is>
      </c>
      <c r="D60" t="inlineStr">
        <is>
          <t>indeed</t>
        </is>
      </c>
      <c r="E60" t="inlineStr"/>
      <c r="F60" t="inlineStr"/>
      <c r="G60" t="inlineStr">
        <is>
          <t>New York, NY, US</t>
        </is>
      </c>
      <c r="H60" s="2" t="n">
        <v>45979</v>
      </c>
      <c r="I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in-e06d42be3b1b476c</t>
        </is>
      </c>
      <c r="B61" t="inlineStr">
        <is>
          <t>Applied Scientist II, Robotics and ML, Amazon Industrial Robotics</t>
        </is>
      </c>
      <c r="C61" t="inlineStr">
        <is>
          <t>Amazon.com</t>
        </is>
      </c>
      <c r="D61" t="inlineStr">
        <is>
          <t>indeed</t>
        </is>
      </c>
      <c r="E61" t="inlineStr"/>
      <c r="F61" t="inlineStr"/>
      <c r="G61" t="inlineStr">
        <is>
          <t>Reading, MA, US</t>
        </is>
      </c>
      <c r="H61" s="2" t="n">
        <v>45975</v>
      </c>
      <c r="I6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in-e909bfbb50af7c84</t>
        </is>
      </c>
      <c r="B62" t="inlineStr">
        <is>
          <t>Applied Scientist II, Robotics and ML, Amazon Industrial Robotics</t>
        </is>
      </c>
      <c r="C62" t="inlineStr">
        <is>
          <t>Amazon.com</t>
        </is>
      </c>
      <c r="D62" t="inlineStr">
        <is>
          <t>indeed</t>
        </is>
      </c>
      <c r="E62" t="inlineStr"/>
      <c r="F62" t="inlineStr"/>
      <c r="G62" t="inlineStr">
        <is>
          <t>Reading, MA, US</t>
        </is>
      </c>
      <c r="H62" s="2" t="n">
        <v>45975</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in-62130f259c0036c3</t>
        </is>
      </c>
      <c r="B63" t="inlineStr">
        <is>
          <t>Sr. Applied Scientist, Amazon Industrial Robotics</t>
        </is>
      </c>
      <c r="C63" t="inlineStr">
        <is>
          <t>Amazon.com</t>
        </is>
      </c>
      <c r="D63" t="inlineStr">
        <is>
          <t>indeed</t>
        </is>
      </c>
      <c r="E63" t="inlineStr"/>
      <c r="F63" t="inlineStr"/>
      <c r="G63" t="inlineStr">
        <is>
          <t>Reading, MA, US</t>
        </is>
      </c>
      <c r="H63" s="2" t="n">
        <v>45973</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in-f263ba6c32631025</t>
        </is>
      </c>
      <c r="B64" t="inlineStr">
        <is>
          <t>Sr. Applied Scientist, Amazon Industrial Robotics</t>
        </is>
      </c>
      <c r="C64" t="inlineStr">
        <is>
          <t>Amazon.com</t>
        </is>
      </c>
      <c r="D64" t="inlineStr">
        <is>
          <t>indeed</t>
        </is>
      </c>
      <c r="E64" t="inlineStr"/>
      <c r="F64" t="inlineStr"/>
      <c r="G64" t="inlineStr">
        <is>
          <t>Reading, MA, US</t>
        </is>
      </c>
      <c r="H64" s="2" t="n">
        <v>45973</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in-8dbe8b70cdaeaf0d</t>
        </is>
      </c>
      <c r="B65" t="inlineStr">
        <is>
          <t>Senior Applied Scientist, Planning and Controls, Amazon Industrial Robotics</t>
        </is>
      </c>
      <c r="C65" t="inlineStr">
        <is>
          <t>Amazon.com</t>
        </is>
      </c>
      <c r="D65" t="inlineStr">
        <is>
          <t>indeed</t>
        </is>
      </c>
      <c r="E65" t="inlineStr"/>
      <c r="F65" t="inlineStr"/>
      <c r="G65" t="inlineStr">
        <is>
          <t>Reading, MA, US</t>
        </is>
      </c>
      <c r="H65" s="2" t="n">
        <v>45972</v>
      </c>
      <c r="I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in-7c7c9b5e4a886080</t>
        </is>
      </c>
      <c r="B66" t="inlineStr">
        <is>
          <t>Senior Applied Scientist, Planning and Controls, Amazon Industrial Robotics</t>
        </is>
      </c>
      <c r="C66" t="inlineStr">
        <is>
          <t>Amazon.com</t>
        </is>
      </c>
      <c r="D66" t="inlineStr">
        <is>
          <t>indeed</t>
        </is>
      </c>
      <c r="E66" t="inlineStr"/>
      <c r="F66" t="inlineStr"/>
      <c r="G66" t="inlineStr">
        <is>
          <t>Reading, MA, US</t>
        </is>
      </c>
      <c r="H66" s="2" t="n">
        <v>45972</v>
      </c>
      <c r="I6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in-cd7838ad6c4670c5</t>
        </is>
      </c>
      <c r="B67" t="inlineStr">
        <is>
          <t>Zappos Data Scientist III, Zappos/Shopbop Catalog Engineering</t>
        </is>
      </c>
      <c r="C67" t="inlineStr">
        <is>
          <t>Amazon.com</t>
        </is>
      </c>
      <c r="D67" t="inlineStr">
        <is>
          <t>indeed</t>
        </is>
      </c>
      <c r="E67" t="inlineStr"/>
      <c r="F67" t="inlineStr"/>
      <c r="G67" t="inlineStr">
        <is>
          <t>New York, NY, US</t>
        </is>
      </c>
      <c r="H67" s="2" t="n">
        <v>45965</v>
      </c>
      <c r="I67"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in-cf8cd759fad2e046</t>
        </is>
      </c>
      <c r="B68" t="inlineStr">
        <is>
          <t>Zappos Data Scientist III, Zappos/Shopbop Catalog Engineering</t>
        </is>
      </c>
      <c r="C68" t="inlineStr">
        <is>
          <t>Amazon.com</t>
        </is>
      </c>
      <c r="D68" t="inlineStr">
        <is>
          <t>indeed</t>
        </is>
      </c>
      <c r="E68" t="inlineStr"/>
      <c r="F68" t="inlineStr"/>
      <c r="G68" t="inlineStr">
        <is>
          <t>Madison, WI, US</t>
        </is>
      </c>
      <c r="H68" s="2" t="n">
        <v>45965</v>
      </c>
      <c r="I68"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in-62e12b5d49b91481</t>
        </is>
      </c>
      <c r="B69" t="inlineStr">
        <is>
          <t>Principal Applied Scientist, Amazon AGI</t>
        </is>
      </c>
      <c r="C69" t="inlineStr">
        <is>
          <t>Amazon.com</t>
        </is>
      </c>
      <c r="D69" t="inlineStr">
        <is>
          <t>indeed</t>
        </is>
      </c>
      <c r="E69" t="inlineStr"/>
      <c r="F69" t="inlineStr"/>
      <c r="G69" t="inlineStr">
        <is>
          <t>San Francisco, CA,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in-e31144b6b67e934e</t>
        </is>
      </c>
      <c r="B70" t="inlineStr">
        <is>
          <t>Principal Applied Scientist, Amazon AGI</t>
        </is>
      </c>
      <c r="C70" t="inlineStr">
        <is>
          <t>Amazon.com</t>
        </is>
      </c>
      <c r="D70" t="inlineStr">
        <is>
          <t>indeed</t>
        </is>
      </c>
      <c r="E70" t="inlineStr"/>
      <c r="F70" t="inlineStr"/>
      <c r="G70" t="inlineStr">
        <is>
          <t>Boston, MA, US</t>
        </is>
      </c>
      <c r="H70" s="2" t="n">
        <v>45964</v>
      </c>
      <c r="I7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in-633722128852140a</t>
        </is>
      </c>
      <c r="B71" t="inlineStr">
        <is>
          <t>Principal Applied Scientist, AWS Agentic AI Science</t>
        </is>
      </c>
      <c r="C71" t="inlineStr">
        <is>
          <t>Amazon Web Services</t>
        </is>
      </c>
      <c r="D71" t="inlineStr">
        <is>
          <t>indeed</t>
        </is>
      </c>
      <c r="E71" t="inlineStr"/>
      <c r="F71" t="inlineStr"/>
      <c r="G71" t="inlineStr">
        <is>
          <t>Santa Clara, CA, US</t>
        </is>
      </c>
      <c r="H71" s="2" t="n">
        <v>45963</v>
      </c>
      <c r="I7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in-f38f3a2406ef09a3</t>
        </is>
      </c>
      <c r="B72" t="inlineStr">
        <is>
          <t>Principal Applied Scientist, AWS Agentic AI Science</t>
        </is>
      </c>
      <c r="C72" t="inlineStr">
        <is>
          <t>Amazon Web Services</t>
        </is>
      </c>
      <c r="D72" t="inlineStr">
        <is>
          <t>indeed</t>
        </is>
      </c>
      <c r="E72" t="inlineStr"/>
      <c r="F72" t="inlineStr"/>
      <c r="G72" t="inlineStr">
        <is>
          <t>New York, NY, US</t>
        </is>
      </c>
      <c r="H72" s="2" t="n">
        <v>45963</v>
      </c>
      <c r="I7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in-b583331cd01b1f1b</t>
        </is>
      </c>
      <c r="B73" t="inlineStr">
        <is>
          <t>Sr. Applied Scientist, Sponsored Product Off-Search</t>
        </is>
      </c>
      <c r="C73" t="inlineStr">
        <is>
          <t>Amazon.com</t>
        </is>
      </c>
      <c r="D73" t="inlineStr">
        <is>
          <t>indeed</t>
        </is>
      </c>
      <c r="E73" t="inlineStr"/>
      <c r="F73" t="inlineStr"/>
      <c r="G73" t="inlineStr">
        <is>
          <t>Seattle, WA, US</t>
        </is>
      </c>
      <c r="H73" s="2" t="n">
        <v>45963</v>
      </c>
      <c r="I7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in-9b9c6d83da49ef04</t>
        </is>
      </c>
      <c r="B74" t="inlineStr">
        <is>
          <t>Sr. Applied Scientist, Sponsored Product Off-Search</t>
        </is>
      </c>
      <c r="C74" t="inlineStr">
        <is>
          <t>Amazon.com</t>
        </is>
      </c>
      <c r="D74" t="inlineStr">
        <is>
          <t>indeed</t>
        </is>
      </c>
      <c r="E74" t="inlineStr"/>
      <c r="F74" t="inlineStr"/>
      <c r="G74" t="inlineStr">
        <is>
          <t>New York, NY, US</t>
        </is>
      </c>
      <c r="H74" s="2" t="n">
        <v>45963</v>
      </c>
      <c r="I7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in-9c5a7a9b7ae6c356</t>
        </is>
      </c>
      <c r="B75" t="inlineStr">
        <is>
          <t>Applied Scientist, AWS Agentic AI</t>
        </is>
      </c>
      <c r="C75" t="inlineStr">
        <is>
          <t>Amazon Web Services</t>
        </is>
      </c>
      <c r="D75" t="inlineStr">
        <is>
          <t>indeed</t>
        </is>
      </c>
      <c r="E75" t="inlineStr"/>
      <c r="F75" t="inlineStr"/>
      <c r="G75" t="inlineStr">
        <is>
          <t>Santa Clara, CA,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in-71675ed82f6c5918</t>
        </is>
      </c>
      <c r="B76" t="inlineStr">
        <is>
          <t>Applied Scientist, AWS Agentic AI</t>
        </is>
      </c>
      <c r="C76" t="inlineStr">
        <is>
          <t>Amazon Web Services</t>
        </is>
      </c>
      <c r="D76" t="inlineStr">
        <is>
          <t>indeed</t>
        </is>
      </c>
      <c r="E76" t="inlineStr"/>
      <c r="F76" t="inlineStr"/>
      <c r="G76" t="inlineStr">
        <is>
          <t>Seattle, WA, US</t>
        </is>
      </c>
      <c r="H76" s="2"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in-c2106631c07a5330</t>
        </is>
      </c>
      <c r="B77" t="inlineStr">
        <is>
          <t>Applied Scientist, AWS Agentic AI</t>
        </is>
      </c>
      <c r="C77" t="inlineStr">
        <is>
          <t>Amazon Web Services</t>
        </is>
      </c>
      <c r="D77" t="inlineStr">
        <is>
          <t>indeed</t>
        </is>
      </c>
      <c r="E77" t="inlineStr"/>
      <c r="F77" t="inlineStr"/>
      <c r="G77" t="inlineStr">
        <is>
          <t>New York, NY, US</t>
        </is>
      </c>
      <c r="H77" s="2" t="n">
        <v>45962</v>
      </c>
      <c r="I7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in-848a801fe72e98a6</t>
        </is>
      </c>
      <c r="B78" t="inlineStr">
        <is>
          <t>Principal Applied Scientist, Advertiser Growth, Amazon Sponsored Products &amp; Brands</t>
        </is>
      </c>
      <c r="C78" t="inlineStr">
        <is>
          <t>Amazon.com</t>
        </is>
      </c>
      <c r="D78" t="inlineStr">
        <is>
          <t>indeed</t>
        </is>
      </c>
      <c r="E78" t="inlineStr"/>
      <c r="F78" t="inlineStr"/>
      <c r="G78" t="inlineStr">
        <is>
          <t>Palo Alto, CA,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in-120cd71db3f02a54</t>
        </is>
      </c>
      <c r="B79" t="inlineStr">
        <is>
          <t>Principal Applied Scientist, Advertiser Growth, Amazon Sponsored Products &amp; Brands</t>
        </is>
      </c>
      <c r="C79" t="inlineStr">
        <is>
          <t>Amazon.com</t>
        </is>
      </c>
      <c r="D79" t="inlineStr">
        <is>
          <t>indeed</t>
        </is>
      </c>
      <c r="E79" t="inlineStr"/>
      <c r="F79" t="inlineStr"/>
      <c r="G79" t="inlineStr">
        <is>
          <t>New York, NY,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in-7b14ef06709401f7</t>
        </is>
      </c>
      <c r="B80" t="inlineStr">
        <is>
          <t>Principal Applied Scientist, Advertiser Growth, Amazon Sponsored Products &amp; Brands</t>
        </is>
      </c>
      <c r="C80" t="inlineStr">
        <is>
          <t>Amazon.com</t>
        </is>
      </c>
      <c r="D80" t="inlineStr">
        <is>
          <t>indeed</t>
        </is>
      </c>
      <c r="E80" t="inlineStr"/>
      <c r="F80" t="inlineStr"/>
      <c r="G80" t="inlineStr">
        <is>
          <t>Seattle, WA, US</t>
        </is>
      </c>
      <c r="H80" s="2"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in-d950d44e4bf2f027</t>
        </is>
      </c>
      <c r="B81" t="inlineStr">
        <is>
          <t>Sr. Applied Scientist, SPB Advertiser Guidance</t>
        </is>
      </c>
      <c r="C81" t="inlineStr">
        <is>
          <t>Amazon.com</t>
        </is>
      </c>
      <c r="D81" t="inlineStr">
        <is>
          <t>indeed</t>
        </is>
      </c>
      <c r="E81" t="inlineStr"/>
      <c r="F81" t="inlineStr"/>
      <c r="G81" t="inlineStr">
        <is>
          <t>Seattle, WA,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in-30536150343bc768</t>
        </is>
      </c>
      <c r="B82" t="inlineStr">
        <is>
          <t>Sr. Applied Scientist, SPB Advertiser Guidance</t>
        </is>
      </c>
      <c r="C82" t="inlineStr">
        <is>
          <t>Amazon.com</t>
        </is>
      </c>
      <c r="D82" t="inlineStr">
        <is>
          <t>indeed</t>
        </is>
      </c>
      <c r="E82" t="inlineStr"/>
      <c r="F82" t="inlineStr"/>
      <c r="G82" t="inlineStr">
        <is>
          <t>Palo Alto, CA,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in-563978b08ad7d366</t>
        </is>
      </c>
      <c r="B83" t="inlineStr">
        <is>
          <t>Sr. Applied Scientist, SPB Advertiser Guidance</t>
        </is>
      </c>
      <c r="C83" t="inlineStr">
        <is>
          <t>Amazon.com</t>
        </is>
      </c>
      <c r="D83" t="inlineStr">
        <is>
          <t>indeed</t>
        </is>
      </c>
      <c r="E83" t="inlineStr"/>
      <c r="F83" t="inlineStr"/>
      <c r="G83" t="inlineStr">
        <is>
          <t>New York, NY,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in-555aaea12719ebda</t>
        </is>
      </c>
      <c r="B84" t="inlineStr">
        <is>
          <t>Applied Scientist</t>
        </is>
      </c>
      <c r="C84" t="inlineStr">
        <is>
          <t>Amazon.com</t>
        </is>
      </c>
      <c r="D84" t="inlineStr">
        <is>
          <t>indeed</t>
        </is>
      </c>
      <c r="E84" t="inlineStr"/>
      <c r="F84" t="inlineStr"/>
      <c r="G84" t="inlineStr">
        <is>
          <t>New York, NY,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in-4b869f1315f647e5</t>
        </is>
      </c>
      <c r="B85" t="inlineStr">
        <is>
          <t>Applied Scientist</t>
        </is>
      </c>
      <c r="C85" t="inlineStr">
        <is>
          <t>Amazon.com</t>
        </is>
      </c>
      <c r="D85" t="inlineStr">
        <is>
          <t>indeed</t>
        </is>
      </c>
      <c r="E85" t="inlineStr"/>
      <c r="F85" t="inlineStr"/>
      <c r="G85" t="inlineStr">
        <is>
          <t>Seattle, WA,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in-aedebe934032fabb</t>
        </is>
      </c>
      <c r="B86" t="inlineStr">
        <is>
          <t>Applied Scientist</t>
        </is>
      </c>
      <c r="C86" t="inlineStr">
        <is>
          <t>Amazon.com</t>
        </is>
      </c>
      <c r="D86" t="inlineStr">
        <is>
          <t>indeed</t>
        </is>
      </c>
      <c r="E86" t="inlineStr"/>
      <c r="F86" t="inlineStr"/>
      <c r="G86" t="inlineStr">
        <is>
          <t>Palo Alto, CA, US</t>
        </is>
      </c>
      <c r="H86" s="2" t="n">
        <v>45939</v>
      </c>
      <c r="I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in-fb21159bf53fb3fa</t>
        </is>
      </c>
      <c r="B87" t="inlineStr">
        <is>
          <t>Senior Applied Scientist, Sponsored Products and Brands</t>
        </is>
      </c>
      <c r="C87" t="inlineStr">
        <is>
          <t>Amazon.com</t>
        </is>
      </c>
      <c r="D87" t="inlineStr">
        <is>
          <t>indeed</t>
        </is>
      </c>
      <c r="E87" t="inlineStr"/>
      <c r="F87" t="inlineStr"/>
      <c r="G87" t="inlineStr">
        <is>
          <t>Seattle, WA, US</t>
        </is>
      </c>
      <c r="H87" s="2" t="n">
        <v>45922</v>
      </c>
      <c r="I8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in-0b91e5bce5533a0b</t>
        </is>
      </c>
      <c r="B88" t="inlineStr">
        <is>
          <t>Senior Applied Scientist, Sponsored Products and Brands</t>
        </is>
      </c>
      <c r="C88" t="inlineStr">
        <is>
          <t>Amazon.com</t>
        </is>
      </c>
      <c r="D88" t="inlineStr">
        <is>
          <t>indeed</t>
        </is>
      </c>
      <c r="E88" t="inlineStr"/>
      <c r="F88" t="inlineStr"/>
      <c r="G88" t="inlineStr">
        <is>
          <t>New York, NY, US</t>
        </is>
      </c>
      <c r="H88" s="2" t="n">
        <v>45922</v>
      </c>
      <c r="I8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in-cfe8dd59063a7e29</t>
        </is>
      </c>
      <c r="B89" t="inlineStr">
        <is>
          <t>Applied Scientist, Workplace Health &amp; Safety</t>
        </is>
      </c>
      <c r="C89" t="inlineStr">
        <is>
          <t>Amazon.com</t>
        </is>
      </c>
      <c r="D89" t="inlineStr">
        <is>
          <t>indeed</t>
        </is>
      </c>
      <c r="E89" t="inlineStr"/>
      <c r="F89" t="inlineStr"/>
      <c r="G89" t="inlineStr">
        <is>
          <t>Nashville, TN, US</t>
        </is>
      </c>
      <c r="H89" s="2" t="n">
        <v>45917</v>
      </c>
      <c r="I8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in-9ef39d5193d7b92b</t>
        </is>
      </c>
      <c r="B90" t="inlineStr">
        <is>
          <t>Applied Scientist, Workplace Health &amp; Safety</t>
        </is>
      </c>
      <c r="C90" t="inlineStr">
        <is>
          <t>Amazon.com</t>
        </is>
      </c>
      <c r="D90" t="inlineStr">
        <is>
          <t>indeed</t>
        </is>
      </c>
      <c r="E90" t="inlineStr"/>
      <c r="F90" t="inlineStr"/>
      <c r="G90" t="inlineStr">
        <is>
          <t>Bellevue, WA, US</t>
        </is>
      </c>
      <c r="H90" s="2" t="n">
        <v>45917</v>
      </c>
      <c r="I9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in-42cd7c2b57857ac2</t>
        </is>
      </c>
      <c r="B91" t="inlineStr">
        <is>
          <t>Sr. Applied Scientist, Amazon Advertising</t>
        </is>
      </c>
      <c r="C91" t="inlineStr">
        <is>
          <t>Amazon.com</t>
        </is>
      </c>
      <c r="D91" t="inlineStr">
        <is>
          <t>indeed</t>
        </is>
      </c>
      <c r="E91" t="inlineStr"/>
      <c r="F91" t="inlineStr"/>
      <c r="G91" t="inlineStr">
        <is>
          <t>New York, NY,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in-fe87c02aa1b215d8</t>
        </is>
      </c>
      <c r="B92" t="inlineStr">
        <is>
          <t>Sr. Applied Scientist, Amazon Advertising</t>
        </is>
      </c>
      <c r="C92" t="inlineStr">
        <is>
          <t>Amazon.com</t>
        </is>
      </c>
      <c r="D92" t="inlineStr">
        <is>
          <t>indeed</t>
        </is>
      </c>
      <c r="E92" t="inlineStr"/>
      <c r="F92" t="inlineStr"/>
      <c r="G92" t="inlineStr">
        <is>
          <t>Los Angeles,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in-27e1b6138f5c6650</t>
        </is>
      </c>
      <c r="B93" t="inlineStr">
        <is>
          <t>Sr. Applied Scientist, Amazon Advertising</t>
        </is>
      </c>
      <c r="C93" t="inlineStr">
        <is>
          <t>Amazon.com</t>
        </is>
      </c>
      <c r="D93" t="inlineStr">
        <is>
          <t>indeed</t>
        </is>
      </c>
      <c r="E93" t="inlineStr"/>
      <c r="F93" t="inlineStr"/>
      <c r="G93" t="inlineStr">
        <is>
          <t>Simi Valley,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in-50b7755419873af7</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in-8ce9274ade02362f</t>
        </is>
      </c>
      <c r="B95" t="inlineStr">
        <is>
          <t>Sr. Applied Scientist, Amazon Advertising</t>
        </is>
      </c>
      <c r="C95" t="inlineStr">
        <is>
          <t>Amazon.com</t>
        </is>
      </c>
      <c r="D95" t="inlineStr">
        <is>
          <t>indeed</t>
        </is>
      </c>
      <c r="E95" t="inlineStr"/>
      <c r="F95" t="inlineStr"/>
      <c r="G95" t="inlineStr">
        <is>
          <t>West Hollywood,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in-c6463577f70d3af1</t>
        </is>
      </c>
      <c r="B96" t="inlineStr">
        <is>
          <t>Sr. Applied Scientist, Amazon Advertising</t>
        </is>
      </c>
      <c r="C96" t="inlineStr">
        <is>
          <t>Amazon.com</t>
        </is>
      </c>
      <c r="D96" t="inlineStr">
        <is>
          <t>indeed</t>
        </is>
      </c>
      <c r="E96" t="inlineStr"/>
      <c r="F96" t="inlineStr"/>
      <c r="G96" t="inlineStr">
        <is>
          <t>Palo Alto, CA,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in-4bdca9b15d0053df</t>
        </is>
      </c>
      <c r="B97" t="inlineStr">
        <is>
          <t>Sr. Applied Scientist, Amazon Advertising</t>
        </is>
      </c>
      <c r="C97" t="inlineStr">
        <is>
          <t>Amazon.com</t>
        </is>
      </c>
      <c r="D97" t="inlineStr">
        <is>
          <t>indeed</t>
        </is>
      </c>
      <c r="E97" t="inlineStr"/>
      <c r="F97" t="inlineStr"/>
      <c r="G97" t="inlineStr">
        <is>
          <t>Arlington, VA,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in-dbac0c1c4fd2ae79</t>
        </is>
      </c>
      <c r="B98" t="inlineStr">
        <is>
          <t>Sr. Applied Scientist, Amazon Advertising</t>
        </is>
      </c>
      <c r="C98" t="inlineStr">
        <is>
          <t>Amazon.com</t>
        </is>
      </c>
      <c r="D98" t="inlineStr">
        <is>
          <t>indeed</t>
        </is>
      </c>
      <c r="E98" t="inlineStr"/>
      <c r="F98" t="inlineStr"/>
      <c r="G98" t="inlineStr">
        <is>
          <t>Seattle, WA,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in-eb80bbe48088bafa</t>
        </is>
      </c>
      <c r="B99" t="inlineStr">
        <is>
          <t>Senior Applied Scientist, Artificial General Intelligence</t>
        </is>
      </c>
      <c r="C99" t="inlineStr">
        <is>
          <t>Amazon.com</t>
        </is>
      </c>
      <c r="D99" t="inlineStr">
        <is>
          <t>indeed</t>
        </is>
      </c>
      <c r="E99" t="inlineStr"/>
      <c r="F99" t="inlineStr"/>
      <c r="G99" t="inlineStr">
        <is>
          <t>Sunnyvale, CA, US</t>
        </is>
      </c>
      <c r="H99" s="2" t="n">
        <v>45838</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in-d223e0d3081d9b96</t>
        </is>
      </c>
      <c r="B100" t="inlineStr">
        <is>
          <t>Senior Applied Scientist, Artificial General Intelligence</t>
        </is>
      </c>
      <c r="C100" t="inlineStr">
        <is>
          <t>Amazon.com</t>
        </is>
      </c>
      <c r="D100" t="inlineStr">
        <is>
          <t>indeed</t>
        </is>
      </c>
      <c r="E100" t="inlineStr"/>
      <c r="F100" t="inlineStr"/>
      <c r="G100" t="inlineStr">
        <is>
          <t>Boston, MA,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in-bd697e4980c8b6d9</t>
        </is>
      </c>
      <c r="B101" t="inlineStr">
        <is>
          <t>Senior Applied Scientist, Artificial General Intelligence</t>
        </is>
      </c>
      <c r="C101" t="inlineStr">
        <is>
          <t>Amazon.com</t>
        </is>
      </c>
      <c r="D101" t="inlineStr">
        <is>
          <t>indeed</t>
        </is>
      </c>
      <c r="E101" t="inlineStr"/>
      <c r="F101" t="inlineStr"/>
      <c r="G101" t="inlineStr">
        <is>
          <t>New York, NY,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in-fda5899012ad30a0</t>
        </is>
      </c>
      <c r="B102" t="inlineStr">
        <is>
          <t>Sr. Applied Scientist, Sales AI</t>
        </is>
      </c>
      <c r="C102" t="inlineStr">
        <is>
          <t>Amazon.com</t>
        </is>
      </c>
      <c r="D102" t="inlineStr">
        <is>
          <t>indeed</t>
        </is>
      </c>
      <c r="E102" t="inlineStr"/>
      <c r="F102" t="inlineStr"/>
      <c r="G102" t="inlineStr">
        <is>
          <t>Sunnyvale, CA,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in-5e9d0fd0231fb5b5</t>
        </is>
      </c>
      <c r="B103" t="inlineStr">
        <is>
          <t>Sr. Applied Scientist, Sales AI</t>
        </is>
      </c>
      <c r="C103" t="inlineStr">
        <is>
          <t>Amazon.com</t>
        </is>
      </c>
      <c r="D103" t="inlineStr">
        <is>
          <t>indeed</t>
        </is>
      </c>
      <c r="E103" t="inlineStr"/>
      <c r="F103" t="inlineStr"/>
      <c r="G103" t="inlineStr">
        <is>
          <t>New York, NY,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in-9637d2d722a5c03c</t>
        </is>
      </c>
      <c r="B104" t="inlineStr">
        <is>
          <t>Sr. Applied Scientist, Sales AI</t>
        </is>
      </c>
      <c r="C104" t="inlineStr">
        <is>
          <t>Amazon.com</t>
        </is>
      </c>
      <c r="D104" t="inlineStr">
        <is>
          <t>indeed</t>
        </is>
      </c>
      <c r="E104" t="inlineStr"/>
      <c r="F104" t="inlineStr"/>
      <c r="G104" t="inlineStr">
        <is>
          <t>Seattle, WA,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in-e7a618d0e5e1c2d8</t>
        </is>
      </c>
      <c r="B105" t="inlineStr">
        <is>
          <t>Sr. Applied Scientist, AGI Info</t>
        </is>
      </c>
      <c r="C105" t="inlineStr">
        <is>
          <t>Amazon.com</t>
        </is>
      </c>
      <c r="D105" t="inlineStr">
        <is>
          <t>indeed</t>
        </is>
      </c>
      <c r="E105" t="inlineStr"/>
      <c r="F105" t="inlineStr"/>
      <c r="G105" t="inlineStr">
        <is>
          <t>Bellevue, WA, US</t>
        </is>
      </c>
      <c r="H105" s="2" t="n">
        <v>45811</v>
      </c>
      <c r="I10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in-4469803134e99759</t>
        </is>
      </c>
      <c r="B106" t="inlineStr">
        <is>
          <t>Sr. Applied Scientist, AGI Info</t>
        </is>
      </c>
      <c r="C106" t="inlineStr">
        <is>
          <t>Amazon.com</t>
        </is>
      </c>
      <c r="D106" t="inlineStr">
        <is>
          <t>indeed</t>
        </is>
      </c>
      <c r="E106" t="inlineStr"/>
      <c r="F106" t="inlineStr"/>
      <c r="G106" t="inlineStr">
        <is>
          <t>Sunnyvale, CA, US</t>
        </is>
      </c>
      <c r="H106" s="2" t="n">
        <v>45811</v>
      </c>
      <c r="I10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in-8cae3e02b8e76afe</t>
        </is>
      </c>
      <c r="B107" t="inlineStr">
        <is>
          <t>Principal Applied Scientist, Delivery Foundation Model</t>
        </is>
      </c>
      <c r="C107" t="inlineStr">
        <is>
          <t>Amazon.com</t>
        </is>
      </c>
      <c r="D107" t="inlineStr">
        <is>
          <t>indeed</t>
        </is>
      </c>
      <c r="E107" t="inlineStr"/>
      <c r="F107" t="inlineStr"/>
      <c r="G107" t="inlineStr">
        <is>
          <t>Bellevue, WA, US</t>
        </is>
      </c>
      <c r="H107" s="2"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in-b6d198eadbaf239e</t>
        </is>
      </c>
      <c r="B108" t="inlineStr">
        <is>
          <t>Principal Applied Scientist, Delivery Foundation Model</t>
        </is>
      </c>
      <c r="C108" t="inlineStr">
        <is>
          <t>Amazon.com</t>
        </is>
      </c>
      <c r="D108" t="inlineStr">
        <is>
          <t>indeed</t>
        </is>
      </c>
      <c r="E108" t="inlineStr"/>
      <c r="F108" t="inlineStr"/>
      <c r="G108" t="inlineStr">
        <is>
          <t>Santa Clara, CA, US</t>
        </is>
      </c>
      <c r="H108" s="2"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in-57c69c2a08023e51</t>
        </is>
      </c>
      <c r="B109" t="inlineStr">
        <is>
          <t>Principal Applied Scientist, Delivery Foundation Model</t>
        </is>
      </c>
      <c r="C109" t="inlineStr">
        <is>
          <t>Amazon.com</t>
        </is>
      </c>
      <c r="D109" t="inlineStr">
        <is>
          <t>indeed</t>
        </is>
      </c>
      <c r="E109" t="inlineStr"/>
      <c r="F109" t="inlineStr"/>
      <c r="G109" t="inlineStr">
        <is>
          <t>New York, NY,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in-e34866ecbeeb4b15</t>
        </is>
      </c>
      <c r="B110" t="inlineStr">
        <is>
          <t>Principal Applied Scientist, Delivery Foundation Model</t>
        </is>
      </c>
      <c r="C110" t="inlineStr">
        <is>
          <t>Amazon.com</t>
        </is>
      </c>
      <c r="D110" t="inlineStr">
        <is>
          <t>indeed</t>
        </is>
      </c>
      <c r="E110" t="inlineStr"/>
      <c r="F110" t="inlineStr"/>
      <c r="G110" t="inlineStr">
        <is>
          <t>Austin, TX,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in-278bfba59b7c43a1</t>
        </is>
      </c>
      <c r="B111" t="inlineStr">
        <is>
          <t>Senior Applied Scientist, Delivery Foundation Model</t>
        </is>
      </c>
      <c r="C111" t="inlineStr">
        <is>
          <t>Amazon.com</t>
        </is>
      </c>
      <c r="D111" t="inlineStr">
        <is>
          <t>indeed</t>
        </is>
      </c>
      <c r="E111" t="inlineStr"/>
      <c r="F111" t="inlineStr"/>
      <c r="G111" t="inlineStr">
        <is>
          <t>Santa Clara, CA, US</t>
        </is>
      </c>
      <c r="H111" s="2" t="n">
        <v>45806</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in-e2059dc4ebe1269e</t>
        </is>
      </c>
      <c r="B112" t="inlineStr">
        <is>
          <t>Senior Applied Scientist, Delivery Foundation Model</t>
        </is>
      </c>
      <c r="C112" t="inlineStr">
        <is>
          <t>Amazon.com</t>
        </is>
      </c>
      <c r="D112" t="inlineStr">
        <is>
          <t>indeed</t>
        </is>
      </c>
      <c r="E112" t="inlineStr"/>
      <c r="F112" t="inlineStr"/>
      <c r="G112" t="inlineStr">
        <is>
          <t>Bellevue, WA, US</t>
        </is>
      </c>
      <c r="H112" s="2"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in-4b67f02d3ab61ff2</t>
        </is>
      </c>
      <c r="B113" t="inlineStr">
        <is>
          <t>Senior Applied Scientist, Delivery Foundation Model</t>
        </is>
      </c>
      <c r="C113" t="inlineStr">
        <is>
          <t>Amazon.com</t>
        </is>
      </c>
      <c r="D113" t="inlineStr">
        <is>
          <t>indeed</t>
        </is>
      </c>
      <c r="E113" t="inlineStr"/>
      <c r="F113" t="inlineStr"/>
      <c r="G113" t="inlineStr">
        <is>
          <t>New York, NY, US</t>
        </is>
      </c>
      <c r="H113" s="2"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in-e7a67c7a4e2bd2ee</t>
        </is>
      </c>
      <c r="B114" t="inlineStr">
        <is>
          <t>Principal Applied Scientist, Delivery Foundation Model</t>
        </is>
      </c>
      <c r="C114" t="inlineStr">
        <is>
          <t>Amazon.com</t>
        </is>
      </c>
      <c r="D114" t="inlineStr">
        <is>
          <t>indeed</t>
        </is>
      </c>
      <c r="E114" t="inlineStr"/>
      <c r="F114" t="inlineStr"/>
      <c r="G114" t="inlineStr">
        <is>
          <t>Santa Clara, CA, US</t>
        </is>
      </c>
      <c r="H114" s="2"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in-dcee1e8b12651c11</t>
        </is>
      </c>
      <c r="B115" t="inlineStr">
        <is>
          <t>Principal Applied Scientist, Delivery Foundation Model</t>
        </is>
      </c>
      <c r="C115" t="inlineStr">
        <is>
          <t>Amazon.com</t>
        </is>
      </c>
      <c r="D115" t="inlineStr">
        <is>
          <t>indeed</t>
        </is>
      </c>
      <c r="E115" t="inlineStr"/>
      <c r="F115" t="inlineStr"/>
      <c r="G115" t="inlineStr">
        <is>
          <t>New York, NY, US</t>
        </is>
      </c>
      <c r="H115" s="2" t="n">
        <v>45757</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in-df3e55971f6a3837</t>
        </is>
      </c>
      <c r="B116" t="inlineStr">
        <is>
          <t>Principal Applied Scientist, Delivery Foundation Model</t>
        </is>
      </c>
      <c r="C116" t="inlineStr">
        <is>
          <t>Amazon.com</t>
        </is>
      </c>
      <c r="D116" t="inlineStr">
        <is>
          <t>indeed</t>
        </is>
      </c>
      <c r="E116" t="inlineStr"/>
      <c r="F116" t="inlineStr"/>
      <c r="G116" t="inlineStr">
        <is>
          <t>Bellevue, WA, US</t>
        </is>
      </c>
      <c r="H116" s="2" t="n">
        <v>45757</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in-5a90e6e3ed16ea10</t>
        </is>
      </c>
      <c r="B117" t="inlineStr">
        <is>
          <t>Principal Applied Scientist, FAR (Frontier AI &amp; Robotics)</t>
        </is>
      </c>
      <c r="C117" t="inlineStr">
        <is>
          <t>Amazon.com</t>
        </is>
      </c>
      <c r="D117" t="inlineStr">
        <is>
          <t>indeed</t>
        </is>
      </c>
      <c r="E117" t="inlineStr"/>
      <c r="F117" t="inlineStr"/>
      <c r="G117" t="inlineStr">
        <is>
          <t>San Francisco, CA, US</t>
        </is>
      </c>
      <c r="H117" s="2" t="n">
        <v>45740</v>
      </c>
      <c r="I11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in-9425144ab29f6146</t>
        </is>
      </c>
      <c r="B118" t="inlineStr">
        <is>
          <t>Principal Applied Scientist, FAR (Frontier AI &amp; Robotics)</t>
        </is>
      </c>
      <c r="C118" t="inlineStr">
        <is>
          <t>Amazon.com</t>
        </is>
      </c>
      <c r="D118" t="inlineStr">
        <is>
          <t>indeed</t>
        </is>
      </c>
      <c r="E118" t="inlineStr"/>
      <c r="F118" t="inlineStr"/>
      <c r="G118" t="inlineStr">
        <is>
          <t>Seattle, WA, US</t>
        </is>
      </c>
      <c r="H118" s="2" t="n">
        <v>45740</v>
      </c>
      <c r="I1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in-e8c901bf580e35c6</t>
        </is>
      </c>
      <c r="B119" t="inlineStr">
        <is>
          <t>Applied Scientist, Special Projects</t>
        </is>
      </c>
      <c r="C119" t="inlineStr">
        <is>
          <t>Amazon.com</t>
        </is>
      </c>
      <c r="D119" t="inlineStr">
        <is>
          <t>indeed</t>
        </is>
      </c>
      <c r="E119" t="inlineStr"/>
      <c r="F119" t="inlineStr"/>
      <c r="G119" t="inlineStr">
        <is>
          <t>Seattle, WA, US</t>
        </is>
      </c>
      <c r="H119" s="2" t="n">
        <v>46028</v>
      </c>
      <c r="I11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in-5298b144228938fe</t>
        </is>
      </c>
      <c r="B120" t="inlineStr">
        <is>
          <t>Applied Scientist, Special Projects</t>
        </is>
      </c>
      <c r="C120" t="inlineStr">
        <is>
          <t>Amazon.com</t>
        </is>
      </c>
      <c r="D120" t="inlineStr">
        <is>
          <t>indeed</t>
        </is>
      </c>
      <c r="E120" t="inlineStr"/>
      <c r="F120" t="inlineStr"/>
      <c r="G120" t="inlineStr">
        <is>
          <t>Boston, MA, US</t>
        </is>
      </c>
      <c r="H120" s="2" t="n">
        <v>46028</v>
      </c>
      <c r="I12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in-bd9d2922702815e9</t>
        </is>
      </c>
      <c r="B121" t="inlineStr">
        <is>
          <t>Applied Scientist, Last Mile Delivery Automation</t>
        </is>
      </c>
      <c r="C121" t="inlineStr">
        <is>
          <t>Amazon.com</t>
        </is>
      </c>
      <c r="D121" t="inlineStr">
        <is>
          <t>indeed</t>
        </is>
      </c>
      <c r="E121" t="inlineStr"/>
      <c r="F121" t="inlineStr"/>
      <c r="G121" t="inlineStr">
        <is>
          <t>Santa Clara, CA, US</t>
        </is>
      </c>
      <c r="H121" s="2" t="n">
        <v>46026</v>
      </c>
      <c r="I12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in-7dd693ad9ef8be4e</t>
        </is>
      </c>
      <c r="B122" t="inlineStr">
        <is>
          <t>Applied Scientist, Last Mile Delivery Automation</t>
        </is>
      </c>
      <c r="C122" t="inlineStr">
        <is>
          <t>Amazon.com</t>
        </is>
      </c>
      <c r="D122" t="inlineStr">
        <is>
          <t>indeed</t>
        </is>
      </c>
      <c r="E122" t="inlineStr"/>
      <c r="F122" t="inlineStr"/>
      <c r="G122" t="inlineStr">
        <is>
          <t>Bellevue, WA, US</t>
        </is>
      </c>
      <c r="H122" s="2" t="n">
        <v>46026</v>
      </c>
      <c r="I12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in-a2999534b63a62fb</t>
        </is>
      </c>
      <c r="B123" t="inlineStr">
        <is>
          <t>Sr. Applied Scientist, AGI Foundations</t>
        </is>
      </c>
      <c r="C123" t="inlineStr">
        <is>
          <t>Amazon.com</t>
        </is>
      </c>
      <c r="D123" t="inlineStr">
        <is>
          <t>indeed</t>
        </is>
      </c>
      <c r="E123">
        <f>HYPERLINK("https://www.indeed.com/viewjob?jk=a2999534b63a62fb", "https://www.indeed.com/viewjob?jk=a2999534b63a62fb")</f>
        <v/>
      </c>
      <c r="F123">
        <f>HYPERLINK("https://www.amazon.jobs/jobs/3128807/sr-applied-scientist-agi-foundations?cmpid=DA_INAD200785B", "https://www.amazon.jobs/jobs/3128807/sr-applied-scientist-agi-foundations?cmpid=DA_INAD200785B")</f>
        <v/>
      </c>
      <c r="G123" t="inlineStr">
        <is>
          <t>Boston, MA, US</t>
        </is>
      </c>
      <c r="H123" s="3" t="n">
        <v>45978</v>
      </c>
      <c r="I12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in-229f6b5b76f911c0</t>
        </is>
      </c>
      <c r="B124" t="inlineStr">
        <is>
          <t>Sr. Applied Scientist, AGI Foundations</t>
        </is>
      </c>
      <c r="C124" t="inlineStr">
        <is>
          <t>Amazon.com</t>
        </is>
      </c>
      <c r="D124" t="inlineStr">
        <is>
          <t>indeed</t>
        </is>
      </c>
      <c r="E124">
        <f>HYPERLINK("https://www.indeed.com/viewjob?jk=229f6b5b76f911c0", "https://www.indeed.com/viewjob?jk=229f6b5b76f911c0")</f>
        <v/>
      </c>
      <c r="F124">
        <f>HYPERLINK("https://www.amazon.jobs/jobs/3123268/sr-applied-scientist-agi-foundations?cmpid=DA_INAD200785B", "https://www.amazon.jobs/jobs/3123268/sr-applied-scientist-agi-foundations?cmpid=DA_INAD200785B")</f>
        <v/>
      </c>
      <c r="G124" t="inlineStr">
        <is>
          <t>New York, NY, US</t>
        </is>
      </c>
      <c r="H124" s="3" t="n">
        <v>45963</v>
      </c>
      <c r="I1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in-6b5a5012a8f447b7</t>
        </is>
      </c>
      <c r="B125" t="inlineStr">
        <is>
          <t>Sr. Applied Scientist, AGI Foundations</t>
        </is>
      </c>
      <c r="C125" t="inlineStr">
        <is>
          <t>Amazon.com</t>
        </is>
      </c>
      <c r="D125" t="inlineStr">
        <is>
          <t>indeed</t>
        </is>
      </c>
      <c r="E125">
        <f>HYPERLINK("https://www.indeed.com/viewjob?jk=6b5a5012a8f447b7", "https://www.indeed.com/viewjob?jk=6b5a5012a8f447b7")</f>
        <v/>
      </c>
      <c r="F125">
        <f>HYPERLINK("https://www.amazon.jobs/jobs/3123268/sr-applied-scientist-agi-foundations?cmpid=DA_INAD200785B", "https://www.amazon.jobs/jobs/3123268/sr-applied-scientist-agi-foundations?cmpid=DA_INAD200785B")</f>
        <v/>
      </c>
      <c r="G125" t="inlineStr">
        <is>
          <t>Bellevue, WA, US</t>
        </is>
      </c>
      <c r="H125" s="3" t="n">
        <v>45963</v>
      </c>
      <c r="I1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in-057450c30998ce39</t>
        </is>
      </c>
      <c r="B126" t="inlineStr">
        <is>
          <t>Sr. Applied Scientist, AGI Foundations</t>
        </is>
      </c>
      <c r="C126" t="inlineStr">
        <is>
          <t>Amazon.com</t>
        </is>
      </c>
      <c r="D126" t="inlineStr">
        <is>
          <t>indeed</t>
        </is>
      </c>
      <c r="E126">
        <f>HYPERLINK("https://www.indeed.com/viewjob?jk=057450c30998ce39", "https://www.indeed.com/viewjob?jk=057450c30998ce39")</f>
        <v/>
      </c>
      <c r="F126">
        <f>HYPERLINK("https://www.amazon.jobs/jobs/3123268/sr-applied-scientist-agi-foundations?cmpid=DA_INAD200785B", "https://www.amazon.jobs/jobs/3123268/sr-applied-scientist-agi-foundations?cmpid=DA_INAD200785B")</f>
        <v/>
      </c>
      <c r="G126" t="inlineStr">
        <is>
          <t>Boston, MA, US</t>
        </is>
      </c>
      <c r="H126" s="3" t="n">
        <v>45963</v>
      </c>
      <c r="I1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in-127e7f153832d3fa</t>
        </is>
      </c>
      <c r="B127" t="inlineStr">
        <is>
          <t>Applied Scientist II, Prime Video - Personalization and Discovery Science, Personalization and Discovery Science</t>
        </is>
      </c>
      <c r="C127" t="inlineStr">
        <is>
          <t>Amazon.com</t>
        </is>
      </c>
      <c r="D127" t="inlineStr">
        <is>
          <t>indeed</t>
        </is>
      </c>
      <c r="E127">
        <f>HYPERLINK("https://www.indeed.com/viewjob?jk=127e7f153832d3fa", "https://www.indeed.com/viewjob?jk=127e7f153832d3fa")</f>
        <v/>
      </c>
      <c r="F12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27" t="inlineStr">
        <is>
          <t>New York, NY, US</t>
        </is>
      </c>
      <c r="H127" s="3" t="n">
        <v>45930</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in-d42e8fb361fc06b5</t>
        </is>
      </c>
      <c r="B128" t="inlineStr">
        <is>
          <t>Applied Scientist II, Prime Video - Personalization and Discovery Science, Personalization and Discovery Science</t>
        </is>
      </c>
      <c r="C128" t="inlineStr">
        <is>
          <t>Amazon.com</t>
        </is>
      </c>
      <c r="D128" t="inlineStr">
        <is>
          <t>indeed</t>
        </is>
      </c>
      <c r="E128">
        <f>HYPERLINK("https://www.indeed.com/viewjob?jk=d42e8fb361fc06b5", "https://www.indeed.com/viewjob?jk=d42e8fb361fc06b5")</f>
        <v/>
      </c>
      <c r="F12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28" t="inlineStr">
        <is>
          <t>Sunnyvale, CA, US</t>
        </is>
      </c>
      <c r="H128" s="3" t="n">
        <v>45930</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in-68e7b1ce7695feab</t>
        </is>
      </c>
      <c r="B129" t="inlineStr">
        <is>
          <t>Applied Scientist II, Prime Video - Personalization and Discovery Science, Personalization and Discovery Science</t>
        </is>
      </c>
      <c r="C129" t="inlineStr">
        <is>
          <t>Amazon.com</t>
        </is>
      </c>
      <c r="D129" t="inlineStr">
        <is>
          <t>indeed</t>
        </is>
      </c>
      <c r="E129">
        <f>HYPERLINK("https://www.indeed.com/viewjob?jk=68e7b1ce7695feab", "https://www.indeed.com/viewjob?jk=68e7b1ce7695feab")</f>
        <v/>
      </c>
      <c r="F12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29" t="inlineStr">
        <is>
          <t>Seattle, WA, US</t>
        </is>
      </c>
      <c r="H129" s="3" t="n">
        <v>45930</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in-9c89d8e54d52a3b9</t>
        </is>
      </c>
      <c r="B130" t="inlineStr">
        <is>
          <t>Applied Scientist II, Prime Video - Personalization and Discovery Science</t>
        </is>
      </c>
      <c r="C130" t="inlineStr">
        <is>
          <t>Amazon.com</t>
        </is>
      </c>
      <c r="D130" t="inlineStr">
        <is>
          <t>indeed</t>
        </is>
      </c>
      <c r="E130">
        <f>HYPERLINK("https://www.indeed.com/viewjob?jk=9c89d8e54d52a3b9", "https://www.indeed.com/viewjob?jk=9c89d8e54d52a3b9")</f>
        <v/>
      </c>
      <c r="F130">
        <f>HYPERLINK("https://www.amazon.jobs/jobs/3086060/applied-scientist-ii-prime-video--personalization-and-discovery-science?cmpid=DA_INAD200785B", "https://www.amazon.jobs/jobs/3086060/applied-scientist-ii-prime-video--personalization-and-discovery-science?cmpid=DA_INAD200785B")</f>
        <v/>
      </c>
      <c r="G130" t="inlineStr">
        <is>
          <t>New York, NY, US</t>
        </is>
      </c>
      <c r="H130" s="3" t="n">
        <v>45915</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in-5df985b35ed19409</t>
        </is>
      </c>
      <c r="B131" t="inlineStr">
        <is>
          <t>Applied Scientist II, Prime Video - Personalization and Discovery Science</t>
        </is>
      </c>
      <c r="C131" t="inlineStr">
        <is>
          <t>Amazon.com</t>
        </is>
      </c>
      <c r="D131" t="inlineStr">
        <is>
          <t>indeed</t>
        </is>
      </c>
      <c r="E131">
        <f>HYPERLINK("https://www.indeed.com/viewjob?jk=5df985b35ed19409", "https://www.indeed.com/viewjob?jk=5df985b35ed19409")</f>
        <v/>
      </c>
      <c r="F131">
        <f>HYPERLINK("https://www.amazon.jobs/jobs/3086060/applied-scientist-ii-prime-video--personalization-and-discovery-science?cmpid=DA_INAD200785B", "https://www.amazon.jobs/jobs/3086060/applied-scientist-ii-prime-video--personalization-and-discovery-science?cmpid=DA_INAD200785B")</f>
        <v/>
      </c>
      <c r="G131" t="inlineStr">
        <is>
          <t>Sunnyvale, CA, US</t>
        </is>
      </c>
      <c r="H131" s="3" t="n">
        <v>45915</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in-114c3d668fece917</t>
        </is>
      </c>
      <c r="B132" t="inlineStr">
        <is>
          <t>Applied Scientist II, Prime Video - Personalization and Discovery Science</t>
        </is>
      </c>
      <c r="C132" t="inlineStr">
        <is>
          <t>Amazon.com</t>
        </is>
      </c>
      <c r="D132" t="inlineStr">
        <is>
          <t>indeed</t>
        </is>
      </c>
      <c r="E132">
        <f>HYPERLINK("https://www.indeed.com/viewjob?jk=114c3d668fece917", "https://www.indeed.com/viewjob?jk=114c3d668fece917")</f>
        <v/>
      </c>
      <c r="F132">
        <f>HYPERLINK("https://www.amazon.jobs/jobs/3086060/applied-scientist-ii-prime-video--personalization-and-discovery-science?cmpid=DA_INAD200785B", "https://www.amazon.jobs/jobs/3086060/applied-scientist-ii-prime-video--personalization-and-discovery-science?cmpid=DA_INAD200785B")</f>
        <v/>
      </c>
      <c r="G132" t="inlineStr">
        <is>
          <t>Seattle, WA, US</t>
        </is>
      </c>
      <c r="H132" s="3" t="n">
        <v>45915</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in-e7b0d8e56c537a7a</t>
        </is>
      </c>
      <c r="B133" t="inlineStr">
        <is>
          <t>Sr. Applied Scientist, Prime Video - Personalization and Discovery Science</t>
        </is>
      </c>
      <c r="C133" t="inlineStr">
        <is>
          <t>Amazon.com</t>
        </is>
      </c>
      <c r="D133" t="inlineStr">
        <is>
          <t>indeed</t>
        </is>
      </c>
      <c r="E133">
        <f>HYPERLINK("https://www.indeed.com/viewjob?jk=e7b0d8e56c537a7a", "https://www.indeed.com/viewjob?jk=e7b0d8e56c537a7a")</f>
        <v/>
      </c>
      <c r="F133">
        <f>HYPERLINK("https://www.amazon.jobs/jobs/3059256/sr-applied-scientist-prime-video--personalization-and-discovery-science?cmpid=DA_INAD200785B", "https://www.amazon.jobs/jobs/3059256/sr-applied-scientist-prime-video--personalization-and-discovery-science?cmpid=DA_INAD200785B")</f>
        <v/>
      </c>
      <c r="G133" t="inlineStr">
        <is>
          <t>Seattle, WA, US</t>
        </is>
      </c>
      <c r="H133" s="3" t="n">
        <v>45881</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in-9ad0a621c1cba295</t>
        </is>
      </c>
      <c r="B134" t="inlineStr">
        <is>
          <t>Sr. Applied Scientist, Prime Video - Personalization and Discovery Science</t>
        </is>
      </c>
      <c r="C134" t="inlineStr">
        <is>
          <t>Amazon.com</t>
        </is>
      </c>
      <c r="D134" t="inlineStr">
        <is>
          <t>indeed</t>
        </is>
      </c>
      <c r="E134">
        <f>HYPERLINK("https://www.indeed.com/viewjob?jk=9ad0a621c1cba295", "https://www.indeed.com/viewjob?jk=9ad0a621c1cba295")</f>
        <v/>
      </c>
      <c r="F134">
        <f>HYPERLINK("https://www.amazon.jobs/jobs/3059256/sr-applied-scientist-prime-video--personalization-and-discovery-science?cmpid=DA_INAD200785B", "https://www.amazon.jobs/jobs/3059256/sr-applied-scientist-prime-video--personalization-and-discovery-science?cmpid=DA_INAD200785B")</f>
        <v/>
      </c>
      <c r="G134" t="inlineStr">
        <is>
          <t>New York, NY, US</t>
        </is>
      </c>
      <c r="H134" s="3" t="n">
        <v>45881</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in-787139365aad2861</t>
        </is>
      </c>
      <c r="B135" t="inlineStr">
        <is>
          <t>Sr. Applied Scientist, Prime Video - Personalization and Discovery Science</t>
        </is>
      </c>
      <c r="C135" t="inlineStr">
        <is>
          <t>Amazon.com</t>
        </is>
      </c>
      <c r="D135" t="inlineStr">
        <is>
          <t>indeed</t>
        </is>
      </c>
      <c r="E135">
        <f>HYPERLINK("https://www.indeed.com/viewjob?jk=787139365aad2861", "https://www.indeed.com/viewjob?jk=787139365aad2861")</f>
        <v/>
      </c>
      <c r="F135">
        <f>HYPERLINK("https://www.amazon.jobs/jobs/3059256/sr-applied-scientist-prime-video--personalization-and-discovery-science?cmpid=DA_INAD200785B", "https://www.amazon.jobs/jobs/3059256/sr-applied-scientist-prime-video--personalization-and-discovery-science?cmpid=DA_INAD200785B")</f>
        <v/>
      </c>
      <c r="G135" t="inlineStr">
        <is>
          <t>Sunnyvale, CA, US</t>
        </is>
      </c>
      <c r="H135" s="3" t="n">
        <v>45881</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in-a443faa3f403ed96</t>
        </is>
      </c>
      <c r="B136" t="inlineStr">
        <is>
          <t>Applied Scientist II, Prime Video - Personalization and Discovery Science</t>
        </is>
      </c>
      <c r="C136" t="inlineStr">
        <is>
          <t>Amazon.com</t>
        </is>
      </c>
      <c r="D136" t="inlineStr">
        <is>
          <t>indeed</t>
        </is>
      </c>
      <c r="E136">
        <f>HYPERLINK("https://www.indeed.com/viewjob?jk=a443faa3f403ed96", "https://www.indeed.com/viewjob?jk=a443faa3f403ed96")</f>
        <v/>
      </c>
      <c r="F136">
        <f>HYPERLINK("https://www.amazon.jobs/jobs/3059253/applied-scientist-ii-prime-video--personalization-and-discovery-science?cmpid=DA_INAD200785B", "https://www.amazon.jobs/jobs/3059253/applied-scientist-ii-prime-video--personalization-and-discovery-science?cmpid=DA_INAD200785B")</f>
        <v/>
      </c>
      <c r="G136" t="inlineStr">
        <is>
          <t>Sunnyvale, CA, US</t>
        </is>
      </c>
      <c r="H136" s="3" t="n">
        <v>45881</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in-5bf18034465ae02f</t>
        </is>
      </c>
      <c r="B137" t="inlineStr">
        <is>
          <t>Applied Scientist II, Prime Video - Personalization and Discovery Science</t>
        </is>
      </c>
      <c r="C137" t="inlineStr">
        <is>
          <t>Amazon.com</t>
        </is>
      </c>
      <c r="D137" t="inlineStr">
        <is>
          <t>indeed</t>
        </is>
      </c>
      <c r="E137">
        <f>HYPERLINK("https://www.indeed.com/viewjob?jk=5bf18034465ae02f", "https://www.indeed.com/viewjob?jk=5bf18034465ae02f")</f>
        <v/>
      </c>
      <c r="F137">
        <f>HYPERLINK("https://www.amazon.jobs/jobs/3059253/applied-scientist-ii-prime-video--personalization-and-discovery-science?cmpid=DA_INAD200785B", "https://www.amazon.jobs/jobs/3059253/applied-scientist-ii-prime-video--personalization-and-discovery-science?cmpid=DA_INAD200785B")</f>
        <v/>
      </c>
      <c r="G137" t="inlineStr">
        <is>
          <t>New York, NY, US</t>
        </is>
      </c>
      <c r="H137" s="3" t="n">
        <v>45881</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in-77c5c4d50b006e33</t>
        </is>
      </c>
      <c r="B138" t="inlineStr">
        <is>
          <t>Applied Scientist II, Prime Video - Personalization and Discovery Science</t>
        </is>
      </c>
      <c r="C138" t="inlineStr">
        <is>
          <t>Amazon.com</t>
        </is>
      </c>
      <c r="D138" t="inlineStr">
        <is>
          <t>indeed</t>
        </is>
      </c>
      <c r="E138">
        <f>HYPERLINK("https://www.indeed.com/viewjob?jk=77c5c4d50b006e33", "https://www.indeed.com/viewjob?jk=77c5c4d50b006e33")</f>
        <v/>
      </c>
      <c r="F138">
        <f>HYPERLINK("https://www.amazon.jobs/jobs/3059253/applied-scientist-ii-prime-video--personalization-and-discovery-science?cmpid=DA_INAD200785B", "https://www.amazon.jobs/jobs/3059253/applied-scientist-ii-prime-video--personalization-and-discovery-science?cmpid=DA_INAD200785B")</f>
        <v/>
      </c>
      <c r="G138" t="inlineStr">
        <is>
          <t>Seattle, WA, US</t>
        </is>
      </c>
      <c r="H138" s="3" t="n">
        <v>45881</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in-e974b1b746a704d9</t>
        </is>
      </c>
      <c r="B139" t="inlineStr">
        <is>
          <t>Applied Scientist, Prime Video - Personalization and Discovery Science</t>
        </is>
      </c>
      <c r="C139" t="inlineStr">
        <is>
          <t>Amazon.com</t>
        </is>
      </c>
      <c r="D139" t="inlineStr">
        <is>
          <t>indeed</t>
        </is>
      </c>
      <c r="E139">
        <f>HYPERLINK("https://www.indeed.com/viewjob?jk=e974b1b746a704d9", "https://www.indeed.com/viewjob?jk=e974b1b746a704d9")</f>
        <v/>
      </c>
      <c r="F139">
        <f>HYPERLINK("https://www.amazon.jobs/jobs/3033050/applied-scientist-prime-video--personalization-and-discovery-science?cmpid=DA_INAD200785B", "https://www.amazon.jobs/jobs/3033050/applied-scientist-prime-video--personalization-and-discovery-science?cmpid=DA_INAD200785B")</f>
        <v/>
      </c>
      <c r="G139" t="inlineStr">
        <is>
          <t>New York, NY, US</t>
        </is>
      </c>
      <c r="H139" s="3" t="n">
        <v>45845</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in-485513df326a4393</t>
        </is>
      </c>
      <c r="B140" t="inlineStr">
        <is>
          <t>Applied Scientist, Prime Video - Personalization and Discovery Science</t>
        </is>
      </c>
      <c r="C140" t="inlineStr">
        <is>
          <t>Amazon.com</t>
        </is>
      </c>
      <c r="D140" t="inlineStr">
        <is>
          <t>indeed</t>
        </is>
      </c>
      <c r="E140">
        <f>HYPERLINK("https://www.indeed.com/viewjob?jk=485513df326a4393", "https://www.indeed.com/viewjob?jk=485513df326a4393")</f>
        <v/>
      </c>
      <c r="F140">
        <f>HYPERLINK("https://www.amazon.jobs/jobs/3033050/applied-scientist-prime-video--personalization-and-discovery-science?cmpid=DA_INAD200785B", "https://www.amazon.jobs/jobs/3033050/applied-scientist-prime-video--personalization-and-discovery-science?cmpid=DA_INAD200785B")</f>
        <v/>
      </c>
      <c r="G140" t="inlineStr">
        <is>
          <t>Seattle, WA, US</t>
        </is>
      </c>
      <c r="H140" s="3" t="n">
        <v>45845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in-684f884c52b6dc5b</t>
        </is>
      </c>
      <c r="B141" t="inlineStr">
        <is>
          <t>Applied Scientist, Prime Video - Personalization and Discovery Science</t>
        </is>
      </c>
      <c r="C141" t="inlineStr">
        <is>
          <t>Amazon.com</t>
        </is>
      </c>
      <c r="D141" t="inlineStr">
        <is>
          <t>indeed</t>
        </is>
      </c>
      <c r="E141">
        <f>HYPERLINK("https://www.indeed.com/viewjob?jk=684f884c52b6dc5b", "https://www.indeed.com/viewjob?jk=684f884c52b6dc5b")</f>
        <v/>
      </c>
      <c r="F141">
        <f>HYPERLINK("https://www.amazon.jobs/jobs/3033050/applied-scientist-prime-video--personalization-and-discovery-science?cmpid=DA_INAD200785B", "https://www.amazon.jobs/jobs/3033050/applied-scientist-prime-video--personalization-and-discovery-science?cmpid=DA_INAD200785B")</f>
        <v/>
      </c>
      <c r="G141" t="inlineStr">
        <is>
          <t>Sunnyvale, CA, US</t>
        </is>
      </c>
      <c r="H141" s="3" t="n">
        <v>45845</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in-a810dd52fbc4a1cb</t>
        </is>
      </c>
      <c r="B142" t="inlineStr">
        <is>
          <t>Staff Data Scientist, New Subjects</t>
        </is>
      </c>
      <c r="C142" t="inlineStr">
        <is>
          <t>Duolingo</t>
        </is>
      </c>
      <c r="D142" t="inlineStr">
        <is>
          <t>indeed</t>
        </is>
      </c>
      <c r="E142">
        <f>HYPERLINK("https://www.indeed.com/viewjob?jk=a810dd52fbc4a1cb", "https://www.indeed.com/viewjob?jk=a810dd52fbc4a1cb")</f>
        <v/>
      </c>
      <c r="F142">
        <f>HYPERLINK("https://grnh.se/khar67ht2us", "https://grnh.se/khar67ht2us")</f>
        <v/>
      </c>
      <c r="G142" t="inlineStr">
        <is>
          <t>Pittsburgh, PA, US</t>
        </is>
      </c>
      <c r="H142" s="3" t="n">
        <v>46047</v>
      </c>
      <c r="I142"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
Our mission at Duolingo is to develop the best education in the world and make it universally available. We're expanding beyond languages to bring joyful, effective learning in new domains – Math, Music, and Chess. These are early but strategically critical bets for Duolingo, and we need exceptional data science leadership to shape what success looks like.
We're looking for a trailblazing, hands\-on staff\-level data scientist to define and build and expand data science in our New Subjects pillar. You will be a pivotal DS voice in this space: setting the vision, leading with metrics, and embedding experimentation into how we build. You will establish and manage a team of data scientists in the pillar, with a strong IC self\-focus in the beginning. If you're excited to influence the future of education and build from the ground up, this is your moment.
#### **:brain: You will...**
* Lead the end\-to\-end cycle of translating ideas into production\-ready data solutions, ensuring they are measurable, robust, and built to last.
* Apply advanced methods (e.g. causal inference, structural modeling, machine learning) to deeply understand how learners engage with new subjects.
* Design and evaluate A/B tests, build metrics and attribution models, and help PMs, designers, and engineers make smarter product decisions.
* Collaborate with data engineering and BI to turn insights into durable data products: pipelines, dashboards, algorithms.
* Partner with product and learning leads to identify and prioritize the most impactful questions we can answer with data.
* Build and lead a small but mighty team as the New Subjects footprint grows.
* Evangelize protocols in scientific rigor and help level up data science across the org.
#### **:check: You have...**
* Advance degree or equivalent experience in Data Science, Economics, Statistics or a related quantitative field.
* 6\+ years applying data science to real\-world product problems, ideally in fast\-paced environments.
* Expertise in at least one of: causal inference, behavioral modeling, experiment design, or applied ML.
* Fluency in Python and SQL, and comfort working across the stack (from raw data to dashboards).
* Exceptional clarity of thinking and communication: you make complex ideas simple and actionable.
* Experience as a tech lead or manager, with a proven ability to build and nurture talent.
* Comfortable working from our Pittsburgh HQ.
#### **:star: Exceptional candidates will have...**
* Experience in 02 environments: setting up metrics, pipelines, and tests from scratch.
* Familiarity with "big data" tooling (e.g. Redshift, BigQuery, Hive).
* A passion for learning, teaching, and making knowledge joyful.
* An alarming Duolingo streak or suspiciously high XP.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143">
      <c r="A143" t="inlineStr">
        <is>
          <t>in-b1b75a42eb02749c</t>
        </is>
      </c>
      <c r="B143" t="inlineStr">
        <is>
          <t>Senior Data Scientist, Innovation Lab - Remote</t>
        </is>
      </c>
      <c r="C143" t="inlineStr">
        <is>
          <t>Experian</t>
        </is>
      </c>
      <c r="D143" t="inlineStr">
        <is>
          <t>indeed</t>
        </is>
      </c>
      <c r="E143">
        <f>HYPERLINK("https://www.indeed.com/viewjob?jk=b1b75a42eb02749c", "https://www.indeed.com/viewjob?jk=b1b75a42eb02749c")</f>
        <v/>
      </c>
      <c r="F143">
        <f>HYPERLINK("https://jobs.experian.com/job/senior-data-scientist-innovation-lab-remote-in-san-diego-united-states-jid-4021", "https://jobs.experian.com/job/senior-data-scientist-innovation-lab-remote-in-san-diego-united-states-jid-4021")</f>
        <v/>
      </c>
      <c r="G143" t="inlineStr">
        <is>
          <t>San Diego, CA, US</t>
        </is>
      </c>
      <c r="H143" s="3" t="n">
        <v>46047</v>
      </c>
      <c r="I143" t="inlineStr">
        <is>
          <t>Experian Innovation Lab is a research and development unit at Experian formed with the desire to work in collaboration with Experian's departments to enhance relationships with clients and acquire strategic datasets. Experian® is a global leader in providing information, analytical tools and marketing services to organizations and consumers to help manage the risk and reward of commercial and financial decisions. Using our comprehensive understanding of individuals, markets and economies, we help organizations develop customer relationships to make their businesses more profitable.
As a Senior Data Scientist at the Experian Innovation Lab, your role will be to research and develop analytical solutions, prototype new products, and evaluate data assets. You must bring an experience in predictive modeling, machine learning, and deep learning to this position. You will report into the Sr. Principal Data Scientist
**You'll have opportunity to:**
* Create advanced machine learning analytical solutions to extract insights from diverse structured and unstructured data sources.
* Unearth data value by selecting and applying the right machine learning, deep learning and processing techniques.
* Refine data manipulation and retrieval through the design of efficient data structures and storage solutions.
* Innovate with tools designed for data processing and information retrieval.
* Dissect and document vast datasets, analyzing them to highlight patterns and insights.
* Solve complex challenges by developing impactful algorithms.
* Ensure model excellence by validating performance scores and analyzing Return on investment and benefits.
About Experian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Experience and Skills  
* Master's Degree or higher in Machine Learning, Data Science, AI, Computer Science, or a related quantitative field.
* 2\+ years of experience in AI, data science, or predictive modeling
* Proficiency in multiple programming languages, including Python
* Experience in deep learning (CNN, RNN, LSTM, attention models), machine learning methodologies (SVM, GLM, boosting, random forest), graph models, or reinforcement learning.
* Experience with open\-source tools for deep learning and machine learning technology such as pytorch, Keras, tensorflow, scikit\-learn, pandas.
* Experience with large data analysis using pySpark
* Experience with LLMs and the relevant tools in the Generative AI domain.
* Experience with Hadoop and NoSQL related technologies such as Map Reduce, Hive, HBase, mongoDB, Cassandra.
* Experience modifying and applying advanced algorithms to address practical problems
* Experience with online, mobile marketing analytics
* Experience with GPU programming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\#LI\-Remote</t>
        </is>
      </c>
    </row>
    <row r="144">
      <c r="A144" t="inlineStr">
        <is>
          <t>in-69d2b67ea07571c4</t>
        </is>
      </c>
      <c r="B144" t="inlineStr">
        <is>
          <t>Associate Data Scientist</t>
        </is>
      </c>
      <c r="C144" t="inlineStr">
        <is>
          <t>Capgemini</t>
        </is>
      </c>
      <c r="D144" t="inlineStr">
        <is>
          <t>indeed</t>
        </is>
      </c>
      <c r="E144">
        <f>HYPERLINK("https://www.indeed.com/viewjob?jk=69d2b67ea07571c4", "https://www.indeed.com/viewjob?jk=69d2b67ea07571c4")</f>
        <v/>
      </c>
      <c r="F144">
        <f>HYPERLINK("https://www.capgemini.com/jobs/396215-en_GB+sap_btp/", "https://www.capgemini.com/jobs/396215-en_GB+sap_btp/")</f>
        <v/>
      </c>
      <c r="G144" t="inlineStr">
        <is>
          <t>Seattle, WA, US</t>
        </is>
      </c>
      <c r="H144" s="3" t="n">
        <v>46047</v>
      </c>
      <c r="I144" t="inlineStr">
        <is>
          <t>Seattle, WA
Associate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an Associate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of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Required Skill and Experience
* Bachelor's degree in computer science, data engineering, or a related field with 5\+ years experience (Master's preferred).
* Proven experience in data engineering, MLOps, ETL, and database management, QL and data manipulation languages.
* Azure, Python, Java, or Scala.
* data warehousing platforms (e.g., Databricks, Amazon Redshift, Snowflake) and big data technologies (e.g., Hadoop, Spark).
* highly scalable Data stores, Data Lake, Data Warehouse, Lakehouse, and unstructured datasets
The base compensation range for this role in the posted location is: $90,000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396215\-en\_GB
Posted on
26 Jan 2026
Experience level
Experienced Professionals
Contract type
Permanent
Location
Seattle, WA
Business unit
I and D Global Business Line
Brand
Capgemini
Professional communities
Data \&amp; AI</t>
        </is>
      </c>
    </row>
    <row r="145">
      <c r="A145" t="inlineStr">
        <is>
          <t>in-eae82e30bd8e1784</t>
        </is>
      </c>
      <c r="B145" t="inlineStr">
        <is>
          <t>Geospatial Data Scientist</t>
        </is>
      </c>
      <c r="C145" t="inlineStr">
        <is>
          <t>BAE Systems USA</t>
        </is>
      </c>
      <c r="D145" t="inlineStr">
        <is>
          <t>indeed</t>
        </is>
      </c>
      <c r="E145">
        <f>HYPERLINK("https://www.indeed.com/viewjob?jk=eae82e30bd8e1784", "https://www.indeed.com/viewjob?jk=eae82e30bd8e1784")</f>
        <v/>
      </c>
      <c r="F145">
        <f>HYPERLINK("https://jobs.baesystems.com/global/en/job/120577BR", "https://jobs.baesystems.com/global/en/job/120577BR")</f>
        <v/>
      </c>
      <c r="G145" t="inlineStr">
        <is>
          <t>Fort Gordon, GA, US</t>
        </is>
      </c>
      <c r="H145" s="3" t="n">
        <v>46047</v>
      </c>
      <c r="I145" t="inlineStr">
        <is>
          <t>**Job Description**  
BAE Systems, Inc. has a contingent opening for a Geospatial Data Scientist supporting US Army INSCOM primarily on Ft. Gordon, GA. The candidate’s role will be to work with GEOINT analysts to determine, create, and populate optimal data architectures, structures, systems, process automation, and models to support customer intelligence requirements. The Geospatial Data Scientist will be expected to lead efforts such as, but not limited to:* design, implementation, and operate data driven approaches to client’s intelligence requirements;
* design how data will be stored, accessed, used, integrated, and managed by different data regimes and digital systems;
* developing, adapting, and integrating algorithms, software tools, and tradecraft to satisfy customer requirements.
These efforts will be to directly support GEOINT exploitation, analysis and reporting of all Advanced GEOINT and Full Spectrum GEOINT (FSG) related disciplines, tradecraft, and products produced by INSCOM MIB\-Theater Integrated GEOINT Divisions (IGD). Sub\-disciplines include but are not limited to Synthetic Aperture RADAR (SAR), Electro\-Optical (EO), Moving Target Indicator (MTI), Light Detection and Ranging (LiDAR), Overhead Persistent Infrared (OPIR), Geospatial Information and Services (GI\&amp;S), Wide Area Persistent Surveillance (WAPS), geospatial data processing, and general intelligence analysis. The candidate must possess familiarity in GEOINT operations and extensive knowledge in data science to be considered.  
**Required Education, Experience, \&amp; Skills**  
MA/MS degree from an accredited institution of higher learning in a STEM\-related discipline AND 5 years of relevant experience;  
**OR**  
BA/BS degree in a STEM\-related discipline AND 10 years of relevant experience.  
Demonstrated mastery and employment of geographic and geospatial scientific principles, tools, and analytical techniques, to be reflected throughout most of the relevant prior experience.  
Demonstrated experience and proficiency with data science techniques including (but not limited to) logistic regression, vector, natural language processing, principal component analysis, clustering techniques, neural networks, deep learning models, image recognition and algorithm employment or development in support of any of the foregoing.  
Demonstrated experience and proficiency with tabular analysis, SQL, and scripting languages (e.g., Python, R, Julia, etc.) to deliver unique insights otherwise unobtainable.  
Familiarity with agile software development project management frameworks (e.g., Scrum, Kanban, Lean, etc.) to deliver new capabilities.  
Ability to work non\-traditional hours or days if mission requirements emerge.  
**Preferred Education, Experience, \&amp; Skills**  
Certification in AWS (AI/ML specialty)  
Experience working with IT, business, or operational metrics platforms (e.g., Splunk, Elastic, Confluence, etc.).  
Knowledge of the National System for Geospatial\-Intelligence (NSG) tasking, collection, processing, exploitation and dissemination (TCPED) production chain.  
Experience working within a Department of War (DoW) or Intelligence Community (IC) operational environment and with DoW/IC geospatial data repositories.  
Familiarity with Army, DoW or IC GEOINT or Geospatial processes, policy and programs.  
Experience with Microsoft Office tools to deliver reports, graphics and briefings.  
**Pay Information**  
Full\-Time Salary Range: $120874 \- $205486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146">
      <c r="A146" t="inlineStr">
        <is>
          <t>in-0a8930df9438d756</t>
        </is>
      </c>
      <c r="B146" t="inlineStr">
        <is>
          <t>Senior Data Scientist</t>
        </is>
      </c>
      <c r="C146" t="inlineStr">
        <is>
          <t>Kindeva Drug Delivery</t>
        </is>
      </c>
      <c r="D146" t="inlineStr">
        <is>
          <t>indeed</t>
        </is>
      </c>
      <c r="E146">
        <f>HYPERLINK("https://www.indeed.com/viewjob?jk=0a8930df9438d756", "https://www.indeed.com/viewjob?jk=0a8930df9438d756")</f>
        <v/>
      </c>
      <c r="F146">
        <f>HYPERLINK("https://jobs.dayforcehcm.com/en-US/kindeva/CANDIDATEPORTAL/jobs/13744", "https://jobs.dayforcehcm.com/en-US/kindeva/CANDIDATEPORTAL/jobs/13744")</f>
        <v/>
      </c>
      <c r="G146" t="inlineStr">
        <is>
          <t>St. Louis, MO, US</t>
        </is>
      </c>
      <c r="H146" s="3" t="n">
        <v>46047</v>
      </c>
      <c r="I146" t="inlineStr">
        <is>
          <t>Our Work Matters
At Kindeva we make products that save lives, ensuring better health and well\-being for patients around the world.
The Impact You Will Make
The Data Scientist role is a pivotal position within our pharmaceutical organization, responsible for ensuring compliance with FDA guidance while driving the adoption of state\-of\-the\-art technologies. This role involves adhering to and implementing statistical methodologies to support various projects, including product development, quality control, and production processes. The Data Scientist will collaborate closely with cross\-functional teams to provide data\-driven insights and solutions, leveraging advanced analytical tools and technologies. Additionally, the role includes responsibilities in data architecture, focusing on ELT processes and broader data management strategies to enhance data integration and management across the organization, while ensuring validated data requirements are met.
**Role Responsibilities:**  
* Statistical Analysis: Design and conduct statistical analyses for production processes, product development, and quality control, ensuring compliance with FDA guidelines.
* Data Architecture: Develop and maintain data models, data flows, and data integration processes to support data\-driven decision\-making.
* AI and Advanced Analytics: Drive the adoption of AI and advanced analytics techniques to improve data analysis and insights.
* Acceptance Sampling Plans and OC Curves: Develop and implement acceptance sampling plans and Operating Characteristic (OC) curves to ensure product quality and compliance with regulatory standards
* Collaboration: Work closely with cross\-functional teams, including R\&amp;D, quality assurance, production operations and IT, to understand data requirements and deliver innovative solutions.
* Data Governance: Establish and enforce data governance policies and procedures to ensure data quality, consistency, and security.
* Training and Support: Provide training and support to team members on statistical principles, data architecture, and the use of analytical tools.
* Develop and maintain KPIs and other metrics, including the use of production process control charts, to identify, analyze, and interpret trends or patterns in complex data sets. This includes applying techniques such as Control Charts, Ppk, Cpk, Nelson Rules, and Normality assessments
**Qualifications:**  
* Bachelor's in Statistics, Biostatistics, Data Science, or a related field with minimum of 6 years of experience in data analysis.
* Master's degree in Statistics, Biostatistics, Data Science, or a related field with minimum of 3 years of experience in data analysis.
* Strong statistical skills with the ability to identify, organize, analyze, and disseminate significant amounts of information with attention to detail and accuracy
* Preferred: Experience with Acceptance Sampling Plans, OC Curves, Confidence Intervals and Equivalence Testing
* Preferred: Proven experience with FDA guidelines and regulatory requirements for cGMP and FDA CFR 211/820
* Experience with data architecture, including SQL, ELT processes.
* Preferred: Proficiency in statistical tools such as R, Minitab, and PowerBI.
* Knowledge of AI and advanced analytics techniques.
* Familiarity with data governance and data quality frameworks.
* Preferred: Version Control (Git)
* Preferred: Dashboard Visualizations (Power Bi, Shiny, Tableau)
California residents should review our Notice for California Employees and Applicants before applying.
Kindeva does not accept unsolicited assistance from headhunters or recruitment firms for any of our job openings. Any resumes or candidate profiles submitted to Kindeva employees—regardless of format—without a valid, signed agreement and an approved job order from an authorized signatory in Talent Acquisition will be considered the sole property of Kindeva. No fees will be paid in the event that a candidate is hired as a result of an unsolicited resume or referral.
**Equal Opportunity Employer:**  
Kindeva Drug Delivery is an Equal Opportunity/Affirmative Action Employer and does not discriminate on the basis of race, color, religion, gender, age, national origin, disability, Protected Veteran status, sexual orientation, or any other characteristic protected by federal, state or local law.
Do you see yourself as part of the Kindeva mission? Click Apply Now Today!</t>
        </is>
      </c>
    </row>
    <row r="147">
      <c r="A147" t="inlineStr">
        <is>
          <t>in-711904793ce3f601</t>
        </is>
      </c>
      <c r="B147" t="inlineStr">
        <is>
          <t>Applied Scientist, Amazon Special Projects</t>
        </is>
      </c>
      <c r="C147" t="inlineStr">
        <is>
          <t>Amazon.com</t>
        </is>
      </c>
      <c r="D147" t="inlineStr">
        <is>
          <t>indeed</t>
        </is>
      </c>
      <c r="E147">
        <f>HYPERLINK("https://www.indeed.com/viewjob?jk=711904793ce3f601", "https://www.indeed.com/viewjob?jk=711904793ce3f601")</f>
        <v/>
      </c>
      <c r="F147">
        <f>HYPERLINK("https://www.amazon.jobs/jobs/3152795/applied-scientist-amazon-special-projects?cmpid=DA_INAD200785B", "https://www.amazon.jobs/jobs/3152795/applied-scientist-amazon-special-projects?cmpid=DA_INAD200785B")</f>
        <v/>
      </c>
      <c r="G147" t="inlineStr">
        <is>
          <t>Boston, MA, US</t>
        </is>
      </c>
      <c r="H147" s="3" t="n">
        <v>46026</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in-1c86cf19c82b2182</t>
        </is>
      </c>
      <c r="B148" t="inlineStr">
        <is>
          <t>Applied Scientist, Amazon Special Projects</t>
        </is>
      </c>
      <c r="C148" t="inlineStr">
        <is>
          <t>Amazon.com</t>
        </is>
      </c>
      <c r="D148" t="inlineStr">
        <is>
          <t>indeed</t>
        </is>
      </c>
      <c r="E148">
        <f>HYPERLINK("https://www.indeed.com/viewjob?jk=1c86cf19c82b2182", "https://www.indeed.com/viewjob?jk=1c86cf19c82b2182")</f>
        <v/>
      </c>
      <c r="F148">
        <f>HYPERLINK("https://www.amazon.jobs/jobs/3152795/applied-scientist-amazon-special-projects?cmpid=DA_INAD200785B", "https://www.amazon.jobs/jobs/3152795/applied-scientist-amazon-special-projects?cmpid=DA_INAD200785B")</f>
        <v/>
      </c>
      <c r="G148" t="inlineStr">
        <is>
          <t>Seattle, WA, US</t>
        </is>
      </c>
      <c r="H148" s="3" t="n">
        <v>46026</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in-4cc6b8b1f9dc7113</t>
        </is>
      </c>
      <c r="B149" t="inlineStr">
        <is>
          <t>Senior Applied Scientist, Sponsored Products and Brands, Off-Search</t>
        </is>
      </c>
      <c r="C149" t="inlineStr">
        <is>
          <t>Amazon.com</t>
        </is>
      </c>
      <c r="D149" t="inlineStr">
        <is>
          <t>indeed</t>
        </is>
      </c>
      <c r="E149">
        <f>HYPERLINK("https://www.indeed.com/viewjob?jk=4cc6b8b1f9dc7113", "https://www.indeed.com/viewjob?jk=4cc6b8b1f9dc7113")</f>
        <v/>
      </c>
      <c r="F149">
        <f>HYPERLINK("https://www.amazon.jobs/jobs/3153569/senior-applied-scientist-sponsored-products-and-brands-offsearch?cmpid=DA_INAD200785B", "https://www.amazon.jobs/jobs/3153569/senior-applied-scientist-sponsored-products-and-brands-offsearch?cmpid=DA_INAD200785B")</f>
        <v/>
      </c>
      <c r="G149" t="inlineStr">
        <is>
          <t>New York, NY, US</t>
        </is>
      </c>
      <c r="H149" s="3" t="n">
        <v>46017</v>
      </c>
      <c r="I14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in-66036afc5372dac8</t>
        </is>
      </c>
      <c r="B150" t="inlineStr">
        <is>
          <t>Senior Applied Scientist, Sponsored Products and Brands, Off-Search</t>
        </is>
      </c>
      <c r="C150" t="inlineStr">
        <is>
          <t>Amazon.com</t>
        </is>
      </c>
      <c r="D150" t="inlineStr">
        <is>
          <t>indeed</t>
        </is>
      </c>
      <c r="E150">
        <f>HYPERLINK("https://www.indeed.com/viewjob?jk=66036afc5372dac8", "https://www.indeed.com/viewjob?jk=66036afc5372dac8")</f>
        <v/>
      </c>
      <c r="F150">
        <f>HYPERLINK("https://www.amazon.jobs/jobs/3153569/senior-applied-scientist-sponsored-products-and-brands-offsearch?cmpid=DA_INAD200785B", "https://www.amazon.jobs/jobs/3153569/senior-applied-scientist-sponsored-products-and-brands-offsearch?cmpid=DA_INAD200785B")</f>
        <v/>
      </c>
      <c r="G150" t="inlineStr">
        <is>
          <t>Seattle, WA, US</t>
        </is>
      </c>
      <c r="H150" s="3" t="n">
        <v>46017</v>
      </c>
      <c r="I15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in-6c32da0193495698</t>
        </is>
      </c>
      <c r="B151" t="inlineStr">
        <is>
          <t>Sr. Applied Scientist, Amazon Ads</t>
        </is>
      </c>
      <c r="C151" t="inlineStr">
        <is>
          <t>Amazon.com</t>
        </is>
      </c>
      <c r="D151" t="inlineStr">
        <is>
          <t>indeed</t>
        </is>
      </c>
      <c r="E151">
        <f>HYPERLINK("https://www.indeed.com/viewjob?jk=6c32da0193495698", "https://www.indeed.com/viewjob?jk=6c32da0193495698")</f>
        <v/>
      </c>
      <c r="F151">
        <f>HYPERLINK("https://www.amazon.jobs/jobs/3139328/sr-applied-scientist-amazon-ads?cmpid=DA_INAD200785B", "https://www.amazon.jobs/jobs/3139328/sr-applied-scientist-amazon-ads?cmpid=DA_INAD200785B")</f>
        <v/>
      </c>
      <c r="G151" t="inlineStr">
        <is>
          <t>Palo Alto, CA, US</t>
        </is>
      </c>
      <c r="H151" s="3" t="n">
        <v>45998</v>
      </c>
      <c r="I1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2">
      <c r="A152" t="inlineStr">
        <is>
          <t>in-6845b75de9c3ae83</t>
        </is>
      </c>
      <c r="B152" t="inlineStr">
        <is>
          <t>Sr. Applied Scientist, Amazon Ads</t>
        </is>
      </c>
      <c r="C152" t="inlineStr">
        <is>
          <t>Amazon.com</t>
        </is>
      </c>
      <c r="D152" t="inlineStr">
        <is>
          <t>indeed</t>
        </is>
      </c>
      <c r="E152">
        <f>HYPERLINK("https://www.indeed.com/viewjob?jk=6845b75de9c3ae83", "https://www.indeed.com/viewjob?jk=6845b75de9c3ae83")</f>
        <v/>
      </c>
      <c r="F152">
        <f>HYPERLINK("https://www.amazon.jobs/jobs/3139328/sr-applied-scientist-amazon-ads?cmpid=DA_INAD200785B", "https://www.amazon.jobs/jobs/3139328/sr-applied-scientist-amazon-ads?cmpid=DA_INAD200785B")</f>
        <v/>
      </c>
      <c r="G152" t="inlineStr">
        <is>
          <t>New York, NY, US</t>
        </is>
      </c>
      <c r="H152" s="3" t="n">
        <v>45998</v>
      </c>
      <c r="I1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3">
      <c r="A153" t="inlineStr">
        <is>
          <t>in-36c779805c9bfbdc</t>
        </is>
      </c>
      <c r="B153" t="inlineStr">
        <is>
          <t>Sr. Applied Scientist, Amazon Ads</t>
        </is>
      </c>
      <c r="C153" t="inlineStr">
        <is>
          <t>Amazon.com</t>
        </is>
      </c>
      <c r="D153" t="inlineStr">
        <is>
          <t>indeed</t>
        </is>
      </c>
      <c r="E153">
        <f>HYPERLINK("https://www.indeed.com/viewjob?jk=36c779805c9bfbdc", "https://www.indeed.com/viewjob?jk=36c779805c9bfbdc")</f>
        <v/>
      </c>
      <c r="F153">
        <f>HYPERLINK("https://www.amazon.jobs/jobs/3139328/sr-applied-scientist-amazon-ads?cmpid=DA_INAD200785B", "https://www.amazon.jobs/jobs/3139328/sr-applied-scientist-amazon-ads?cmpid=DA_INAD200785B")</f>
        <v/>
      </c>
      <c r="G153" t="inlineStr">
        <is>
          <t>Santa Monica, CA, US</t>
        </is>
      </c>
      <c r="H153" s="3"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in-2597de68c2bebb23</t>
        </is>
      </c>
      <c r="B154" t="inlineStr">
        <is>
          <t>Sr. Applied Scientist, Amazon Ads</t>
        </is>
      </c>
      <c r="C154" t="inlineStr">
        <is>
          <t>Amazon.com</t>
        </is>
      </c>
      <c r="D154" t="inlineStr">
        <is>
          <t>indeed</t>
        </is>
      </c>
      <c r="E154">
        <f>HYPERLINK("https://www.indeed.com/viewjob?jk=2597de68c2bebb23", "https://www.indeed.com/viewjob?jk=2597de68c2bebb23")</f>
        <v/>
      </c>
      <c r="F154">
        <f>HYPERLINK("https://www.amazon.jobs/jobs/3139328/sr-applied-scientist-amazon-ads?cmpid=DA_INAD200785B", "https://www.amazon.jobs/jobs/3139328/sr-applied-scientist-amazon-ads?cmpid=DA_INAD200785B")</f>
        <v/>
      </c>
      <c r="G154" t="inlineStr">
        <is>
          <t>Corvallis, OR, US</t>
        </is>
      </c>
      <c r="H154" s="3"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in-3387c9ccd8ad59b0</t>
        </is>
      </c>
      <c r="B155" t="inlineStr">
        <is>
          <t>Sr. Applied Scientist, Amazon Ads</t>
        </is>
      </c>
      <c r="C155" t="inlineStr">
        <is>
          <t>Amazon.com</t>
        </is>
      </c>
      <c r="D155" t="inlineStr">
        <is>
          <t>indeed</t>
        </is>
      </c>
      <c r="E155">
        <f>HYPERLINK("https://www.indeed.com/viewjob?jk=3387c9ccd8ad59b0", "https://www.indeed.com/viewjob?jk=3387c9ccd8ad59b0")</f>
        <v/>
      </c>
      <c r="F155">
        <f>HYPERLINK("https://www.amazon.jobs/jobs/3139328/sr-applied-scientist-amazon-ads?cmpid=DA_INAD200785B", "https://www.amazon.jobs/jobs/3139328/sr-applied-scientist-amazon-ads?cmpid=DA_INAD200785B")</f>
        <v/>
      </c>
      <c r="G155" t="inlineStr">
        <is>
          <t>Sunnyvale, CA, US</t>
        </is>
      </c>
      <c r="H155" s="3"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in-0fbe49ff68e9fced</t>
        </is>
      </c>
      <c r="B156" t="inlineStr">
        <is>
          <t>Sr. Applied Scientist, Amazon Ads</t>
        </is>
      </c>
      <c r="C156" t="inlineStr">
        <is>
          <t>Amazon.com</t>
        </is>
      </c>
      <c r="D156" t="inlineStr">
        <is>
          <t>indeed</t>
        </is>
      </c>
      <c r="E156">
        <f>HYPERLINK("https://www.indeed.com/viewjob?jk=0fbe49ff68e9fced", "https://www.indeed.com/viewjob?jk=0fbe49ff68e9fced")</f>
        <v/>
      </c>
      <c r="F156">
        <f>HYPERLINK("https://www.amazon.jobs/jobs/3139328/sr-applied-scientist-amazon-ads?cmpid=DA_INAD200785B", "https://www.amazon.jobs/jobs/3139328/sr-applied-scientist-amazon-ads?cmpid=DA_INAD200785B")</f>
        <v/>
      </c>
      <c r="G156" t="inlineStr">
        <is>
          <t>Tukwila, WA, US</t>
        </is>
      </c>
      <c r="H156" s="3"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in-28b5cee3945d072d</t>
        </is>
      </c>
      <c r="B157" t="inlineStr">
        <is>
          <t>Sr. Applied Scientist, Amazon Ads</t>
        </is>
      </c>
      <c r="C157" t="inlineStr">
        <is>
          <t>Amazon.com</t>
        </is>
      </c>
      <c r="D157" t="inlineStr">
        <is>
          <t>indeed</t>
        </is>
      </c>
      <c r="E157">
        <f>HYPERLINK("https://www.indeed.com/viewjob?jk=28b5cee3945d072d", "https://www.indeed.com/viewjob?jk=28b5cee3945d072d")</f>
        <v/>
      </c>
      <c r="F157">
        <f>HYPERLINK("https://www.amazon.jobs/jobs/3139328/sr-applied-scientist-amazon-ads?cmpid=DA_INAD200785B", "https://www.amazon.jobs/jobs/3139328/sr-applied-scientist-amazon-ads?cmpid=DA_INAD200785B")</f>
        <v/>
      </c>
      <c r="G157" t="inlineStr">
        <is>
          <t>Brooklyn, NY, US</t>
        </is>
      </c>
      <c r="H157" s="3"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in-dc68366fff0508e1</t>
        </is>
      </c>
      <c r="B158" t="inlineStr">
        <is>
          <t>Sr. Applied Scientist, Amazon Ads</t>
        </is>
      </c>
      <c r="C158" t="inlineStr">
        <is>
          <t>Amazon.com</t>
        </is>
      </c>
      <c r="D158" t="inlineStr">
        <is>
          <t>indeed</t>
        </is>
      </c>
      <c r="E158">
        <f>HYPERLINK("https://www.indeed.com/viewjob?jk=dc68366fff0508e1", "https://www.indeed.com/viewjob?jk=dc68366fff0508e1")</f>
        <v/>
      </c>
      <c r="F158">
        <f>HYPERLINK("https://www.amazon.jobs/jobs/3139328/sr-applied-scientist-amazon-ads?cmpid=DA_INAD200785B", "https://www.amazon.jobs/jobs/3139328/sr-applied-scientist-amazon-ads?cmpid=DA_INAD200785B")</f>
        <v/>
      </c>
      <c r="G158" t="inlineStr">
        <is>
          <t>Boston, MA, US</t>
        </is>
      </c>
      <c r="H158" s="3"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in-f3c45df235828d6e</t>
        </is>
      </c>
      <c r="B159" t="inlineStr">
        <is>
          <t>Sr. Applied Scientist, Amazon Ads</t>
        </is>
      </c>
      <c r="C159" t="inlineStr">
        <is>
          <t>Amazon.com</t>
        </is>
      </c>
      <c r="D159" t="inlineStr">
        <is>
          <t>indeed</t>
        </is>
      </c>
      <c r="E159">
        <f>HYPERLINK("https://www.indeed.com/viewjob?jk=f3c45df235828d6e", "https://www.indeed.com/viewjob?jk=f3c45df235828d6e")</f>
        <v/>
      </c>
      <c r="F159">
        <f>HYPERLINK("https://www.amazon.jobs/jobs/3139328/sr-applied-scientist-amazon-ads?cmpid=DA_INAD200785B", "https://www.amazon.jobs/jobs/3139328/sr-applied-scientist-amazon-ads?cmpid=DA_INAD200785B")</f>
        <v/>
      </c>
      <c r="G159" t="inlineStr">
        <is>
          <t>Seattle, WA,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in-f2595729fe930740</t>
        </is>
      </c>
      <c r="B160" t="inlineStr">
        <is>
          <t>Sr. Applied Scientist, Amazon Ads</t>
        </is>
      </c>
      <c r="C160" t="inlineStr">
        <is>
          <t>Amazon.com</t>
        </is>
      </c>
      <c r="D160" t="inlineStr">
        <is>
          <t>indeed</t>
        </is>
      </c>
      <c r="E160">
        <f>HYPERLINK("https://www.indeed.com/viewjob?jk=f2595729fe930740", "https://www.indeed.com/viewjob?jk=f2595729fe930740")</f>
        <v/>
      </c>
      <c r="F160">
        <f>HYPERLINK("https://www.amazon.jobs/jobs/3139328/sr-applied-scientist-amazon-ads?cmpid=DA_INAD200785B", "https://www.amazon.jobs/jobs/3139328/sr-applied-scientist-amazon-ads?cmpid=DA_INAD200785B")</f>
        <v/>
      </c>
      <c r="G160" t="inlineStr">
        <is>
          <t>Boulder, CO,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in-fae35c686fb58d59</t>
        </is>
      </c>
      <c r="B161" t="inlineStr">
        <is>
          <t>Applied Scientist, ML Compiler</t>
        </is>
      </c>
      <c r="C161" t="inlineStr">
        <is>
          <t>Amazon Web Services</t>
        </is>
      </c>
      <c r="D161" t="inlineStr">
        <is>
          <t>indeed</t>
        </is>
      </c>
      <c r="E161">
        <f>HYPERLINK("https://www.indeed.com/viewjob?jk=fae35c686fb58d59", "https://www.indeed.com/viewjob?jk=fae35c686fb58d59")</f>
        <v/>
      </c>
      <c r="F161">
        <f>HYPERLINK("https://www.amazon.jobs/jobs/3136884/applied-scientist-ml-compiler?cmpid=DA_INAD200785B", "https://www.amazon.jobs/jobs/3136884/applied-scientist-ml-compiler?cmpid=DA_INAD200785B")</f>
        <v/>
      </c>
      <c r="G161" t="inlineStr">
        <is>
          <t>Cupertino, CA, US</t>
        </is>
      </c>
      <c r="H161" s="3" t="n">
        <v>45993</v>
      </c>
      <c r="I16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in-e4bc2bddbe24e27d</t>
        </is>
      </c>
      <c r="B162" t="inlineStr">
        <is>
          <t>Applied Scientist, ML Compiler</t>
        </is>
      </c>
      <c r="C162" t="inlineStr">
        <is>
          <t>Amazon Web Services</t>
        </is>
      </c>
      <c r="D162" t="inlineStr">
        <is>
          <t>indeed</t>
        </is>
      </c>
      <c r="E162">
        <f>HYPERLINK("https://www.indeed.com/viewjob?jk=e4bc2bddbe24e27d", "https://www.indeed.com/viewjob?jk=e4bc2bddbe24e27d")</f>
        <v/>
      </c>
      <c r="F162">
        <f>HYPERLINK("https://www.amazon.jobs/jobs/3136884/applied-scientist-ml-compiler?cmpid=DA_INAD200785B", "https://www.amazon.jobs/jobs/3136884/applied-scientist-ml-compiler?cmpid=DA_INAD200785B")</f>
        <v/>
      </c>
      <c r="G162" t="inlineStr">
        <is>
          <t>Seattle, WA, US</t>
        </is>
      </c>
      <c r="H162" s="3" t="n">
        <v>45993</v>
      </c>
      <c r="I16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in-7fe175730c9fe598</t>
        </is>
      </c>
      <c r="B163" t="inlineStr">
        <is>
          <t>Senior Applied Scientist, Locomotion, Amazon Industrial Robotics</t>
        </is>
      </c>
      <c r="C163" t="inlineStr">
        <is>
          <t>Amazon.com</t>
        </is>
      </c>
      <c r="D163" t="inlineStr">
        <is>
          <t>indeed</t>
        </is>
      </c>
      <c r="E163">
        <f>HYPERLINK("https://www.indeed.com/viewjob?jk=7fe175730c9fe598", "https://www.indeed.com/viewjob?jk=7fe175730c9fe598")</f>
        <v/>
      </c>
      <c r="F163">
        <f>HYPERLINK("https://www.amazon.jobs/jobs/3134751/senior-applied-scientist-locomotion-amazon-industrial-robotics?cmpid=DA_INAD200785B", "https://www.amazon.jobs/jobs/3134751/senior-applied-scientist-locomotion-amazon-industrial-robotics?cmpid=DA_INAD200785B")</f>
        <v/>
      </c>
      <c r="G163" t="inlineStr">
        <is>
          <t>Reading, MA, US</t>
        </is>
      </c>
      <c r="H163" s="3" t="n">
        <v>45992</v>
      </c>
      <c r="I1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in-bc916504104e1a00</t>
        </is>
      </c>
      <c r="B164" t="inlineStr">
        <is>
          <t>Senior Applied Scientist, Locomotion, Amazon Industrial Robotics</t>
        </is>
      </c>
      <c r="C164" t="inlineStr">
        <is>
          <t>Amazon.com</t>
        </is>
      </c>
      <c r="D164" t="inlineStr">
        <is>
          <t>indeed</t>
        </is>
      </c>
      <c r="E164">
        <f>HYPERLINK("https://www.indeed.com/viewjob?jk=bc916504104e1a00", "https://www.indeed.com/viewjob?jk=bc916504104e1a00")</f>
        <v/>
      </c>
      <c r="F164">
        <f>HYPERLINK("https://www.amazon.jobs/jobs/3134751/senior-applied-scientist-locomotion-amazon-industrial-robotics?cmpid=DA_INAD200785B", "https://www.amazon.jobs/jobs/3134751/senior-applied-scientist-locomotion-amazon-industrial-robotics?cmpid=DA_INAD200785B")</f>
        <v/>
      </c>
      <c r="G164" t="inlineStr">
        <is>
          <t>Reading, MA, US</t>
        </is>
      </c>
      <c r="H164" s="3" t="n">
        <v>45992</v>
      </c>
      <c r="I1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in-71fa06e6643e9381</t>
        </is>
      </c>
      <c r="B165" t="inlineStr">
        <is>
          <t>Principal Applied Scientist, Amazon Special Projects</t>
        </is>
      </c>
      <c r="C165" t="inlineStr">
        <is>
          <t>Amazon.com</t>
        </is>
      </c>
      <c r="D165" t="inlineStr">
        <is>
          <t>indeed</t>
        </is>
      </c>
      <c r="E165">
        <f>HYPERLINK("https://www.indeed.com/viewjob?jk=71fa06e6643e9381", "https://www.indeed.com/viewjob?jk=71fa06e6643e9381")</f>
        <v/>
      </c>
      <c r="F165">
        <f>HYPERLINK("https://www.amazon.jobs/jobs/3132566/principal-applied-scientist-amazon-special-projects?cmpid=DA_INAD200785B", "https://www.amazon.jobs/jobs/3132566/principal-applied-scientist-amazon-special-projects?cmpid=DA_INAD200785B")</f>
        <v/>
      </c>
      <c r="G165" t="inlineStr">
        <is>
          <t>Boston, MA, US</t>
        </is>
      </c>
      <c r="H165" s="3" t="n">
        <v>45982</v>
      </c>
      <c r="I16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in-e0ab64bf7aeaeb78</t>
        </is>
      </c>
      <c r="B166" t="inlineStr">
        <is>
          <t>Principal Applied Scientist, Amazon Special Projects</t>
        </is>
      </c>
      <c r="C166" t="inlineStr">
        <is>
          <t>Amazon.com</t>
        </is>
      </c>
      <c r="D166" t="inlineStr">
        <is>
          <t>indeed</t>
        </is>
      </c>
      <c r="E166">
        <f>HYPERLINK("https://www.indeed.com/viewjob?jk=e0ab64bf7aeaeb78", "https://www.indeed.com/viewjob?jk=e0ab64bf7aeaeb78")</f>
        <v/>
      </c>
      <c r="F166">
        <f>HYPERLINK("https://www.amazon.jobs/jobs/3132566/principal-applied-scientist-amazon-special-projects?cmpid=DA_INAD200785B", "https://www.amazon.jobs/jobs/3132566/principal-applied-scientist-amazon-special-projects?cmpid=DA_INAD200785B")</f>
        <v/>
      </c>
      <c r="G166" t="inlineStr">
        <is>
          <t>Seattle, WA, US</t>
        </is>
      </c>
      <c r="H166" s="3" t="n">
        <v>45982</v>
      </c>
      <c r="I16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in-681fb6f424963045</t>
        </is>
      </c>
      <c r="B167" t="inlineStr">
        <is>
          <t>Sr. Applied Scientist, SPB Advertiser Guidance</t>
        </is>
      </c>
      <c r="C167" t="inlineStr">
        <is>
          <t>Amazon.com</t>
        </is>
      </c>
      <c r="D167" t="inlineStr">
        <is>
          <t>indeed</t>
        </is>
      </c>
      <c r="E167">
        <f>HYPERLINK("https://www.indeed.com/viewjob?jk=681fb6f424963045", "https://www.indeed.com/viewjob?jk=681fb6f424963045")</f>
        <v/>
      </c>
      <c r="F167">
        <f>HYPERLINK("https://www.amazon.jobs/jobs/3132336/sr-applied-scientist-spb-advertiser-guidance?cmpid=DA_INAD200785B", "https://www.amazon.jobs/jobs/3132336/sr-applied-scientist-spb-advertiser-guidance?cmpid=DA_INAD200785B")</f>
        <v/>
      </c>
      <c r="G167" t="inlineStr">
        <is>
          <t>Seattle, WA, US</t>
        </is>
      </c>
      <c r="H167" s="3" t="n">
        <v>45981</v>
      </c>
      <c r="I1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in-e3f82a702610f7f4</t>
        </is>
      </c>
      <c r="B168" t="inlineStr">
        <is>
          <t>Sr. Applied Scientist, SPB Advertiser Guidance</t>
        </is>
      </c>
      <c r="C168" t="inlineStr">
        <is>
          <t>Amazon.com</t>
        </is>
      </c>
      <c r="D168" t="inlineStr">
        <is>
          <t>indeed</t>
        </is>
      </c>
      <c r="E168">
        <f>HYPERLINK("https://www.indeed.com/viewjob?jk=e3f82a702610f7f4", "https://www.indeed.com/viewjob?jk=e3f82a702610f7f4")</f>
        <v/>
      </c>
      <c r="F168">
        <f>HYPERLINK("https://www.amazon.jobs/jobs/3132336/sr-applied-scientist-spb-advertiser-guidance?cmpid=DA_INAD200785B", "https://www.amazon.jobs/jobs/3132336/sr-applied-scientist-spb-advertiser-guidance?cmpid=DA_INAD200785B")</f>
        <v/>
      </c>
      <c r="G168" t="inlineStr">
        <is>
          <t>Palo Alto, CA, US</t>
        </is>
      </c>
      <c r="H168" s="3" t="n">
        <v>45981</v>
      </c>
      <c r="I1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in-128bd8d54874035c</t>
        </is>
      </c>
      <c r="B169" t="inlineStr">
        <is>
          <t>Sr. Applied Scientist, SPB Advertiser Guidance</t>
        </is>
      </c>
      <c r="C169" t="inlineStr">
        <is>
          <t>Amazon.com</t>
        </is>
      </c>
      <c r="D169" t="inlineStr">
        <is>
          <t>indeed</t>
        </is>
      </c>
      <c r="E169">
        <f>HYPERLINK("https://www.indeed.com/viewjob?jk=128bd8d54874035c", "https://www.indeed.com/viewjob?jk=128bd8d54874035c")</f>
        <v/>
      </c>
      <c r="F169">
        <f>HYPERLINK("https://www.amazon.jobs/jobs/3132336/sr-applied-scientist-spb-advertiser-guidance?cmpid=DA_INAD200785B", "https://www.amazon.jobs/jobs/3132336/sr-applied-scientist-spb-advertiser-guidance?cmpid=DA_INAD200785B")</f>
        <v/>
      </c>
      <c r="G169" t="inlineStr">
        <is>
          <t>New York, NY, US</t>
        </is>
      </c>
      <c r="H169" s="3" t="n">
        <v>45981</v>
      </c>
      <c r="I1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in-394452259a74a8a2</t>
        </is>
      </c>
      <c r="B170" t="inlineStr">
        <is>
          <t>Senior Applied Scientist, Artificial General Intelligence</t>
        </is>
      </c>
      <c r="C170" t="inlineStr">
        <is>
          <t>Amazon.com</t>
        </is>
      </c>
      <c r="D170" t="inlineStr">
        <is>
          <t>indeed</t>
        </is>
      </c>
      <c r="E170">
        <f>HYPERLINK("https://www.indeed.com/viewjob?jk=394452259a74a8a2", "https://www.indeed.com/viewjob?jk=394452259a74a8a2")</f>
        <v/>
      </c>
      <c r="F170">
        <f>HYPERLINK("https://www.amazon.jobs/jobs/3131971/senior-applied-scientist-artificial-general-intelligence?cmpid=DA_INAD200785B", "https://www.amazon.jobs/jobs/3131971/senior-applied-scientist-artificial-general-intelligence?cmpid=DA_INAD200785B")</f>
        <v/>
      </c>
      <c r="G170" t="inlineStr">
        <is>
          <t>Boston, MA, US</t>
        </is>
      </c>
      <c r="H170" s="3" t="n">
        <v>45980</v>
      </c>
      <c r="I17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in-ab8aadafa9106a5d</t>
        </is>
      </c>
      <c r="B171" t="inlineStr">
        <is>
          <t>Senior Applied Scientist, Artificial General Intelligence</t>
        </is>
      </c>
      <c r="C171" t="inlineStr">
        <is>
          <t>Amazon.com</t>
        </is>
      </c>
      <c r="D171" t="inlineStr">
        <is>
          <t>indeed</t>
        </is>
      </c>
      <c r="E171">
        <f>HYPERLINK("https://www.indeed.com/viewjob?jk=ab8aadafa9106a5d", "https://www.indeed.com/viewjob?jk=ab8aadafa9106a5d")</f>
        <v/>
      </c>
      <c r="F171">
        <f>HYPERLINK("https://www.amazon.jobs/jobs/3131971/senior-applied-scientist-artificial-general-intelligence?cmpid=DA_INAD200785B", "https://www.amazon.jobs/jobs/3131971/senior-applied-scientist-artificial-general-intelligence?cmpid=DA_INAD200785B")</f>
        <v/>
      </c>
      <c r="G171" t="inlineStr">
        <is>
          <t>New York, NY, US</t>
        </is>
      </c>
      <c r="H171" s="3" t="n">
        <v>45980</v>
      </c>
      <c r="I17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in-d326dda9d292c755</t>
        </is>
      </c>
      <c r="B172" t="inlineStr">
        <is>
          <t>Senior Applied Scientist, Artificial General Intelligence</t>
        </is>
      </c>
      <c r="C172" t="inlineStr">
        <is>
          <t>Amazon.com</t>
        </is>
      </c>
      <c r="D172" t="inlineStr">
        <is>
          <t>indeed</t>
        </is>
      </c>
      <c r="E172">
        <f>HYPERLINK("https://www.indeed.com/viewjob?jk=d326dda9d292c755", "https://www.indeed.com/viewjob?jk=d326dda9d292c755")</f>
        <v/>
      </c>
      <c r="F172">
        <f>HYPERLINK("https://www.amazon.jobs/jobs/3131971/senior-applied-scientist-artificial-general-intelligence?cmpid=DA_INAD200785B", "https://www.amazon.jobs/jobs/3131971/senior-applied-scientist-artificial-general-intelligence?cmpid=DA_INAD200785B")</f>
        <v/>
      </c>
      <c r="G172" t="inlineStr">
        <is>
          <t>Sunnyvale, CA, US</t>
        </is>
      </c>
      <c r="H172" s="3" t="n">
        <v>45980</v>
      </c>
      <c r="I17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in-f40476085bfe1e96</t>
        </is>
      </c>
      <c r="B173" t="inlineStr">
        <is>
          <t>Senior Applied Scientist, Artificial General Intelligence</t>
        </is>
      </c>
      <c r="C173" t="inlineStr">
        <is>
          <t>Amazon.com</t>
        </is>
      </c>
      <c r="D173" t="inlineStr">
        <is>
          <t>indeed</t>
        </is>
      </c>
      <c r="E173">
        <f>HYPERLINK("https://www.indeed.com/viewjob?jk=f40476085bfe1e96", "https://www.indeed.com/viewjob?jk=f40476085bfe1e96")</f>
        <v/>
      </c>
      <c r="F173">
        <f>HYPERLINK("https://www.amazon.jobs/jobs/3131971/senior-applied-scientist-artificial-general-intelligence?cmpid=DA_INAD200785B", "https://www.amazon.jobs/jobs/3131971/senior-applied-scientist-artificial-general-intelligence?cmpid=DA_INAD200785B")</f>
        <v/>
      </c>
      <c r="G173" t="inlineStr">
        <is>
          <t>Seattle, WA, US</t>
        </is>
      </c>
      <c r="H173" s="3" t="n">
        <v>45980</v>
      </c>
      <c r="I17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in-0d30b823e3d024c0</t>
        </is>
      </c>
      <c r="B174" t="inlineStr">
        <is>
          <t>Applied Scientist II, SPB Advertiser Guidance</t>
        </is>
      </c>
      <c r="C174" t="inlineStr">
        <is>
          <t>Amazon.com</t>
        </is>
      </c>
      <c r="D174" t="inlineStr">
        <is>
          <t>indeed</t>
        </is>
      </c>
      <c r="E174">
        <f>HYPERLINK("https://www.indeed.com/viewjob?jk=0d30b823e3d024c0", "https://www.indeed.com/viewjob?jk=0d30b823e3d024c0")</f>
        <v/>
      </c>
      <c r="F174">
        <f>HYPERLINK("https://www.amazon.jobs/jobs/3131876/applied-scientist-ii-spb-advertiser-guidance?cmpid=DA_INAD200785B", "https://www.amazon.jobs/jobs/3131876/applied-scientist-ii-spb-advertiser-guidance?cmpid=DA_INAD200785B")</f>
        <v/>
      </c>
      <c r="G174" t="inlineStr">
        <is>
          <t>Seattle, WA, US</t>
        </is>
      </c>
      <c r="H174" s="3" t="n">
        <v>45980</v>
      </c>
      <c r="I1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in-b6d7c34f837c2c6e</t>
        </is>
      </c>
      <c r="B175" t="inlineStr">
        <is>
          <t>Applied Scientist II, SPB Advertiser Guidance</t>
        </is>
      </c>
      <c r="C175" t="inlineStr">
        <is>
          <t>Amazon.com</t>
        </is>
      </c>
      <c r="D175" t="inlineStr">
        <is>
          <t>indeed</t>
        </is>
      </c>
      <c r="E175">
        <f>HYPERLINK("https://www.indeed.com/viewjob?jk=b6d7c34f837c2c6e", "https://www.indeed.com/viewjob?jk=b6d7c34f837c2c6e")</f>
        <v/>
      </c>
      <c r="F175">
        <f>HYPERLINK("https://www.amazon.jobs/jobs/3131876/applied-scientist-ii-spb-advertiser-guidance?cmpid=DA_INAD200785B", "https://www.amazon.jobs/jobs/3131876/applied-scientist-ii-spb-advertiser-guidance?cmpid=DA_INAD200785B")</f>
        <v/>
      </c>
      <c r="G175" t="inlineStr">
        <is>
          <t>Palo Alto, CA, US</t>
        </is>
      </c>
      <c r="H175" s="3" t="n">
        <v>45980</v>
      </c>
      <c r="I1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in-e418ea63ac3fb9c7</t>
        </is>
      </c>
      <c r="B176" t="inlineStr">
        <is>
          <t>Applied Scientist II, SPB Advertiser Guidance</t>
        </is>
      </c>
      <c r="C176" t="inlineStr">
        <is>
          <t>Amazon.com</t>
        </is>
      </c>
      <c r="D176" t="inlineStr">
        <is>
          <t>indeed</t>
        </is>
      </c>
      <c r="E176">
        <f>HYPERLINK("https://www.indeed.com/viewjob?jk=e418ea63ac3fb9c7", "https://www.indeed.com/viewjob?jk=e418ea63ac3fb9c7")</f>
        <v/>
      </c>
      <c r="F176">
        <f>HYPERLINK("https://www.amazon.jobs/jobs/3131876/applied-scientist-ii-spb-advertiser-guidance?cmpid=DA_INAD200785B", "https://www.amazon.jobs/jobs/3131876/applied-scientist-ii-spb-advertiser-guidance?cmpid=DA_INAD200785B")</f>
        <v/>
      </c>
      <c r="G176" t="inlineStr">
        <is>
          <t>New York, NY, US</t>
        </is>
      </c>
      <c r="H176" s="3" t="n">
        <v>45980</v>
      </c>
      <c r="I1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in-0f20d5c2d0e192a4</t>
        </is>
      </c>
      <c r="B177" t="inlineStr">
        <is>
          <t>Principal Applied Scientist, Sponsored Products and Brands</t>
        </is>
      </c>
      <c r="C177" t="inlineStr">
        <is>
          <t>Amazon.com</t>
        </is>
      </c>
      <c r="D177" t="inlineStr">
        <is>
          <t>indeed</t>
        </is>
      </c>
      <c r="E177">
        <f>HYPERLINK("https://www.indeed.com/viewjob?jk=0f20d5c2d0e192a4", "https://www.indeed.com/viewjob?jk=0f20d5c2d0e192a4")</f>
        <v/>
      </c>
      <c r="F177">
        <f>HYPERLINK("https://www.amazon.jobs/jobs/3130855/principal-applied-scientist-sponsored-products-and-brands?cmpid=DA_INAD200785B", "https://www.amazon.jobs/jobs/3130855/principal-applied-scientist-sponsored-products-and-brands?cmpid=DA_INAD200785B")</f>
        <v/>
      </c>
      <c r="G177" t="inlineStr">
        <is>
          <t>Seattle, WA, US</t>
        </is>
      </c>
      <c r="H177" s="3" t="n">
        <v>45979</v>
      </c>
      <c r="I1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in-a99274996bd6d6e7</t>
        </is>
      </c>
      <c r="B178" t="inlineStr">
        <is>
          <t>Principal Applied Scientist, Sponsored Products and Brands</t>
        </is>
      </c>
      <c r="C178" t="inlineStr">
        <is>
          <t>Amazon.com</t>
        </is>
      </c>
      <c r="D178" t="inlineStr">
        <is>
          <t>indeed</t>
        </is>
      </c>
      <c r="E178">
        <f>HYPERLINK("https://www.indeed.com/viewjob?jk=a99274996bd6d6e7", "https://www.indeed.com/viewjob?jk=a99274996bd6d6e7")</f>
        <v/>
      </c>
      <c r="F178">
        <f>HYPERLINK("https://www.amazon.jobs/jobs/3130855/principal-applied-scientist-sponsored-products-and-brands?cmpid=DA_INAD200785B", "https://www.amazon.jobs/jobs/3130855/principal-applied-scientist-sponsored-products-and-brands?cmpid=DA_INAD200785B")</f>
        <v/>
      </c>
      <c r="G178" t="inlineStr">
        <is>
          <t>New York, NY, US</t>
        </is>
      </c>
      <c r="H178" s="3" t="n">
        <v>45979</v>
      </c>
      <c r="I1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in-83233e273ccbd0d8</t>
        </is>
      </c>
      <c r="B179" t="inlineStr">
        <is>
          <t>Sr. Applied Scientist, AGI Foundations</t>
        </is>
      </c>
      <c r="C179" t="inlineStr">
        <is>
          <t>Amazon.com</t>
        </is>
      </c>
      <c r="D179" t="inlineStr">
        <is>
          <t>indeed</t>
        </is>
      </c>
      <c r="E179">
        <f>HYPERLINK("https://www.indeed.com/viewjob?jk=83233e273ccbd0d8", "https://www.indeed.com/viewjob?jk=83233e273ccbd0d8")</f>
        <v/>
      </c>
      <c r="F179">
        <f>HYPERLINK("https://www.amazon.jobs/jobs/3128807/sr-applied-scientist-agi-foundations?cmpid=DA_INAD200785B", "https://www.amazon.jobs/jobs/3128807/sr-applied-scientist-agi-foundations?cmpid=DA_INAD200785B")</f>
        <v/>
      </c>
      <c r="G179" t="inlineStr">
        <is>
          <t>Sunnyvale, CA, US</t>
        </is>
      </c>
      <c r="H179" s="3" t="n">
        <v>45978</v>
      </c>
      <c r="I17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in-7344a45e0eb3213b</t>
        </is>
      </c>
      <c r="B180" t="inlineStr">
        <is>
          <t>Sr. Applied Scientist, AGI Foundations</t>
        </is>
      </c>
      <c r="C180" t="inlineStr">
        <is>
          <t>Amazon.com</t>
        </is>
      </c>
      <c r="D180" t="inlineStr">
        <is>
          <t>indeed</t>
        </is>
      </c>
      <c r="E180">
        <f>HYPERLINK("https://www.indeed.com/viewjob?jk=7344a45e0eb3213b", "https://www.indeed.com/viewjob?jk=7344a45e0eb3213b")</f>
        <v/>
      </c>
      <c r="F180">
        <f>HYPERLINK("https://www.amazon.jobs/jobs/3128807/sr-applied-scientist-agi-foundations?cmpid=DA_INAD200785B", "https://www.amazon.jobs/jobs/3128807/sr-applied-scientist-agi-foundations?cmpid=DA_INAD200785B")</f>
        <v/>
      </c>
      <c r="G180" t="inlineStr">
        <is>
          <t>Bellevue, WA, US</t>
        </is>
      </c>
      <c r="H180" s="3" t="n">
        <v>45978</v>
      </c>
      <c r="I1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in-461fbad3cc1f20d1</t>
        </is>
      </c>
      <c r="B181" t="inlineStr">
        <is>
          <t>Sr. Applied Scientist, AGI Foundations</t>
        </is>
      </c>
      <c r="C181" t="inlineStr">
        <is>
          <t>Amazon.com</t>
        </is>
      </c>
      <c r="D181" t="inlineStr">
        <is>
          <t>indeed</t>
        </is>
      </c>
      <c r="E181">
        <f>HYPERLINK("https://www.indeed.com/viewjob?jk=461fbad3cc1f20d1", "https://www.indeed.com/viewjob?jk=461fbad3cc1f20d1")</f>
        <v/>
      </c>
      <c r="F181">
        <f>HYPERLINK("https://www.amazon.jobs/jobs/3128807/sr-applied-scientist-agi-foundations?cmpid=DA_INAD200785B", "https://www.amazon.jobs/jobs/3128807/sr-applied-scientist-agi-foundations?cmpid=DA_INAD200785B")</f>
        <v/>
      </c>
      <c r="G181" t="inlineStr">
        <is>
          <t>New York, NY, US</t>
        </is>
      </c>
      <c r="H181" s="3" t="n">
        <v>45978</v>
      </c>
      <c r="I1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in-bd787ed354295e3a</t>
        </is>
      </c>
      <c r="B182" t="inlineStr">
        <is>
          <t>Applied Scientist II, Robotics and ML, Amazon Industrial Robotics</t>
        </is>
      </c>
      <c r="C182" t="inlineStr">
        <is>
          <t>Amazon.com</t>
        </is>
      </c>
      <c r="D182" t="inlineStr">
        <is>
          <t>indeed</t>
        </is>
      </c>
      <c r="E182">
        <f>HYPERLINK("https://www.indeed.com/viewjob?jk=bd787ed354295e3a", "https://www.indeed.com/viewjob?jk=bd787ed354295e3a")</f>
        <v/>
      </c>
      <c r="F182">
        <f>HYPERLINK("https://www.amazon.jobs/jobs/3128219/applied-scientist-ii-robotics-and-ml-amazon-industrial-robotics?cmpid=DA_INAD200785B", "https://www.amazon.jobs/jobs/3128219/applied-scientist-ii-robotics-and-ml-amazon-industrial-robotics?cmpid=DA_INAD200785B")</f>
        <v/>
      </c>
      <c r="G182" t="inlineStr">
        <is>
          <t>Reading, MA, US</t>
        </is>
      </c>
      <c r="H182" s="3" t="n">
        <v>45975</v>
      </c>
      <c r="I18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in-27376eb39db82f51</t>
        </is>
      </c>
      <c r="B183" t="inlineStr">
        <is>
          <t>Applied Scientist II, Robotics and ML, Amazon Industrial Robotics</t>
        </is>
      </c>
      <c r="C183" t="inlineStr">
        <is>
          <t>Amazon.com</t>
        </is>
      </c>
      <c r="D183" t="inlineStr">
        <is>
          <t>indeed</t>
        </is>
      </c>
      <c r="E183">
        <f>HYPERLINK("https://www.indeed.com/viewjob?jk=27376eb39db82f51", "https://www.indeed.com/viewjob?jk=27376eb39db82f51")</f>
        <v/>
      </c>
      <c r="F183">
        <f>HYPERLINK("https://www.amazon.jobs/jobs/3128219/applied-scientist-ii-robotics-and-ml-amazon-industrial-robotics?cmpid=DA_INAD200785B", "https://www.amazon.jobs/jobs/3128219/applied-scientist-ii-robotics-and-ml-amazon-industrial-robotics?cmpid=DA_INAD200785B")</f>
        <v/>
      </c>
      <c r="G183" t="inlineStr">
        <is>
          <t>Reading, MA, US</t>
        </is>
      </c>
      <c r="H183" s="3" t="n">
        <v>45975</v>
      </c>
      <c r="I18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in-2677234412df7ae9</t>
        </is>
      </c>
      <c r="B184" t="inlineStr">
        <is>
          <t>Sr. Applied Scientist, Amazon Industrial Robotics</t>
        </is>
      </c>
      <c r="C184" t="inlineStr">
        <is>
          <t>Amazon.com</t>
        </is>
      </c>
      <c r="D184" t="inlineStr">
        <is>
          <t>indeed</t>
        </is>
      </c>
      <c r="E184">
        <f>HYPERLINK("https://www.indeed.com/viewjob?jk=2677234412df7ae9", "https://www.indeed.com/viewjob?jk=2677234412df7ae9")</f>
        <v/>
      </c>
      <c r="F184">
        <f>HYPERLINK("https://www.amazon.jobs/jobs/3128751/sr-applied-scientist-amazon-industrial-robotics?cmpid=DA_INAD200785B", "https://www.amazon.jobs/jobs/3128751/sr-applied-scientist-amazon-industrial-robotics?cmpid=DA_INAD200785B")</f>
        <v/>
      </c>
      <c r="G184" t="inlineStr">
        <is>
          <t>Reading, MA, US</t>
        </is>
      </c>
      <c r="H184" s="3" t="n">
        <v>45973</v>
      </c>
      <c r="I18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in-b5d269e4024f226e</t>
        </is>
      </c>
      <c r="B185" t="inlineStr">
        <is>
          <t>Sr. Applied Scientist, Amazon Industrial Robotics</t>
        </is>
      </c>
      <c r="C185" t="inlineStr">
        <is>
          <t>Amazon.com</t>
        </is>
      </c>
      <c r="D185" t="inlineStr">
        <is>
          <t>indeed</t>
        </is>
      </c>
      <c r="E185">
        <f>HYPERLINK("https://www.indeed.com/viewjob?jk=b5d269e4024f226e", "https://www.indeed.com/viewjob?jk=b5d269e4024f226e")</f>
        <v/>
      </c>
      <c r="F185">
        <f>HYPERLINK("https://www.amazon.jobs/jobs/3128751/sr-applied-scientist-amazon-industrial-robotics?cmpid=DA_INAD200785B", "https://www.amazon.jobs/jobs/3128751/sr-applied-scientist-amazon-industrial-robotics?cmpid=DA_INAD200785B")</f>
        <v/>
      </c>
      <c r="G185" t="inlineStr">
        <is>
          <t>Reading, MA, US</t>
        </is>
      </c>
      <c r="H185" s="3" t="n">
        <v>45973</v>
      </c>
      <c r="I18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in-8c71d0bba06660b1</t>
        </is>
      </c>
      <c r="B186" t="inlineStr">
        <is>
          <t>Senior Applied Scientist, Planning and Controls, Amazon Industrial Robotics</t>
        </is>
      </c>
      <c r="C186" t="inlineStr">
        <is>
          <t>Amazon.com</t>
        </is>
      </c>
      <c r="D186" t="inlineStr">
        <is>
          <t>indeed</t>
        </is>
      </c>
      <c r="E186">
        <f>HYPERLINK("https://www.indeed.com/viewjob?jk=8c71d0bba06660b1", "https://www.indeed.com/viewjob?jk=8c71d0bba06660b1")</f>
        <v/>
      </c>
      <c r="F186">
        <f>HYPERLINK("https://www.amazon.jobs/jobs/3127891/senior-applied-scientist-planning-and-controls-amazon-industrial-robotics?cmpid=DA_INAD200785B", "https://www.amazon.jobs/jobs/3127891/senior-applied-scientist-planning-and-controls-amazon-industrial-robotics?cmpid=DA_INAD200785B")</f>
        <v/>
      </c>
      <c r="G186" t="inlineStr">
        <is>
          <t>Reading, MA, US</t>
        </is>
      </c>
      <c r="H186" s="3" t="n">
        <v>45972</v>
      </c>
      <c r="I18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in-bb8341dc2bd164e6</t>
        </is>
      </c>
      <c r="B187" t="inlineStr">
        <is>
          <t>Senior Applied Scientist, Planning and Controls, Amazon Industrial Robotics</t>
        </is>
      </c>
      <c r="C187" t="inlineStr">
        <is>
          <t>Amazon.com</t>
        </is>
      </c>
      <c r="D187" t="inlineStr">
        <is>
          <t>indeed</t>
        </is>
      </c>
      <c r="E187">
        <f>HYPERLINK("https://www.indeed.com/viewjob?jk=bb8341dc2bd164e6", "https://www.indeed.com/viewjob?jk=bb8341dc2bd164e6")</f>
        <v/>
      </c>
      <c r="F187">
        <f>HYPERLINK("https://www.amazon.jobs/jobs/3127891/senior-applied-scientist-planning-and-controls-amazon-industrial-robotics?cmpid=DA_INAD200785B", "https://www.amazon.jobs/jobs/3127891/senior-applied-scientist-planning-and-controls-amazon-industrial-robotics?cmpid=DA_INAD200785B")</f>
        <v/>
      </c>
      <c r="G187" t="inlineStr">
        <is>
          <t>Reading, MA, US</t>
        </is>
      </c>
      <c r="H187" s="3" t="n">
        <v>45972</v>
      </c>
      <c r="I18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in-75afa2197a014017</t>
        </is>
      </c>
      <c r="B188" t="inlineStr">
        <is>
          <t>Principal Applied Scientist, Amazon AGI</t>
        </is>
      </c>
      <c r="C188" t="inlineStr">
        <is>
          <t>Amazon.com</t>
        </is>
      </c>
      <c r="D188" t="inlineStr">
        <is>
          <t>indeed</t>
        </is>
      </c>
      <c r="E188">
        <f>HYPERLINK("https://www.indeed.com/viewjob?jk=75afa2197a014017", "https://www.indeed.com/viewjob?jk=75afa2197a014017")</f>
        <v/>
      </c>
      <c r="F188">
        <f>HYPERLINK("https://www.amazon.jobs/jobs/3128808/principal-applied-scientist-amazon-agi?cmpid=DA_INAD200785B", "https://www.amazon.jobs/jobs/3128808/principal-applied-scientist-amazon-agi?cmpid=DA_INAD200785B")</f>
        <v/>
      </c>
      <c r="G188" t="inlineStr">
        <is>
          <t>San Francisco, CA, US</t>
        </is>
      </c>
      <c r="H188" s="3" t="n">
        <v>45964</v>
      </c>
      <c r="I18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in-53709aea234ef56b</t>
        </is>
      </c>
      <c r="B189" t="inlineStr">
        <is>
          <t>Principal Applied Scientist, Amazon AGI</t>
        </is>
      </c>
      <c r="C189" t="inlineStr">
        <is>
          <t>Amazon.com</t>
        </is>
      </c>
      <c r="D189" t="inlineStr">
        <is>
          <t>indeed</t>
        </is>
      </c>
      <c r="E189">
        <f>HYPERLINK("https://www.indeed.com/viewjob?jk=53709aea234ef56b", "https://www.indeed.com/viewjob?jk=53709aea234ef56b")</f>
        <v/>
      </c>
      <c r="F189">
        <f>HYPERLINK("https://www.amazon.jobs/jobs/3128808/principal-applied-scientist-amazon-agi?cmpid=DA_INAD200785B", "https://www.amazon.jobs/jobs/3128808/principal-applied-scientist-amazon-agi?cmpid=DA_INAD200785B")</f>
        <v/>
      </c>
      <c r="G189" t="inlineStr">
        <is>
          <t>Boston, MA, US</t>
        </is>
      </c>
      <c r="H189" s="3" t="n">
        <v>45964</v>
      </c>
      <c r="I18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in-49c19c1d111c09b4</t>
        </is>
      </c>
      <c r="B190" t="inlineStr">
        <is>
          <t>Principal Applied Scientist, AWS Agentic AI Science</t>
        </is>
      </c>
      <c r="C190" t="inlineStr">
        <is>
          <t>Amazon Web Services</t>
        </is>
      </c>
      <c r="D190" t="inlineStr">
        <is>
          <t>indeed</t>
        </is>
      </c>
      <c r="E190">
        <f>HYPERLINK("https://www.indeed.com/viewjob?jk=49c19c1d111c09b4", "https://www.indeed.com/viewjob?jk=49c19c1d111c09b4")</f>
        <v/>
      </c>
      <c r="F190">
        <f>HYPERLINK("https://www.amazon.jobs/jobs/3132887/principal-applied-scientist-aws-agentic-ai-science?cmpid=DA_INAD200785B", "https://www.amazon.jobs/jobs/3132887/principal-applied-scientist-aws-agentic-ai-science?cmpid=DA_INAD200785B")</f>
        <v/>
      </c>
      <c r="G190" t="inlineStr">
        <is>
          <t>Santa Clara, CA, US</t>
        </is>
      </c>
      <c r="H190" s="3" t="n">
        <v>45963</v>
      </c>
      <c r="I19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in-db85615a7401a40e</t>
        </is>
      </c>
      <c r="B191" t="inlineStr">
        <is>
          <t>Principal Applied Scientist, AWS Agentic AI Science</t>
        </is>
      </c>
      <c r="C191" t="inlineStr">
        <is>
          <t>Amazon Web Services</t>
        </is>
      </c>
      <c r="D191" t="inlineStr">
        <is>
          <t>indeed</t>
        </is>
      </c>
      <c r="E191">
        <f>HYPERLINK("https://www.indeed.com/viewjob?jk=db85615a7401a40e", "https://www.indeed.com/viewjob?jk=db85615a7401a40e")</f>
        <v/>
      </c>
      <c r="F191">
        <f>HYPERLINK("https://www.amazon.jobs/jobs/3132887/principal-applied-scientist-aws-agentic-ai-science?cmpid=DA_INAD200785B", "https://www.amazon.jobs/jobs/3132887/principal-applied-scientist-aws-agentic-ai-science?cmpid=DA_INAD200785B")</f>
        <v/>
      </c>
      <c r="G191" t="inlineStr">
        <is>
          <t>New York, NY, US</t>
        </is>
      </c>
      <c r="H191" s="3" t="n">
        <v>45963</v>
      </c>
      <c r="I19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in-d0385f72e0b21bc9</t>
        </is>
      </c>
      <c r="B192" t="inlineStr">
        <is>
          <t>Sr. Applied Scientist, Sponsored Product Off-Search</t>
        </is>
      </c>
      <c r="C192" t="inlineStr">
        <is>
          <t>Amazon.com</t>
        </is>
      </c>
      <c r="D192" t="inlineStr">
        <is>
          <t>indeed</t>
        </is>
      </c>
      <c r="E192">
        <f>HYPERLINK("https://www.indeed.com/viewjob?jk=d0385f72e0b21bc9", "https://www.indeed.com/viewjob?jk=d0385f72e0b21bc9")</f>
        <v/>
      </c>
      <c r="F192">
        <f>HYPERLINK("https://www.amazon.jobs/jobs/3120815/sr-applied-scientist-sponsored-product-offsearch-?cmpid=DA_INAD200785B", "https://www.amazon.jobs/jobs/3120815/sr-applied-scientist-sponsored-product-offsearch-?cmpid=DA_INAD200785B")</f>
        <v/>
      </c>
      <c r="G192" t="inlineStr">
        <is>
          <t>New York, NY, US</t>
        </is>
      </c>
      <c r="H192" s="3" t="n">
        <v>45963</v>
      </c>
      <c r="I19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in-e00d9bc9064cbebf</t>
        </is>
      </c>
      <c r="B193" t="inlineStr">
        <is>
          <t>Sr. Applied Scientist, Sponsored Product Off-Search</t>
        </is>
      </c>
      <c r="C193" t="inlineStr">
        <is>
          <t>Amazon.com</t>
        </is>
      </c>
      <c r="D193" t="inlineStr">
        <is>
          <t>indeed</t>
        </is>
      </c>
      <c r="E193">
        <f>HYPERLINK("https://www.indeed.com/viewjob?jk=e00d9bc9064cbebf", "https://www.indeed.com/viewjob?jk=e00d9bc9064cbebf")</f>
        <v/>
      </c>
      <c r="F193">
        <f>HYPERLINK("https://www.amazon.jobs/jobs/3120815/sr-applied-scientist-sponsored-product-offsearch-?cmpid=DA_INAD200785B", "https://www.amazon.jobs/jobs/3120815/sr-applied-scientist-sponsored-product-offsearch-?cmpid=DA_INAD200785B")</f>
        <v/>
      </c>
      <c r="G193" t="inlineStr">
        <is>
          <t>Seattle, WA, US</t>
        </is>
      </c>
      <c r="H193" s="3" t="n">
        <v>45963</v>
      </c>
      <c r="I19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in-a723e3890bebc668</t>
        </is>
      </c>
      <c r="B194" t="inlineStr">
        <is>
          <t>Applied Scientist, AWS Agentic AI</t>
        </is>
      </c>
      <c r="C194" t="inlineStr">
        <is>
          <t>Amazon Web Services</t>
        </is>
      </c>
      <c r="D194" t="inlineStr">
        <is>
          <t>indeed</t>
        </is>
      </c>
      <c r="E194">
        <f>HYPERLINK("https://www.indeed.com/viewjob?jk=a723e3890bebc668", "https://www.indeed.com/viewjob?jk=a723e3890bebc668")</f>
        <v/>
      </c>
      <c r="F194">
        <f>HYPERLINK("https://www.amazon.jobs/jobs/3141517/applied-scientist-aws-agentic-ai-?cmpid=DA_INAD200785B", "https://www.amazon.jobs/jobs/3141517/applied-scientist-aws-agentic-ai-?cmpid=DA_INAD200785B")</f>
        <v/>
      </c>
      <c r="G194" t="inlineStr">
        <is>
          <t>New York, NY, US</t>
        </is>
      </c>
      <c r="H194" s="3" t="n">
        <v>45962</v>
      </c>
      <c r="I1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in-e4a48c38dd2a176f</t>
        </is>
      </c>
      <c r="B195" t="inlineStr">
        <is>
          <t>Applied Scientist, AWS Agentic AI</t>
        </is>
      </c>
      <c r="C195" t="inlineStr">
        <is>
          <t>Amazon Web Services</t>
        </is>
      </c>
      <c r="D195" t="inlineStr">
        <is>
          <t>indeed</t>
        </is>
      </c>
      <c r="E195">
        <f>HYPERLINK("https://www.indeed.com/viewjob?jk=e4a48c38dd2a176f", "https://www.indeed.com/viewjob?jk=e4a48c38dd2a176f")</f>
        <v/>
      </c>
      <c r="F195">
        <f>HYPERLINK("https://www.amazon.jobs/jobs/3141517/applied-scientist-aws-agentic-ai-?cmpid=DA_INAD200785B", "https://www.amazon.jobs/jobs/3141517/applied-scientist-aws-agentic-ai-?cmpid=DA_INAD200785B")</f>
        <v/>
      </c>
      <c r="G195" t="inlineStr">
        <is>
          <t>Santa Clara, CA, US</t>
        </is>
      </c>
      <c r="H195" s="3" t="n">
        <v>45962</v>
      </c>
      <c r="I1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in-cfd26e90f64cbb60</t>
        </is>
      </c>
      <c r="B196" t="inlineStr">
        <is>
          <t>Applied Scientist, AWS Agentic AI</t>
        </is>
      </c>
      <c r="C196" t="inlineStr">
        <is>
          <t>Amazon Web Services</t>
        </is>
      </c>
      <c r="D196" t="inlineStr">
        <is>
          <t>indeed</t>
        </is>
      </c>
      <c r="E196">
        <f>HYPERLINK("https://www.indeed.com/viewjob?jk=cfd26e90f64cbb60", "https://www.indeed.com/viewjob?jk=cfd26e90f64cbb60")</f>
        <v/>
      </c>
      <c r="F196">
        <f>HYPERLINK("https://www.amazon.jobs/jobs/3141517/applied-scientist-aws-agentic-ai-?cmpid=DA_INAD200785B", "https://www.amazon.jobs/jobs/3141517/applied-scientist-aws-agentic-ai-?cmpid=DA_INAD200785B")</f>
        <v/>
      </c>
      <c r="G196" t="inlineStr">
        <is>
          <t>Seattle, WA, US</t>
        </is>
      </c>
      <c r="H196" s="3" t="n">
        <v>45962</v>
      </c>
      <c r="I19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in-21f21b9c49a8fa4e</t>
        </is>
      </c>
      <c r="B197" t="inlineStr">
        <is>
          <t>Principal Applied Scientist, Advertiser Growth, Amazon Sponsored Products &amp; Brands</t>
        </is>
      </c>
      <c r="C197" t="inlineStr">
        <is>
          <t>Amazon.com</t>
        </is>
      </c>
      <c r="D197" t="inlineStr">
        <is>
          <t>indeed</t>
        </is>
      </c>
      <c r="E197">
        <f>HYPERLINK("https://www.indeed.com/viewjob?jk=21f21b9c49a8fa4e", "https://www.indeed.com/viewjob?jk=21f21b9c49a8fa4e")</f>
        <v/>
      </c>
      <c r="F197">
        <f>HYPERLINK("https://www.amazon.jobs/jobs/3115279/principal-applied-scientist-advertiser-growth-amazon-sponsored-products--brands?cmpid=DA_INAD200785B", "https://www.amazon.jobs/jobs/3115279/principal-applied-scientist-advertiser-growth-amazon-sponsored-products--brands?cmpid=DA_INAD200785B")</f>
        <v/>
      </c>
      <c r="G197" t="inlineStr">
        <is>
          <t>Seattle, WA, US</t>
        </is>
      </c>
      <c r="H197" s="3" t="n">
        <v>45942</v>
      </c>
      <c r="I1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in-d98328cdc460be9c</t>
        </is>
      </c>
      <c r="B198" t="inlineStr">
        <is>
          <t>Principal Applied Scientist, Advertiser Growth, Amazon Sponsored Products &amp; Brands</t>
        </is>
      </c>
      <c r="C198" t="inlineStr">
        <is>
          <t>Amazon.com</t>
        </is>
      </c>
      <c r="D198" t="inlineStr">
        <is>
          <t>indeed</t>
        </is>
      </c>
      <c r="E198">
        <f>HYPERLINK("https://www.indeed.com/viewjob?jk=d98328cdc460be9c", "https://www.indeed.com/viewjob?jk=d98328cdc460be9c")</f>
        <v/>
      </c>
      <c r="F198">
        <f>HYPERLINK("https://www.amazon.jobs/jobs/3115279/principal-applied-scientist-advertiser-growth-amazon-sponsored-products--brands?cmpid=DA_INAD200785B", "https://www.amazon.jobs/jobs/3115279/principal-applied-scientist-advertiser-growth-amazon-sponsored-products--brands?cmpid=DA_INAD200785B")</f>
        <v/>
      </c>
      <c r="G198" t="inlineStr">
        <is>
          <t>New York, NY, US</t>
        </is>
      </c>
      <c r="H198" s="3" t="n">
        <v>45942</v>
      </c>
      <c r="I1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in-2966b5b641745388</t>
        </is>
      </c>
      <c r="B199" t="inlineStr">
        <is>
          <t>Principal Applied Scientist, Advertiser Growth, Amazon Sponsored Products &amp; Brands</t>
        </is>
      </c>
      <c r="C199" t="inlineStr">
        <is>
          <t>Amazon.com</t>
        </is>
      </c>
      <c r="D199" t="inlineStr">
        <is>
          <t>indeed</t>
        </is>
      </c>
      <c r="E199">
        <f>HYPERLINK("https://www.indeed.com/viewjob?jk=2966b5b641745388", "https://www.indeed.com/viewjob?jk=2966b5b641745388")</f>
        <v/>
      </c>
      <c r="F199">
        <f>HYPERLINK("https://www.amazon.jobs/jobs/3115279/principal-applied-scientist-advertiser-growth-amazon-sponsored-products--brands?cmpid=DA_INAD200785B", "https://www.amazon.jobs/jobs/3115279/principal-applied-scientist-advertiser-growth-amazon-sponsored-products--brands?cmpid=DA_INAD200785B")</f>
        <v/>
      </c>
      <c r="G199" t="inlineStr">
        <is>
          <t>Palo Alto, CA, US</t>
        </is>
      </c>
      <c r="H199" s="3" t="n">
        <v>45942</v>
      </c>
      <c r="I1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in-eb8225767c687c3d</t>
        </is>
      </c>
      <c r="B200" t="inlineStr">
        <is>
          <t>Sr. Applied Scientist, SPB Advertiser Guidance</t>
        </is>
      </c>
      <c r="C200" t="inlineStr">
        <is>
          <t>Amazon.com</t>
        </is>
      </c>
      <c r="D200" t="inlineStr">
        <is>
          <t>indeed</t>
        </is>
      </c>
      <c r="E200">
        <f>HYPERLINK("https://www.indeed.com/viewjob?jk=eb8225767c687c3d", "https://www.indeed.com/viewjob?jk=eb8225767c687c3d")</f>
        <v/>
      </c>
      <c r="F200">
        <f>HYPERLINK("https://www.amazon.jobs/jobs/3106497/sr-applied-scientist-spb-advertiser-guidance?cmpid=DA_INAD200785B", "https://www.amazon.jobs/jobs/3106497/sr-applied-scientist-spb-advertiser-guidance?cmpid=DA_INAD200785B")</f>
        <v/>
      </c>
      <c r="G200" t="inlineStr">
        <is>
          <t>Palo Alto, CA, US</t>
        </is>
      </c>
      <c r="H200" s="3" t="n">
        <v>45939</v>
      </c>
      <c r="I20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in-b9f08d3fc5e24639</t>
        </is>
      </c>
      <c r="B201" t="inlineStr">
        <is>
          <t>Applied Scientist</t>
        </is>
      </c>
      <c r="C201" t="inlineStr">
        <is>
          <t>Amazon.com</t>
        </is>
      </c>
      <c r="D201" t="inlineStr">
        <is>
          <t>indeed</t>
        </is>
      </c>
      <c r="E201">
        <f>HYPERLINK("https://www.indeed.com/viewjob?jk=b9f08d3fc5e24639", "https://www.indeed.com/viewjob?jk=b9f08d3fc5e24639")</f>
        <v/>
      </c>
      <c r="F201">
        <f>HYPERLINK("https://www.amazon.jobs/jobs/3106501/applied-scientist?cmpid=DA_INAD200785B", "https://www.amazon.jobs/jobs/3106501/applied-scientist?cmpid=DA_INAD200785B")</f>
        <v/>
      </c>
      <c r="G201" t="inlineStr">
        <is>
          <t>Palo Alto, CA, US</t>
        </is>
      </c>
      <c r="H201" s="3" t="n">
        <v>45939</v>
      </c>
      <c r="I20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in-e86e75c094792807</t>
        </is>
      </c>
      <c r="B202" t="inlineStr">
        <is>
          <t>Sr. Applied Scientist, SPB Advertiser Guidance</t>
        </is>
      </c>
      <c r="C202" t="inlineStr">
        <is>
          <t>Amazon.com</t>
        </is>
      </c>
      <c r="D202" t="inlineStr">
        <is>
          <t>indeed</t>
        </is>
      </c>
      <c r="E202">
        <f>HYPERLINK("https://www.indeed.com/viewjob?jk=e86e75c094792807", "https://www.indeed.com/viewjob?jk=e86e75c094792807")</f>
        <v/>
      </c>
      <c r="F202">
        <f>HYPERLINK("https://www.amazon.jobs/jobs/3106497/sr-applied-scientist-spb-advertiser-guidance?cmpid=DA_INAD200785B", "https://www.amazon.jobs/jobs/3106497/sr-applied-scientist-spb-advertiser-guidance?cmpid=DA_INAD200785B")</f>
        <v/>
      </c>
      <c r="G202" t="inlineStr">
        <is>
          <t>Seattle, WA, US</t>
        </is>
      </c>
      <c r="H202" s="3" t="n">
        <v>45939</v>
      </c>
      <c r="I20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in-793ee1cc5b593cdb</t>
        </is>
      </c>
      <c r="B203" t="inlineStr">
        <is>
          <t>Applied Scientist</t>
        </is>
      </c>
      <c r="C203" t="inlineStr">
        <is>
          <t>Amazon.com</t>
        </is>
      </c>
      <c r="D203" t="inlineStr">
        <is>
          <t>indeed</t>
        </is>
      </c>
      <c r="E203">
        <f>HYPERLINK("https://www.indeed.com/viewjob?jk=793ee1cc5b593cdb", "https://www.indeed.com/viewjob?jk=793ee1cc5b593cdb")</f>
        <v/>
      </c>
      <c r="F203">
        <f>HYPERLINK("https://www.amazon.jobs/jobs/3106501/applied-scientist?cmpid=DA_INAD200785B", "https://www.amazon.jobs/jobs/3106501/applied-scientist?cmpid=DA_INAD200785B")</f>
        <v/>
      </c>
      <c r="G203" t="inlineStr">
        <is>
          <t>New York, NY, US</t>
        </is>
      </c>
      <c r="H203" s="3" t="n">
        <v>45939</v>
      </c>
      <c r="I20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in-b2becab259b05a47</t>
        </is>
      </c>
      <c r="B204" t="inlineStr">
        <is>
          <t>Applied Scientist</t>
        </is>
      </c>
      <c r="C204" t="inlineStr">
        <is>
          <t>Amazon.com</t>
        </is>
      </c>
      <c r="D204" t="inlineStr">
        <is>
          <t>indeed</t>
        </is>
      </c>
      <c r="E204">
        <f>HYPERLINK("https://www.indeed.com/viewjob?jk=b2becab259b05a47", "https://www.indeed.com/viewjob?jk=b2becab259b05a47")</f>
        <v/>
      </c>
      <c r="F204">
        <f>HYPERLINK("https://www.amazon.jobs/jobs/3106501/applied-scientist?cmpid=DA_INAD200785B", "https://www.amazon.jobs/jobs/3106501/applied-scientist?cmpid=DA_INAD200785B")</f>
        <v/>
      </c>
      <c r="G204" t="inlineStr">
        <is>
          <t>Seattle, WA, US</t>
        </is>
      </c>
      <c r="H204" s="3" t="n">
        <v>45939</v>
      </c>
      <c r="I20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in-7407edd3127e6e2c</t>
        </is>
      </c>
      <c r="B205" t="inlineStr">
        <is>
          <t>Sr. Applied Scientist, SPB Advertiser Guidance</t>
        </is>
      </c>
      <c r="C205" t="inlineStr">
        <is>
          <t>Amazon.com</t>
        </is>
      </c>
      <c r="D205" t="inlineStr">
        <is>
          <t>indeed</t>
        </is>
      </c>
      <c r="E205">
        <f>HYPERLINK("https://www.indeed.com/viewjob?jk=7407edd3127e6e2c", "https://www.indeed.com/viewjob?jk=7407edd3127e6e2c")</f>
        <v/>
      </c>
      <c r="F205">
        <f>HYPERLINK("https://www.amazon.jobs/jobs/3106497/sr-applied-scientist-spb-advertiser-guidance?cmpid=DA_INAD200785B", "https://www.amazon.jobs/jobs/3106497/sr-applied-scientist-spb-advertiser-guidance?cmpid=DA_INAD200785B")</f>
        <v/>
      </c>
      <c r="G205" t="inlineStr">
        <is>
          <t>New York, NY, US</t>
        </is>
      </c>
      <c r="H205" s="3" t="n">
        <v>45939</v>
      </c>
      <c r="I2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in-bb36f87ecc82e826</t>
        </is>
      </c>
      <c r="B206" t="inlineStr">
        <is>
          <t>Senior Applied Scientist, Sponsored Products and Brands</t>
        </is>
      </c>
      <c r="C206" t="inlineStr">
        <is>
          <t>Amazon.com</t>
        </is>
      </c>
      <c r="D206" t="inlineStr">
        <is>
          <t>indeed</t>
        </is>
      </c>
      <c r="E206">
        <f>HYPERLINK("https://www.indeed.com/viewjob?jk=bb36f87ecc82e826", "https://www.indeed.com/viewjob?jk=bb36f87ecc82e826")</f>
        <v/>
      </c>
      <c r="F206">
        <f>HYPERLINK("https://www.amazon.jobs/jobs/3094886/senior-applied-scientist-sponsored-products-and-brands?cmpid=DA_INAD200785B", "https://www.amazon.jobs/jobs/3094886/senior-applied-scientist-sponsored-products-and-brands?cmpid=DA_INAD200785B")</f>
        <v/>
      </c>
      <c r="G206" t="inlineStr">
        <is>
          <t>New York, NY, US</t>
        </is>
      </c>
      <c r="H206" s="3" t="n">
        <v>45922</v>
      </c>
      <c r="I20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in-47709f5651350865</t>
        </is>
      </c>
      <c r="B207" t="inlineStr">
        <is>
          <t>Senior Applied Scientist, Sponsored Products and Brands</t>
        </is>
      </c>
      <c r="C207" t="inlineStr">
        <is>
          <t>Amazon.com</t>
        </is>
      </c>
      <c r="D207" t="inlineStr">
        <is>
          <t>indeed</t>
        </is>
      </c>
      <c r="E207">
        <f>HYPERLINK("https://www.indeed.com/viewjob?jk=47709f5651350865", "https://www.indeed.com/viewjob?jk=47709f5651350865")</f>
        <v/>
      </c>
      <c r="F207">
        <f>HYPERLINK("https://www.amazon.jobs/jobs/3094886/senior-applied-scientist-sponsored-products-and-brands?cmpid=DA_INAD200785B", "https://www.amazon.jobs/jobs/3094886/senior-applied-scientist-sponsored-products-and-brands?cmpid=DA_INAD200785B")</f>
        <v/>
      </c>
      <c r="G207" t="inlineStr">
        <is>
          <t>Seattle, WA, US</t>
        </is>
      </c>
      <c r="H207" s="3" t="n">
        <v>45922</v>
      </c>
      <c r="I20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in-23d888f6391a070e</t>
        </is>
      </c>
      <c r="B208" t="inlineStr">
        <is>
          <t>Applied Scientist, Workplace Health &amp; Safety</t>
        </is>
      </c>
      <c r="C208" t="inlineStr">
        <is>
          <t>Amazon.com</t>
        </is>
      </c>
      <c r="D208" t="inlineStr">
        <is>
          <t>indeed</t>
        </is>
      </c>
      <c r="E208">
        <f>HYPERLINK("https://www.indeed.com/viewjob?jk=23d888f6391a070e", "https://www.indeed.com/viewjob?jk=23d888f6391a070e")</f>
        <v/>
      </c>
      <c r="F208">
        <f>HYPERLINK("https://www.amazon.jobs/jobs/3144886/applied-scientist-workplace-health--safety-?cmpid=DA_INAD200785B", "https://www.amazon.jobs/jobs/3144886/applied-scientist-workplace-health--safety-?cmpid=DA_INAD200785B")</f>
        <v/>
      </c>
      <c r="G208" t="inlineStr">
        <is>
          <t>Bellevue, WA, US</t>
        </is>
      </c>
      <c r="H208" s="3" t="n">
        <v>45917</v>
      </c>
      <c r="I20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in-f1142fe9667a7a81</t>
        </is>
      </c>
      <c r="B209" t="inlineStr">
        <is>
          <t>Applied Scientist, Workplace Health &amp; Safety</t>
        </is>
      </c>
      <c r="C209" t="inlineStr">
        <is>
          <t>Amazon.com</t>
        </is>
      </c>
      <c r="D209" t="inlineStr">
        <is>
          <t>indeed</t>
        </is>
      </c>
      <c r="E209">
        <f>HYPERLINK("https://www.indeed.com/viewjob?jk=f1142fe9667a7a81", "https://www.indeed.com/viewjob?jk=f1142fe9667a7a81")</f>
        <v/>
      </c>
      <c r="F209">
        <f>HYPERLINK("https://www.amazon.jobs/jobs/3144886/applied-scientist-workplace-health--safety-?cmpid=DA_INAD200785B", "https://www.amazon.jobs/jobs/3144886/applied-scientist-workplace-health--safety-?cmpid=DA_INAD200785B")</f>
        <v/>
      </c>
      <c r="G209" t="inlineStr">
        <is>
          <t>Nashville, TN, US</t>
        </is>
      </c>
      <c r="H209" s="3" t="n">
        <v>45917</v>
      </c>
      <c r="I20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in-1f1f2dd47cc44b89</t>
        </is>
      </c>
      <c r="B210" t="inlineStr">
        <is>
          <t>Sr. Applied Scientist, Amazon Advertising</t>
        </is>
      </c>
      <c r="C210" t="inlineStr">
        <is>
          <t>Amazon.com</t>
        </is>
      </c>
      <c r="D210" t="inlineStr">
        <is>
          <t>indeed</t>
        </is>
      </c>
      <c r="E210">
        <f>HYPERLINK("https://www.indeed.com/viewjob?jk=1f1f2dd47cc44b89", "https://www.indeed.com/viewjob?jk=1f1f2dd47cc44b89")</f>
        <v/>
      </c>
      <c r="F210">
        <f>HYPERLINK("https://www.amazon.jobs/jobs/3035686/sr-applied-scientist-amazon-advertising?cmpid=DA_INAD200785B", "https://www.amazon.jobs/jobs/3035686/sr-applied-scientist-amazon-advertising?cmpid=DA_INAD200785B")</f>
        <v/>
      </c>
      <c r="G210" t="inlineStr">
        <is>
          <t>West Hollywood, CA, US</t>
        </is>
      </c>
      <c r="H210" s="3" t="n">
        <v>45851</v>
      </c>
      <c r="I2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in-7816656ee79d99b5</t>
        </is>
      </c>
      <c r="B211" t="inlineStr">
        <is>
          <t>Sr. Applied Scientist, Amazon Advertising</t>
        </is>
      </c>
      <c r="C211" t="inlineStr">
        <is>
          <t>Amazon.com</t>
        </is>
      </c>
      <c r="D211" t="inlineStr">
        <is>
          <t>indeed</t>
        </is>
      </c>
      <c r="E211">
        <f>HYPERLINK("https://www.indeed.com/viewjob?jk=7816656ee79d99b5", "https://www.indeed.com/viewjob?jk=7816656ee79d99b5")</f>
        <v/>
      </c>
      <c r="F211">
        <f>HYPERLINK("https://www.amazon.jobs/jobs/3035686/sr-applied-scientist-amazon-advertising?cmpid=DA_INAD200785B", "https://www.amazon.jobs/jobs/3035686/sr-applied-scientist-amazon-advertising?cmpid=DA_INAD200785B")</f>
        <v/>
      </c>
      <c r="G211" t="inlineStr">
        <is>
          <t>Simi Valley, CA, US</t>
        </is>
      </c>
      <c r="H211" s="3" t="n">
        <v>45851</v>
      </c>
      <c r="I2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in-d0ea6dd92b7d52f2</t>
        </is>
      </c>
      <c r="B212" t="inlineStr">
        <is>
          <t>Sr. Applied Scientist, Amazon Advertising</t>
        </is>
      </c>
      <c r="C212" t="inlineStr">
        <is>
          <t>Amazon.com</t>
        </is>
      </c>
      <c r="D212" t="inlineStr">
        <is>
          <t>indeed</t>
        </is>
      </c>
      <c r="E212">
        <f>HYPERLINK("https://www.indeed.com/viewjob?jk=d0ea6dd92b7d52f2", "https://www.indeed.com/viewjob?jk=d0ea6dd92b7d52f2")</f>
        <v/>
      </c>
      <c r="F212">
        <f>HYPERLINK("https://www.amazon.jobs/jobs/3035686/sr-applied-scientist-amazon-advertising?cmpid=DA_INAD200785B", "https://www.amazon.jobs/jobs/3035686/sr-applied-scientist-amazon-advertising?cmpid=DA_INAD200785B")</f>
        <v/>
      </c>
      <c r="G212" t="inlineStr">
        <is>
          <t>Austin, TX, US</t>
        </is>
      </c>
      <c r="H212" s="3"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in-6280be0f2932fce9</t>
        </is>
      </c>
      <c r="B213" t="inlineStr">
        <is>
          <t>Sr. Applied Scientist, Amazon Advertising</t>
        </is>
      </c>
      <c r="C213" t="inlineStr">
        <is>
          <t>Amazon.com</t>
        </is>
      </c>
      <c r="D213" t="inlineStr">
        <is>
          <t>indeed</t>
        </is>
      </c>
      <c r="E213">
        <f>HYPERLINK("https://www.indeed.com/viewjob?jk=6280be0f2932fce9", "https://www.indeed.com/viewjob?jk=6280be0f2932fce9")</f>
        <v/>
      </c>
      <c r="F213">
        <f>HYPERLINK("https://www.amazon.jobs/jobs/3035686/sr-applied-scientist-amazon-advertising?cmpid=DA_INAD200785B", "https://www.amazon.jobs/jobs/3035686/sr-applied-scientist-amazon-advertising?cmpid=DA_INAD200785B")</f>
        <v/>
      </c>
      <c r="G213" t="inlineStr">
        <is>
          <t>Seattle, WA, US</t>
        </is>
      </c>
      <c r="H213" s="3"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in-a11dbfa1cc9834ab</t>
        </is>
      </c>
      <c r="B214" t="inlineStr">
        <is>
          <t>Sr. Applied Scientist, Amazon Advertising</t>
        </is>
      </c>
      <c r="C214" t="inlineStr">
        <is>
          <t>Amazon.com</t>
        </is>
      </c>
      <c r="D214" t="inlineStr">
        <is>
          <t>indeed</t>
        </is>
      </c>
      <c r="E214">
        <f>HYPERLINK("https://www.indeed.com/viewjob?jk=a11dbfa1cc9834ab", "https://www.indeed.com/viewjob?jk=a11dbfa1cc9834ab")</f>
        <v/>
      </c>
      <c r="F214">
        <f>HYPERLINK("https://www.amazon.jobs/jobs/3035686/sr-applied-scientist-amazon-advertising?cmpid=DA_INAD200785B", "https://www.amazon.jobs/jobs/3035686/sr-applied-scientist-amazon-advertising?cmpid=DA_INAD200785B")</f>
        <v/>
      </c>
      <c r="G214" t="inlineStr">
        <is>
          <t>Arlington, VA, US</t>
        </is>
      </c>
      <c r="H214" s="3"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in-b5ae6bcde060f029</t>
        </is>
      </c>
      <c r="B215" t="inlineStr">
        <is>
          <t>Sr. Applied Scientist, Amazon Advertising</t>
        </is>
      </c>
      <c r="C215" t="inlineStr">
        <is>
          <t>Amazon.com</t>
        </is>
      </c>
      <c r="D215" t="inlineStr">
        <is>
          <t>indeed</t>
        </is>
      </c>
      <c r="E215">
        <f>HYPERLINK("https://www.indeed.com/viewjob?jk=b5ae6bcde060f029", "https://www.indeed.com/viewjob?jk=b5ae6bcde060f029")</f>
        <v/>
      </c>
      <c r="F215">
        <f>HYPERLINK("https://www.amazon.jobs/jobs/3035686/sr-applied-scientist-amazon-advertising?cmpid=DA_INAD200785B", "https://www.amazon.jobs/jobs/3035686/sr-applied-scientist-amazon-advertising?cmpid=DA_INAD200785B")</f>
        <v/>
      </c>
      <c r="G215" t="inlineStr">
        <is>
          <t>Los Angeles, CA, US</t>
        </is>
      </c>
      <c r="H215" s="3"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in-3f3bf07cb7545f19</t>
        </is>
      </c>
      <c r="B216" t="inlineStr">
        <is>
          <t>Sr. Applied Scientist, Amazon Advertising</t>
        </is>
      </c>
      <c r="C216" t="inlineStr">
        <is>
          <t>Amazon.com</t>
        </is>
      </c>
      <c r="D216" t="inlineStr">
        <is>
          <t>indeed</t>
        </is>
      </c>
      <c r="E216">
        <f>HYPERLINK("https://www.indeed.com/viewjob?jk=3f3bf07cb7545f19", "https://www.indeed.com/viewjob?jk=3f3bf07cb7545f19")</f>
        <v/>
      </c>
      <c r="F216">
        <f>HYPERLINK("https://www.amazon.jobs/jobs/3035686/sr-applied-scientist-amazon-advertising?cmpid=DA_INAD200785B", "https://www.amazon.jobs/jobs/3035686/sr-applied-scientist-amazon-advertising?cmpid=DA_INAD200785B")</f>
        <v/>
      </c>
      <c r="G216" t="inlineStr">
        <is>
          <t>New York, NY, US</t>
        </is>
      </c>
      <c r="H216" s="3"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in-b3af8f50b1e647b8</t>
        </is>
      </c>
      <c r="B217" t="inlineStr">
        <is>
          <t>Sr. Applied Scientist, Amazon Advertising</t>
        </is>
      </c>
      <c r="C217" t="inlineStr">
        <is>
          <t>Amazon.com</t>
        </is>
      </c>
      <c r="D217" t="inlineStr">
        <is>
          <t>indeed</t>
        </is>
      </c>
      <c r="E217">
        <f>HYPERLINK("https://www.indeed.com/viewjob?jk=b3af8f50b1e647b8", "https://www.indeed.com/viewjob?jk=b3af8f50b1e647b8")</f>
        <v/>
      </c>
      <c r="F217">
        <f>HYPERLINK("https://www.amazon.jobs/jobs/3035686/sr-applied-scientist-amazon-advertising?cmpid=DA_INAD200785B", "https://www.amazon.jobs/jobs/3035686/sr-applied-scientist-amazon-advertising?cmpid=DA_INAD200785B")</f>
        <v/>
      </c>
      <c r="G217" t="inlineStr">
        <is>
          <t>Palo Alto, CA, US</t>
        </is>
      </c>
      <c r="H217" s="3"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in-6e5f7a17673e0062</t>
        </is>
      </c>
      <c r="B218" t="inlineStr">
        <is>
          <t>Senior Applied Scientist, Artificial General Intelligence</t>
        </is>
      </c>
      <c r="C218" t="inlineStr">
        <is>
          <t>Amazon.com</t>
        </is>
      </c>
      <c r="D218" t="inlineStr">
        <is>
          <t>indeed</t>
        </is>
      </c>
      <c r="E218">
        <f>HYPERLINK("https://www.indeed.com/viewjob?jk=6e5f7a17673e0062", "https://www.indeed.com/viewjob?jk=6e5f7a17673e0062")</f>
        <v/>
      </c>
      <c r="F218">
        <f>HYPERLINK("https://www.amazon.jobs/jobs/3032183/senior-applied-scientist-artificial-general-intelligence?cmpid=DA_INAD200785B", "https://www.amazon.jobs/jobs/3032183/senior-applied-scientist-artificial-general-intelligence?cmpid=DA_INAD200785B")</f>
        <v/>
      </c>
      <c r="G218" t="inlineStr">
        <is>
          <t>Sunnyvale, CA, US</t>
        </is>
      </c>
      <c r="H218" s="3" t="n">
        <v>45838</v>
      </c>
      <c r="I2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in-555aa9492cb77340</t>
        </is>
      </c>
      <c r="B219" t="inlineStr">
        <is>
          <t>Senior Applied Scientist, Artificial General Intelligence</t>
        </is>
      </c>
      <c r="C219" t="inlineStr">
        <is>
          <t>Amazon.com</t>
        </is>
      </c>
      <c r="D219" t="inlineStr">
        <is>
          <t>indeed</t>
        </is>
      </c>
      <c r="E219">
        <f>HYPERLINK("https://www.indeed.com/viewjob?jk=555aa9492cb77340", "https://www.indeed.com/viewjob?jk=555aa9492cb77340")</f>
        <v/>
      </c>
      <c r="F219">
        <f>HYPERLINK("https://www.amazon.jobs/jobs/3032183/senior-applied-scientist-artificial-general-intelligence?cmpid=DA_INAD200785B", "https://www.amazon.jobs/jobs/3032183/senior-applied-scientist-artificial-general-intelligence?cmpid=DA_INAD200785B")</f>
        <v/>
      </c>
      <c r="G219" t="inlineStr">
        <is>
          <t>Boston, MA, US</t>
        </is>
      </c>
      <c r="H219" s="3" t="n">
        <v>45838</v>
      </c>
      <c r="I21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in-832d3c5400fd656d</t>
        </is>
      </c>
      <c r="B220" t="inlineStr">
        <is>
          <t>Senior Applied Scientist, Artificial General Intelligence</t>
        </is>
      </c>
      <c r="C220" t="inlineStr">
        <is>
          <t>Amazon.com</t>
        </is>
      </c>
      <c r="D220" t="inlineStr">
        <is>
          <t>indeed</t>
        </is>
      </c>
      <c r="E220">
        <f>HYPERLINK("https://www.indeed.com/viewjob?jk=832d3c5400fd656d", "https://www.indeed.com/viewjob?jk=832d3c5400fd656d")</f>
        <v/>
      </c>
      <c r="F220">
        <f>HYPERLINK("https://www.amazon.jobs/jobs/3032183/senior-applied-scientist-artificial-general-intelligence?cmpid=DA_INAD200785B", "https://www.amazon.jobs/jobs/3032183/senior-applied-scientist-artificial-general-intelligence?cmpid=DA_INAD200785B")</f>
        <v/>
      </c>
      <c r="G220" t="inlineStr">
        <is>
          <t>New York, NY, US</t>
        </is>
      </c>
      <c r="H220" s="3" t="n">
        <v>45838</v>
      </c>
      <c r="I22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in-dbfeaaf121afc913</t>
        </is>
      </c>
      <c r="B221" t="inlineStr">
        <is>
          <t>Sr. Applied Scientist, Sales AI</t>
        </is>
      </c>
      <c r="C221" t="inlineStr">
        <is>
          <t>Amazon.com</t>
        </is>
      </c>
      <c r="D221" t="inlineStr">
        <is>
          <t>indeed</t>
        </is>
      </c>
      <c r="E221">
        <f>HYPERLINK("https://www.indeed.com/viewjob?jk=dbfeaaf121afc913", "https://www.indeed.com/viewjob?jk=dbfeaaf121afc913")</f>
        <v/>
      </c>
      <c r="F221">
        <f>HYPERLINK("https://www.amazon.jobs/jobs/3020528/sr-applied-scientist-sales-ai?cmpid=DA_INAD200785B", "https://www.amazon.jobs/jobs/3020528/sr-applied-scientist-sales-ai?cmpid=DA_INAD200785B")</f>
        <v/>
      </c>
      <c r="G221" t="inlineStr">
        <is>
          <t>Seattle, WA, US</t>
        </is>
      </c>
      <c r="H221" s="3" t="n">
        <v>45830</v>
      </c>
      <c r="I2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in-8a02322ca613b627</t>
        </is>
      </c>
      <c r="B222" t="inlineStr">
        <is>
          <t>Sr. Applied Scientist, Sales AI</t>
        </is>
      </c>
      <c r="C222" t="inlineStr">
        <is>
          <t>Amazon.com</t>
        </is>
      </c>
      <c r="D222" t="inlineStr">
        <is>
          <t>indeed</t>
        </is>
      </c>
      <c r="E222">
        <f>HYPERLINK("https://www.indeed.com/viewjob?jk=8a02322ca613b627", "https://www.indeed.com/viewjob?jk=8a02322ca613b627")</f>
        <v/>
      </c>
      <c r="F222">
        <f>HYPERLINK("https://www.amazon.jobs/jobs/3020528/sr-applied-scientist-sales-ai?cmpid=DA_INAD200785B", "https://www.amazon.jobs/jobs/3020528/sr-applied-scientist-sales-ai?cmpid=DA_INAD200785B")</f>
        <v/>
      </c>
      <c r="G222" t="inlineStr">
        <is>
          <t>New York, NY, US</t>
        </is>
      </c>
      <c r="H222" s="3" t="n">
        <v>45830</v>
      </c>
      <c r="I2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in-d8403fe3e17a8654</t>
        </is>
      </c>
      <c r="B223" t="inlineStr">
        <is>
          <t>Sr. Applied Scientist, Sales AI</t>
        </is>
      </c>
      <c r="C223" t="inlineStr">
        <is>
          <t>Amazon.com</t>
        </is>
      </c>
      <c r="D223" t="inlineStr">
        <is>
          <t>indeed</t>
        </is>
      </c>
      <c r="E223">
        <f>HYPERLINK("https://www.indeed.com/viewjob?jk=d8403fe3e17a8654", "https://www.indeed.com/viewjob?jk=d8403fe3e17a8654")</f>
        <v/>
      </c>
      <c r="F223">
        <f>HYPERLINK("https://www.amazon.jobs/jobs/3020528/sr-applied-scientist-sales-ai?cmpid=DA_INAD200785B", "https://www.amazon.jobs/jobs/3020528/sr-applied-scientist-sales-ai?cmpid=DA_INAD200785B")</f>
        <v/>
      </c>
      <c r="G223" t="inlineStr">
        <is>
          <t>Sunnyvale, CA, US</t>
        </is>
      </c>
      <c r="H223" s="3" t="n">
        <v>45830</v>
      </c>
      <c r="I2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in-f09ebf91cc78a0c5</t>
        </is>
      </c>
      <c r="B224" t="inlineStr">
        <is>
          <t>Sr. Applied Scientist, AGI Info</t>
        </is>
      </c>
      <c r="C224" t="inlineStr">
        <is>
          <t>Amazon.com</t>
        </is>
      </c>
      <c r="D224" t="inlineStr">
        <is>
          <t>indeed</t>
        </is>
      </c>
      <c r="E224">
        <f>HYPERLINK("https://www.indeed.com/viewjob?jk=f09ebf91cc78a0c5", "https://www.indeed.com/viewjob?jk=f09ebf91cc78a0c5")</f>
        <v/>
      </c>
      <c r="F224">
        <f>HYPERLINK("https://www.amazon.jobs/jobs/2999351/sr-applied-scientist-agi-info?cmpid=DA_INAD200785B", "https://www.amazon.jobs/jobs/2999351/sr-applied-scientist-agi-info?cmpid=DA_INAD200785B")</f>
        <v/>
      </c>
      <c r="G224" t="inlineStr">
        <is>
          <t>Bellevue, WA, US</t>
        </is>
      </c>
      <c r="H224" s="3" t="n">
        <v>45811</v>
      </c>
      <c r="I22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in-cf016dc076b36bb6</t>
        </is>
      </c>
      <c r="B225" t="inlineStr">
        <is>
          <t>Sr. Applied Scientist, AGI Info</t>
        </is>
      </c>
      <c r="C225" t="inlineStr">
        <is>
          <t>Amazon.com</t>
        </is>
      </c>
      <c r="D225" t="inlineStr">
        <is>
          <t>indeed</t>
        </is>
      </c>
      <c r="E225">
        <f>HYPERLINK("https://www.indeed.com/viewjob?jk=cf016dc076b36bb6", "https://www.indeed.com/viewjob?jk=cf016dc076b36bb6")</f>
        <v/>
      </c>
      <c r="F225">
        <f>HYPERLINK("https://www.amazon.jobs/jobs/2999351/sr-applied-scientist-agi-info?cmpid=DA_INAD200785B", "https://www.amazon.jobs/jobs/2999351/sr-applied-scientist-agi-info?cmpid=DA_INAD200785B")</f>
        <v/>
      </c>
      <c r="G225" t="inlineStr">
        <is>
          <t>Sunnyvale, CA, US</t>
        </is>
      </c>
      <c r="H225" s="3" t="n">
        <v>45811</v>
      </c>
      <c r="I22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in-be7ed8af75376156</t>
        </is>
      </c>
      <c r="B226" t="inlineStr">
        <is>
          <t>Principal Applied Scientist, Delivery Foundation Model</t>
        </is>
      </c>
      <c r="C226" t="inlineStr">
        <is>
          <t>Amazon.com</t>
        </is>
      </c>
      <c r="D226" t="inlineStr">
        <is>
          <t>indeed</t>
        </is>
      </c>
      <c r="E226">
        <f>HYPERLINK("https://www.indeed.com/viewjob?jk=be7ed8af75376156", "https://www.indeed.com/viewjob?jk=be7ed8af75376156")</f>
        <v/>
      </c>
      <c r="F226">
        <f>HYPERLINK("https://www.amazon.jobs/jobs/3006938/principal-applied-scientist-delivery-foundation-model-?cmpid=DA_INAD200785B", "https://www.amazon.jobs/jobs/3006938/principal-applied-scientist-delivery-foundation-model-?cmpid=DA_INAD200785B")</f>
        <v/>
      </c>
      <c r="G226" t="inlineStr">
        <is>
          <t>Santa Clara, CA, US</t>
        </is>
      </c>
      <c r="H226" s="3" t="n">
        <v>45810</v>
      </c>
      <c r="I2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in-fbca9417243c3f1b</t>
        </is>
      </c>
      <c r="B227" t="inlineStr">
        <is>
          <t>Principal Applied Scientist, Delivery Foundation Model</t>
        </is>
      </c>
      <c r="C227" t="inlineStr">
        <is>
          <t>Amazon.com</t>
        </is>
      </c>
      <c r="D227" t="inlineStr">
        <is>
          <t>indeed</t>
        </is>
      </c>
      <c r="E227">
        <f>HYPERLINK("https://www.indeed.com/viewjob?jk=fbca9417243c3f1b", "https://www.indeed.com/viewjob?jk=fbca9417243c3f1b")</f>
        <v/>
      </c>
      <c r="F227">
        <f>HYPERLINK("https://www.amazon.jobs/jobs/3006938/principal-applied-scientist-delivery-foundation-model-?cmpid=DA_INAD200785B", "https://www.amazon.jobs/jobs/3006938/principal-applied-scientist-delivery-foundation-model-?cmpid=DA_INAD200785B")</f>
        <v/>
      </c>
      <c r="G227" t="inlineStr">
        <is>
          <t>Austin, TX, US</t>
        </is>
      </c>
      <c r="H227" s="3" t="n">
        <v>45810</v>
      </c>
      <c r="I2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in-080a18bd8f852b1f</t>
        </is>
      </c>
      <c r="B228" t="inlineStr">
        <is>
          <t>Principal Applied Scientist, Delivery Foundation Model</t>
        </is>
      </c>
      <c r="C228" t="inlineStr">
        <is>
          <t>Amazon.com</t>
        </is>
      </c>
      <c r="D228" t="inlineStr">
        <is>
          <t>indeed</t>
        </is>
      </c>
      <c r="E228">
        <f>HYPERLINK("https://www.indeed.com/viewjob?jk=080a18bd8f852b1f", "https://www.indeed.com/viewjob?jk=080a18bd8f852b1f")</f>
        <v/>
      </c>
      <c r="F228">
        <f>HYPERLINK("https://www.amazon.jobs/jobs/3006938/principal-applied-scientist-delivery-foundation-model-?cmpid=DA_INAD200785B", "https://www.amazon.jobs/jobs/3006938/principal-applied-scientist-delivery-foundation-model-?cmpid=DA_INAD200785B")</f>
        <v/>
      </c>
      <c r="G228" t="inlineStr">
        <is>
          <t>New York, NY, US</t>
        </is>
      </c>
      <c r="H228" s="3" t="n">
        <v>45810</v>
      </c>
      <c r="I2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in-af7532153c254105</t>
        </is>
      </c>
      <c r="B229" t="inlineStr">
        <is>
          <t>Principal Applied Scientist, Delivery Foundation Model</t>
        </is>
      </c>
      <c r="C229" t="inlineStr">
        <is>
          <t>Amazon.com</t>
        </is>
      </c>
      <c r="D229" t="inlineStr">
        <is>
          <t>indeed</t>
        </is>
      </c>
      <c r="E229">
        <f>HYPERLINK("https://www.indeed.com/viewjob?jk=af7532153c254105", "https://www.indeed.com/viewjob?jk=af7532153c254105")</f>
        <v/>
      </c>
      <c r="F229">
        <f>HYPERLINK("https://www.amazon.jobs/jobs/3006938/principal-applied-scientist-delivery-foundation-model-?cmpid=DA_INAD200785B", "https://www.amazon.jobs/jobs/3006938/principal-applied-scientist-delivery-foundation-model-?cmpid=DA_INAD200785B")</f>
        <v/>
      </c>
      <c r="G229" t="inlineStr">
        <is>
          <t>Bellevue, WA, US</t>
        </is>
      </c>
      <c r="H229" s="3" t="n">
        <v>45810</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in-b86963d5e0e71d44</t>
        </is>
      </c>
      <c r="B230" t="inlineStr">
        <is>
          <t>Senior Applied Scientist, Delivery Foundation Model</t>
        </is>
      </c>
      <c r="C230" t="inlineStr">
        <is>
          <t>Amazon.com</t>
        </is>
      </c>
      <c r="D230" t="inlineStr">
        <is>
          <t>indeed</t>
        </is>
      </c>
      <c r="E230">
        <f>HYPERLINK("https://www.indeed.com/viewjob?jk=b86963d5e0e71d44", "https://www.indeed.com/viewjob?jk=b86963d5e0e71d44")</f>
        <v/>
      </c>
      <c r="F230">
        <f>HYPERLINK("https://www.amazon.jobs/jobs/2998435/senior-applied-scientist-delivery-foundation-model-?cmpid=DA_INAD200785B", "https://www.amazon.jobs/jobs/2998435/senior-applied-scientist-delivery-foundation-model-?cmpid=DA_INAD200785B")</f>
        <v/>
      </c>
      <c r="G230" t="inlineStr">
        <is>
          <t>New York, NY, US</t>
        </is>
      </c>
      <c r="H230" s="3" t="n">
        <v>45806</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in-1f6aab6107eeeb5a</t>
        </is>
      </c>
      <c r="B231" t="inlineStr">
        <is>
          <t>Senior Applied Scientist, Delivery Foundation Model</t>
        </is>
      </c>
      <c r="C231" t="inlineStr">
        <is>
          <t>Amazon.com</t>
        </is>
      </c>
      <c r="D231" t="inlineStr">
        <is>
          <t>indeed</t>
        </is>
      </c>
      <c r="E231">
        <f>HYPERLINK("https://www.indeed.com/viewjob?jk=1f6aab6107eeeb5a", "https://www.indeed.com/viewjob?jk=1f6aab6107eeeb5a")</f>
        <v/>
      </c>
      <c r="F231">
        <f>HYPERLINK("https://www.amazon.jobs/jobs/2998435/senior-applied-scientist-delivery-foundation-model-?cmpid=DA_INAD200785B", "https://www.amazon.jobs/jobs/2998435/senior-applied-scientist-delivery-foundation-model-?cmpid=DA_INAD200785B")</f>
        <v/>
      </c>
      <c r="G231" t="inlineStr">
        <is>
          <t>Bellevue, WA, US</t>
        </is>
      </c>
      <c r="H231" s="3" t="n">
        <v>45806</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in-aa5d86924d21c39a</t>
        </is>
      </c>
      <c r="B232" t="inlineStr">
        <is>
          <t>Senior Applied Scientist, Delivery Foundation Model</t>
        </is>
      </c>
      <c r="C232" t="inlineStr">
        <is>
          <t>Amazon.com</t>
        </is>
      </c>
      <c r="D232" t="inlineStr">
        <is>
          <t>indeed</t>
        </is>
      </c>
      <c r="E232">
        <f>HYPERLINK("https://www.indeed.com/viewjob?jk=aa5d86924d21c39a", "https://www.indeed.com/viewjob?jk=aa5d86924d21c39a")</f>
        <v/>
      </c>
      <c r="F232">
        <f>HYPERLINK("https://www.amazon.jobs/jobs/2998435/senior-applied-scientist-delivery-foundation-model-?cmpid=DA_INAD200785B", "https://www.amazon.jobs/jobs/2998435/senior-applied-scientist-delivery-foundation-model-?cmpid=DA_INAD200785B")</f>
        <v/>
      </c>
      <c r="G232" t="inlineStr">
        <is>
          <t>Santa Clara, CA, US</t>
        </is>
      </c>
      <c r="H232" s="3" t="n">
        <v>45806</v>
      </c>
      <c r="I2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in-d95722dd41893ead</t>
        </is>
      </c>
      <c r="B233" t="inlineStr">
        <is>
          <t>Principal Applied Scientist, Delivery Foundation Model</t>
        </is>
      </c>
      <c r="C233" t="inlineStr">
        <is>
          <t>Amazon.com</t>
        </is>
      </c>
      <c r="D233" t="inlineStr">
        <is>
          <t>indeed</t>
        </is>
      </c>
      <c r="E233">
        <f>HYPERLINK("https://www.indeed.com/viewjob?jk=d95722dd41893ead", "https://www.indeed.com/viewjob?jk=d95722dd41893ead")</f>
        <v/>
      </c>
      <c r="F233">
        <f>HYPERLINK("https://www.amazon.jobs/jobs/2998635/principal-applied-scientist-delivery-foundation-model-?cmpid=DA_INAD200785B", "https://www.amazon.jobs/jobs/2998635/principal-applied-scientist-delivery-foundation-model-?cmpid=DA_INAD200785B")</f>
        <v/>
      </c>
      <c r="G233" t="inlineStr">
        <is>
          <t>Bellevue, WA, US</t>
        </is>
      </c>
      <c r="H233" s="3" t="n">
        <v>45757</v>
      </c>
      <c r="I2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in-b4e897c738e2862f</t>
        </is>
      </c>
      <c r="B234" t="inlineStr">
        <is>
          <t>Principal Applied Scientist, Delivery Foundation Model</t>
        </is>
      </c>
      <c r="C234" t="inlineStr">
        <is>
          <t>Amazon.com</t>
        </is>
      </c>
      <c r="D234" t="inlineStr">
        <is>
          <t>indeed</t>
        </is>
      </c>
      <c r="E234">
        <f>HYPERLINK("https://www.indeed.com/viewjob?jk=b4e897c738e2862f", "https://www.indeed.com/viewjob?jk=b4e897c738e2862f")</f>
        <v/>
      </c>
      <c r="F234">
        <f>HYPERLINK("https://www.amazon.jobs/jobs/2998635/principal-applied-scientist-delivery-foundation-model-?cmpid=DA_INAD200785B", "https://www.amazon.jobs/jobs/2998635/principal-applied-scientist-delivery-foundation-model-?cmpid=DA_INAD200785B")</f>
        <v/>
      </c>
      <c r="G234" t="inlineStr">
        <is>
          <t>New York, NY, US</t>
        </is>
      </c>
      <c r="H234" s="3" t="n">
        <v>45757</v>
      </c>
      <c r="I2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in-f7fc011c6b8c3a33</t>
        </is>
      </c>
      <c r="B235" t="inlineStr">
        <is>
          <t>Principal Applied Scientist, Delivery Foundation Model</t>
        </is>
      </c>
      <c r="C235" t="inlineStr">
        <is>
          <t>Amazon.com</t>
        </is>
      </c>
      <c r="D235" t="inlineStr">
        <is>
          <t>indeed</t>
        </is>
      </c>
      <c r="E235">
        <f>HYPERLINK("https://www.indeed.com/viewjob?jk=f7fc011c6b8c3a33", "https://www.indeed.com/viewjob?jk=f7fc011c6b8c3a33")</f>
        <v/>
      </c>
      <c r="F235">
        <f>HYPERLINK("https://www.amazon.jobs/jobs/2998635/principal-applied-scientist-delivery-foundation-model-?cmpid=DA_INAD200785B", "https://www.amazon.jobs/jobs/2998635/principal-applied-scientist-delivery-foundation-model-?cmpid=DA_INAD200785B")</f>
        <v/>
      </c>
      <c r="G235" t="inlineStr">
        <is>
          <t>Santa Clara, CA, US</t>
        </is>
      </c>
      <c r="H235" s="3" t="n">
        <v>45757</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in-d25f9d1a873947a6</t>
        </is>
      </c>
      <c r="B236" t="inlineStr">
        <is>
          <t>Principal Applied Scientist, FAR (Frontier AI &amp; Robotics)</t>
        </is>
      </c>
      <c r="C236" t="inlineStr">
        <is>
          <t>Amazon.com</t>
        </is>
      </c>
      <c r="D236" t="inlineStr">
        <is>
          <t>indeed</t>
        </is>
      </c>
      <c r="E236">
        <f>HYPERLINK("https://www.indeed.com/viewjob?jk=d25f9d1a873947a6", "https://www.indeed.com/viewjob?jk=d25f9d1a873947a6")</f>
        <v/>
      </c>
      <c r="F236">
        <f>HYPERLINK("https://www.amazon.jobs/jobs/2938625/principal-applied-scientist-far-frontier-ai--robotics?cmpid=DA_INAD200785B", "https://www.amazon.jobs/jobs/2938625/principal-applied-scientist-far-frontier-ai--robotics?cmpid=DA_INAD200785B")</f>
        <v/>
      </c>
      <c r="G236" t="inlineStr">
        <is>
          <t>Seattle, WA, US</t>
        </is>
      </c>
      <c r="H236" s="3" t="n">
        <v>45740</v>
      </c>
      <c r="I23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in-795e904dfd48c548</t>
        </is>
      </c>
      <c r="B237" t="inlineStr">
        <is>
          <t>Principal Applied Scientist, FAR (Frontier AI &amp; Robotics)</t>
        </is>
      </c>
      <c r="C237" t="inlineStr">
        <is>
          <t>Amazon.com</t>
        </is>
      </c>
      <c r="D237" t="inlineStr">
        <is>
          <t>indeed</t>
        </is>
      </c>
      <c r="E237">
        <f>HYPERLINK("https://www.indeed.com/viewjob?jk=795e904dfd48c548", "https://www.indeed.com/viewjob?jk=795e904dfd48c548")</f>
        <v/>
      </c>
      <c r="F237">
        <f>HYPERLINK("https://www.amazon.jobs/jobs/2938625/principal-applied-scientist-far-frontier-ai--robotics?cmpid=DA_INAD200785B", "https://www.amazon.jobs/jobs/2938625/principal-applied-scientist-far-frontier-ai--robotics?cmpid=DA_INAD200785B")</f>
        <v/>
      </c>
      <c r="G237" t="inlineStr">
        <is>
          <t>San Francisco, CA, US</t>
        </is>
      </c>
      <c r="H237" s="3" t="n">
        <v>45740</v>
      </c>
      <c r="I23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li-4366180301</t>
        </is>
      </c>
      <c r="B2" t="inlineStr">
        <is>
          <t>Data Scientist, Sr.</t>
        </is>
      </c>
      <c r="C2" t="inlineStr">
        <is>
          <t>Airbnb</t>
        </is>
      </c>
      <c r="D2" t="inlineStr">
        <is>
          <t>linkedin</t>
        </is>
      </c>
      <c r="E2" t="inlineStr"/>
      <c r="F2" t="inlineStr"/>
      <c r="G2" t="inlineStr"/>
      <c r="H2" t="inlineStr"/>
      <c r="I2" t="inlineStr">
        <is>
          <t>**About The Company** 
 Airbnb was founded in 2007 when two hosts welcomed three guests to their San Francisco home, marking the beginning of a revolutionary approach to travel and hospitality. Over the years, Airbnb has grown exponentially, now boasting over 5 million hosts worldwide who have welcomed more than 2 billion guest arrivals across nearly every country on the planet. The platform offers unique stays and experiences that enable guests to connect with local communities in an authentic and meaningful way. Committed to fostering a global community, Airbnb continuously innovates to enhance the hosting and guest experience, making travel more accessible, personalized, and enriching for everyone involved.
**About The Role** 
 We are seeking a talented and experienced Data Scientist to join our collaborative team dedicated to building innovative pricing products for Airbnb hosts. In this role, you will work closely with cross\-functional teams including product managers, engineers, analysts, and designers to develop and refine pricing guidance systems that optimize supply and demand within the Airbnb marketplace. Your primary focus will be on developing models, conducting experiments, and generating insights that inform pricing strategies and feature launches. You will play a pivotal role in measuring the impact of new pricing features, creating foundational models for pricing recommendations, and communicating complex data\-driven insights to stakeholders in a clear and compelling manner. This position offers an exciting opportunity to influence the future of Airbnb’s marketplace by leveraging data science to drive impactful pricing innovations that benefit hosts and guests alike.
**Qualifications** 
* Bachelor’s or Master’s degree in Data Science, Computer Science, Statistics, Economics, or a related field
* 5\+ years of professional experience in data science or analytics, with at least 2 years holding a PhD
* Proficiency in SQL and programming languages such as Python or R
* Experience with experimentation, causal inference, and observational analysis
* Strong ability to independently develop roadmaps that drive business impact
* Excellent communication skills, capable of translating complex technical concepts for non\-technical audiences
* Experience working in cross\-functional teams and managing multiple stakeholders
* Work authorization to work in the United States
**Responsibilities** 
* Develop and maintain models that inform pricing strategies and recommendations for Airbnb hosts
* Design and execute experiments to evaluate the impact of new pricing features and initiatives
* Analyze data to understand the differential effects of pricing features and surface actionable insights
* Create simulations and software tools using Python, SQL, or R to measure and predict marketplace behaviors
* Collaborate with product, engineering, and analytics teams to integrate data\-driven insights into product development
* Communicate findings and insights clearly to stakeholders through reports, presentations, and data narratives
* Identify opportunities for innovative pricing solutions that balance supply and demand in the marketplace
* Stay updated with industry best practices and continuously improve modeling and analytical techniques
**Benefits** 
* Competitive salary and performance\-based bonuses
* Comprehensive health, dental, and vision insurance plans
* Flexible work arrangements including remote work options
* Generous paid time off and holidays
* Employee stock options and equity plans
* Learning and development opportunities to support career growth
* Employee travel credits and wellness programs
 Equal Opportunity
 Airbnb is an equal opportunity employer committed to fostering an inclusive environment for all employees. We celebrate diversity and are dedicated to creating a workplace where everyone feels valued, respected, and empowered to contribute their best. We encourage applications from individuals of all backgrounds, identities, and experiences.</t>
        </is>
      </c>
    </row>
    <row r="3">
      <c r="A3" t="inlineStr">
        <is>
          <t>li-4366164836</t>
        </is>
      </c>
      <c r="B3" t="inlineStr">
        <is>
          <t>Data Scientist - AI &amp; BI</t>
        </is>
      </c>
      <c r="C3" t="inlineStr">
        <is>
          <t>Sunlighten</t>
        </is>
      </c>
      <c r="D3" t="inlineStr">
        <is>
          <t>linkedin</t>
        </is>
      </c>
      <c r="E3" t="inlineStr"/>
      <c r="F3" t="inlineStr"/>
      <c r="G3" t="inlineStr">
        <is>
          <t>Leawood, KS</t>
        </is>
      </c>
      <c r="H3" t="inlineStr"/>
      <c r="I3" t="inlineStr">
        <is>
          <t>* Please Note: This position is open only to candidates authorized to work in the U.S. without the need for current or future visa sponsorship. Additionally, this position is based in the Kansas City area, and we are only considering candidates who reside locally.\*\*
 At Sunlighten, we're not just about infrared saunas, we're on a mission to improve lives through innovative health and wellness solutions. As a global leader in infrared sauna therapy, we are rapidly expanding and need a talented
 **Data Scientist, AI \&amp; BI** 
 to drive measurable impact across Sales, Marketing, CX, and Operations through applied ML/LLMs, experimentation, and analytics. This is an AI\-first role: you will own evaluation, monitoring, and continuous improvement for AI agents and RAG experiences, and partner with our AI Applications Engineer to productionize safe, reliable workflows that are accurate, secure, and ROI\-positive. You will also lead core BI data science work (forecasting, scoring, experimentation) and step into BI analytics/dashboarding as needed to ensure business priorities ship end to end.
 Celebrating 25 years of innovation, Sunlighten has grown from its Kansas City roots to establish a global footprint, including expansion into the UK. With the global wellness market projected to reach $7 trillion in 2026, we are proud to be part of this dynamic and holistic shift. As leaders in light science and longevity, we create innovative solutions that help customers lead vibrant, active lifestyles.
**Duties/Responsibilities:**
**LLM / Agent Quality (Applied AI)**
* Define evaluation strategy for LLM/RAG/agents: grounded, helpfulness, safety, regression tests, and release gates
* Build and maintain "golden sets" and rubric\-based scoring for agent behavior across key use cases
* Establish monitoring for agent outcomes: quality, latency, cost, drift, user feedback, and business KPIs
* Partner with the AI Applications Engineer on prompt strategy, retrieval patterns, tool\-use behavior, and safe fallbacks
* Run red team/adversarial testing and coordinate mitigations for unsafe or ungrounded behavior
* Ensure privacy/security by design: PII minimization, RBAC/least privilege, secrets via Key Vault/1Password, auditable deletions (≤7 days where applicable)
* Define human in the loop workflows when needed (sampling, review queues, labeling guidelines, escalation paths)
**LLMOps / Governance (Production Readiness)**
* Own an LLM release process: prompt/model/versioning, offline evals, staging, canary, and rollback
* Maintain documentation for production AI: evaluation reports, model/prompt "cards," known failure modes, and mitigation playbooks
* Implement automated regression checks (pre/post deploy) to prevent quality/safety backslides
* Define incident response expectations for agent issues: triage, root cause analysis, corrective actions, and follow\-up measurement
**BI \+ Applied ML (Core Data Science)**
* Partner with stakeholders (Sales/Marketing/CX/Ops) to convert questions into testable plans, success metrics, and decision ready recommendations
* Own predictive modeling for BI priorities: lead/opportunity scoring, demand planning, end\-to\-end forecasting, and product/website models as needed
* Design and run experiments (A/B, holdouts, quasi experimental when needed): power, guardrails, instrumentation, readouts
* Define business \+ model metrics; build golden labels/holdouts; quantify ROI and operationalize decision thresholds
* Feature engineering across Salesforce, NetSuite, Five9, Marketing Cloud, Shopify, GA4, and product telemetry; collaborate with Data Engineering to productionize in Microsoft Fabric
* Translate modeling outputs into operational workflows (e.g., Salesforce scoring, routing, prioritization, dashboards, and alerts)
* This is an AI\-first role, but you're expected to pitch in on BI/analytics work when priorities demand it (metric definitions, semantic model alignment, dashboards, and executive readouts) to ensure outcomes land not just models
* Improve data clarity: metric definitions, data quality checks, lineage notes, and stakeholder enablement
* Other duties as discussed and assigned.
**Requirements**
* 2\-6 years of enterprise level experience in applied data science or analytics with stakeholder\-facing delivery
* Bachelors or Masters degree in Data Science, Computer Science, Statistics, Operations Research (or equivalent practical experience); portfolio, GitHub or examples of shipped work preferred
* Strong proficiency in Python (pandas/sklearn) and SQL, with solid statistical and experimental foundations (forecasting, power analysis, common tests)
* Experience shipping models or analytics into production business workflows (e.g., CRM scoring, operational forecasting, dashboards)
* Familiarity with LLM concepts (prompting, retrieval, evals) and a quality\-first mindset
* Working knowledge of MLOps/LLMOps and Git\-based workflows, including versioning, automated eval/regression testing, monitoring/alerting, documentation, and rollback strategies.
**Nice To Have (Preferred Experience)**
* Experience with modern data and BI platforms such as Microsoft Fabric (Lakehouse, Warehouse, Notebooks, Pipelines) and Power BI semantic models, including basic DAX familiarity
* Domain experience with customer, finance, or marketing systems (e.g., Salesforce, NetSuite, Five9\), and familiarity with digital platforms such as Marketing Cloud, Shopify, and Google Analytics (GA4\)
* Hands\-on exposure to LLM and agent tooling, including frameworks or ecosystems like OpenAI Agents SDK, Microsoft AI Foundry/Copilot, LangChain/LangGraph, or LlamaIndex, along with an understanding of evaluation, observability, and cost controls
* Experience working with production data infrastructure and telemetry, including databases such as ClickHouse, Postgres, or SQL Server, observability tools like Grafana or Datadog, and evaluation practices such as golden datasets, rubric scoring, pairwise testing, or human\-in\-the\-loop review processes
**Benefits**
* Opportunity to work in a collaborative and innovative environment
* Career growth opportunities in a market leading and rapidly growing wellness technology company
* Competitive Paid Time Off Policy \+ Paid Holidays \+ Floating Holidays
* Fully Equipped Fitness Center On\-Site
* Lunch Program featuring a James\-Beard Award Winning Chef
* Health (HSA \&amp; FSA Options), Dental, and Vision Insurance
* 401(k) with company contributions
* Profit Sharing
* Life and Short\-Term Disability Insurance
* Professional Development and Tuition Reimbursement
* Associate Discounts on Saunas, Spa Products and Day Spa Services.
 Sunlighten provides equal employment opportunity. Discrimination of any type will not be tolerated. Sunlighten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t>
        </is>
      </c>
    </row>
    <row r="4">
      <c r="A4" t="inlineStr">
        <is>
          <t>li-4366168386</t>
        </is>
      </c>
      <c r="B4" t="inlineStr">
        <is>
          <t>Data Scientist</t>
        </is>
      </c>
      <c r="C4" t="inlineStr">
        <is>
          <t>Rain</t>
        </is>
      </c>
      <c r="D4" t="inlineStr">
        <is>
          <t>linkedin</t>
        </is>
      </c>
      <c r="E4" t="inlineStr"/>
      <c r="F4" t="inlineStr"/>
      <c r="G4" t="inlineStr"/>
      <c r="H4" t="inlineStr"/>
      <c r="I4" t="inlineStr">
        <is>
          <t>**About The Company**
 Rain is pioneering the next generation of global payments, enabling the seamless use of stablecoins for a variety of financial transactions including card payments, cross\-border remittances, B2B purchases, and more. Our dedicated and innovative team comprises passionate builders and experienced founders committed to transforming the financial landscape. With a robust infrastructure, we partner with fintechs, neobanks, and financial institutions to launch inclusive, efficient, and scalable solutions that transcend borders. Backed by prominent investors such as Sapphire Ventures, Norwest, Galaxy Ventures, Lightspeed, and Khosla, Rain offers an opportunity to make a substantial impact within a hypergrowth environment. If you are curious, bold, and eager to shape a borderless financial future, we invite you to join our journey.
**About The Role**
 We are seeking a talented Fraud Risk Analyst to join our dynamic team. In this role, you will be responsible for developing and managing sophisticated fraud detection and mitigation strategies that ensure a secure yet frictionless customer experience. Your primary focus will be on owning and enhancing real\-time monitoring systems, designing risk controls powered by machine learning models, and collaborating with cross\-functional teams to implement scalable solutions. You will play a key role in balancing risk management with customer satisfaction, providing valuable insights to leadership, and supporting our go\-to\-market initiatives. This position offers the chance to work at the forefront of fintech innovation, leveraging data and technology to combat emerging fraud vectors in a rapidly evolving industry.
**Qualifications**
* Advanced proficiency in SQL and Python
* Minimum of 3\+ years of experience in automated fraud risk strategies and experimentation, including A/B testing
* Hands\-on experience with real\-time and offline predictive machine learning models
* Proven ability to design, build, and maintain dashboards and fraud risk metrics
* Strong analytical skills with the ability to interpret complex data and communicate insights effectively
* Experience managing ambiguous problems and delivering practical solutions
* High level of autonomy and effective workload prioritization
* Bachelor’s degree or higher in Statistics, Mathematics, Engineering, Computer Science, or related quantitative fields
**Responsibilities**
* Own the development and maintenance of key metrics, dashboards, and reports that inform business strategy and operational decisions
* Design and implement real\-time monitoring systems to detect and alert on fraud signals and thresholds
* Develop, simulate, and deploy real\-time risk controls utilizing predictive ML models for fraud prevention
* Balance risk mitigation with customer experience by optimizing loss savings, reducing friction, and improving margins
* Collaborate with go\-to\-market teams to demonstrate the value of risk controls to clients and internal stakeholders
* Summarize and communicate complex analytical findings to leadership and non\-technical teams
* Assist partners in addressing fraud concerns related to their traffic and transactions
**Benefits**
* Unlimited paid time off, with a minimum of 10 days required annually
* Flexible work environment supporting remote and in\-office work, including a stipend for home setup
* Comprehensive health, dental, and vision plans for employees and dependents
* Company\-subsidized life insurance coverage
* Retirement plan with a 4% company match on 401(k) contributions
* Equity options to share in the company's success
* Access to Rain Cards for testing and product familiarity
* Health and wellness spending allowances for activities like gym memberships, massages, and acupuncture
* Participation in team summits and company off\-sites, both domestically and internationally
 Equal Opportunity
 Rain is committed to fostering an inclusive and diverse workplace. We are an equal opportunity employer and do not discriminate based on race, color, religion, gender, gender identity or expression, sexual orientation, national origin, genetics, disability, age, or veteran status. We believe that a diverse team enhances our innovation and success, and we welcome applicants from all backgrounds to join us in shaping the future of borderless payments.</t>
        </is>
      </c>
    </row>
    <row r="5">
      <c r="A5" t="inlineStr">
        <is>
          <t>li-4366167762</t>
        </is>
      </c>
      <c r="B5" t="inlineStr">
        <is>
          <t>Data Scientist and AI Strategist</t>
        </is>
      </c>
      <c r="C5" t="inlineStr">
        <is>
          <t>Paladin Capital Group</t>
        </is>
      </c>
      <c r="D5" t="inlineStr">
        <is>
          <t>linkedin</t>
        </is>
      </c>
      <c r="E5" t="inlineStr"/>
      <c r="F5" t="inlineStr"/>
      <c r="G5" t="inlineStr"/>
      <c r="H5" t="inlineStr"/>
      <c r="I5" t="inlineStr">
        <is>
          <t>**Overview** 
 Paladin Capital Group is a leading global venture capital firm with a multi\-stage investment strategy focused on cybersecurity, AI security and trustworthiness, digital resilience, and digital biology. Paladin was founded in 2001 and is headquartered in Washington, DC, with offices in New York, Silicon Valley, London, and Luxembourg, and has managed over $2\.0 Billion of assets and companies across multiple funds. 
 Paladin is seeking a Data Scientist and AI Strategist to join our firm and support the data\-driven decision\-making process for a multi\-billion\-dollar venture capital firm. This role will focus on the use of AI in multiple forms, data management, analytics, and insights generation to help evaluate funds' financial performance, investment opportunities, monitor portfolio performance, and optimize internal operations. 
 You will work closely with the Chief Operating Officer, the Chief Investment Officer, and investment, finance, and operations teams to ensure data integrity, assess new systems and emerging technologies to automate processes and deeply engage limited partners and entrepreneurs, build analytical models, and deliver actionable insights that drive strategic decisions. 
 This role is full\-time and reports to Ed Albrigo, Chief Operating Officer, and will work closely with Chris Steed, Chief Investment Officer. The role is full\-time based in Paladin's Washington, D.C. office. The role is not eligible for remote work. 
**Key Responsibilities** 
 Working at the direction of the COO and CIO, these responsibilities shall include, without limitation:  
 Analytics \&amp; AI Modeling 
* Perform exploratory data analysis and build predictive models for deal sourcing, portfolio performance, funds' performance, and fund raising
* Assess systems and emerging technologies to support teams across the organization to automate processes and perform research and analysis
* Utilize AI models including LLMs for analytics and automated reporting.
* Optimize prompt engineering for LLMs for internal use cases
* Specific LLM Use Cases for exploration include but are not limited to:
* Portfolio Companies Analytics: Identify patterns, insights into portfolio companies' performance in total and for each company
* Funds' Performance: Identify patterns, insights into funds' performance in total and for each fund
* Deal Sourcing: Leverage information and capabilities of our deal sourcing platforms to enhance efficiency of deal sourcing
* Market Trend Analysis: Extract insights from news, research reports, and social media
 Data Management \&amp; Integration 
* Collect, clean, and maintain structured and unstructured data from multiple sources and create datasets for input into analytic systems and private equity management systems
* Manage and link data across multiple private equity management systems and
* Ensure data quality, consistency, and compliance with governance standards
 Participate in due diligence efforts with the investment team on potential investments in startups 
 Build dashboards and visualization tools for the Paladin team
 Present analysis and findings in a clear, actionable manner 
 Collaboration \&amp; Support 
* Partner with cross\-functional teams to understand data needs and deliver solutions.
* Document methodologies and maintain reproducibility of analyses
 Consistently demonstrate initiative to take on tasks beyond immediate role. 
**Key Qualifications** 
* Bachelor's degree in Data Science, Computer Science, Mathematics, or related field
* Demonstrated experience with various forms of Artificial Intelligence and LLMs such as Microsoft Copilot and Chat GPT
* Proficient with tools and languages such as Excel, BI tools such as Power BI, AWS Quicksight and languages such as SQL, Python and Vibe
* 4 \- 7 years of equivalent work experience demonstrating strong analytical and problem\-solving skills
* Strong analytical capabilities along with initiative to develop business acumen for venture investing
* Excellent written and verbal communications skills
* Highly organized with attention to detail, and highly collaborative
* Proficient in creating effective visuals and presentation materials
* Insatiable curiosity, independent in thought and collaborative by nature.
* High ethical standards
* Must be authorized to work in the United States</t>
        </is>
      </c>
    </row>
    <row r="6">
      <c r="A6" t="inlineStr">
        <is>
          <t>li-4366185796</t>
        </is>
      </c>
      <c r="B6" t="inlineStr">
        <is>
          <t>Data Scientist (AI)</t>
        </is>
      </c>
      <c r="C6" t="inlineStr">
        <is>
          <t>SewerAI</t>
        </is>
      </c>
      <c r="D6" t="inlineStr">
        <is>
          <t>linkedin</t>
        </is>
      </c>
      <c r="E6" t="inlineStr"/>
      <c r="F6" t="inlineStr"/>
      <c r="G6" t="inlineStr"/>
      <c r="H6" t="inlineStr"/>
      <c r="I6" t="inlineStr">
        <is>
          <t>**About SewerAI Corporation**
 SewerAI is transforming underground infrastructure management through AI\-powered inspection and risk analysis. Our platform helps contractors, engineering firms, and utilities unlock valuable insights from sewer inspection data—turning hours of manual video review into actionable intelligence in minutes. After doubling our customer base over the past year, we’re now entering an exciting phase of accelerated growth.
**About The Role**
 We're looking for a
 **Senior Data Scientist** 
 to join our AI team and work on applied machine learning for sewer infrastructure. In this role, you'll develop anomaly detection systems, time series forecasting models, and predictive analytics that help utilities anticipate and prevent infrastructure failures.
 You'll work closely with our engineering and data teams to build ML systems that analyze sensor data, detect anomalies, and deliver actionable insights to our customers.
 What You'll Work On
* Anomaly Detection — Develop models to identify unusual patterns and potential issues in sewer infrastructure data
* Time Series Forecasting — Build predictive models for maintenance scheduling and infrastructure health predictions
* ML Model Development — Design, train, and iterate on ML models for sewer\-specific applications
* Data Analysis \&amp; Pipelines — Build pipelines for processing and analyzing infrastructure data at scale
* Dashboards \&amp; Reporting — Create visualizations and reports in Hex to surface insights for stakeholders
**Required Technical Skills**
* Python — Deep experience with pandas, scikit\-learn, and statistical analysis
* Deep Learning Frameworks — PyTorch or TensorFlow for advanced modeling
* SQL — Complex queries, window functions, analytical queries
* Time Series Analysis — Forecasting techniques, trend analysis, seasonality handling, signal processing
* Anomaly Detection — Statistical and ML\-based anomaly detection techniques
* Data Stack — Hex, dbt, ClickHouse
 Nice\-to\-Have Skills
* Infrastructure or IoT domain experience
* Sewer/Water industry experience or knowledge
* Sensor data analysis
* MLOps experience (model deployment, monitoring)
* Cloud platforms (AWS)
 What We're Looking For
* 4\-6 years of applied machine learning experience
* Strong statistical and ML fundamentals
* Experience with time series analysis or anomaly detection
* Knowledge of Bayesian statistics and/or Bayesian optimization
* Experience creating and applying custom metrics to complex datasets and problems
* Collaborative mindset — you enjoy working across teams
* Clear communicator — you can explain complex ML concepts to non\-technical stakeholders
 What You'll Gain
* Impact — Your models directly improve infrastructure maintenance for cities and utilities
* Modern Stack — Work with a modern data and ML stack (Hex, dbt, ClickHouse, PyTorch)
* Growth — Expand your skills across applied ML in a high\-impact domain
* Ownership — Shape the direction of our predictive analytics capabilities as we scale
**Compensation:** 
 $150,000\-$180,000
**Benefits Include**
* Medical, Dental, Vision, Basic Life, 401(k), and more
* Unlimited PTO
* Tools you need to get the job done
* Competitive salary and potential equity\-based remuneration
**Why Join SewerAI?**
 Join the fastest\-growing team in wastewater tech and help modernize critical infrastructure with AI. You’ll own high\-visibility projects, influence how our brand meets the market, and see your work drive measurable impact for customers and communities.
 \_\_\_\_\_\_\_\_\_\_\_\_\_\_\_\_\_\_\_\_\_\_\_\_\_\_\_\_\_\_\_\_\_\_\_\_\_\_\_\_\_\_\_\_\_\_\_\_\_\_\_\_\_\_\_\_\_\_\_\_\_\_\_\_\_\_\_\_\_\_\_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Compensation Range: $150K \- $180K</t>
        </is>
      </c>
    </row>
    <row r="7">
      <c r="A7" t="inlineStr">
        <is>
          <t>li-4366182838</t>
        </is>
      </c>
      <c r="B7" t="inlineStr">
        <is>
          <t>Data Scientist (Insurance)</t>
        </is>
      </c>
      <c r="C7" t="inlineStr">
        <is>
          <t>Inizio Partners</t>
        </is>
      </c>
      <c r="D7" t="inlineStr">
        <is>
          <t>linkedin</t>
        </is>
      </c>
      <c r="E7" t="inlineStr"/>
      <c r="F7" t="inlineStr"/>
      <c r="G7" t="inlineStr"/>
      <c r="H7" t="inlineStr"/>
      <c r="I7" t="inlineStr">
        <is>
          <t>* **Role: Data Scientist**
* **Location:** 
 Based out of US, Canada (Cincinnati, Ohio Preferred)
**Role Overview** 
* We are seeking a hands\-on Data Scientist to join our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 The role involves working closely with internal teams and clients on reporting, data engineering, transformation and advanced analytics projects. While strong technical skills are important, we are looking for someone who can engage directly with clients, translate business needs into analytical solutions and drive measurable impact.
* The role shall be responsible for leading critical model development and delivery activities, including model design, development, validation and stakeholder engagement, in accordance with the client expectations.
**Key Responsibilities** 
* Collaborate with internal and client stakeholders to design and deliver data\-driven solutions across reporting, analytics and transformation initiatives.
* Apply traditional statistical methods, machine learning, deep learning and NLP techniques to solve business problems.
* Support insurance\-focused analytics use cases (with preference for P\&amp;C lines of business).
* Work in a consulting setup: conduct requirement gathering, structure problem statements and communicate insights effectively to senior stakeholders.
* Ensure data quality, governance and compliance with Data Privacy and Protection Guidelines.
* Independently research, analyze and present findings, ensuring client\-ready deliverables.
* Contribute to continuous improvement initiatives and support business development activities where required.
**Key Skillsets \&amp; Experience** 
**Core Skills** 
* **5\+** 
 years of experience in P\&amp;C insurance analytics, pricing, or actuarial\-adjacent
 **Data Science** 
 roles with proficiency in advanced Machine Learning techniques
* **Machine Learning algorithms** 
 for tabular data (Gradient Boosting, Random Forests, XGBoost, LightGBM, NLP\-Unstructured)
* **GLM modeling** 
 expertise (Poisson, Gamma, Tweedie, Logistic)
* **Python** 
 for data analysis and modeling (pandas, numpy, scikit\-learn, statsmodels)
* **Databricks** 
 / Spark (PySpark) for large\-scale data transformation and feature engineering
* **SQL** 
 for data extraction, transformation, and analytical queries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t>
        </is>
      </c>
    </row>
    <row r="8">
      <c r="A8" t="inlineStr">
        <is>
          <t>li-4366193024</t>
        </is>
      </c>
      <c r="B8" t="inlineStr">
        <is>
          <t>Data Scientist III (Product Analytics)</t>
        </is>
      </c>
      <c r="C8" t="inlineStr">
        <is>
          <t>Cedar</t>
        </is>
      </c>
      <c r="D8" t="inlineStr">
        <is>
          <t>linkedin</t>
        </is>
      </c>
      <c r="E8" t="inlineStr"/>
      <c r="F8" t="inlineStr"/>
      <c r="G8" t="inlineStr"/>
      <c r="H8" t="inlineStr"/>
      <c r="I8"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**Background:** 
 Cedar is a patient payment and engagement platform that leverages data science, AI, consumer\-centric design and technology to improve the healthcare experience for patients.
 The Data Science team plays a critical role in achieving Cedar’s vision. We ensure data and insights are accessible and trusted by all internal and external stakeholders to enable data\-driven decision\-making. Through analytics, descriptive analyses, and statistical models, we consistently aim to better understand the needs of patients, find improvement opportunities, and impact the product development process. We run experiments to test our various hypotheses and measure our progress. We build ML models and embed them into our web app to deliver a personalized experience to patients. We help differentiate Cedar's product offerings with hard\-to\-copy competitive advantages.
 To do this, we have built an open, supportive, and collaborative team culture. “Love thy teammate” is one of our Data Science values, and we live into this value by operating from a mindset of curiosity, possibility, and the best intentions of each of our team members. As a team, we are dedicated to continually growing our technical excellence and collaborative excellence, equally.
**The Role:** 
 Cedar is growing rapidly and the demand for data expertise is increasing exponentially along with our growth. We’re seeking a
 **Data Scientist III (Product Analytics)** 
 on our Data Science team to work with our product development teams to enable robust data\-driven decisions and understand user behavior through in\-depth data analysis. 
 As a
 **Data Scientist III (Product Analytics)** 
 , you will be responsible for ensuring that we are building world\-class products that truly address the needs of our users and customers through data insights. You will identify clear and strategic product opportunities, measure the success of our products and AI personalization platform, understand product strengths and areas for improvement \- by immersing yourself in Cedar data and the stories that it tells. You will continuously apply a growth mindset in your approach to problems. 
**Responsibilities:** 
* Partner with the Product, Design, and Engineering teams to develop an understanding of user behavior and opportunities for product improvement using data
* Influence data focused decision making on product teams to move metrics and improve the patient experience
* Perform exploratory research to provide product teams with new strategic ideas and levers to improve impactful metrics
* Analyze, measure, and track the performance and success of product features
* Identify data insights and recommendations for product teams to act and iterate on
* Ideate, design, and evaluate product experiments
* Build dashboards and visualizations to democratize data insights
* Present and clearly communicate data findings and underlying methodology to partners across all levels of the organization
* Think from the perspective of a user and develop expert intuition of Cedar’s data models and product
**Skills and Experience:** 
* 5\+ years of experience in an analytical role, bonus points for healthcare, fintech, e\-commerce, or other related industries
* A go\-getter attitude, passion for delivering a world\-class product experience, and a mindset focused on growth and learning
* An analytical attitude and passion for finding opportunities and insights within data
* Understanding of statistical methods for research and experimentation purposes
* Experience collaborating with product, design, and engineering teams
* SQL and Python expertise is a must\-have
* Experience with dbt, Hex, and Looker is a nice to have
**Compensation Range and Benefits** 
* Salary/Hourly Rate Range\*: $148,750 \- $175,000
* This role is equity eligible
* This role offers a competitive benefits and wellness package
 \*Subject to location, experience, and education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9">
      <c r="A9" t="inlineStr">
        <is>
          <t>li-4197395220</t>
        </is>
      </c>
      <c r="B9" t="inlineStr">
        <is>
          <t>Data Scientist</t>
        </is>
      </c>
      <c r="C9" t="inlineStr">
        <is>
          <t>6sense</t>
        </is>
      </c>
      <c r="D9" t="inlineStr">
        <is>
          <t>linkedin</t>
        </is>
      </c>
      <c r="E9" t="inlineStr"/>
      <c r="F9" t="inlineStr"/>
      <c r="G9" t="inlineStr">
        <is>
          <t>San Francisco, CA</t>
        </is>
      </c>
      <c r="H9" t="inlineStr"/>
      <c r="I9" t="inlineStr">
        <is>
          <t>**Our Mission:**
 6sense is on a mission to revolutionize how B2B organizations create revenue by predicting customers most likely to buy and recommending the best course of action to engage anonymous buying teams. 6sense Revenue AI is the only sales and marketing platform to unlock the ability to create, manage and convert high\-quality pipeline to revenue.
**Our People:**
 People are the heart and soul of 6sense. We serve with passion and purpose. We live by our Being 6sense values of Accountability, Growth Mindset, Integrity, Fun and One Team.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**Purpose of the Job**
 Data Scientist leads and drives advanced AI initiatives within the organization. By leveraging advanced statistical methods, machine learning, and programming, the Data Scientist is responsible for designing and implementing complex AI solutions. This role involves innovatively solving business problems, optimizing algorithms, and deploying AI models to provide data\-driven insights that align with the organization's strategic goals. Additionally, the Data Scientist ensures efficient workflows, automates processes, and effectively communicates insights to stakeholders, aiming to enhance productivity, strategic decision\-making, and overall business success.
**Job Description**
**Responsibilities \&amp; Accountabilities**
* Lead the design and development of complex AI solutions, employing advanced techniques to optimize algorithms and data sets for superior performance.
* Design and implement experiments to rigorously evaluate AI solution performance and provide valuable insights for refinement.
* Develop detailed AI solution requirements and effectively manage the development process, adapting to changing circumstances and requirements.
* Collaborate effectively with cross\-functional teams and stakeholders, ensuring successful delivery while adapting to evolving needs and circumstances.
* Stay updated with the latest trends and advancements in AI technology, incorporating newfound knowledge into solution design and development.
* Apply mastery of statistical methods, machine learning algorithms, and programming languages to analyze unstructured data and derive actionable insights.
* Develop novel modeling techniques and algorithms, utilizing advanced methodologies like Bayesian inference, reinforcement learning, and causal inference.
* Create scalable models capable of handling large volumes of real \-time data, ensuring transparency and explainability in the model's functioning.
* Develop models that inform strategic decision\-making at the highest organizational levels, leveraging advanced machine learning techniques.
* Align business objectives with innovative data science solutions, proactively identifying opportunities for data\-driven insights and product innovations.
* Develop and implement advanced AI models, utilizing techniques like transfer learning, ensemble methods, and neural networks for complex problem \-solving.
* Design and implement efficient workflows, automate data \-related tasks, and lead process improvement initiatives to enhance productivity and data accuracy.
* Lead product development efforts, demonstrating an understanding of the business model and leveraging data for product decision\-making and roadmap planning. Ethical Product Development: Understand and consider the ethical and legal implications of data\-driven products and solutions, ensuring responsible and compliant development practices.
**Performance Measurement**
* AI Solution Effectiveness: Measure the effectiveness of AI solutions developed by assessing their impact on solving complex business problems.
* Model Performance and Optimization: Evaluate and optimize machine learning models to ensure they meet predefined performance metrics and business objectives.
* Innovative Solutions Impact: Assess the impact of innovative data science solutions on driving insights, product offerings, and business growth.
* Efficiency and Productivity: Evaluate the efficiency and productivity improvements achieved through process automation and optimization.
* Stakeholder Communication: Assess the effectiveness of communication and collaboration with stakeholders in delivering successful AI solutions.
* Adaptability and Learning: Measure adaptability to changing requirements and the ability to quickly learn and apply new technologies and methodologies.
* Product Alignment and User Impact: Evaluate the alignment of data \-driven products with business goals and their impact on improving user experiences and satisfaction.
* Ethical and Legal Compliance: Monitor compliance with ethical and legal standards in the development of data\-driven products and solutions.
**Educational And Experience Requirements**
* Ph.D. or Master's in Computer Science, Data Science, or related field.
* 5\+ years in data science, machine learning, and AI, with progressive tech leadership roles.
* Strong Python, R, SQL, and advanced statistical and ML techniques.
* Designing tailored ML models, optimizing algorithms, and AI solution deployment.
* Designing efficient workflows, automation, and process improvements.
* Exceptional communication and leadership skills, managing data science teams.
* Driving innovation, staying updated with emerging tech, and ensuring ethical compliance.
* Effective collaboration, adaptability to changing requirements and circumstances.
**Competencies and Behaviors**
* Strong advanced statistical methods, machine learning, and programming languages (Python, R, SQL).
* Innovative Problem\-Solving: Proactive in identifying innovative data \-driven insights, leveraging cutting\-edge technologies, and challenging existing approaches.
* Expertise in designing and deploying complex AI solutions, optimizing algorithms, and integrating models effectively.
* Proficient in automating workflows, improving processes, and enhancing efficiency in data collection, cleaning, analysis, and reporting.
* Strong communication skills to convey complex insights to stakeholders and effective leadership in managing data science teams.
* Willingness to stay updated with emerging trends, methodologies, and technologies, and adapt to changing requirements in the field.
* Understanding and adherence to ethical and legal implications related to data \-driven products and solutions.
* Effective collaboration with cross\-functional teams and stakeholders, ensuring successful project delivery through teamwork.
* Demonstrated contributions through research publications and thought leadership in the data science domain.
* Ability to align data science goals with broader business objectives, leveraging insights for strategic decision\-making.
* Understanding and integrating user needs and experiences into product development, using data to drive user\-centric decisions.
* Ability to adapt to changing requirements and circumstances, ensuring the successful delivery of AI solutions in dynamic environments.
* Efficiently manage time and prioritize tasks to meet project deadlines and organizational goals.
* Commitment to maintaining high\-quality standards, adhering to compliance requirements, and ensuring data accuracy and validity.
 Base Salary Range: $133,687\.50 \- $178,250\.00\. The base salary range represents the anticipated low and high end of the base salary range for this position. Actual salaries may vary and may be above or below the range based on various factors, including but not limited to work location and experience. The base salary is one component of 6sense’s total compensation package for this position. Other compensation may include a bonus program or commission plan, and stock options if approved by 6sense’s board. In addition, 6sense provides a variety of benefits, including generous health insurance coverage, life, and disability insurance, a 401K employer matching program, paid holidays, self\-care days, and paid time off (PTO).
 Notice of Collection and Use of Personal Information for California Residents: California Recruitment Privacy Notice and Policy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*We are aware of recruiting impersonation attempts that are not affiliated with 6sense in any way. All email communications from 6sense will originate from the @6sense.com domain. We will not initially contact you via text message and will never request payments. If you are uncertain whether you have been contacted by an official 6sense employee, reach out to jobs@6sense.com*</t>
        </is>
      </c>
    </row>
    <row r="10">
      <c r="A10" t="inlineStr">
        <is>
          <t>li-4366142621</t>
        </is>
      </c>
      <c r="B10" t="inlineStr">
        <is>
          <t>Data Scientist</t>
        </is>
      </c>
      <c r="C10" t="inlineStr">
        <is>
          <t>Gravity IT Resources</t>
        </is>
      </c>
      <c r="D10" t="inlineStr">
        <is>
          <t>linkedin</t>
        </is>
      </c>
      <c r="E10" t="inlineStr"/>
      <c r="F10" t="inlineStr"/>
      <c r="G10" t="inlineStr"/>
      <c r="H10" t="inlineStr"/>
      <c r="I10" t="inlineStr">
        <is>
          <t>**Overview:** 
 This role will focus on building and deploying scalable machine learning and generative AI models that support predictive analytics, risk scoring, and responsible AI practices. Day to day, you will develop production\-ready pipelines, evaluate data quality and model bias, apply GenAI techniques such as prompt engineering and RAG, monitor and optimize model performance, and partner with Product and Engineering teams to deliver impactful AI solutions.
**Key Responsibilities:** 
* Design, develop, and deploy scalable machine learning and generative AI models, including predictive, risk, and bias\-aware solutions, for production environments.
* Analyze and validate data, evaluate model performance and bias, and continuously monitor and optimize models to ensure accuracy, reliability, and responsible AI practices.
**Qualifications:** 
* 4\+ years of experience with Data Science
* Strong background in ML engineering, including training, fine\-tuning, evaluation, and deployment.
* Experience deploying AI workloads on AWS.</t>
        </is>
      </c>
    </row>
    <row r="11">
      <c r="A11" t="inlineStr">
        <is>
          <t>li-4366184763</t>
        </is>
      </c>
      <c r="B11" t="inlineStr">
        <is>
          <t>Data Scientist (Sales)</t>
        </is>
      </c>
      <c r="C11" t="inlineStr">
        <is>
          <t>SewerAI</t>
        </is>
      </c>
      <c r="D11" t="inlineStr">
        <is>
          <t>linkedin</t>
        </is>
      </c>
      <c r="E11" t="inlineStr"/>
      <c r="F11" t="inlineStr"/>
      <c r="G11" t="inlineStr"/>
      <c r="H11" t="inlineStr"/>
      <c r="I11" t="inlineStr">
        <is>
          <t>**About SewerAI Corporation**
 SewerAI is transforming underground infrastructure management through AI\-powered inspection and risk analysis. Our platform helps contractors, engineering firms, and utilities unlock valuable insights from sewer inspection data—turning hours of manual video review into actionable intelligence in minutes. After doubling our customer base over the past year, we’re now entering an exciting phase of accelerated growth.
**About The Role**
 We're looking for a
 **Senior Data Scientist** 
 to join our Sales organization and drive data\-driven decision making across the business. In this role, you'll combine sales analytics, customer insights, and business intelligence to help SewerAI scale effectively.
 You'll work closely with sales leadership, revenue operations, and cross\-functional teams to build forecasting models, analyze customer behavior, and optimize our go\-to\-market strategy—all powered by SewerAI's modern data infrastructure.
 What You'll Work On
* Sales Forecasting \&amp; Pipeline Analytics — Build and maintain predictive models for revenue forecasting, pipeline health, and deal velocity
* Customer Segmentation \&amp; Churn Prediction — Develop models to identify high\-value customer segments and predict at\-risk accounts
* Pricing Optimization \&amp; Market Analysis — Analyze pricing effectiveness, competitive positioning, and market opportunities
* Dashboards \&amp; Reporting — Create interactive dashboards and reports in Hex to democratize data access across the sales org
* Data Pipeline Development — Build and maintain data pipelines to ensure clean, reliable data for analysis
**Required Technical Skills**
* Python — pandas, scikit\-learn, statistical analysis, data manipulation
* SQL — Complex queries, window functions, CTEs, query optimization
* OLAP Database Experience — Familiarity with analytical databases
* dbt — Data transformations and modeling
* Data Visualization — Building clear, actionable visualizations for stakeholders
 Nice\-to\-Have Skills
* Hex (our primary analysis and reporting tool)
* ClickHouse experience
* ML/predictive modeling experience (time series, classification, regression)
* Cloud platforms (AWS)
* Domain knowledge in sales/SaaS metrics (ARR, churn, LTV, CAC)
* Experience with CRM data (Salesforce, HubSpot)
 What We're Looking For
* 4\-6 years of data science or analytics experience
* Strong communication skills — you can translate technical findings into business recommendations
* Business acumen and strategic thinking — you understand how data drives revenue
* Self\-starter mentality — comfortable operating independently and prioritizing your own work
* Collaborative approach — you enjoy working with stakeholders across the organization
 What You'll Gain
* Impact — Direct influence on company growth through data\-driven decisions
* Modern Stack — Work with best\-in\-class data tools (Hex, dbt, ClickHouse)
* Growth — Opportunities to expand your scope and leadership as we scale
* Ownership — Build the sales analytics function from the ground up
**Compensation:** 
 $150,000\-$180,000
**Benefits Include**
* Medical, Dental, Vision, Basic Life, 401(k), and more
* Unlimited PTO
* Tools you need to get the job done
* Competitive salary and potential equity\-based remuneration
**Why Join SewerAI?**
 Join the fastest\-growing team in wastewater tech and help modernize critical infrastructure with AI. You’ll own high\-visibility projects, influence how our brand meets the market, and see your work drive measurable impact for customers and communities.
 \_\_\_\_\_\_\_\_\_\_\_\_\_\_\_\_\_\_\_\_\_\_\_\_\_\_\_\_\_\_\_\_\_\_\_\_\_\_\_\_\_\_\_\_\_\_\_\_\_\_\_\_\_\_\_\_\_\_\_\_\_\_\_\_\_\_\_\_\_\_\_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Compensation Range: $150K \- $180K</t>
        </is>
      </c>
    </row>
    <row r="12">
      <c r="A12" t="inlineStr">
        <is>
          <t>li-4365832819</t>
        </is>
      </c>
      <c r="B12" t="inlineStr">
        <is>
          <t>Data Scientist</t>
        </is>
      </c>
      <c r="C12" t="inlineStr">
        <is>
          <t>Visa</t>
        </is>
      </c>
      <c r="D12" t="inlineStr">
        <is>
          <t>linkedin</t>
        </is>
      </c>
      <c r="E12" t="inlineStr"/>
      <c r="F12" t="inlineStr"/>
      <c r="G12" t="inlineStr">
        <is>
          <t>Foster City, CA</t>
        </is>
      </c>
      <c r="H12" t="inlineStr"/>
      <c r="I1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Global Data Science group supports our bank and merchant partners by using our extraordinarily rich data sets that span more than 4 billion cards globally and captures more than 190 billion transactions in a single year. Our focus lies on building creative solutions that have an immediate impact on the business of our highly analytical partners. To support our rapidly growing group, we are looking for Data Scientists who are passionate about the opportunity to use Visa’s rich data to address and deliver significant results to complex problems! You will join one of the Data Science focus areas (e.g. merchants, banks) with an opportunity for rotation between Data Science teams to gain broad exposure to Visa’s business.
 Essential Functions:
* Use and build new predictive models to innovate and optimize customer experiences, revenue generation, data insights, advertising targeting and other business outcomes
* Be an out\-of\-the\-box problem solver who is passionate about applying data science techniques and innovate thinking to our unique data to help our clients both innovate and solve the problems they face
* Work with your data science colleagues as well as other teams across Visa to guide the critical thinking for our clients by using the data and tools available to you
* Connect with clients as well as client teams regarding the results and strategic recommendations advised by your analyses
* Develop visualizations to make your sophisticated analyses accessible to a broad audience
* Find opportunities to craft products out of analyses that are suitable for multiple clients
* Work with partners throughout the organization to explore opportunities for using Visa data to drive business solutions
*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This is a hybrid position. Expectation of days in the office will be confirmed by your Hiring Manager. ​
**Qualifications**
**Basic Qualifications:**
* 2 or more years of work experience with a Bachelor’s Degree or an Advanced Degree (e.g. Masters, MBA, JD, MD, or PhD)
**Preferred Qualifications:**
* 3 or more years of work experience with a Bachelor’s Degree or more than 2 years of work experience with an Advanced Degree (e.g. Masters, MBA, JD, MD)
* 2\+ years’ experience in data\-based decision\-making or quantitative analysis
* Bachelor’s degree in an analytical field such as statistics, operations research, economics, computer science or many others (graduate degree is a plus)
* Experience in understanding and analyzing data using statistical software (e.g., Python, R, or others)
* Experience with extracting and aggregating data from large data sets using SQL, Hive, Spark or other tools
* Experience and comfort with machine learning techniques and accompanying packages
* Competence in Excel, PowerPoint and Tableau
* Previous exposure to financial services, credit cards or merchant analytics is a plus, but not required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137,400\.00 to 212,500\.00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
      <c r="A13" t="inlineStr">
        <is>
          <t>li-4366173345</t>
        </is>
      </c>
      <c r="B13" t="inlineStr">
        <is>
          <t>Data Scientist</t>
        </is>
      </c>
      <c r="C13" t="inlineStr">
        <is>
          <t>Bear Cognition, Inc.</t>
        </is>
      </c>
      <c r="D13" t="inlineStr">
        <is>
          <t>linkedin</t>
        </is>
      </c>
      <c r="E13" t="inlineStr"/>
      <c r="F13" t="inlineStr"/>
      <c r="G13" t="inlineStr">
        <is>
          <t>North Charleston, SC</t>
        </is>
      </c>
      <c r="H13" t="inlineStr"/>
      <c r="I13" t="inlineStr">
        <is>
          <t>**Bear Cognition** 
 is a data and AI software firm that delivers intelligence systems that integrate data, enhance automation, and add reasoning layers to transform operational decision\-making. Our goal is to give organizations the ability to think, reason, and act at an exponentially greater level. Bear Cognition works in many different industries but has a strong presence in the Logistics space.
**Job Summary**
 The primary focus of this position will be to develop and deploy Machine Learning Algorithms on client data to provide business insights that will then be communicated in the form of data visualization. The Data Scientist is responsible for data preparation, the ML development cycle, and creating documentation around best practices when it comes to machine learning models. The position may involve direct contact with customers, business consultants, and company executives.
**\*Bear Cognition runs a hybrid schedule and would require this hire to live in or relocate to the Charleston, SC area.** 
**\*Bear Cognition does NOT offer visa sponsorships.** 
**Duties/Responsibilities**
* Responsible for products that are accurate, efficient, and well documented.
* Design, architect and build AI/ML solutions. Including the training, testing, deployment, and monitoring of machine learning models in production.
* Work hands on across the stack, from architecture and data ingestion to model development and UX integration.
* Works collaboratively with peers to develop quality processes, frameworks and products per agreed timelines.
* Identify business obstacles (through analysis) and produce actionable solutions.
* Exceptional communication skills and ability to work with management at every level
* Provides detailed analysis of customer data that can easily be translated into visual representations.
* Acts as the first line of support for data questions and issues.
* Identify new research topics that have relevancy and value add to our projects.
**Requirements**
* Minimum of 3 years of data science experience
* Bachelor's degree in Data Science, Statistics, or a related field, or 3 additional years of relevant work experience
* Strong fluency in Python and SQL
* Strong Experience with Developing and Deploying Machine Learning Models using Python or other coding language, while leveraging ML tools such as Pandas, Scikit\-learn, and MLflow
* Strong ability to communicate ML model results to peers and to visualizations for non\-technical stakeholders
* Strong mathematical knowledge (Queueing Theory, Linear Programming, Game Theory, Probability, Poisson Distributions, etc.)
* Advanced in Statistical Analysis
* Ability to create advanced formulas and dynamic dashboards
* Strong organizational skills, able to deliver within fixed deadlines
* Demonstrates a collaborative mindset and a commitment to continuous learning
* Strong analytical skills, user interface design skills, work ethic, critical thinking, problem solving ability, effective communication skills, and overall positive attitude
**Preferred**
* Experience with developing machine learning models for clients
* Experience with Generative AI solutions, including RAG, agents, Text2SQL
* Familiarity with LangChain, LangGraph and deploying LLM’s
* Experience with Snowflake
* Experience with Amazon Web Services (AWS) services such as SageMaker and Bedrock
* Knowledge the machine learning lifecycle and MLOps best practices
* Experience with Flask, FastAPI and web application frameworks
 Please visit our website to learn more about Bear Cognition at
 *www.bearcognition.com.* 
*Bear Cognition is an Equal Opportunity Employer. Bear Cognition strives to make employment decisions on the basis of merit, seeking the most qualified individuals in every job. All qualified applicants will receive consideration for employment without regard to race, color, religion, gender, pregnancy, gender identity or expression, sexual orientation, marital status, national origin or ancestry, genetics, disability, age, veteran status, or other status protected by law. All employment decisions will be based on valid job requirements or other legitimate, non\-discriminatory reasons. Bear Cognition offers reasonable accommodations for individuals with disabilities in the job application and hiring process. If you would like to request such an accommodation, please contact the Vice President of Human Resources for Bear Cognition.*</t>
        </is>
      </c>
    </row>
    <row r="14">
      <c r="A14" t="inlineStr">
        <is>
          <t>li-4366201268</t>
        </is>
      </c>
      <c r="B14" t="inlineStr">
        <is>
          <t>Data Scientist</t>
        </is>
      </c>
      <c r="C14" t="inlineStr">
        <is>
          <t>Hirenza</t>
        </is>
      </c>
      <c r="D14" t="inlineStr">
        <is>
          <t>linkedin</t>
        </is>
      </c>
      <c r="E14" t="inlineStr"/>
      <c r="F14" t="inlineStr"/>
      <c r="G14" t="inlineStr"/>
      <c r="H14" t="inlineStr"/>
      <c r="I14" t="inlineStr">
        <is>
          <t>**About The Company**
 Guidehouse is a leading management, technology, and risk consulting firm dedicated to helping organizations navigate complex challenges and achieve their strategic objectives. With a strong emphasis on innovation and client\-centric solutions, Guidehouse serves a diverse range of industries including government, financial services, healthcare, energy, and utilities. The company prides itself on fostering a collaborative and inclusive work environment, promoting continuous learning, and delivering impactful results that drive transformation and growth for its clients. As an organization committed to integrity and excellence, Guidehouse strives to create a positive impact on society through its consulting services and corporate responsibility initiatives.
**About The Role**
 The Data Scientist position at Guidehouse offers an exciting opportunity for professionals passionate about leveraging data to solve complex business problems. In this role, you will be a vital part of our AI and Data Capability Team, working on high\-impact projects that help clients maximize the value of their data assets. Your responsibilities will include collecting, managing, and analyzing large datasets, developing insightful visualizations, and deploying predictive models. You will collaborate with cross\-functional teams to understand business needs and translate them into data\-driven solutions. This role requires a combination of technical expertise, analytical thinking, and effective communication skills to bridge the gap between data science and business strategy. The position offers a chance to work on innovative projects within a supportive environment that values professional development and continuous improvement.
**Qualifications**
 To succeed in this role, candidates must meet certain educational and experiential criteria. A bachelor's degree in a relevant field such as Computer Science, Data Science, Statistics, or related disciplines is required. Candidates must have a minimum of three years of experience working with visualization tools like Power BI, Tableau, or similar platforms to create intuitive dashboards and reports. Proficiency in SQL, R, and other programming languages used for data querying and statistical analysis is essential. A strong foundation in statistics, probability, and experimental design is necessary to interpret data accurately. Familiarity with cloud platforms such as Amazon Web Services, Azure, or Google Cloud, along with knowledge of containerization tools like Docker, is highly desirable. Additionally, candidates should understand data governance principles to ensure data quality and reliability. US citizenship is required for this position, along with the ability to obtain a public trust clearance.
**Responsibilities**
* Identify, gather, and manage data from primary and secondary sources, ensuring its accuracy and integrity for analysis.
* Clean and preprocess raw data by addressing inconsistencies, missing values, and errors to prepare datasets for analysis.
* Apply statistical techniques and analytical methods to explore datasets, discover trends, and derive actionable insights.
* Develop reports, dashboards, and visualizations using tools like Tableau or Power BI to communicate findings effectively to stakeholders.
* Collaborate with cross\-functional teams to understand business requirements and translate them into data solutions.
* Use data to address specific business challenges, identify underperforming processes, and recommend strategic improvements.
**Benefits**
 Guidehouse offers a comprehensive benefits package designed to support the well\-being and professional growth of its employees. Benefits include medical, dental, vision, and prescription drug coverage, along with flexible spending accounts for health and dependent care. The company provides paid holidays, personal and family sick time, and parental leave, including adoption assistance. Employees can participate in the 401(k) retirement plan with company matching, and access life insurance options, short\-term and long\-term disability coverage. Additional perks include student loan repayment programs, tuition reimbursement, and opportunities for skills development and certifications. Guidehouse also promotes a healthy work\-life balance through community engagement events, employee referral programs, and emergency back\-up childcare. A mobility stipend is available for eligible employees, supporting flexible work arrangements and relocations.
 Equal Opportunity
 Guidehouse is an Equal Opportunity Employer committed to fostering an inclusive and diverse workplace. The company values all individuals regardless of race, color, religion, gender, sexual orientation, gender identity or expression, national origin, age, disability, veteran status, or any other protected characteristic. Guidehouse provides reasonable accommodations for qualified applicants and employees to ensure equal access to employment opportunities. The organization adheres to all applicable laws and regulations regarding non\-discrimination and equal employment opportunity. Applicants are encouraged to apply without concern for bias or discrimination, as the company is dedicated to creating a respectful and supportive environment for all team members.</t>
        </is>
      </c>
    </row>
    <row r="15">
      <c r="A15" t="inlineStr">
        <is>
          <t>li-4321457599</t>
        </is>
      </c>
      <c r="B15" t="inlineStr">
        <is>
          <t>Data Scientist – Experience &amp; Engagement Analytics</t>
        </is>
      </c>
      <c r="C15" t="inlineStr">
        <is>
          <t>Blueprint</t>
        </is>
      </c>
      <c r="D15" t="inlineStr">
        <is>
          <t>linkedin</t>
        </is>
      </c>
      <c r="E15" t="inlineStr"/>
      <c r="F15" t="inlineStr"/>
      <c r="G15" t="inlineStr">
        <is>
          <t>Redmond, WA</t>
        </is>
      </c>
      <c r="H15" t="inlineStr"/>
      <c r="I15"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act as a strategic Data Scientist focused on player experience and support insights. You will partner closely with Player Care, data engineering, and cross\-functional stakeholders to analyze player support interactions, identify friction points, and translate findings into actionable recommendations. Your work will directly influence operational decisions, business metrics, and player experience improvements. You will also support analysis related to other out\-of\-game player touchpoints, ensuring insights connect back to in\-game outcomes. Success in this role requires comfort working with large, messy datasets, strong analytical judgment, and the ability to clearly communicate insights to both technical and non\-technical audiences.
**Responsibilities** 
* Partner with Player Care and data engineering teams to transform support and engagement data into actionable insights
* Analyze player support interactions to identify trends, pain points, and opportunities to improve player experience
* Develop and communicate data\-driven recommendations that inform business and operational decisions
* Evaluate the impact of programs and initiatives by tying out\-of\-game activities to in\-game performance metrics
* Collaborate with other data scientists to integrate player care findings into broader analytics and reporting efforts
* Support analytics requests from Marketing and Consumer Products teams, including ROI analysis of out\-of\-game initiatives
* Maintain and enhance dashboards in Power BI to enable stakeholder self\-service and business understanding
* Work with complex, high\-volume, and high\-dimensional datasets from multiple sources
* Independently drive ambiguous projects involving incomplete or imperfect data
* Clearly present insights through written summaries, visualizations, and stakeholder discussions
**Required Qualifications** 
* Minimum 5 years of experience in data analytics or data science roles
* Strong experience performing analytical work and translating insights into business recommendations
* Hands\-on experience with SQL for data analysis
* Experience with data modeling and statistical analysis
* Proficiency in Python for data analysis
* Experience building and maintaining dashboards using data visualization tools
* Strong problem\-solving skills and ability to work autonomously on open\-ended problems
* Excellent verbal, written, and visual communication skills
* Ability to collaborate effectively in a fast\-paced, cross\-functional environment
* Must be able to commit to a minimum of 18 months in the role
**Preferred Qualifications** 
* Experience with large\-scale data platforms such as SparkSQL, Databricks, or similar technologies
* Familiarity with PySpark or distributed data processing frameworks
* Advanced experience with Power BI or similar enterprise reporting tools
* Background in machine learning or predictive modeling
* Experience analyzing customer support, player experience, or consumer interaction data
* Interest in games or prior experience working within the gaming or entertainment industry
* Ability to work onsite or locally within the Seattle area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**$130,000 to $140,000 annually**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Hybrid in Redmond, WA</t>
        </is>
      </c>
    </row>
    <row r="16">
      <c r="A16" t="inlineStr">
        <is>
          <t>li-4366181271</t>
        </is>
      </c>
      <c r="B16" t="inlineStr">
        <is>
          <t>Data Scientist, ML</t>
        </is>
      </c>
      <c r="C16" t="inlineStr">
        <is>
          <t>Gemini</t>
        </is>
      </c>
      <c r="D16" t="inlineStr">
        <is>
          <t>linkedin</t>
        </is>
      </c>
      <c r="E16" t="inlineStr"/>
      <c r="F16" t="inlineStr"/>
      <c r="G16" t="inlineStr"/>
      <c r="H16" t="inlineStr"/>
      <c r="I16" t="inlineStr">
        <is>
          <t>**About The Company**
 Gemini is a leading global crypto and Web3 platform founded by Cameron and Tyler Winklevoss in 2014\. The company provides a comprehensive suite of simple, reliable, and secure crypto products and services to both individual and institutional clients across more than 70 countries. Gemini’s mission is to unlock the next era of financial, creative, and personal freedom by offering trusted access to the decentralized future. The company envisions a world where cryptocurrency reshapes the global financial system, internet, and monetary landscape, fostering greater choice, independence, and opportunity for all. By bridging traditional finance with the emerging cryptoeconomy in a manner that is open, fair, and secure, Gemini aims to create a more inclusive financial ecosystem. As a publicly traded entity, Gemini leverages its scale, reach, and impact to accelerate this transformative vision, positioning itself as a pioneer in the evolving digital economy.
**About The Role**
 The Principal Data Scientist, Machine Learning (Growth) at Gemini will be instrumental in enhancing customer experience from onboarding through product adoption. This role involves working collaboratively with cross\-functional teams including product, engineering, and operations to design, develop, and deploy machine learning models that drive growth initiatives. The successful candidate will own the entire machine learning lifecycle—from identifying growth signals and engineering features to training, validating, and deploying models into production environments. The primary focus is on leveraging data\-driven insights to optimize onboarding processes, improve customer acquisition, and increase product adoption across Gemini’s ecosystem. This position offers a unique opportunity to lead high\-impact projects, provide technical mentorship, and influence strategic decision\-making through advanced analytics. The role requires in\-person presence twice a week at Gemini’s San Francisco or New York City offices, fostering close collaboration and innovation within the team.
**Qualifications**
* 10\+ years of experience applying data science and machine learning in financial, payments, or B2C platforms.
* 7\+ years of experience with a PhD in a relevant quantitative field.
* 5\+ years of developing, deploying, and maintaining production\-grade machine learning models, especially for real\-time or large\-scale applications.
* Proficiency in Python and relevant libraries such as scikit\-learn, XGBoost, TensorFlow, and PyTorch.
* Strong experience with SQL and data processing tools.
* Familiarity with model lifecycle management and tools like Databricks, SageMaker, Snowflake, MLflow, or similar platforms.
* Experience with orchestration frameworks such as Airflow or Spark.
* Excellent communication skills with the ability to translate complex technical concepts into actionable insights.
* Proven track record of working cross\-functionally with product, engineering, and operations teams.
**Responsibilities**
* Analyze large and complex datasets to identify opportunities for improving onboarding and product adoption, engineering predictive features from internal and external data sources.
* Design, train, and deploy machine learning models aimed at identifying growth opportunities, including lifetime value prediction, marketing channel optimization, and cross\-sell strategies.
* Build and maintain end\-to\-end data pipelines and model deployment workflows for marketing and growth initiatives, including anomaly detection and behavioral profiling.
* Evaluate model performance through experiments, backtesting, and continuous monitoring to enhance customer acquisition and retention metrics.
* Collaborate with product managers, engineers, and customer service teams to translate model outputs into effective growth strategies and user\-facing features.
* Communicate insights and recommendations clearly to both technical and non\-technical stakeholders to influence strategic decisions.
* Mentor junior and mid\-level data scientists and machine learning engineers, leading code reviews, design discussions, and best practice evangelism.
* Participate in recruiting efforts and onboarding of new team members, shaping the future of Gemini’s data science capabilities.
* Stay current with emerging tools, technologies, and methodologies in machine learning, proposing innovative solutions and proof\-of\-concept projects when appropriate.
**Benefits**
* Competitive starting salary aligned with experience and market standards.
* Discretionary annual bonus based on individual and company performance.
* Long\-term incentives through equity grants for new hires.
* Comprehensive health insurance plans covering medical, dental, and vision.
* 401(k) plan with company matching contributions.
* Paid parental leave to support work\-life balance.
* Flexible time off policies to promote well\-being and personal needs.
* Hybrid work model with in\-office presence twice a week at San Francisco or New York City locations, with options for remote work.
 Equal Opportunity
 Gemini is committed to fostering an inclusive and diverse workforce. We provide equal employment opportunities regardless of race, color, religion, sex, national origin, sexual orientation, age, citizenship, marital status, disability, gender identity, or veteran status. We believe that a diverse team enhances innovation and drives our mission forward. We encourage candidates from all backgrounds to apply and are dedicated to providing accommodations for individuals with specific needs throughout the recruitment process.</t>
        </is>
      </c>
    </row>
    <row r="17">
      <c r="A17" t="inlineStr">
        <is>
          <t>li-4359121408</t>
        </is>
      </c>
      <c r="B17" t="inlineStr">
        <is>
          <t>Data Scientist</t>
        </is>
      </c>
      <c r="C17" t="inlineStr">
        <is>
          <t>Sysco</t>
        </is>
      </c>
      <c r="D17" t="inlineStr">
        <is>
          <t>linkedin</t>
        </is>
      </c>
      <c r="E17" t="inlineStr"/>
      <c r="F17" t="inlineStr"/>
      <c r="G17" t="inlineStr">
        <is>
          <t>Houston, TX</t>
        </is>
      </c>
      <c r="H17" t="inlineStr"/>
      <c r="I17"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8">
      <c r="A18" t="inlineStr">
        <is>
          <t>li-4312894201</t>
        </is>
      </c>
      <c r="B18" t="inlineStr">
        <is>
          <t>Principal Data Scientist - Machine Learning</t>
        </is>
      </c>
      <c r="C18" t="inlineStr">
        <is>
          <t>AvePoint</t>
        </is>
      </c>
      <c r="D18" t="inlineStr">
        <is>
          <t>linkedin</t>
        </is>
      </c>
      <c r="E18" t="inlineStr"/>
      <c r="F18" t="inlineStr"/>
      <c r="G18" t="inlineStr"/>
      <c r="H18" t="inlineStr"/>
      <c r="I18"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19">
      <c r="A19" t="inlineStr">
        <is>
          <t>li-4333209675</t>
        </is>
      </c>
      <c r="B19" t="inlineStr">
        <is>
          <t>Senior Data Scientist, Square Financial Services, Credit Policy</t>
        </is>
      </c>
      <c r="C19" t="inlineStr">
        <is>
          <t>Block</t>
        </is>
      </c>
      <c r="D19" t="inlineStr">
        <is>
          <t>linkedin</t>
        </is>
      </c>
      <c r="E19" t="inlineStr"/>
      <c r="F19" t="inlineStr"/>
      <c r="G19" t="inlineStr"/>
      <c r="H19" t="inlineStr"/>
      <c r="I1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As a Data Scientist within the Credit Policy team of Square Financial Services (SFS), you will work across both commercial (Square) and consumer (Cash App) banking \&amp; lending products. While core model development sits with our adjacent ML teams, the Credit Policy team provides crucial oversight and strategic direction for our underwriting processes. This includes monitoring existing products and their performance to maintain efficient underwriting, analyzing and shaping new product initiatives for growth, and ensuring regulatory compliance through documentation and process.
 You'll collaborate closely with a broad range of functions including ML, product, software engineering, operations, and capital markets teams to drive impact across our portfolio.
 Work from anywhere: This role can be performed from any location in the US with the flexibility to work from home
**You Will**
* Analyze large datasets using SQL and Python to surface actionable insights that directly inform our product and credit strategy that drive business decisions
* Approach problems from first principles, using a variety of statistical and mathematical modeling techniques to research and understand customer behavior and loan performance
* Partner closely with ML engineers throughout the modeling lifecycle to develop, deploy, evaluate, and monitor models and credit policies
* Maintain and improve our systems for simulating the impacts of model/policy changes and the decision engine that implements those rules in production
* Develop KPIs and measurement systems focused on credit resiliency and product performance monitoring.
* Build, visualize and report on metrics that drive strategy and facilitate decision making for key business initiatives
* Effectively communicate your work with team leads and cross\-functional stakeholders on a regular basis
**You Have**
* Minimum of 8 years of related experience with a Bachelor's degree; or 6 years and a Master's degree; or a PhD with 3 years experience; or equivalent experience.
* A background in Statistics, Mathematics, Biostatistics, Economics or related quantitative field
* Advanced proficiency with SQL and Python for data analysis
* Advanced proficiency building product metrics in data visualization tools (e.g. Mode, Looker)
* Direct experience in credit, lending, risk management, or financial services.
* Ability to turn unstructured business problems into concrete analyses that yield actionable insights and recommendations
* Working understanding of core ML concepts, with a focus on usage in decision making.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0">
      <c r="A20" t="inlineStr">
        <is>
          <t>li-4321489514</t>
        </is>
      </c>
      <c r="B20" t="inlineStr">
        <is>
          <t>Research Data Scientist, Age Assurance</t>
        </is>
      </c>
      <c r="C20" t="inlineStr">
        <is>
          <t>Google</t>
        </is>
      </c>
      <c r="D20" t="inlineStr">
        <is>
          <t>linkedin</t>
        </is>
      </c>
      <c r="E20" t="inlineStr"/>
      <c r="F20" t="inlineStr"/>
      <c r="G20" t="inlineStr">
        <is>
          <t>Sunnyvale, CA</t>
        </is>
      </c>
      <c r="H20" t="inlineStr"/>
      <c r="I2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The Age Assurance team’s mission is to provide Google with reliable, privacy\-preserving age signals and to support seamless, age\-appropriate journeys across Google products. In this role, the team plays a critical part in identifying minors through predictive methods and designing user experiences that allow users to proactively verify their age to access sensitive content.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cross\-functional teams and develop understanding of the underlying product problems that the team is aiming to solve. Design and inform analysis and collaborate closely with cross\-functional counterparts and product leads while designing analysis.
* Translate business problems into tractable investigative problems and execute analysis to drive change.
* Develop and improve inference and prediction algorithms in high\-stakes.
* Perform data analysis and modeling to identify opportunities for product improvement and measure the impact of initiatives to continuously refine our products.
* Help design and analyze experiments and consult with engineering teams on the analysis of A/B tests.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
      <c r="A21" t="inlineStr">
        <is>
          <t>li-4366173842</t>
        </is>
      </c>
      <c r="B21" t="inlineStr">
        <is>
          <t>Applied Scientist, Post-training (LLM, VLM, MLLM)</t>
        </is>
      </c>
      <c r="C21" t="inlineStr">
        <is>
          <t>techire ai</t>
        </is>
      </c>
      <c r="D21" t="inlineStr">
        <is>
          <t>linkedin</t>
        </is>
      </c>
      <c r="E21" t="inlineStr"/>
      <c r="F21" t="inlineStr"/>
      <c r="G21" t="inlineStr"/>
      <c r="H21" t="inlineStr"/>
      <c r="I21" t="inlineStr">
        <is>
          <t>**Teach AI how to reason — safely, transparently, and at scale.** 
 How do we move beyond pattern\-matching into true machine reasoning? This Applied Scientist role puts you at the centre of that challenge — developing models that can reason, explain their logic, and make verifiable decisions across complex, high\-stakes industries.
 You’ll join a well\-funded startup building domain\-specific reasoning systems and agentic AI for sectors where reliability and interpretability aren’t optional.
 Your work will focus on post\-training large multimodal models, applying the latest techniques in RLHF, DPO, and preference learning to make AI systems more consistent, factual, and aligned with human reasoning. You’ll design the frameworks that turn raw model potential into transparent, trustworthy intelligence.
 You’ll develop and optimise post\-training pipelines, implement reward modelling for reasoning depth and factual accuracy, and build evaluation frameworks for verifiable, human\-aligned behaviour. Working with proprietary and synthetic datasets, you’ll run end\-to\-end experiments and deploy your methods directly into production.
 You’ll bring a background in transformer\-based model training (LLM, VLM, MLLM), post\-training or alignment (RLHF, DPO, reward modelling), and strong practical skills in Python and PyTorch. Curiosity about reasoning agents, hybrid learning, and interpretability research will help you thrive here.
 Bonus points for experience in multimodal reasoning, evaluation and verification, or prior research contributions in alignment or reasoning systems.
 The company has raised $20M\+ (Series A announcement imminent) and already partners with Fortune 100 and 500 customers. Founded by an entrepreneur with a prior billion\-dollar exit, the AI team alone is scaling from 11 to 40\+ this year.
**Comp:** 
 $200K–$320K base (negotiable) \+ bonus \+ stock \+ benefits
**Location:** 
 SF Bay Area (remote for now; hybrid later in 2026\)
 If you’re excited about defining how AI systems reason, decide, and explain themselves — we’d love to hear from you.
*All applicants receive a response.*</t>
        </is>
      </c>
    </row>
    <row r="22">
      <c r="A22" t="inlineStr">
        <is>
          <t>li-4363414378</t>
        </is>
      </c>
      <c r="B22" t="inlineStr">
        <is>
          <t>PHD Data Scientist  Direct Hire Fortune 100 Co Salary up to $120K+10% Bonus</t>
        </is>
      </c>
      <c r="C22" t="inlineStr">
        <is>
          <t>Confidential Careers</t>
        </is>
      </c>
      <c r="D22" t="inlineStr">
        <is>
          <t>linkedin</t>
        </is>
      </c>
      <c r="E22" t="inlineStr"/>
      <c r="F22" t="inlineStr"/>
      <c r="G22" t="inlineStr">
        <is>
          <t>Houston, TX</t>
        </is>
      </c>
      <c r="H22" t="inlineStr"/>
      <c r="I22" t="inlineStr">
        <is>
          <t>We are seeking a PhD\-level Data Scientist to join a Fortune 100 company on a high\-impact, strategic initiative. This role is part of a special project focused on solving complex, data\-driven challenges and contributing to meaningful business outcomes within a large, established organization.
 This is a
 **direct\-hire** 
 position offering a competitive compensation package, including full benefits and paid time off. The role follows a hybrid work model, with an expectation of working onsite
 **three days per week** 
 , allowing for close collaboration with cross\-functional teams while maintaining flexibility.
 Qualified candidates must hold a PhD in a relevant field and be
 **authorized to work in the United States** 
 . We are looking for individuals who bring strong analytical expertise, intellectual curiosity, and the ability to apply advanced research methods in a real\-world, industry setting.</t>
        </is>
      </c>
    </row>
    <row r="23">
      <c r="A23" t="inlineStr">
        <is>
          <t>li-4354324378</t>
        </is>
      </c>
      <c r="B23" t="inlineStr">
        <is>
          <t>Sr. Data Scientist</t>
        </is>
      </c>
      <c r="C23" t="inlineStr">
        <is>
          <t>Cadent</t>
        </is>
      </c>
      <c r="D23" t="inlineStr">
        <is>
          <t>linkedin</t>
        </is>
      </c>
      <c r="E23" t="inlineStr"/>
      <c r="F23" t="inlineStr"/>
      <c r="G23" t="inlineStr">
        <is>
          <t>New York, NY</t>
        </is>
      </c>
      <c r="H23" t="inlineStr"/>
      <c r="I23" t="inlineStr">
        <is>
          <t>**Overview**
 Cadent ignites seamless connections between brands, publishers \&amp; consumers. Our predictive AI orchestrates outcomes on any platform customers are on, across any media they consume \&amp; at any stage of the journey. To learn more, please visit thenewcadent.com.
 Right now, we are looking for a highly motivated Associate Data Scientist who will be responsible for applying scientific methods to identify business optimization strategies and develop, evaluate and demonstrate prototypes of empirical software including but not limited to machine learning, signal processing and optimization based numerical methods.
 Data Scientists collaborate directly with the Business, Product, Data Engineering, and QA team members to productize AI/ML research to drive business growth. This is a critical role that needs knowledge of mathematics and engineering, output from this role will be leveraged by business, engineers and by senior executives to define the future of Cadent.
**Responsibilities**
* Design, train and apply statistics, mathematical models, and machine learning techniques to create scalable solutions to business problems
* Work with machine learning engineers and software developers to deploy models and modeling pipelines to be leveraged inside of business software products
* Contribute iterative improvements to predictive models
* Leverage model governance techniques and frameworks to ensure performance and stability of data science products
* Work with product team to align on product roadmap and goals with business vertical KPIs
* Participate in the Agile / scrum process
* Follow the CRISP\-DM process to generate robust documentation associated with iterative work
* Present results and findings to technical audience, product and business stakeholders
* Collaborate effectively with other members of the data science team, engineering research team and broader data services group including but not limited to Machine Learning Engineers, Data Engineers, Analytics Engineers, Software Engineers, Quality Assurance Engineers, and Business Intelligence analysts
* Participate in researching new data, tools, algorithms and tech stack to align with evolving AI \&amp; ML industry
**Qualifications**
* M.S. in Computer Science, Mathematics, Statistics, a related quantitative field, or equivalent practical experience with a focus on machine learning; or the equivalent of B.S with 2\-3 years of experience in a similar role
* 0\-1 years professional experience in a similar role.
* Proven background answering open ended research questions using data, tools and technology
* Ability to write clean, expressive code in Python and/or other tools including PySpark, Scala etc.
* Practical experience building and evaluating machine learning models, preferably with the scikit\- learn ecosystem.
* Experience with SQL and reading from relational databases
* Experience using cloud computing ecosystems (e.g., AWS, GCP) is a plus
* Experience with the practical application of computational statistics
* Fundamental understanding of the mathematical workings of standard feature engineering, dimension reduction, machine learning algorithms and model validation \&amp; measurement
* Experience with the practical application of computational statistics and complex ML algos including deep learning, GraphDB SVMs, time series forecasting etc. to build and evaluate models
* Demonstrated communication skills including the ability to switch between technical and business contexts
* Familiarity with best practices for software engineering and the use of the scientific Python ecosystem
* Knowledge of LLM technologies, including generative and embedding techniques, modern model architectures, retrieval\-augmented generation (RAG), fine tuning / pre\-training LLM (including parameter efficient fine\-tuning), and evaluation benchmarks
* Media or ad\-tech experience a plus
 So, if the leading edge of media technology is the place you want to be, please contact us today and let’s start the conversation!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
**Pay Range**
 USD $90,000\.00 \- USD $110,000\.00 /Yr.</t>
        </is>
      </c>
    </row>
    <row r="24">
      <c r="A24" t="inlineStr">
        <is>
          <t>li-4365502593</t>
        </is>
      </c>
      <c r="B24" t="inlineStr">
        <is>
          <t>Data Scientist</t>
        </is>
      </c>
      <c r="C24" t="inlineStr">
        <is>
          <t>Underdog.io -Apply to top tech jobs in 60 seconds. A place where companies apply to you</t>
        </is>
      </c>
      <c r="D24" t="inlineStr">
        <is>
          <t>linkedin</t>
        </is>
      </c>
      <c r="E24" t="inlineStr"/>
      <c r="F24" t="inlineStr"/>
      <c r="G24" t="inlineStr"/>
      <c r="H24" t="inlineStr"/>
      <c r="I24"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25">
      <c r="A25" t="inlineStr">
        <is>
          <t>li-4321401047</t>
        </is>
      </c>
      <c r="B25" t="inlineStr">
        <is>
          <t>Senior Data Scientist  PHD Direct Hire Fortune 100 Co Salary up to $150K+10% Bonus</t>
        </is>
      </c>
      <c r="C25" t="inlineStr">
        <is>
          <t>Confidential Careers</t>
        </is>
      </c>
      <c r="D25" t="inlineStr">
        <is>
          <t>linkedin</t>
        </is>
      </c>
      <c r="E25" t="inlineStr"/>
      <c r="F25" t="inlineStr"/>
      <c r="G25" t="inlineStr">
        <is>
          <t>Houston, TX</t>
        </is>
      </c>
      <c r="H25" t="inlineStr"/>
      <c r="I25" t="inlineStr">
        <is>
          <t>We are seeking a PhD\-level Senior Data Scientist to join a Fortune 100 company on a high\-impact, strategic initiative. This role is part of a special project focused on solving complex, data\-driven challenges and contributing to meaningful business outcomes within a large, established organization.
 This is a
 **direct\-hire** 
 position offering a competitive compensation package, including full benefits and paid time off. The role follows a hybrid work model, with an expectation of working onsite
 **three days per week** 
 , allowing for close collaboration with cross\-functional teams while maintaining flexibility.
 Qualified candidates must hold a PhD in a relevant field and be
 **authorized to work in the United States** 
 . We are looking for individuals who bring strong analytical expertise, intellectual curiosity, and the ability to apply advanced research methods in a real\-world, industry setting.</t>
        </is>
      </c>
    </row>
    <row r="26">
      <c r="A26" t="inlineStr">
        <is>
          <t>li-4366160532</t>
        </is>
      </c>
      <c r="B26" t="inlineStr">
        <is>
          <t>Data Scientist</t>
        </is>
      </c>
      <c r="C26" t="inlineStr">
        <is>
          <t>Harnham</t>
        </is>
      </c>
      <c r="D26" t="inlineStr">
        <is>
          <t>linkedin</t>
        </is>
      </c>
      <c r="E26" t="inlineStr"/>
      <c r="F26" t="inlineStr"/>
      <c r="G26" t="inlineStr"/>
      <c r="H26" t="inlineStr"/>
      <c r="I26" t="inlineStr">
        <is>
          <t>**Data Scientist** 
**Location:** 
 Salt Lake City
**Salary:** 
 Up to $134,000 base \+ benefits
**About the Company** 
 I’m currently partnering with a well\-established SaaS company operating in a regulated industry, supporting thousands of organizations globally.
 They’re expanding their analytics function and are looking to hire a
 **Data Scientist** 
 to work closely with Product and Engineering on predictive modeling, analytics, and data\-driven features used directly in production.
**What the role looks like** 
 This is a hands\-on data science position focused on real use cases rather than pure research or reporting.
 You’ll be involved across the full lifecycle:
* data extraction and transformation
* statistical and machine learning modeling
* experimentation and forecasting
* deployment and monitoring
 The work feeds directly into customer\-facing products and operational decision\-making.
**Key responsibilities** 
* Build and deploy predictive and statistical models
* Develop scalable data pipelines using Python and SQL
* Apply forecasting, experimentation, and analytics techniques
* Partner closely with product managers and engineers
* Monitor data quality and model performance in production
**Background they’re looking for** 
* Experience in data science, applied analytics, or machine learning
* Strong Python and SQL skills
* Good statistical foundations (regression, time series, experimentation)
* Exposure to cloud platforms or distributed data environments
* Experience in SaaS or complex data environments preferred</t>
        </is>
      </c>
    </row>
    <row r="27">
      <c r="A27" t="inlineStr">
        <is>
          <t>li-4212867885</t>
        </is>
      </c>
      <c r="B27" t="inlineStr">
        <is>
          <t>Senior/Staff Data Scientist</t>
        </is>
      </c>
      <c r="C27" t="inlineStr">
        <is>
          <t>Zip</t>
        </is>
      </c>
      <c r="D27" t="inlineStr">
        <is>
          <t>linkedin</t>
        </is>
      </c>
      <c r="E27" t="inlineStr"/>
      <c r="F27" t="inlineStr"/>
      <c r="G27" t="inlineStr">
        <is>
          <t>San Francisco, CA</t>
        </is>
      </c>
      <c r="H27" t="inlineStr"/>
      <c r="I27"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founding Data Scientist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$160,000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8">
      <c r="A28" t="inlineStr">
        <is>
          <t>li-4347600032</t>
        </is>
      </c>
      <c r="B28" t="inlineStr">
        <is>
          <t>Senior Data Scientist</t>
        </is>
      </c>
      <c r="C28" t="inlineStr">
        <is>
          <t>Glocomms</t>
        </is>
      </c>
      <c r="D28" t="inlineStr">
        <is>
          <t>linkedin</t>
        </is>
      </c>
      <c r="E28" t="inlineStr"/>
      <c r="F28" t="inlineStr"/>
      <c r="G28" t="inlineStr">
        <is>
          <t>San Francisco County, CA</t>
        </is>
      </c>
      <c r="H28" t="inlineStr"/>
      <c r="I28" t="inlineStr">
        <is>
          <t>Our client is building a platform to make healthcare more accessible, transparent, and personalized. Their mission is to help patients find the right providers, access the right medications, and take control of their health with trust and clarity.
 The company has grown rapidly by combining operational excellence, clinical expertise, and innovative technology to deliver care that is more human and effective. They focus on areas such as pricing transparency, personalized medication management, and long\-term medical record access, creating a new model of care that empowers patients and providers alike.
 They are seeking a
 **Senior Data Scientist** 
 to lead experimentation across product, pharmacy, and design teams. This role involves designing and running A/B tests, building frameworks for causal inference, and ensuring statistical rigor in decision\-making. You'll collaborate closely with clinicians, engineers, and designers to drive evidence\-based improvements in patient experience.
**Key Responsibilities:** 
* Own design and execution of experiments (A/B tests, quasi\-experiments)
* Build tools to standardize experimentation and reporting
* Provide nuanced insights beyond simple metrics
* Mentor teammates and set best practices
**Ideal Background:** 
* 4\+ years of applied experimentation experience
* Strong Python and SQL skills
* Expertise in causal inference methods
* Ability to communicate complex results clearly
**Compensation:** 
 $150K\-$220K base salary \+ equity and benefits
**Location:** 
 Onsite, San Francisco
 The company offers top\-of\-market pay, generous equity, comprehensive benefits, and a collaborative culture focused on impact and innovation.</t>
        </is>
      </c>
    </row>
    <row r="29">
      <c r="A29" t="inlineStr">
        <is>
          <t>li-4321417229</t>
        </is>
      </c>
      <c r="B29" t="inlineStr">
        <is>
          <t>Lead Data Scientist</t>
        </is>
      </c>
      <c r="C29" t="inlineStr">
        <is>
          <t>Insight Global</t>
        </is>
      </c>
      <c r="D29" t="inlineStr">
        <is>
          <t>linkedin</t>
        </is>
      </c>
      <c r="E29" t="inlineStr"/>
      <c r="F29" t="inlineStr"/>
      <c r="G29" t="inlineStr">
        <is>
          <t>Frederick, MD</t>
        </is>
      </c>
      <c r="H29" t="inlineStr"/>
      <c r="I29" t="inlineStr">
        <is>
          <t>**Overview:** 
 As a Data Scientist, you will be responsible for analyzing and interpreting datasets by using statistical techniques, machine learning, and/or programming skills in order to extract insights and build models which solve business problems.
**Day to Day:** 
* Process and analyze large structured and unstructured datasets to uncover trends, patterns, and insights.
* Deliver analytical results through effective visualizations and clear written communication for both technical and non‑technical audiences.
* Partner with cross‑functional teams—including data analysts, data engineers, architects, and business stakeholders—to understand data needs and support complex business requirements.
* Develop advanced predictive models and machine‑learning algorithms, integrating them into existing systems or new products.
* Lead data science initiatives, including project execution, data visualization, data quality improvements, and incident troubleshooting with root‑cause resolution.
* Drive documentation and process improvements for managing incidents, changes, problems, tasks, and demand tracking.
* Coach and mentor team members on new technologies, methodologies, and best practices in data science and business intelligence.
* Maintain deep expertise in at least one business domain and a solid understanding of processes across multiple areas of the organization.
* Support and contribute to the advancement of the organization’s strategic data science roadmap.
**Must Haves:** 
* Bachelor’s degree with five (5\) or more years of experience in the field or in a related area.
* Familiarity with data science tools, such as Azure Databricks, Power BI, Microsoft Office (including Excel pivot tables), Spark, Python, R and C.
* Supply chain functions experience
**Plusses:** 
* Master’s or doctorate degree
* Expertise in Power Platforms
* Familiarity with LLM (open source or closed)
* Experience in Front end web app development (Flaskapp, Gradio etc)
* Familiarity with RAG architecture
* Experience from manufacturing, automotive, industrial, or engineering industry is preferred, but is open to other industries like healthcare, retail, or biotech.</t>
        </is>
      </c>
    </row>
    <row r="30">
      <c r="A30" t="inlineStr">
        <is>
          <t>li-4326271156</t>
        </is>
      </c>
      <c r="B30" t="inlineStr">
        <is>
          <t>Ice Cream Customer Analytics Data Scientist</t>
        </is>
      </c>
      <c r="C30" t="inlineStr">
        <is>
          <t>The Magnum Ice Cream Company</t>
        </is>
      </c>
      <c r="D30" t="inlineStr">
        <is>
          <t>linkedin</t>
        </is>
      </c>
      <c r="E30" t="inlineStr"/>
      <c r="F30" t="inlineStr"/>
      <c r="G30" t="inlineStr">
        <is>
          <t>Englewood Cliffs, NJ</t>
        </is>
      </c>
      <c r="H30" t="inlineStr"/>
      <c r="I30" t="inlineStr">
        <is>
          <t>**Scope:** 
 US, Customer Development
**Location:** 
 Englewood Cliffs, NJ \- Hybrid (Minimum 2 Days in Office)
**Terms \&amp; Conditions:** 
 Full time, International sponsorship or relocation not supported
 If you are in the Ice Cream business or consider choosing to work for the The Magnum Ice Cream Company Ice Cream business, you will work for the Global, leading Ice Cream player with €7\.9bn Turn Over in 2023\. The Ice Cream business is operating in a highly attractive category, as we are part of the 1 trillion snacking and refreshment industry, growing consistently at high pace. We have strong brands equities: 5 of top 10 selling brands including Magnum and Ben \&amp; Jerry’s. We are investing to unlock the full growth potential of Ice Cream as a standalone entity, once we separate from Unilever, which happened in December of 2025\.
 Ice Cream has distinct characteristics from TMICC’s other operating businesses and the growth potential of Ice Cream will be better delivered under a different ownership structure. As an Ice Cream company we are committed to developing and nurturing talent within. You will have ample options for career growth and exploration, allowing you for you to explore roles and opportunities across the new organization. Your career development will be a priority for us, and we are dedicated to supporting your growth journey within the new company. We hope that you will want to build the new chapter of our Ice Cream history together with us.
**ABOUT ICE CREAM: Life Tastes Better with Ice Cream**
 TMICC Ice Cream is the largest global Ice Cream Company in the world, with over 100 years of experience delivering a diverse range of indulgent, yet responsible, craft food experiences and treats delighting consumers. Committed to innovation, quality, and sustainability we have 35 brands, including 3 one billion Euro brands (Magnum, Wall’s, Ben \&amp; Jerry’s), a strong presence in over 60 countries, generating annual revenue of over $8 billion. All brands are driven to transform moments into memories through indulgent yet responsibly made and marketed products. We have a well\-developed strategy to deliver growth and value creation which is clear on where to play and how to win.
 We turn the ordinary into the extraordinary by designing unique and innovative Ice Cream experiences that make life taste better, creating joyful experiences. In our Ice Cream business, we’re crafting the future through innovation and imaginative minds, creating unique products. We spark moments of happiness for people and within the communities where we operate. However, it is not as simple as it may seem. As Ice Cream makers we are serious about happiness. With warm hearts, we create the coolest products.
**Job Purpose**
 The Customer Analytics Data Scientist will report to the Associate Director of CD Analytics and Insights and will be responsible for developing advanced analytical models and insights that empower the US Customer Development function to achieve its sales ambitions. In this role, you will have the opportunity to design and implement predictive and prescriptive analytics solutions that drive decision\-making across sales, category management, shopper marketing, and channel strategy.
 This is a hands\-on technical role with strong business integration. The ideal candidate not only has deep expertise in statistical modeling and machine learning but also thrives on partnering with commercial and customer development teams to translate complex data into actionable business stories. You will collaborate closely with data engineering to ensure models are seamlessly operationalized within our data ecosystem and brought to life through visualization and stakeholder engagement.
**Key Responsibilities**
* Work closely with business stakeholders to translate needs into well designed and executed technology products that are embedded into daily decision\-making, with a focus on promotion optimization, syndicated and retailer data, demand forecasting, shopper marketing, digital commerce, and sales reporting
* Develop predictive and forecasting models (e.g., forecasting demand, pricing, promotions optimization, customer/shopper behavior) that drive commercial decision\-making and business performance.
* Collaborate with data engineering to define consistent business logic and unified data definitions, consistent with how the business operates, that enable self\-service analytics and integration across data products.
* Build advanced analytics capabilities including demand forecasting, promotion performance, assortment optimization, and shopper behavior modeling.
* Liase with local and global business and technology teams to define, manage, and enhance Magnum’s Customer Development analytics capabilities
* Conduct advanced analytics analyses using data science, machine learning, and AI to uncover insights that generate tangible business value
* Communicate and deliver engaging data visualizations and data narratives that bring data to life for both technical \&amp; non\-technical audiences, simplifying complex concepts and enabling decision\-making across commercial teams
* Guide and lead squads or project teams, driving adoption of data science principles and best\-in\-class analytics approaches to deliver impactful solutions.
**What You Need To Succeed**
* Technical aptitude and the ability to lead teams toward business\-value focused technology solutions
* 6\+ years of experience with cloud data platforms (Azure, AWS, GCP) and Databricks, with strong proficiency in SQL, PySpark, Python, and DAX for building high\-performance data transformations and pipelines.
* Hands\-on experience with Databricks, Azure Data Factory, Delta Lake, Power BI, Alteryx and related cloud data technologies.
* Proficient in machine learning frameworks and libraries including scikit\-learn, TensorFlow, PyTorch, XGBoost
* Experience with data visualization tools like PowerBI, Tableau.
* Strong ability to communicate technical findings to non\-technical audiences, turning data into actionable business narratives.
* Intellectual curiosity and strong analytic ability
* Preparedness to develop a deep understanding of business operations and needs for the Customer Development function
* Excellent planning, organization, and project estimation skills
* Strong understanding of the use and management of retailer and syndicated data
* Ability to work collaboratively with cross functional teams both locally and globally
* Ability to communicate and present complex topics clearly and compellingly to business stakeholders
**Skills**
* Strong understanding of data science principles and data visualization approaches
* Solid understanding of data modelling to support analytics and reporting use cases.
* Proficiency in coding languages such as Python, PySpark, DAX and SQL
* Ability to collect business requirements and translate into technical solutions
* Experience using tools like Databricks, Azure Data Factory, Power BI, and Alteryx
* Experience leveraging data sources such as Circana, Nielsen, panel data, and retailer data
* Ability to design intuitive and compelling front end business applications
* Data Engineering, Computer Science or study in related field.
**Required**
**EXPERIENCES \&amp; QUALIFICATIONS:**
* Experience applying data science, machine learning, and AI to business problems in Consumer Goods organizations
* Experience designing and implementing end\-to\-end data analyses and capabilities for a business focused audience
* Experience creating data visualization dashboards in tools such as PowerBI or Tableau
* Experience collecting business requirements and translating them into technology projects
* Experience working in a consumer goods organization
* Experience with the use and management of retailer and syndicated data (such as Circana, Nielsen)
**Preferred**
* Experience in a consumer goods Customer Development function
* Experience with retailer data platforms such as Scintilla, SymphonyAI, 1010data and 84\.51 Stratum
* Familiarity with Digital Commerce and Shopper Marketing data solutions
* Experience managing analytics teams
**Pay:** 
 The pay range for this position is $99,760 to $149,640\. TMICC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TMICC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\#TMICC
 \#TMICC
**About The Magnum Ice Cream Company**
 With 19\.000 expert ice cream colleagues and iconic brands like Wall’s, Cornetto and Ben \&amp; Jerry’s, loved in 76 countries, we are the world’s largest Ice Cream company leading the industry We have been taking pleasure seriously for more than 100 years, serving happiness with every lick or scoop of ice cream for generations.
**About**
 The Magnum Ice Cream Company (formerly part of Unilever)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 Here’s what defines success in our organization :
* We are all about growth
* We operate with speed and simplicity
* We win together with fun
* We boldly innovate to disrupt our industry
* We care and challenge
* We are experts in the Ice Cream Category
**ARE YOU EXCITED TO CRAFT THE ICE CREAM FUTURE?**
 Please apply online and do not forget to upload your CV. Your application will be reviewed against the requirements, and we will be in touch shortly after the closing date, with an update on the status of your application.
 The Magnum Ice Cream Company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protected veteran status, or any other characteristic protected by local, state, or federal law and will not be discriminated against on the basis of disability.
 For more information about your Federal rights, please see Know Your Rights: Workplace Discrimination is Illegal and Pay Transparency Non discrimination Provision.
 Employment is subject to verification of pre\-screening tests, which may include drug screening, background check, credit check and DMV check.
 If you are an individual with a disability in need of assistance at any time during our recruitment process, please contact your recruiter. Please note: This email is reserved for individuals with disabilities in need of assistance and is not a means of inquiry about positions or application statuses. The Protected Veterans or Individuals with Disabilities AAP narratives are available for inspection by any employee or applicant for employment Monday through Friday during normal business hours at establishment.</t>
        </is>
      </c>
    </row>
    <row r="31">
      <c r="A31" t="inlineStr">
        <is>
          <t>li-4349785379</t>
        </is>
      </c>
      <c r="B31" t="inlineStr">
        <is>
          <t>Principal Geospatial Data Scientist</t>
        </is>
      </c>
      <c r="C31" t="inlineStr">
        <is>
          <t>NextEra Energy Resources</t>
        </is>
      </c>
      <c r="D31" t="inlineStr">
        <is>
          <t>linkedin</t>
        </is>
      </c>
      <c r="E31" t="inlineStr"/>
      <c r="F31" t="inlineStr"/>
      <c r="G31" t="inlineStr"/>
      <c r="H31" t="inlineStr"/>
      <c r="I31" t="inlineStr">
        <is>
          <t>**Requisition ID:** 
 92194
 NextEra Energy Resources is one of America’s largest wholesale electricity generators, harnessing diverse energy sources to power progress. We deliver tailored energy solutions that fuel economic growth, strengthen communities, and help customers achieve their energy goals. Ready to make a lasting impact? Take the next step in your career with us!
****Position Specific Description****
 NextEra Energy is a Fortune 200 company that owns Florida Power \&amp; Light Company, the largest electric utility in the United States, serving approximately 12 million residents in Florida. Our diverse energy portfolio includes natural gas, nuclear, renewable energy, and battery storage solutions. With a strong commitment to meeting America's evolving energy needs sustainably, NextEra Energy Resources, LLC, is a leader in energy infrastructure development. Ready to make a meaningful impact? Join our team to elevate your career.
 The Principal Geospatial Data Scientist for the Enterprise NEE.GIS Geospatial DataOps team will drive innovation by integrating cutting\-edge data science methodologies, including machine learning (ML), deep learning (DL), and artificial intelligence (AI), into geospatial analytics. This role involves leading cross\-functional teams to design, build, and deliver advanced geospatial data and analytics solutions, enhancing operational efficiency and strategic decision\-making.
 We place a strong emphasis on expertise in current technologies and processes, coupled with a proven track record of innovation. Ideal candidates will have extensive experience in geospatial data management and analytics, and demonstrate a passion for developing groundbreaking analyses, processes, or tools utilizing advanced data science techniques.
 Key Responsibilities
 The Principal Geospatial Data Scientist leads complex geospatial data projects by deploying advanced analytical techniques and modeling. This role involves transforming raw spatial data into strategic insights to drive decision\-making and business innovation.
* Acquire and preprocess geospatial data from diverse sources, including satellite imagery, GIS, vendors, and governmental agencies; automate workflows where feasible.
* Develop and apply sophisticated statistical models and machine learning algorithms to perform large\-scale spatial data analyses.
* Design and implement dynamic visualizations—apps, dashboards, maps, and charts—to effectively communicate geospatial insights to non\-technical audiences.
* Collaborate with cross\-functional stakeholders to discern data requirements and develop tailored solutions.
* Construct predictive models to forecast spatial trends and patterns; continuously refine and advance model efficacy.
* Synthesize varied data sources into unified geospatial datasets; ensure data integrity through routine audits and quality assurance.
* Stay abreast of cutting\-edge geospatial analytics techniques and GIS technology advancements.
* Innovate by exploring new data sources and methodologies within geospatial analysis.
* Perform additional job\-related duties as necessary.
****Preferred Qualifications:****
* Possess expert knowledge of coordinate reference systems, including their reprojections and conversions, with a focus on understanding the implications of accuracy and performance impact on large\-scale geospatial data analytics.
* Proven experience in national or global scale data analysis and modeling.
* Proficient in programming languages, notably Python; familiarity with version control systems like Git and Agile methodologies.
* Expertise in Safe Software FME and Esri Enterprise GIS platforms, as well as cloud computing environments like AWS, leveraging Kubernetes.
* Extensive experience with machine learning, deep learning, and artificial intelligence applications.
* Ability to coordinate multifaceted analysis projects with various subject matter experts to achieve cost\-effective and competitive outcomes.
* Background in the Energy sector, particularly in Oil \&amp; Gas, Renewables, or Utilities.
****Desired Qualifications****
* GISP and/or ASPRS CMS Certifications
* DASCA or similar certification
* Master’s Degree
* Doctoral Degree
* Experience: 10\+ years
****Job Overview****
 This position is responsible for leading the development of algorithms, modeling techniques, and optimization methods that support many aspects of NextEra and FPL business. Employees in this role use knowledge of machine learning, optimization, statistics, and applied mathematics along with abilities in software engineering with a focus on distributed computing and data storage infrastructure (i.e., “Big Data”).
****Job Duties \&amp; Responsibilities****
* Provide thought leadership, set technical strategy, and identify possible uses of data science methods
* Explain methods and results to upper\-level executives
* Develop machine learning, optimizations or other modeling solutions
* Oversee related employee work, learn new techniques being developed
* Prepares comprehensive documented observations, analyses and interpretations of results including technical reports, summaries, protocols and quantitative analyses
* Works with big data and distributed computing platforms
* Develops software and contributes to product development
* Performs other job\-related duties as assigned
****Required Qualifications****
* Bachelor’s Degree
* Experience: 6\+ years
****Preferred Qualifications****
* Master’s Degree
* Doctoral Degree
 NextEra Energy offers a wide range of benefits to support our employees and their eligible family members. Click
 **here** 
 to learn more.
**Employee Group:** 
 Exempt
**Employee Type:** 
 Full Time
**Job Category:** 
 Science, Research, and Technology
**Organization:** 
 NextEra Energy Project Management, LLC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32">
      <c r="A32" t="inlineStr">
        <is>
          <t>li-4313454772</t>
        </is>
      </c>
      <c r="B32" t="inlineStr">
        <is>
          <t>Senior Applied Scientist, Generative AI Innovation Center</t>
        </is>
      </c>
      <c r="C32" t="inlineStr">
        <is>
          <t>Amazon Web Services (AWS)</t>
        </is>
      </c>
      <c r="D32" t="inlineStr">
        <is>
          <t>linkedin</t>
        </is>
      </c>
      <c r="E32" t="inlineStr"/>
      <c r="F32" t="inlineStr"/>
      <c r="G32" t="inlineStr">
        <is>
          <t>New York, United States</t>
        </is>
      </c>
      <c r="H32" t="inlineStr"/>
      <c r="I32" t="inlineStr">
        <is>
          <t>**Description**
 Application deadline: Jan 30,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33">
      <c r="A33" t="inlineStr">
        <is>
          <t>li-4366199303</t>
        </is>
      </c>
      <c r="B33" t="inlineStr">
        <is>
          <t>Lead Data Scientist</t>
        </is>
      </c>
      <c r="C33" t="inlineStr">
        <is>
          <t>TEGNA</t>
        </is>
      </c>
      <c r="D33" t="inlineStr">
        <is>
          <t>linkedin</t>
        </is>
      </c>
      <c r="E33" t="inlineStr"/>
      <c r="F33" t="inlineStr"/>
      <c r="G33" t="inlineStr">
        <is>
          <t>Tysons Corner, VA</t>
        </is>
      </c>
      <c r="H33" t="inlineStr"/>
      <c r="I33" t="inlineStr">
        <is>
          <t>**About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building a sustainable future for local news.
 We are seeking a
 **Lead Data Scientist** 
 to drive the development and deployment of predictive models for our Sales Automation initiative. You will own the end\-to\-end data science lifecycle to build machine learning models that predict advertiser probability of conversion to customer, enabling our sales team to prioritize high\-value prospects, optimize outreach strategies, and accelerate revenue growth. Ideal candidates are analytical problem\-solvers who excel at translating business objectives into data\-driven solutions, can work with complex advertiser datasets, and thrive in a fast\-paced, collaborative environment.
**Responsibilities**
 What You'll Do
* Own the full data science lifecycle for advertiser conversion modeling: problem framing, hypothesis design, feature engineering, model development, validation, deployment, and impact measurement.
* Translate complex analytics and machine learning outputs into consumable business insights by developing Tableau\- or Power BI–like interactive dashboards and generating automated BI reports (Word, PDF, PowerPoint) that support executive decision\-making and revenue strategy.
* Build and optimize predictive models to estimate advertiser probability of conversion using historical sales data, advertiser behavior signals, engagement metrics, and market trends.
* Leverage managed machine learning and predictive modeling capabilities through cloud platforms (e.g., Snowflake Cortex ML, Snowpark ML) to rapidly prototype, rigorously evaluate, and productionize advertiser conversion probability models, ensuring scalability, reliability, and alignment with sales and revenue business use cases.
* Engineer robust features from multi\-source advertiser datasets including firmographics, engagement history, interaction patterns, and campaign performance; handle data quality issues, missing values, and class imbalance.
* Develop classification models (logistic regression, gradient boosting, neural networks, ensemble methods) with strong emphasis on interpretability and business explainability for sales team adoption.
* Design and implement model validation frameworks: train/test splits, cross\-validation, business\-aligned metrics (precision, recall, AUC, lift), and rigorous backtesting against historical conversion data.
* Establish model governance and monitoring: performance tracking, drift detection, retraining pipelines, fairness assessment, and clear documentation of model assumptions and limitations.
* Create actionable conversion propensity scores and segmentation strategies that enable sales teams to prioritize leads, personalize outreach, and optimize resource allocation.
* Conduct A/B testing and incrementality analysis to measure the business impact of model\-driven sales interventions and continuously improve conversion strategies.
* Translate complex model outputs into clear, executive\-ready narratives and dashboards; deliver recommendations that drive sales strategy and revenue decisions.
* Partner with sales, marketing, and product teams to understand business requirements, prioritize high\-impact opportunities, and design data\-informed roadmaps.
* Mentor teammates on best practices in predictive modeling, statistical rigor, and responsible AI; promote a culture of experimentation and measurable impact.
 Core Skills and Methods
* Predictive modeling and classification: logistic regression, decision trees, random forests, gradient boosting (XGBoost, LightGBM), neural networks, and ensemble methods.
* Data Visualization: Create clear, compelling data visualizations and dashboards to enable team\-led exploratory analysis and effectively communicate to both technical and non\-technical stakeholders
* Feature engineering: domain\-driven feature creation, feature selection, handling categorical variables, scaling, and dimensionality reduction.
* Statistical methods: hypothesis testing, confidence intervals, statistical significance testing, and understanding of Type I/II errors.
* Imbalanced classification: techniques for handling class imbalance (SMOTE, class weights, threshold optimization) and appropriate evaluation metrics.
* Model evaluation and validation: cross\-validation, ROC/AUC analysis, precision\-recall curves, calibration, and business\-aligned performance metrics.
* Time series and temporal analysis: handling temporal patterns in conversion data, seasonality effects, and recency bias.
* Experimentation and causal inference: A/B testing, power analysis, propensity score matching, and measuring true incremental impact.
* Data wrangling and SQL: extracting, transforming, and aggregating complex advertiser and sales datasets from multiple sources.
* Model deployment and monitoring: model versioning, performance tracking, automated retraining, and production monitoring.
* Communication and storytelling: translating model insights into clear business recommendations and actionable strategies for non\-technical stakeholders.
**Requirements**
 What Makes You a Great Fit
* 5\+ years of applied data science experience with proven track record building and deploying predictive models in production environments.
* Demonstrated expertise in classification modeling and conversion/propensity prediction (e.g., customer acquisition, churn prediction, lead scoring).
* Hands\-on experience with Snowflake \- Snowpark (Python) and/or Snowflake ML / Cortex ML
* Advanced SQL skills for large\-scale analytical datasets
* Experience with feature engineering on structured business data
* Strong proficiency in Python (scikit\-learn, pandas, numpy) and SQL for data extraction and feature engineering.
* Comfort navigating ambiguity, quickly forming hypotheses, and iterating toward practical, high\-signal solutions.
* Balanced mindset across rigor and speed: you know when to prototype, when to harden, and how to quantify trade\-offs.
* Strong collaboration skills and ability to work cross\-functionally with sales, marketing, and product teams.
* Commitment to responsible modeling: transparency, fairness, and clearly communicated limitations and risks.
* Excellent communication skills with ability to explain complex models to non\-technical stakeholders.
**Preferred**
* Advanced degree in Data Science, Statistics, Machine Learning, or related field.
* Prior experience in sales, marketing, or revenue analytics domains.
* Experience with cloud platforms (AWS, GCP, Azure) and big data tools.
* Familiarity with MLOps practices and model deployment pipelines.
**Benefits**
 TEGNA offers comprehensive benefits designed to safeguard the physical, mental and financial health of our employees and their families. TEGNA offers two medical plan options for full and part\-time employees through Blue Cross Blue Shield of Texas, as well as access to dental and eye care coverage; fertility, surrogacy and adoption assistance; disability and life insurance.
 Our 401(k) program offers full, part\-time and temporary employees the opportunity to contribute 1% \- 80% of their pay on a pre\-tax basis to TEGNA’s 401(k). Contributions made up to the first 4% of pay are eligible for a 100% match from the company and are 100% vested from day one.
 Regardless of participation in TEGNA medical plans, ALL employees and their eligible family members receive nine free virtual doctor’s appointments with a physician through Teladoc, and 12 free annual therapy sessions with a licensed clinician through Spring Health.
 TEGNA offers a generous Paid Time Off (PTO) benefit as well as nine paid holidays per year.
* Some jobs are covered by a collective bargaining agreement and thus some or all of the benefits described herein may not apply. For example, some newsroom bargaining unit employees receive health and retirement benefits under plans administered by the union.
**EEO Statement**
 TEGNA Inc. is a proud equal opportunity employer. We are proud to be an equal opportunity employer, hiring and developing individuals from diverse backgrounds and experiences to add to our collaborative culture. We value and consider applications from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TEGNA will reasonably accommodate qualified individuals with disabilities in accordance with applicable law. If you are in need of an accommodation in order to submit your application, please email askhr@tegna.com
**Recruiting Fraud Alert**
 To all candidates: your personal information and online safety are important to us. Only TEGNA Recruiters or Hiring Managers will reach out to you regarding consideration of your application or background. Communications with TEGNA employees will either come from a TEGNA email address with a domain of tegna.com or one of our affiliate station domains.
 Recruiters or Hiring Managers will never request payments, ask for financial account information or sensitive information such as social security numbers.
 Privacy Notice for California Residents
 SMS Messaging Privacy Policy</t>
        </is>
      </c>
    </row>
    <row r="34">
      <c r="A34" t="inlineStr">
        <is>
          <t>li-4366160994</t>
        </is>
      </c>
      <c r="B34" t="inlineStr">
        <is>
          <t>Business Data Scientist III</t>
        </is>
      </c>
      <c r="C34" t="inlineStr">
        <is>
          <t>Apex Systems</t>
        </is>
      </c>
      <c r="D34" t="inlineStr">
        <is>
          <t>linkedin</t>
        </is>
      </c>
      <c r="E34" t="inlineStr"/>
      <c r="F34" t="inlineStr"/>
      <c r="G34" t="inlineStr">
        <is>
          <t>Houston, TX</t>
        </is>
      </c>
      <c r="H34" t="inlineStr"/>
      <c r="I34" t="inlineStr">
        <is>
          <t>**Job\#: 3016846**
**Job Description:**
**12\-month contract**
**3x a week onsite**
 Key Responsibilities:
* Provides support to internal and external customers, working with IT to identify system\-related issues and functions as a project lead to organize and develop project requirements, develop and complete testing plans, and follow\-up on any fall\-out after project implementation
* Proper support should work as a firewall between the customers and IT to verify that issues are indeed system related. Identified defects should be logged, tracked, tested and delivered in accordance with its customer impact and compliance risk
* Drives collaboration between all commercial areas, IT, and rates \&amp; regulatory, acting as a go\-between to provide solutions for all groups that interact, directly or indirectly, with the system(s).
* Provides support for the creation and implementation of business processes, workflow, technology solutions and technology frameworks
* Design and develop prototypes and proof of concepts for modelling, data mining, and production purposes.
* Support, design, develop, test and implement tools for Marketing Services Reps (G\&amp;P \- Distribution, Commercial, and Commodity Ops) to analyze historical data for data inquiries, customer focus, market orientation, process and tariff (TGOM only) efficiencies and predict future behaviour of customers to drive commercial decisions.
* Ensures the EBB (proprietary and public) operates in compliance with all regulations using standard methodologies with an eye toward continuous improvement.
* Completes all EBB changes needed to ensure continued growth of company, including working closely with Business Development, Marketing Services, and Corporate Strategic Development to ensure that all expansion project requirements are detailed far in advance of the project’s in\-service date
* Act as a change agent and assist in the development of processes and procedures to assist the team in finding efficiencies by learning to become a Subject Matter Expert (SME) for functional areas of the system
* Act as the business lead for all EBB and data visualization and analytics modifications and enhancements.
* Function as a team leader to organize/develop project requirements, provide quality construction guidelines, develop and execute testing plans, and follow\-up on any fall\-out after project implementation.
* Prepares/supports revenue budget and forecasting; prepares and provides monthly reporting for stakeholders.
* Drive collaboration between all commercial areas, IT, regulatory, and operations.
* Acting as a go\-between within company to provide solutions for all groups that interact, directly or indirectly, with the system(s).
 Required Qualifications:
* Bachelor’s degree in accounting, Finance, Economics or Engineering related field. Master’s degree is preferred
* Minimum 6 years’ experience in energy industry (oil and gas)
* Experience leading a diverse team, with management oversight, of employees with competing interests. Ability to pivot between topics quickly and identify the cost\-effective most agreeable solution.
* A thorough understanding of scheduling/contracting processes with an emphasis on one area (pre\-flow/flow/post\-flow).
* Ability to pull complex database information and have a rudimentary understanding of relational databases.
* Ability to perform statistical analysis
* Advanced Excel pivot and/or Power BI skills
* Knowledge of machine learning\-based tools is a plus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5">
      <c r="A35" t="inlineStr">
        <is>
          <t>li-4313468276</t>
        </is>
      </c>
      <c r="B35" t="inlineStr">
        <is>
          <t>Senior Applied Scientist, Generative AI Innovation Center</t>
        </is>
      </c>
      <c r="C35" t="inlineStr">
        <is>
          <t>Amazon Web Services (AWS)</t>
        </is>
      </c>
      <c r="D35" t="inlineStr">
        <is>
          <t>linkedin</t>
        </is>
      </c>
      <c r="E35" t="inlineStr"/>
      <c r="F35" t="inlineStr"/>
      <c r="G35" t="inlineStr">
        <is>
          <t>Boston, MA</t>
        </is>
      </c>
      <c r="H35" t="inlineStr"/>
      <c r="I35" t="inlineStr">
        <is>
          <t>**Description**
 Application deadline: Jan 30,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36">
      <c r="A36" t="inlineStr">
        <is>
          <t>li-4352420548</t>
        </is>
      </c>
      <c r="B36" t="inlineStr">
        <is>
          <t>Senior Data Scientist</t>
        </is>
      </c>
      <c r="C36" t="inlineStr">
        <is>
          <t>Jobs via eFinancialCareers</t>
        </is>
      </c>
      <c r="D36" t="inlineStr">
        <is>
          <t>linkedin</t>
        </is>
      </c>
      <c r="E36" t="inlineStr"/>
      <c r="F36" t="inlineStr"/>
      <c r="G36" t="inlineStr">
        <is>
          <t>New York, NY</t>
        </is>
      </c>
      <c r="H36" t="inlineStr"/>
      <c r="I36"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37">
      <c r="A37" t="inlineStr">
        <is>
          <t>li-4366161990</t>
        </is>
      </c>
      <c r="B37" t="inlineStr">
        <is>
          <t>Senior Data Scientist</t>
        </is>
      </c>
      <c r="C37" t="inlineStr">
        <is>
          <t>Apex Systems</t>
        </is>
      </c>
      <c r="D37" t="inlineStr">
        <is>
          <t>linkedin</t>
        </is>
      </c>
      <c r="E37" t="inlineStr"/>
      <c r="F37" t="inlineStr"/>
      <c r="G37" t="inlineStr">
        <is>
          <t>Cleveland, OH</t>
        </is>
      </c>
      <c r="H37" t="inlineStr"/>
      <c r="I37" t="inlineStr">
        <is>
          <t>**Job\#: 3017436**
**Job Description:**
 The Senior Data Scientist plays a key role in leveraging advanced analytics and machine learning to solve complex business challenges. This position works closely with business partners to deliver actionable insights and drive strategic initiatives through data\-driven solutions.
 Key Responsibilities \&amp; Required Skills:
* Analyze large, diverse datasets to identify trends, patterns, and opportunities for business improvement.
* Develop and implement statistical models, machine learning algorithms, and predictive analytics to address organizational needs.
* Collaborate with internal teams to define analytical questions, design experiments, and translate business requirements into technical solutions.
* Present findings and recommendations to stakeholders using clear visualizations and concise communication.
* Demonstrate proficiency in programming languages such as Python and experience with machine learning frameworks and cloud platforms.
* Utilize database technologies such as SQL and data visualization tools like Tableau and Power BI to support analysis and reporting.
* Understand AI and Machine Learning frameworks such as Databricks, Snowflake, and Dataiku.
**Qualifications:**
* Bachelor’s degree in Data Science, Statistics, Mathematics, Business Analytics, or a related field, or equivalent professional experience.
* Minimum 7 years of experience in data science, analytics, or artificial intelligence.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8">
      <c r="A38" t="inlineStr">
        <is>
          <t>li-4366210595</t>
        </is>
      </c>
      <c r="B38" t="inlineStr">
        <is>
          <t>Machine Learning Engineer / Data Scientist</t>
        </is>
      </c>
      <c r="C38" t="inlineStr">
        <is>
          <t>Fusemachines</t>
        </is>
      </c>
      <c r="D38" t="inlineStr">
        <is>
          <t>linkedin</t>
        </is>
      </c>
      <c r="E38">
        <f>HYPERLINK("https://www.linkedin.com/jobs/view/4366210595", "https://www.linkedin.com/jobs/view/4366210595")</f>
        <v/>
      </c>
      <c r="F38" t="inlineStr"/>
      <c r="G38" t="inlineStr">
        <is>
          <t>New York, NY</t>
        </is>
      </c>
      <c r="H38" t="inlineStr"/>
      <c r="I38"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**Type: Full\-time, Remote**
**Role Overview**
 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
 You should be strong in core data science and applied machine learning, comfortable working with real\-world data, and capable of turning modeling work into production\-ready systems.
**Key Responsibilities**
* Problem Framing \&amp; Stakeholder Partnership
+ Translate business questions into ML problem statements (classification, regression, time series forecasting, clustering, anomaly detection, recommendation, etc.)
+ Collaborate with stakeholders to define success metrics, evaluation plans, and practical constraints (latency, interpretability, cost, data availability)
* Data Analysis \&amp; Feature Engineering
+ Use SQL and Python to extract, join, and analyze data from relational databases and data warehouses
+ Perform data profiling, missingness analysis, leakage checks, and exploratory analysis to guide modeling choices
+ Build robust feature pipelines (aggregation, encoding, scaling, embeddings where appropriate) and document assumptions
* Model Development (Core ML)
+ Train and tune supervised learning models for tabular data (e.g., logistic/linear models, tree\-based methods, gradient boosting such as XGBoost/LightGBM/CatBoost, and neural nets for structured data)
+ Apply strong tabular modeling practices: handling missing data, categorical encoding, leakage prevention, class imbalance strategies, calibration, and robust cross\-validation
+ Build time series models (statistical and ML/DL approaches) and validate with proper backtesting
+ Apply clustering and segmentation techniques (k\-means, hierarchical, DBSCAN, Gaussian mixtures) and evaluate stability and usefulness
+ Apply statistics in practice (hypothesis testing, confidence intervals, sampling, experiment design) to support inference and decision\-making
* Deep Learning
+ Build and train deep learning models using PyTorch or TensorFlow/Keras
+ Use best practices for training (regularization, calibration, class imbalance handling, reproducibility, sound train/val/test design)
* Evaluation, Explainability, and Iteration
+ Choose appropriate metrics (AUC/F1/PR, RMSE/MAE/MAPE, calibration, lift, and business KPIs) and create evaluation reports
+ Perform error analysis and interpretation (feature importance/SHAP, cohort slicing) and iterate based on evidence
* Productionization \&amp; MLOps (Project\-Dependent)
+ Package models for deployment (batch scoring pipelines or real\-time APIs) and collaborate with engineers on integration
+ Implement practical MLOps: versioning, reproducible training, automated evaluation, monitoring for drift/performance, and retraining plans
* Documentation \&amp; Communication
+ Communicate tradeoffs and recommendations clearly to technical and non\-technical stakeholders
+ Create documentation and lightweight demos that make results actionable
 Success in This Role Looks Like
* You deliver models that perform well and move business metrics (revenue lift, cost reduction, risk reduction, improved forecast accuracy, operational efficiency)
* Your work is reproducible and production\-aware: clear data lineage, robust evaluation, and a credible path to deployment/monitoring
* Stakeholders trust your judgment in selecting methods and communicating uncertainty honestly
**Required Qualifications**
* 3–8 years of experience in data science, machine learning engineering, or applied ML (mid\-to\-senior)
* Strong Python skills for data analysis and modeling (pandas/numpy/scikit\-learn or equivalent)
* Strong SQL skills (joins, window functions, aggregation, performance awareness)
* Solid foundation in statistics (hypothesis testing, uncertainty, bias/variance, sampling) and practical experimentation mindset
* Hands\-on experience across multiple model types, including:
+ Classification \&amp; regression
+ Time series forecasting
+ Clustering/segmentation
* Experience with deep learning in PyTorch or TensorFlow/Keras
* Strong problem\-solving skills: ability to work with ambiguous goals and messy data
* Clear communication skills and ability to translate analysis into decisions
**Preferred Qualifications**
* Experience with Databricks for applied ML (e.g., Spark, Delta Lake, MLflow, Databricks Jobs/Workflows)
* Experience deploying models to production (APIs, batch pipelines) and maintaining them over time (monitoring, retraining)
* Experience with orchestration tools (Airflow, Prefect, Dagster) and modern data stacks (Snowflake/BigQuery/Redshift/Databricks)
* Experience with cloud platforms (AWS/GCP/Azure/IBM) and containerization (Docker)
* Experience with responsible AI and governance best practices (privacy/PII handling, auditability, access controls)
* Consulting or client\-facing delivery experience
**Certifications (Strong Plus)**
 Candidates with at least one relevant certification are especially encouraged to apply:
* Cloud certifications: AWS, Google Cloud, Microsoft Azure, or IBM (data/AI/ML tracks)
* Databricks certifications (Data Scientist, Data Engineer, or related)
**Nice\-to\-Have**
* Causal inference experience (e.g., quasi\-experimental methods, propensity scores, uplift/heterogeneous treatment effects, experimentation beyond A/B tests)
* Agentic development experience: designing and evaluating agentic workflows (tool use, planning, memory/state, guardrails) and integrating them into products
* Deep familiarity with agentic coding tools and workflows for accelerated product development (e.g., AI\-assisted IDEs, code agents, automated testing/refactoring, repo\-aware assistants), including strong judgment on quality, security, and maintainability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qUN1H2divA</t>
        </is>
      </c>
    </row>
    <row r="39">
      <c r="A39" t="inlineStr">
        <is>
          <t>li-4366180301</t>
        </is>
      </c>
      <c r="B39" t="inlineStr">
        <is>
          <t>Data Scientist, Sr.</t>
        </is>
      </c>
      <c r="C39" t="inlineStr">
        <is>
          <t>Airbnb</t>
        </is>
      </c>
      <c r="D39" t="inlineStr">
        <is>
          <t>linkedin</t>
        </is>
      </c>
      <c r="E39">
        <f>HYPERLINK("https://www.linkedin.com/jobs/view/4366180301", "https://www.linkedin.com/jobs/view/4366180301")</f>
        <v/>
      </c>
      <c r="F39" t="inlineStr"/>
      <c r="G39" t="inlineStr"/>
      <c r="H39" t="inlineStr"/>
      <c r="I39" t="inlineStr">
        <is>
          <t>**About The Company** 
 Airbnb was founded in 2007 when two hosts welcomed three guests to their San Francisco home, marking the beginning of a revolutionary approach to travel and hospitality. Over the years, Airbnb has grown exponentially, now boasting over 5 million hosts worldwide who have welcomed more than 2 billion guest arrivals across nearly every country on the planet. The platform offers unique stays and experiences that enable guests to connect with local communities in an authentic and meaningful way. Committed to fostering a global community, Airbnb continuously innovates to enhance the hosting and guest experience, making travel more accessible, personalized, and enriching for everyone involved.
**About The Role** 
 We are seeking a talented and experienced Data Scientist to join our collaborative team dedicated to building innovative pricing products for Airbnb hosts. In this role, you will work closely with cross\-functional teams including product managers, engineers, analysts, and designers to develop and refine pricing guidance systems that optimize supply and demand within the Airbnb marketplace. Your primary focus will be on developing models, conducting experiments, and generating insights that inform pricing strategies and feature launches. You will play a pivotal role in measuring the impact of new pricing features, creating foundational models for pricing recommendations, and communicating complex data\-driven insights to stakeholders in a clear and compelling manner. This position offers an exciting opportunity to influence the future of Airbnb’s marketplace by leveraging data science to drive impactful pricing innovations that benefit hosts and guests alike.
**Qualifications** 
* Bachelor’s or Master’s degree in Data Science, Computer Science, Statistics, Economics, or a related field
* 5\+ years of professional experience in data science or analytics, with at least 2 years holding a PhD
* Proficiency in SQL and programming languages such as Python or R
* Experience with experimentation, causal inference, and observational analysis
* Strong ability to independently develop roadmaps that drive business impact
* Excellent communication skills, capable of translating complex technical concepts for non\-technical audiences
* Experience working in cross\-functional teams and managing multiple stakeholders
* Work authorization to work in the United States
**Responsibilities** 
* Develop and maintain models that inform pricing strategies and recommendations for Airbnb hosts
* Design and execute experiments to evaluate the impact of new pricing features and initiatives
* Analyze data to understand the differential effects of pricing features and surface actionable insights
* Create simulations and software tools using Python, SQL, or R to measure and predict marketplace behaviors
* Collaborate with product, engineering, and analytics teams to integrate data\-driven insights into product development
* Communicate findings and insights clearly to stakeholders through reports, presentations, and data narratives
* Identify opportunities for innovative pricing solutions that balance supply and demand in the marketplace
* Stay updated with industry best practices and continuously improve modeling and analytical techniques
**Benefits** 
* Competitive salary and performance\-based bonuses
* Comprehensive health, dental, and vision insurance plans
* Flexible work arrangements including remote work options
* Generous paid time off and holidays
* Employee stock options and equity plans
* Learning and development opportunities to support career growth
* Employee travel credits and wellness programs
 Equal Opportunity
 Airbnb is an equal opportunity employer committed to fostering an inclusive environment for all employees. We celebrate diversity and are dedicated to creating a workplace where everyone feels valued, respected, and empowered to contribute their best. We encourage applications from individuals of all backgrounds, identities, and experiences.</t>
        </is>
      </c>
    </row>
    <row r="40">
      <c r="A40" t="inlineStr">
        <is>
          <t>li-4365870883</t>
        </is>
      </c>
      <c r="B40" t="inlineStr">
        <is>
          <t>Data Scientist (Mid-Senior)</t>
        </is>
      </c>
      <c r="C40" t="inlineStr">
        <is>
          <t>Alpha7X</t>
        </is>
      </c>
      <c r="D40" t="inlineStr">
        <is>
          <t>linkedin</t>
        </is>
      </c>
      <c r="E40">
        <f>HYPERLINK("https://www.linkedin.com/jobs/view/4365870883", "https://www.linkedin.com/jobs/view/4365870883")</f>
        <v/>
      </c>
      <c r="F40" t="inlineStr"/>
      <c r="G40" t="inlineStr">
        <is>
          <t>St. Petersburg, FL</t>
        </is>
      </c>
      <c r="H40" t="inlineStr"/>
      <c r="I40" t="inlineStr">
        <is>
          <t>**Role Overview**
 Alpha7X is hiring a mid\-to\-senior Data Scientist with a strong technical foundation and hands\-on experience building machine learning systems from the ground up. This role focuses on applied modeling, natural language systems, and agentic AI architectures used in production environments. We are not looking for candidates whose experience is limited to prompt engineering or thin wrappers around hosted APIs.
 The ideal candidate understands how models work, how to evaluate them, and how to integrate them into larger systems that reason over data, documents, and tools.
**Core Responsibilities**
* Design, train, and evaluate machine learning models from first principles, including feature engineering, model selection, and validation
* Develop and maintain production\-quality Python code for data processing, training, and inference workflows
* Build natural language processing systems for document understanding, classification, extraction, and semantic search
* Design and implement Retrieval\-Augmented Generation (RAG) pipelines, including embedding strategies, retrieval evaluation, and grounding techniques
* Build and maintain agentic AI systems that coordinate models, tools, and multi\-step reasoning workflows
* Work with unstructured and semi\-structured data at scale
* Collaborate with engineering and infrastructure teams to deploy and operate models in production
* Analyze model performance, failure modes, and data drift, and drive iterative improvement
**Required Qualifications**
* Strong proficiency in Python for data science and machine learning
* Experience building ML models from scratch rather than relying exclusively on pre\-trained or hosted APIs
* Solid understanding of statistics, linear algebra, and core ML concepts
* Demonstrated experience with natural language processing workflows
* Hands\-on experience designing and implementing RAG systems
* Experience with agentic AI patterns and relevant tooling, such as: LangChain, LlamaIndex, or similar orchestration frameworks; Vector databases and embedding pipelines; Tool\-calling, planner\-executor, or multi\-agent coordination patterns
* Experience working with real production data and systems
**Preferred Qualifications**
* Experience with graph databases, particularly Neo4j
* Familiarity with graph\-based modeling, knowledge graphs, or Graph\-RAG approaches
* Experience deploying ML systems in cloud environments such as AWS or Azure
* Exposure to MLOps, containerization, or CI/CD pipelines
* Experience with document\-heavy or compliance\-oriented domains
* Experience with cloud such as Azure</t>
        </is>
      </c>
    </row>
    <row r="41">
      <c r="A41" t="inlineStr">
        <is>
          <t>li-4366201838</t>
        </is>
      </c>
      <c r="B41" t="inlineStr">
        <is>
          <t>Senior Data Scientist</t>
        </is>
      </c>
      <c r="C41" t="inlineStr">
        <is>
          <t>Forbright Bank</t>
        </is>
      </c>
      <c r="D41" t="inlineStr">
        <is>
          <t>linkedin</t>
        </is>
      </c>
      <c r="E41">
        <f>HYPERLINK("https://www.linkedin.com/jobs/view/4366201838", "https://www.linkedin.com/jobs/view/4366201838")</f>
        <v/>
      </c>
      <c r="F41" t="inlineStr"/>
      <c r="G41" t="inlineStr"/>
      <c r="H41" t="inlineStr"/>
      <c r="I41" t="inlineStr">
        <is>
          <t>**COMPANY DESCRIPTION:** 
 Forbright is a nationwide full\-service bank and commercial lender focused on helping to build a brighter future for our clients and the communities we serve. Forbright is committed to exceptional client service by providing seamless, innovative personal banking services to depositors and creative financing solutions to visionary middle market businesses and investors in healthcare, technology, financial services, real estate, and other industries.
**COMPANY CULTURE:** 
 We are a dynamic, high energy, fun, and fast\-paced organization that has an exciting growth trajectory, meaningful mission, and embedded responsible practices into our daily interactions. We offer our team members a culture of collaboration, inclusion, flexibility, recognition, and giving back. We look to hire individuals that are passionate about our mission, and who are motivated, customer and results\-oriented, innovative, adaptable, and thoughtful.
**COMPANY MISSION:** 
 We are a mission\-driven institution. We operate a sound dynamic institution that is well capitalized, liquid, profitable and uses best practices to manage risk and assure compliance with laws and regulations. We use Forbright’s capital, capabilities, innovation, and expertise to help our clients succeed and contribute broadly to building a brighter future.
**JOB SUMMARY:** 
 The Senior Data Scientist is responsible for serving as Forbright’s steward of advanced analytics for commercial lending, with end\-to\-end responsibility for developing, maintaining, and evolving data\-driven insights that inform portfolio strategy, risk management, and growth decisions. This role aids in moving the organization into predictive and forward\-looking analytics in areas such as loan profitability, portfolio yield, risk, payoffs, and future income outlook.
**DUTIES AND RESPONSIBILITIES:**
* Develop and implement advanced statistical and machine learning models to predict loan performance, borrower risk, prepayment likelihood, and renewal opportunities
* Partner with credit, portfolio management, and lending teams to identify high\-impact use cases for data\-driven solutions
* Automate data ingestion, transformation, and reporting processes to streamline analytics workflows
* Build dashboards and data visualizations that communicate insights effectively to executive and front\-line stakeholders
* Design and execute experiments and A/B tests to measure the effectiveness of lending strategies and risk policies
* Leverage R or Python for model development, statistical analysis, and data manipulation
* Work with structured and unstructured data, including loan files, collateral valuations, market data, and financial statements
* Stay informed on emerging AI techniques and assess their applicability to commercial lending and banking operations
* Mentor analysts and contribute to building a data\-driven culture within the Bank
* Perform other duties as assigned
**QUALIFICATIONS:**
* Bachelor’s Degree in Data Science, Statistics, Applied Mathematics, Computer Science, Economics, or a related quantitative field required; Master’s Degree preferred
* Minimum of 5 years of professional experience in data analytics, data science, or quantitative modeling required
* Direct experience in banking, with preference for commercial lending analytics
* Demonstrated ability to deliver predictive models and advanced analytics projects with measurable business impact
* Proficiency in Python or R for statistical modeling, data wrangling, and automation
* Experience with BI tools such as Power BI or Tableau for dashboard and visualization development
* Strong SQL skills for data extraction and transformation
* Familiarity with cloud\-based data environments (e.g., Azure, AWS, or GCP) preferred
* Hands\-on experience with large language models preferred
* Proficiency with Microsoft Office tools (Outlook, Word, PowerPoint, Excel)
* Excellent verbal, written, and interpersonal communication skills
* Strong organizational skills and attention to detail
* Outstanding problem\-solving and time management skills
* Self\-motivated, self\-directed, and results\-oriented
* Adaptable and able to multitask in a fast\-paced environment
* Can work independently and within a team; solution\-oriented with a collaborative approach
*The pay range for this position is below. The specific rate will depend on the successful candidate’s qualifications and prior experience. $145,000 (entry level qualifications) to $165,000 (highly experienced).*
**POSITION REQUIREMENTS:** 
 We are committed to creating an inclusive workplace where all employees are capable of performing their job position. Work is primarily conducted in an office setting while certain positions may allow for remote work through the use of technology at management discretion. The functions described below are representative of those to successfully perform duties of this job. Reasonable accommodations may be made to enable employees to perform the essential functions. While performing duties of this job, the employee may be regularly required for extended periods of time to:
* Remain in a stationary position
* Use hands and fingers
* Utilize a computer monitor with visual acuity
* Operate technology or other office machinery such as printers, scanners, etc
* Communicate clearly verbally and/or in writing with others
**ADDITIONAL DUTIES:** 
 For Forbright Bank to remain efficient and nimble as a growing organization, team members are expected to exhibit a high level of flexibility regarding any duties that may be situationally assigned outside of this job description.
**PERKS/BENEFITS:**
* Comprehensive health, dental, and vision plans
* 4 weeks PTO
* 401k \+ company match
* Metro SmartTrip benefits ($50/mo)
* Remote or hybrid work schedules for most positions
* Incentives for purchasing solar panels, electric vehicles, biking to work, etc
* Paid subscriptions to Veterans Compost, Capital Bikeshare, Imperfect Foods reimbursement, and more!
* Best Workplaces for Commuters 2023 \&amp; 2024 winner
* The Washington Post Top Workplaces 2023, 2024, and 2025 winner
* American Banker Best Banks to Work For 2023 winner
**CORE PRINCIPLES:**
* Excellence: Excellence is not a goal, but a standard, reflected in the precision of our work and the quality of our decisions. Excellence is a discipline that compounds over time and creates lasting value; it must be measured and managed
* People: Our people are our greatest strength. We foster a culture of respect, inclusion, and ambition \- where everyone matters. We celebrate collaboration and teamwork and prize loyalty \- to one another, the company, our mission, and values
* Innovation: We invest boldly in technology, harnessing innovation not for its own sake but to make banking and lending better, faster, and smarter for our clients, more efficient for our team, and more profitable for our shareholders. By combining human insight with technological excellence, we strengthen our ability to serve, to adapt, and to succeed in a changing world. Innovation is a continuous investment in new ideas
* Sound Practices: Our foundation rests on prudence, care, integrity, and discipline. We manage credit and business risk with rigor and fundamentals\-based judgment, act with transparency, and uphold the highest standards of corporate governance and regulatory compliance to ensure sustainable growth and enduring financial strength
* Distinct Value: We focus our energy where we add value. We avoid the commoditized and the ordinary, choosing to compete through insight, specialization, technology and service. By concentrating on areas where expertise matters and relationships endure, we create differentiation that is defensible and lasting
* Clients: We exist to advance our clients’ success and to help them grow. We listen deeply, think creatively, and deliver solutions that solve problems, drive impact and add value. Every client relationship is built on partnership, performance, and purpose
* Shareholders: We are committed to creating exceptional value for our shareholders. We invest for the long term and view our shareholders as partners – not observers \- in value creation. We allocate capital wisely, execute with precision, and continuously adapt our business model to pursue the most attractive, risk\-adjusted returns. We work to make rational decisions, avoid unnecessary complexity, maintain strong liquidity and capital, and communicate with clarity and honesty. We measure success both by current performance and by the durability and quality of the long\-term value we build
* Communities and the Environment: We believe prosperity and responsibility go hand in hand. We invest in inclusive opportunity and environmental stewardship. Our goal is simple \- to do our part build a brighter, more sustainable future for the communities we serve and the world we share
*It is the policy of Forbright Bank to provide equal employment opportunities to all qualified individuals and to administer all aspects and conditions of pre\-employment and employment without regard to protected characteristics.*
*Employment with Forbright Bank is at\-will, which means that either you or the Company may terminate the relationship at any time.*
 By applying, you acknowledge that you have reviewed our
 **CCPA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2">
      <c r="A42" t="inlineStr">
        <is>
          <t>li-4366185796</t>
        </is>
      </c>
      <c r="B42" t="inlineStr">
        <is>
          <t>Data Scientist (AI)</t>
        </is>
      </c>
      <c r="C42" t="inlineStr">
        <is>
          <t>SewerAI</t>
        </is>
      </c>
      <c r="D42" t="inlineStr">
        <is>
          <t>linkedin</t>
        </is>
      </c>
      <c r="E42">
        <f>HYPERLINK("https://www.linkedin.com/jobs/view/4366185796", "https://www.linkedin.com/jobs/view/4366185796")</f>
        <v/>
      </c>
      <c r="F42">
        <f>HYPERLINK("https://jobs.ashbyhq.com/sewer-ai/aa50929e-856d-469a-9b4b-0a04e0c7561c/application?utm_source=wprXZl8zLd&amp;urlHash=tjaf", "https://jobs.ashbyhq.com/sewer-ai/aa50929e-856d-469a-9b4b-0a04e0c7561c/application?utm_source=wprXZl8zLd&amp;urlHash=tjaf")</f>
        <v/>
      </c>
      <c r="G42" t="inlineStr"/>
      <c r="H42" t="inlineStr"/>
      <c r="I42" t="inlineStr">
        <is>
          <t>**About SewerAI Corporation**
 SewerAI is transforming underground infrastructure management through AI\-powered inspection and risk analysis. Our platform helps contractors, engineering firms, and utilities unlock valuable insights from sewer inspection data—turning hours of manual video review into actionable intelligence in minutes. After doubling our customer base over the past year, we’re now entering an exciting phase of accelerated growth.
**About The Role**
 We're looking for a
 **Senior Data Scientist** 
 to join our AI team and work on applied machine learning for sewer infrastructure. In this role, you'll develop anomaly detection systems, time series forecasting models, and predictive analytics that help utilities anticipate and prevent infrastructure failures.
 You'll work closely with our engineering and data teams to build ML systems that analyze sensor data, detect anomalies, and deliver actionable insights to our customers.
 What You'll Work On
* Anomaly Detection — Develop models to identify unusual patterns and potential issues in sewer infrastructure data
* Time Series Forecasting — Build predictive models for maintenance scheduling and infrastructure health predictions
* ML Model Development — Design, train, and iterate on ML models for sewer\-specific applications
* Data Analysis \&amp; Pipelines — Build pipelines for processing and analyzing infrastructure data at scale
* Dashboards \&amp; Reporting — Create visualizations and reports in Hex to surface insights for stakeholders
**Required Technical Skills**
* Python — Deep experience with pandas, scikit\-learn, and statistical analysis
* Deep Learning Frameworks — PyTorch or TensorFlow for advanced modeling
* SQL — Complex queries, window functions, analytical queries
* Time Series Analysis — Forecasting techniques, trend analysis, seasonality handling, signal processing
* Anomaly Detection — Statistical and ML\-based anomaly detection techniques
* Data Stack — Hex, dbt, ClickHouse
 Nice\-to\-Have Skills
* Infrastructure or IoT domain experience
* Sewer/Water industry experience or knowledge
* Sensor data analysis
* MLOps experience (model deployment, monitoring)
* Cloud platforms (AWS)
 What We're Looking For
* 4\-6 years of applied machine learning experience
* Strong statistical and ML fundamentals
* Experience with time series analysis or anomaly detection
* Knowledge of Bayesian statistics and/or Bayesian optimization
* Experience creating and applying custom metrics to complex datasets and problems
* Collaborative mindset — you enjoy working across teams
* Clear communicator — you can explain complex ML concepts to non\-technical stakeholders
 What You'll Gain
* Impact — Your models directly improve infrastructure maintenance for cities and utilities
* Modern Stack — Work with a modern data and ML stack (Hex, dbt, ClickHouse, PyTorch)
* Growth — Expand your skills across applied ML in a high\-impact domain
* Ownership — Shape the direction of our predictive analytics capabilities as we scale
**Compensation:** 
 $150,000\-$180,000
**Benefits Include**
* Medical, Dental, Vision, Basic Life, 401(k), and more
* Unlimited PTO
* Tools you need to get the job done
* Competitive salary and potential equity\-based remuneration
**Why Join SewerAI?**
 Join the fastest\-growing team in wastewater tech and help modernize critical infrastructure with AI. You’ll own high\-visibility projects, influence how our brand meets the market, and see your work drive measurable impact for customers and communities.
 \_\_\_\_\_\_\_\_\_\_\_\_\_\_\_\_\_\_\_\_\_\_\_\_\_\_\_\_\_\_\_\_\_\_\_\_\_\_\_\_\_\_\_\_\_\_\_\_\_\_\_\_\_\_\_\_\_\_\_\_\_\_\_\_\_\_\_\_\_\_\_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Compensation Range: $150K \- $180K</t>
        </is>
      </c>
    </row>
    <row r="43">
      <c r="A43" t="inlineStr">
        <is>
          <t>li-4366182838</t>
        </is>
      </c>
      <c r="B43" t="inlineStr">
        <is>
          <t>Data Scientist (Insurance)</t>
        </is>
      </c>
      <c r="C43" t="inlineStr">
        <is>
          <t>Inizio Partners</t>
        </is>
      </c>
      <c r="D43" t="inlineStr">
        <is>
          <t>linkedin</t>
        </is>
      </c>
      <c r="E43">
        <f>HYPERLINK("https://www.linkedin.com/jobs/view/4366182838", "https://www.linkedin.com/jobs/view/4366182838")</f>
        <v/>
      </c>
      <c r="F43" t="inlineStr"/>
      <c r="G43" t="inlineStr"/>
      <c r="H43" t="inlineStr"/>
      <c r="I43" t="inlineStr">
        <is>
          <t>* **Role: Data Scientist**
* **Location:** 
 Based out of US, Canada (Cincinnati, Ohio Preferred)
**Role Overview** 
* We are seeking a hands\-on Data Scientist to join our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 The role involves working closely with internal teams and clients on reporting, data engineering, transformation and advanced analytics projects. While strong technical skills are important, we are looking for someone who can engage directly with clients, translate business needs into analytical solutions and drive measurable impact.
* The role shall be responsible for leading critical model development and delivery activities, including model design, development, validation and stakeholder engagement, in accordance with the client expectations.
**Key Responsibilities** 
* Collaborate with internal and client stakeholders to design and deliver data\-driven solutions across reporting, analytics and transformation initiatives.
* Apply traditional statistical methods, machine learning, deep learning and NLP techniques to solve business problems.
* Support insurance\-focused analytics use cases (with preference for P\&amp;C lines of business).
* Work in a consulting setup: conduct requirement gathering, structure problem statements and communicate insights effectively to senior stakeholders.
* Ensure data quality, governance and compliance with Data Privacy and Protection Guidelines.
* Independently research, analyze and present findings, ensuring client\-ready deliverables.
* Contribute to continuous improvement initiatives and support business development activities where required.
**Key Skillsets \&amp; Experience** 
**Core Skills** 
* **5\+** 
 years of experience in P\&amp;C insurance analytics, pricing, or actuarial\-adjacent
 **Data Science** 
 roles with proficiency in advanced Machine Learning techniques
* **Machine Learning algorithms** 
 for tabular data (Gradient Boosting, Random Forests, XGBoost, LightGBM, NLP\-Unstructured)
* **GLM modeling** 
 expertise (Poisson, Gamma, Tweedie, Logistic)
* **Python** 
 for data analysis and modeling (pandas, numpy, scikit\-learn, statsmodels)
* **Databricks** 
 / Spark (PySpark) for large\-scale data transformation and feature engineering
* **SQL** 
 for data extraction, transformation, and analytical queries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t>
        </is>
      </c>
    </row>
    <row r="44">
      <c r="A44" t="inlineStr">
        <is>
          <t>li-4355951520</t>
        </is>
      </c>
      <c r="B44" t="inlineStr">
        <is>
          <t>Data Scientist</t>
        </is>
      </c>
      <c r="C44" t="inlineStr">
        <is>
          <t>Harris-Stowe State University</t>
        </is>
      </c>
      <c r="D44" t="inlineStr">
        <is>
          <t>linkedin</t>
        </is>
      </c>
      <c r="E44">
        <f>HYPERLINK("https://www.linkedin.com/jobs/view/4355951520", "https://www.linkedin.com/jobs/view/4355951520")</f>
        <v/>
      </c>
      <c r="F44" t="inlineStr"/>
      <c r="G44" t="inlineStr">
        <is>
          <t>St Louis, MO</t>
        </is>
      </c>
      <c r="H44" t="inlineStr"/>
      <c r="I44" t="inlineStr">
        <is>
          <t>**Job Description**
**Harris\-Stowe State University is a historically Black institution (HBCU) located in the heart of vibrant mid\-town St. Louis, Missouri. Harris\-Stowe’s beautiful campus is minutes from the renown Gateway Arch, St. Louis Zoo, St. Louis Art and History Museums, Forest Park and other cultural and educational institutions. Harris\-Stowe’s diverse faculty and staff provide a wide range of academic programs to one of the most culturally diverse student bodies in the St. Louis region.**
***Job Summary:***
 We are seeking a talented Data Scientist to analyze data from our research on the effects of light pollution on pregnancy. This is a limited\-time position funded by a grant. The successful candidate will utilize advanced statistical and computational techniques to interpret complex datasets and contribute to the understanding of environmental impacts on reproductive health.
***Essential Functions:***
**Strategic Leadership:**
* Train and organize undergraduate researchers.
* Collaborate with researchers to design experiments and analyze results.
* Present findings to the research team and at conferences.
* Stay abreast of industry trends, emerging technologies, and best practices in neurobiology and data science trends and technologies.
**Program Development and Management:**
* Analyze large datasets related to light pollution and pregnancy outcomes.
* Develop and implement data models and algorithms.
* Order supplies associated with the projects data analyses.
* Lead the planning, design, and launch of new grant related protocols and procedures in line with industry standards.
**Quality Assurance:**
* Conduct experiments related to light pollution effects on pregnancy, under the guidance of senior researchers.
* Record, store, and manage experimental data accurately.
* Ensure compliance with safety and regulatory guidelines.
* Maintain a clean and organized lab environment.
**Faculty Support and Development:**
* Assist in the preparation of laboratory reports and presentations.
* Plan and execute Lab safety and procedure trainings.
* Provide guidance and support to senior faculty and undergraduate researchers in the development and delivery of all aspects of the grant.
* Visualize data findings through charts, graphs, and reports.
* Ensure data integrity and security
* Other duties as indicated by the PI of the grant.
***Minimum Education and Experience***
***:***
* Master’s degree or higher in Data Science, Statistics, Computer Science,
* Neuroscience or a related field.
* Experience with statistical software (e.g., R, SAS, SPSS) and programming languages (e.g., Python, SQL).
* Strong analytical and problem\-solving skills.
* Experience with data visualization tools (e.g., Tableau, Power BI).
* Excellent communication and teamwork skills.
* Prior neuroscience laboratory experience preferred.
* Strong attention to detail and organizational skills.
* Ability to work independently and as part of a team.
* Excellent communication skills
***Preferred Qualifications:***
* Master’s degree or higher in Data Science, Statistics, Computer Science,
* Neuroscience or a related field.
***Knowledge, Skills and Abilities:***
**Knowledge**
* Neuroscience Fundamentals: Solid understanding of neurobiology, including knowledge of brain anatomy, neural networks, electrophysiology, neurodevelopment, and neurodegenerative diseases. Familiarity with concepts like synaptic plasticity, brain mapping, and neural signaling pathways.
* Biological Data Types: In\-depth knowledge of various data types relevant to neurobiology, such as genomic, transcriptomic, proteomic, and electrophysiological data. Understanding of imaging data (e.g., MRI, fMRI, DTI), neural spike trains, and behavioral datasets.
* Statistical Methods: Expertise in statistics, including linear models, Bayesian methods, hypothesis testing, and statistical significance, specifically applied to neuroscience data. Understanding of how to handle biological variability and noise in data.
* Bioinformatics: Familiarity with bioinformatics, particularly the analysis of high\-throughput sequencing data, gene expression analysis, and protein\-protein interaction networks relevant to neurobiology.
* Data Ethics and Security: Awareness of the ethical considerations in handling sensitive biological data, especially in human neuroscience research. Understanding data privacy regulations and ensuring the secure handling of medical and genetic data.
**Skills**
* Programming: Strong programming skills in languages commonly used in data science and neurobiology, such as Python, R, MATLAB, and Julia. Experience with relevant libraries such as TensorFlow, PyTorch, Pandas, SciPy, and NumPy.
* Data Wrangling and Preprocessing: Ability to clean, preprocess, and organize complex and large datasets. This includes handling missing data, normalizing biological data, and preparing imaging data for analysis.
* Statistical Analysis: Skill in applying advanced statistical techniques for analyzing biological datasets. Expertise in tools like SPSS, SAS, or R for conducting hypothesis testing, regression analysis, and survival analysis on neurobiological data.
* Data Visualization: Proficiency in visualizing complex data in meaningful ways to communicate findings. Experience with tools like Matplotlib, Plotly, Seaborn, ggplot2, and D3\.js to create graphs, heatmaps, and brain activity maps.
* Neuroimaging Analysis: Skill in analyzing neuroimaging data, such as MRI, fMRI, or EEG data, using tools like FSL, SPM, AFNI, FreeSurfer, or BrainVoyager. Experience with spatial and temporal data interpretation in neuroimaging studies.
* Machine Learning Implementation: Skill in implementing ML algorithms to detect patterns in neurobiological data. Experience in tasks such as brain signal classification, image segmentation, neural decoding, and building predictive models for neural activity.
* Algorithm Development: Ability to develop custom algorithms for specific neurobiological applications, such as detecting neural spikes, simulating neural networks, or classifying brain regions.
* High\-Performance Computing: Experience with cloud computing platforms (e.g., AWS, Google Cloud) and high\-performance computing (HPC) environments to manage large\-scale neurobiological datasets and perform computationally intensive analyses.
**Abilities**
* Critical Thinking and Problem\-Solving: Ability to apply logical reasoning and creative thinking to interpret complex neurobiological data. Capable of identifying patterns, correlations, and potential causative relationships in neural systems.
* Interdisciplinary Collaboration: Ability to collaborate effectively with neuroscientists, biologists, clinicians, and other researchers to translate neurobiological insights into meaningful data\-driven conclusions. Strong communication skills to explain data science concepts to non\-technical audiences.
* Data Interpretation: Strong ability to interpret the results of statistical analyses and machine learning models within the context of neurobiology. This includes understanding the biological relevance of data patterns and their implications for neuroscience research.
* Attention to Detail: Precision in handling and analyzing large and complex datasets, ensuring data quality, integrity, and reproducibility in all stages of analysis.
* Curiosity and Innovation: A natural curiosity to explore complex neurobiological questions using data\-driven approaches. Ability to stay up\-to\-date with the latest research in neurobiology, machine learning, and computational neuroscience to develop innovative approaches to solving biological problems.
* Data Integration: Ability to integrate diverse datasets (e.g., imaging, genetic, behavioral) into unified analyses to provide a holistic understanding of neurobiological processes.
* Visualization and Communication: Ability to effectively visualize and communicate complex findings to stakeholders, collaborators, and within academic publications. Skilled at tailoring communication to both scientific audiences and non\-experts.
* Adaptability: Ability to quickly learn and adapt new tools, software, and analytical methods in response to the evolving field of neurobiology and the growing complexity of available datasets.
**"Please No Phone Calls"**
 Due to the large number of applications submitted and the high volume of applicant inquiries we receive regarding the status of applications, we are unable to accept phone calls or walk\-in inquiries regarding applicant status. Only those candidates selected for interviews will be contacted.
**EOE Statement**
 Harris\-Stowe State University is an Equal Opportunity Employer. All qualified applicants will receive consideration for employment without regard to race, color, religion, age, sex, sexual orientation, gender identity or expression, national origin, genetic information, disability, or protected veteran status.
**The above statements are intended to describe the general nature and level of work being performed and assigned for this position. This is not an exhaustive list, nor is it limited to all duties and responsibilities associated with the position. HSSU management reserves the right to amend and change the responsibilities to meet business and organizational needs as necessary.**</t>
        </is>
      </c>
    </row>
    <row r="45">
      <c r="A45" t="inlineStr">
        <is>
          <t>li-4297629315</t>
        </is>
      </c>
      <c r="B45" t="inlineStr">
        <is>
          <t>Senior Data Scientist, Measurement</t>
        </is>
      </c>
      <c r="C45" t="inlineStr">
        <is>
          <t>Samba TV</t>
        </is>
      </c>
      <c r="D45" t="inlineStr">
        <is>
          <t>linkedin</t>
        </is>
      </c>
      <c r="E45">
        <f>HYPERLINK("https://www.linkedin.com/jobs/view/4297629315", "https://www.linkedin.com/jobs/view/4297629315")</f>
        <v/>
      </c>
      <c r="F45" t="inlineStr"/>
      <c r="G45" t="inlineStr">
        <is>
          <t>New York, NY</t>
        </is>
      </c>
      <c r="H45" t="inlineStr"/>
      <c r="I45" t="inlineStr">
        <is>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Reporting to the VP of Data Science, as the Senior Data Scientist on our Measurement Sciences team, you will design and operationalize robust measurement frameworks—leveraging causal inference, experiment design, and advanced machine learning—to deliver transparent, actionable insights on ad incrementality, audience targeting, and cross\-platform attribution. You will provide thought leadership and help guide the transformation of how advertisers measure, attribute, and optimize TV campaigns across linear and streaming platforms.
**WHAT YOU'LL DO** 
* Design and implement ad incrementality measurement methodologies (A/B tests, uplift modeling, synthetic controls, Bayesian causal models) for linear TV and Connected TV (CTV) campaigns
* Develop globally scalable audience segmentation and targeting models using our viewership data ecosystem via millions of connected TVs
* Build and validate multi\-touch attribution frameworks that reconcile impressions, views, and conversions across linear, CTV, OTT, and digital channels
* Lead the full analytics lifecycle—from data ingestion/ETL (SQL, Spark, Python) through feature engineering, model development, evaluation, and production deployment
* Partner closely with data engineering and DevOps teams to operationalize models in our cloud platform and ensure data quality, security, and scalability
* Translate complex analytical findings into clear, concise presentations and dashboards for internal stakeholders and external clients, driving strategic decision\-making.
* Support sales and marketing teams with the development of strong positioning stories to highlight the value of our audience media and measurement opportunities
* Mentor junior data scientists and analytics engineers, fostering best practices in experimentation, code quality, and reproducibility
**WHO YOU ARE** 
* Have a Master’s or advanced degree in Statistics, Econometrics, Data Science, Computer Science, or related quantitative field
* 7\-10 years of hands\-on experience in advertising/marketing analytics, media measurement, or a closely related discipline
* Expert in causal inference techniques (RCT design, difference\-in\-differences, propensity scoring, synthetic control) and uplift modeling. Background in Bayesian statistics or hierarchical modeling for uncertainty quantification
* Have a proven track record building attribution and incrementality solutions for TV and cross\-media campaigns
* Have advanced programming skills in Python and SQL; Familiarity with Spark or other distributed compute frameworks
* Have demonstrated leadership in mentoring small data science teams and managing end\-to\-end data science projects
* Able to visualize data in a way that makes it easy for others to understand
* Are detail\-oriented, highly organized, and proactive
* Have strong verbal and written communication skills, with the ability to explain complex analyses to both technical and non\-technical audiences
* Thrive in a dynamic, fast\-paced Agile and global environment, and being a team player
* Experience with data platforms (Databricks, Sagemaker, BigQuery, etc.), data orchestration tools (Airflow, dbt) and CI/CD best practices a plus
* Bonus: Strong knowledge or experience working with TV viewership data sources (set\-top box, return\-path, panel, census\-level) and measurement vendors (Samba TV, Nielsen, Comscore, etc.)
* Bonus: Track record of publishing research and white papers or presenting at industry conferences
**Samba TV is an equal opportunity employer. We celebrate diversity and are committed to creating an inclusive environment for all employees.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 
**For residents of the EU , Samba Inc. is the data controller.** 
 Samba TV expects to offer a base salary between $160,000 \- $220,000 per year for roles to be performed in New York or California; actual base salary offered will depend on various factors, including but not limited to, location, experience, and performance. Base salary is just one component of Samba TV’s total compensation package for employees. Other rewards may include bonuses, short\-term incentives, and long\-term incentives. In addition, Samba provides health insurance, wellness offerings, life and disability insurance, a retirement savings plan, paid holidays and paid time off (PTO), and other employee benefits.</t>
        </is>
      </c>
    </row>
    <row r="46">
      <c r="A46" t="inlineStr">
        <is>
          <t>li-4365882247</t>
        </is>
      </c>
      <c r="B46" t="inlineStr">
        <is>
          <t>Data Scientist, Retail Decision Automation</t>
        </is>
      </c>
      <c r="C46" t="inlineStr">
        <is>
          <t>Apple</t>
        </is>
      </c>
      <c r="D46" t="inlineStr">
        <is>
          <t>linkedin</t>
        </is>
      </c>
      <c r="E46">
        <f>HYPERLINK("https://www.linkedin.com/jobs/view/4365882247", "https://www.linkedin.com/jobs/view/4365882247")</f>
        <v/>
      </c>
      <c r="F46" t="inlineStr"/>
      <c r="G46" t="inlineStr">
        <is>
          <t>Sunnyvale, CA</t>
        </is>
      </c>
      <c r="H46" t="inlineStr"/>
      <c r="I46"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As a data scientist, you will provide data driven insights to AI powered and personalized experiences in the Retail Online journey. You will develop models, evaluate product launches, develop automated solutions to deliver timely alerts, find opportunities for future development by applying the bleeding edge scientific methods. You will partner with engineers, product, program and business leaders alongside other teams to bring better experiences to drive meaningful customer impact.
**Description**
 Research and develop evaluation methods to improve quality of Retail online journey. Solve difficult, non\-routine analysis problems by applying statistical, machine learning and advanced analytical methods as needed.
* Design and execute observational and experimental studies of causal inference
* Work with large, complex data sets.
* Develop automated solutions to deliver insights and alerts
* Drive feature evaluation and product roadmap with insights
**Responsibilities**
* Develop scalable data solutions to be used to drive analyses, reports, and insights
* Influence upstream data model design, drive KPI definitions and develop customized data solutions
* Measure impact of features and initiatives and help improve customer experience
* Collaborate and influence cross functional partners to help deliver product objectives on time
* Communicate results, insights and expectations to partners and senior leaders, bridge any gaps between technical and non\-technical audiences. Be adept at messaging domain and technical content at a level appropriate for the audience.
* Work independently in sophisticated and highly visible projects, identify risks and develop frameworks, regularly connect with collaborators and leadership teams.
**Minimum Qualifications**
* Masters in Statistics, Mathematics, Data Science, Machine Learning, Physics, Engineering, Computer Science or equivalent
* Proficiency in data querying using SQL, Spark, or equivalent technologies
* Proficiency in scripting languages for data processing and analysis (ex: Python, R, or Scala)
* Excellent communication and multi\-functional collaboration skills, ability to convey complex concepts to diverse audiences
* Min 3 years experience working as a Data Scientist or equivalent
**Preferred Qualifications**
* PhD in Statistics, Mathematics, Data Science, Machine Learning, Physics, Engineering, Computer Science or equivalent
* Experience applying LLMs to solve technical problems such as data analysis, data automation, synthetic data generation with proven ability to optimize model performance for accuracy and efficiency
* Excellent product intuition, keen eye for design and customer pain point awareness
* Experience developing anomaly detection and causal inference models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7">
      <c r="A47" t="inlineStr">
        <is>
          <t>li-4366235500</t>
        </is>
      </c>
      <c r="B47" t="inlineStr">
        <is>
          <t>Data Scientist III (6026)</t>
        </is>
      </c>
      <c r="C47" t="inlineStr">
        <is>
          <t>itD</t>
        </is>
      </c>
      <c r="D47" t="inlineStr">
        <is>
          <t>linkedin</t>
        </is>
      </c>
      <c r="E47">
        <f>HYPERLINK("https://www.linkedin.com/jobs/view/4366235500", "https://www.linkedin.com/jobs/view/4366235500")</f>
        <v/>
      </c>
      <c r="F47" t="inlineStr"/>
      <c r="G47" t="inlineStr">
        <is>
          <t>Menlo Park, CA</t>
        </is>
      </c>
      <c r="H47" t="inlineStr"/>
      <c r="I47" t="inlineStr">
        <is>
          <t>itD is seeking a Data Scientist lll to provide advanced analytical and modeling support for strategic initiatives across large\-scale product ecosystems. This role contributes directly to data\-driven decision\-making by delivering actionable insights, robust metrics, and experimentation frameworks that inform product and ecosystem strategy. The ideal candidate brings deep data science expertise, strong communication skills, and a proven ability to drive impact in fast\-paced environments.
**Location:** 
 Onsite \- Menlo Park, CA
**Pay Range:** 
 $58 \- 65 (hourly)
 We provide comprehensive medical benefits, a 401(k) plan, paid holidays, and more. Please note that we are only considering direct W2 candidates at this time, as we are unable to offer sponsorship.
**Responsibilities**
* Analyze large, complex datasets to identify trends, patterns, and actionable insights supporting product and ecosystem performance.
* Develop, implement, and maintain key metrics to measure health, growth, and engagement across products and platforms.
* Design and execute structured experiments to evaluate new features, initiatives, and strategies.
* Collaborate closely with cross\-functional partners to define analytical requirements and inform strategic decisions.
* Build dashboards and reports using data visualization tools to communicate insights to technical and non\-technical stakeholders.
* Deliver high\-quality ad hoc analyses in response to time\-sensitive business questions.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professional experience in data science, analytics, or a related role.
* Advanced proficiency in SQL and at least one programming language (Python or R).
* Strong analytical and modeling skills with experience in product or ecosystem analysis.
* Hands\-on experience with data visualization tools such as Tableau, Unidash, or Metrics360\.
* Proven ability to communicate complex findings clearly and effectively to diverse stakeholders.
* Ability to work independently and manage competing priorities in a fast\-paced environment.
* Experience working with large\-scale datasets.
**Preferred Qualifications And Skills**
* Prior experience supporting large\-scale technology or platform ecosystems.
* Previous experience working in a contractor or consulting capacity.
* Familiarity with large\-scale data infrastructure and distributed query systems.
* Knowledge of experimentation design and causal inference methodologies.
* Prior experience working in Meta environments is highly preferred.
**Education**
 Bachelor’s degree in Data Science, Statistics, Computer Science, Economics, or a related quantitative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48">
      <c r="A48" t="inlineStr">
        <is>
          <t>li-4366184763</t>
        </is>
      </c>
      <c r="B48" t="inlineStr">
        <is>
          <t>Data Scientist (Sales)</t>
        </is>
      </c>
      <c r="C48" t="inlineStr">
        <is>
          <t>SewerAI</t>
        </is>
      </c>
      <c r="D48" t="inlineStr">
        <is>
          <t>linkedin</t>
        </is>
      </c>
      <c r="E48">
        <f>HYPERLINK("https://www.linkedin.com/jobs/view/4366184763", "https://www.linkedin.com/jobs/view/4366184763")</f>
        <v/>
      </c>
      <c r="F48">
        <f>HYPERLINK("https://jobs.ashbyhq.com/sewer-ai/f42971f3-1096-467b-8154-18d57e0e9c63/application?utm_source=wprXZl8zLd&amp;urlHash=idKL", "https://jobs.ashbyhq.com/sewer-ai/f42971f3-1096-467b-8154-18d57e0e9c63/application?utm_source=wprXZl8zLd&amp;urlHash=idKL")</f>
        <v/>
      </c>
      <c r="G48" t="inlineStr"/>
      <c r="H48" t="inlineStr"/>
      <c r="I48" t="inlineStr">
        <is>
          <t>**About SewerAI Corporation**
 SewerAI is transforming underground infrastructure management through AI\-powered inspection and risk analysis. Our platform helps contractors, engineering firms, and utilities unlock valuable insights from sewer inspection data—turning hours of manual video review into actionable intelligence in minutes. After doubling our customer base over the past year, we’re now entering an exciting phase of accelerated growth.
**About The Role**
 We're looking for a
 **Senior Data Scientist** 
 to join our Sales organization and drive data\-driven decision making across the business. In this role, you'll combine sales analytics, customer insights, and business intelligence to help SewerAI scale effectively.
 You'll work closely with sales leadership, revenue operations, and cross\-functional teams to build forecasting models, analyze customer behavior, and optimize our go\-to\-market strategy—all powered by SewerAI's modern data infrastructure.
 What You'll Work On
* Sales Forecasting \&amp; Pipeline Analytics — Build and maintain predictive models for revenue forecasting, pipeline health, and deal velocity
* Customer Segmentation \&amp; Churn Prediction — Develop models to identify high\-value customer segments and predict at\-risk accounts
* Pricing Optimization \&amp; Market Analysis — Analyze pricing effectiveness, competitive positioning, and market opportunities
* Dashboards \&amp; Reporting — Create interactive dashboards and reports in Hex to democratize data access across the sales org
* Data Pipeline Development — Build and maintain data pipelines to ensure clean, reliable data for analysis
**Required Technical Skills**
* Python — pandas, scikit\-learn, statistical analysis, data manipulation
* SQL — Complex queries, window functions, CTEs, query optimization
* OLAP Database Experience — Familiarity with analytical databases
* dbt — Data transformations and modeling
* Data Visualization — Building clear, actionable visualizations for stakeholders
 Nice\-to\-Have Skills
* Hex (our primary analysis and reporting tool)
* ClickHouse experience
* ML/predictive modeling experience (time series, classification, regression)
* Cloud platforms (AWS)
* Domain knowledge in sales/SaaS metrics (ARR, churn, LTV, CAC)
* Experience with CRM data (Salesforce, HubSpot)
 What We're Looking For
* 4\-6 years of data science or analytics experience
* Strong communication skills — you can translate technical findings into business recommendations
* Business acumen and strategic thinking — you understand how data drives revenue
* Self\-starter mentality — comfortable operating independently and prioritizing your own work
* Collaborative approach — you enjoy working with stakeholders across the organization
 What You'll Gain
* Impact — Direct influence on company growth through data\-driven decisions
* Modern Stack — Work with best\-in\-class data tools (Hex, dbt, ClickHouse)
* Growth — Opportunities to expand your scope and leadership as we scale
* Ownership — Build the sales analytics function from the ground up
**Compensation:** 
 $150,000\-$180,000
**Benefits Include**
* Medical, Dental, Vision, Basic Life, 401(k), and more
* Unlimited PTO
* Tools you need to get the job done
* Competitive salary and potential equity\-based remuneration
**Why Join SewerAI?**
 Join the fastest\-growing team in wastewater tech and help modernize critical infrastructure with AI. You’ll own high\-visibility projects, influence how our brand meets the market, and see your work drive measurable impact for customers and communities.
 \_\_\_\_\_\_\_\_\_\_\_\_\_\_\_\_\_\_\_\_\_\_\_\_\_\_\_\_\_\_\_\_\_\_\_\_\_\_\_\_\_\_\_\_\_\_\_\_\_\_\_\_\_\_\_\_\_\_\_\_\_\_\_\_\_\_\_\_\_\_\_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Compensation Range: $150K \- $180K</t>
        </is>
      </c>
    </row>
    <row r="49">
      <c r="A49" t="inlineStr">
        <is>
          <t>li-4355718965</t>
        </is>
      </c>
      <c r="B49" t="inlineStr">
        <is>
          <t>Databricks Data Scientist</t>
        </is>
      </c>
      <c r="C49" t="inlineStr">
        <is>
          <t>Square Peg Technologies</t>
        </is>
      </c>
      <c r="D49" t="inlineStr">
        <is>
          <t>linkedin</t>
        </is>
      </c>
      <c r="E49">
        <f>HYPERLINK("https://www.linkedin.com/jobs/view/4355718965", "https://www.linkedin.com/jobs/view/4355718965")</f>
        <v/>
      </c>
      <c r="F49" t="inlineStr"/>
      <c r="G49" t="inlineStr">
        <is>
          <t>Washington, DC</t>
        </is>
      </c>
      <c r="H49" t="inlineStr"/>
      <c r="I49" t="inlineStr">
        <is>
          <t>**Job Description**
**Clearance Level:**
 Position Requires a Top Secret (TS/SCI) Clearance with a Polygraph.
**Location:**
 Northern Virginia
**The Mission:**
 Square Peg is seeking a Data Scientist who can turn structure and unstructured data sets into useful information to solve challenges. You'll work closely with the customer and stakeholders to optimize business processes through data engineering and machine learning techniques and help integrate the developed models into a form useful to the organization. Using Databricks, which was named to both the Magic Quadrant for Cloud Database Management Systems and the Magic Quadrant for Data Science and Machine Learning Platforms, you'll using best in class technology to help our customer solve some of their most challenging data problems.
 Don't know Databricks, no problem! Sign up for our extensive training program to be a part of shaping the future of AI/ML.
**Basic Qualifications:**
* 2\+ years of experience with one or more of following programming languages: Python, Java, or SQL
* Experience with designing and executing machine learning models and applications
* Experience with building statistical models and developing machine learning algorithms, including supervised, unsupervised, or reinforcement
* Advanced math and statistics background with programming, domain knowledge, and communication skills to analyze data, create applied mathematical models, and present results in a form useful to the organization
* Knowledge of Data Science Libraries (e.g. SparkML, Tensorflow, Sci\-Kit Learn)
* Knowledge of applying time\-series / regression analysis, clustering\-methods, effectiveness testing (A\-/B\-hypotheses testing) to solve diverse business problems
* Experience cleaning data for data science applications
**Preferred Qualifications:**
* Knowledge in big\-data technologies (Hadoop, Apache Spark, Databricks)
* Experience with business intelligence tools like Tableau
* Experience with data lakes/warehouses
* Experience with cloud services, including AWS, Azure, or Google Cloud
* Experience with enterprise DataOps, DevSecOps, and MLOps processes to operationalize and monitor data science models
* Possession of excellent verbal and written communication skills
* A self\-motivated and proactive individual with a can\-do attitude and the ability to work on projects and solve problems independently
**Square Peg Technologies Company Information**
 Square Peg Technologies is a boutique technology consulting firm that specializes in data solutions using the latest technologies in analytics, data science, data engineering and data management. Our mission is to develop and integrate cutting edge technology solutions that inspire our customers to push the fields of science and technology forward. Here at Square Peg, you will not get lost in a crowd. We value each person’s contribution, celebrate wins together and invest in the personal and professional development of our employees. Along with a strong positive culture that allows employees to thrive and grow, we also offer top notch benefits to include a large amount of vacation, annual bonuses, 401k matching, paid training, and 100% health care coverage.
 At Square Peg Tech, we aim to be at the forefront of technology and innovation. Our ideal candidate must be forward leaning and eager to engage with customers, academia and industry leaders on the future applications of AI/ML, as well as best practices in advanced analytics. With a firm footprint in the Intelligence Community, Square Peg Tech is looking to expand its capabilities into the Department of Defense, NASA and other prominent government agencies.</t>
        </is>
      </c>
    </row>
    <row r="50">
      <c r="A50" t="inlineStr">
        <is>
          <t>li-4321457599</t>
        </is>
      </c>
      <c r="B50" t="inlineStr">
        <is>
          <t>Data Scientist – Experience &amp; Engagement Analytics</t>
        </is>
      </c>
      <c r="C50" t="inlineStr">
        <is>
          <t>Blueprint</t>
        </is>
      </c>
      <c r="D50" t="inlineStr">
        <is>
          <t>linkedin</t>
        </is>
      </c>
      <c r="E50">
        <f>HYPERLINK("https://www.linkedin.com/jobs/view/4321457599", "https://www.linkedin.com/jobs/view/4321457599")</f>
        <v/>
      </c>
      <c r="F50" t="inlineStr"/>
      <c r="G50" t="inlineStr">
        <is>
          <t>Redmond, WA</t>
        </is>
      </c>
      <c r="H50" t="inlineStr"/>
      <c r="I50"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act as a strategic Data Scientist focused on player experience and support insights. You will partner closely with Player Care, data engineering, and cross\-functional stakeholders to analyze player support interactions, identify friction points, and translate findings into actionable recommendations. Your work will directly influence operational decisions, business metrics, and player experience improvements. You will also support analysis related to other out\-of\-game player touchpoints, ensuring insights connect back to in\-game outcomes. Success in this role requires comfort working with large, messy datasets, strong analytical judgment, and the ability to clearly communicate insights to both technical and non\-technical audiences.
**Responsibilities** 
* Partner with Player Care and data engineering teams to transform support and engagement data into actionable insights
* Analyze player support interactions to identify trends, pain points, and opportunities to improve player experience
* Develop and communicate data\-driven recommendations that inform business and operational decisions
* Evaluate the impact of programs and initiatives by tying out\-of\-game activities to in\-game performance metrics
* Collaborate with other data scientists to integrate player care findings into broader analytics and reporting efforts
* Support analytics requests from Marketing and Consumer Products teams, including ROI analysis of out\-of\-game initiatives
* Maintain and enhance dashboards in Power BI to enable stakeholder self\-service and business understanding
* Work with complex, high\-volume, and high\-dimensional datasets from multiple sources
* Independently drive ambiguous projects involving incomplete or imperfect data
* Clearly present insights through written summaries, visualizations, and stakeholder discussions
**Required Qualifications** 
* Minimum 5 years of experience in data analytics or data science roles
* Strong experience performing analytical work and translating insights into business recommendations
* Hands\-on experience with SQL for data analysis
* Experience with data modeling and statistical analysis
* Proficiency in Python for data analysis
* Experience building and maintaining dashboards using data visualization tools
* Strong problem\-solving skills and ability to work autonomously on open\-ended problems
* Excellent verbal, written, and visual communication skills
* Ability to collaborate effectively in a fast\-paced, cross\-functional environment
* Must be able to commit to a minimum of 18 months in the role
**Preferred Qualifications** 
* Experience with large\-scale data platforms such as SparkSQL, Databricks, or similar technologies
* Familiarity with PySpark or distributed data processing frameworks
* Advanced experience with Power BI or similar enterprise reporting tools
* Background in machine learning or predictive modeling
* Experience analyzing customer support, player experience, or consumer interaction data
* Interest in games or prior experience working within the gaming or entertainment industry
* Ability to work onsite or locally within the Seattle area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**$130,000 to $140,000 annually**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Hybrid in Redmond, WA</t>
        </is>
      </c>
    </row>
    <row r="51">
      <c r="A51" t="inlineStr">
        <is>
          <t>li-4366201268</t>
        </is>
      </c>
      <c r="B51" t="inlineStr">
        <is>
          <t>Data Scientist</t>
        </is>
      </c>
      <c r="C51" t="inlineStr">
        <is>
          <t>Hirenza</t>
        </is>
      </c>
      <c r="D51" t="inlineStr">
        <is>
          <t>linkedin</t>
        </is>
      </c>
      <c r="E51">
        <f>HYPERLINK("https://www.linkedin.com/jobs/view/4366201268", "https://www.linkedin.com/jobs/view/4366201268")</f>
        <v/>
      </c>
      <c r="F51">
        <f>HYPERLINK("https://www.bestjobtool.com/job-description/3063029815?source=LinkedIn&amp;urlHash=YUbX", "https://www.bestjobtool.com/job-description/3063029815?source=LinkedIn&amp;urlHash=YUbX")</f>
        <v/>
      </c>
      <c r="G51" t="inlineStr"/>
      <c r="H51" t="inlineStr"/>
      <c r="I51" t="inlineStr">
        <is>
          <t>**About The Company**
 Guidehouse is a leading management, technology, and risk consulting firm dedicated to helping organizations navigate complex challenges and achieve their strategic objectives. With a strong emphasis on innovation and client\-centric solutions, Guidehouse serves a diverse range of industries including government, financial services, healthcare, energy, and utilities. The company prides itself on fostering a collaborative and inclusive work environment, promoting continuous learning, and delivering impactful results that drive transformation and growth for its clients. As an organization committed to integrity and excellence, Guidehouse strives to create a positive impact on society through its consulting services and corporate responsibility initiatives.
**About The Role**
 The Data Scientist position at Guidehouse offers an exciting opportunity for professionals passionate about leveraging data to solve complex business problems. In this role, you will be a vital part of our AI and Data Capability Team, working on high\-impact projects that help clients maximize the value of their data assets. Your responsibilities will include collecting, managing, and analyzing large datasets, developing insightful visualizations, and deploying predictive models. You will collaborate with cross\-functional teams to understand business needs and translate them into data\-driven solutions. This role requires a combination of technical expertise, analytical thinking, and effective communication skills to bridge the gap between data science and business strategy. The position offers a chance to work on innovative projects within a supportive environment that values professional development and continuous improvement.
**Qualifications**
 To succeed in this role, candidates must meet certain educational and experiential criteria. A bachelor's degree in a relevant field such as Computer Science, Data Science, Statistics, or related disciplines is required. Candidates must have a minimum of three years of experience working with visualization tools like Power BI, Tableau, or similar platforms to create intuitive dashboards and reports. Proficiency in SQL, R, and other programming languages used for data querying and statistical analysis is essential. A strong foundation in statistics, probability, and experimental design is necessary to interpret data accurately. Familiarity with cloud platforms such as Amazon Web Services, Azure, or Google Cloud, along with knowledge of containerization tools like Docker, is highly desirable. Additionally, candidates should understand data governance principles to ensure data quality and reliability. US citizenship is required for this position, along with the ability to obtain a public trust clearance.
**Responsibilities**
* Identify, gather, and manage data from primary and secondary sources, ensuring its accuracy and integrity for analysis.
* Clean and preprocess raw data by addressing inconsistencies, missing values, and errors to prepare datasets for analysis.
* Apply statistical techniques and analytical methods to explore datasets, discover trends, and derive actionable insights.
* Develop reports, dashboards, and visualizations using tools like Tableau or Power BI to communicate findings effectively to stakeholders.
* Collaborate with cross\-functional teams to understand business requirements and translate them into data solutions.
* Use data to address specific business challenges, identify underperforming processes, and recommend strategic improvements.
**Benefits**
 Guidehouse offers a comprehensive benefits package designed to support the well\-being and professional growth of its employees. Benefits include medical, dental, vision, and prescription drug coverage, along with flexible spending accounts for health and dependent care. The company provides paid holidays, personal and family sick time, and parental leave, including adoption assistance. Employees can participate in the 401(k) retirement plan with company matching, and access life insurance options, short\-term and long\-term disability coverage. Additional perks include student loan repayment programs, tuition reimbursement, and opportunities for skills development and certifications. Guidehouse also promotes a healthy work\-life balance through community engagement events, employee referral programs, and emergency back\-up childcare. A mobility stipend is available for eligible employees, supporting flexible work arrangements and relocations.
 Equal Opportunity
 Guidehouse is an Equal Opportunity Employer committed to fostering an inclusive and diverse workplace. The company values all individuals regardless of race, color, religion, gender, sexual orientation, gender identity or expression, national origin, age, disability, veteran status, or any other protected characteristic. Guidehouse provides reasonable accommodations for qualified applicants and employees to ensure equal access to employment opportunities. The organization adheres to all applicable laws and regulations regarding non\-discrimination and equal employment opportunity. Applicants are encouraged to apply without concern for bias or discrimination, as the company is dedicated to creating a respectful and supportive environment for all team members.</t>
        </is>
      </c>
    </row>
    <row r="52">
      <c r="A52" t="inlineStr">
        <is>
          <t>li-4366255107</t>
        </is>
      </c>
      <c r="B52" t="inlineStr">
        <is>
          <t>Data Scientist</t>
        </is>
      </c>
      <c r="C52" t="inlineStr">
        <is>
          <t>Cyberstrike: People Powering Government</t>
        </is>
      </c>
      <c r="D52" t="inlineStr">
        <is>
          <t>linkedin</t>
        </is>
      </c>
      <c r="E52">
        <f>HYPERLINK("https://www.linkedin.com/jobs/view/4366255107", "https://www.linkedin.com/jobs/view/4366255107")</f>
        <v/>
      </c>
      <c r="F52" t="inlineStr"/>
      <c r="G52" t="inlineStr"/>
      <c r="H52" t="inlineStr"/>
      <c r="I52" t="inlineStr">
        <is>
          <t>**Join the Front Lines of National Security as a Data Scientist** 
**Location:** 
 Ft. Meade, MD (Remote)
**Clearance:** 
 TS/SCI Required
**Salary:** 
 \~$170,000
 Transform Data Into Intelligence That Matters
 Are you ready to apply your data science expertise where it truly counts? On behalf of our client, we are seeking exceptional Data Scientists to tackle some of the most complex challenges facing the nation's defense and intelligence sectors. This isn't just another data science role \- it's an opportunity to develop cutting\-edge solutions that directly impact national security.
**What You'll Do** 
 As a Data Scientist, you'll be at the forefront of innovation:
* **Build Advanced Solutions:** 
 Develop and implement machine learning, statistical, and graph\-based algorithms that analyze large, complex datasets
* **Drive Innovation:** 
 Prototype and rigorously evaluate multiple algorithms to deliver optimal performance
* **Create From Scratch:** 
 Design experiments and models to generate data when traditional training sets aren't available
* **Make Impact Visible:** 
 Transform complex analyses into clear visualizations and actionable insights for high\-level decision\-makers
* **Automate \&amp; Scale:** 
 Collaborate with subject matter experts to move analytics from manual processes into production frameworks
* **Stay Ahead:** 
 Continuously adopt emerging tools and techniques in ML, statistical modeling, and data analytics
**What You Bring** 
**Required:** 
* Active TS/SCI
* BA/BS in Math, Statistics, Engineering, Computer Science, or related field
* Strong proficiency in Python and R
* Proven experience solving problems with large datasets
* Expertise in machine learning, data wrangling, and advanced statistical modeling
* AWS or cloud platform experience
* Ability to explain complex concepts to non\-technical audiences
**Preferred:** 
* 4\+ years experience (Bachelor's) \| 2\+ years (Master's) \| 1\+ year (PhD)
* Familiarity with commercial and open\-source data science tools
* Experience with relational databases (Oracle, SQL) and ETL tools
**Why This Opportunity?** 
 Our client offers more than just competitive compensation \- they provide a true career foundation.
**What Sets This Role Apart:** 
* 🏥 Comprehensive health, dental, and vision benefits
* 💰 401(k) with employer contribution \+ Employee Stock Option Plan (ESOP)
* 👶 Paid parental leave
* 🏖️ Extremely flexible PTO
* ⚖️ Reasonable hours and low travel requirements
* 📈 Clear paths for professional growth and advancement
* 🤝 People\-focused culture that genuinely prioritizes work\-life balance
* 📊 Annual company stock shares based on value and profits
 Make Your Mark
 Join a team where your skills directly contribute to protecting national security. Work on meaningful problems, grow your expertise, and build a lasting career with an organization that values both your professional contributions and personal well\-being.
**Ready to apply your data science skills where they matter most?** 
* *This opportunity offers continuous learning, professional development support, and the stability and culture that make this more than just a job \- it's a career worth building.*</t>
        </is>
      </c>
    </row>
    <row r="53">
      <c r="A53" t="inlineStr">
        <is>
          <t>li-4321489514</t>
        </is>
      </c>
      <c r="B53" t="inlineStr">
        <is>
          <t>Research Data Scientist, Age Assurance</t>
        </is>
      </c>
      <c r="C53" t="inlineStr">
        <is>
          <t>Google</t>
        </is>
      </c>
      <c r="D53" t="inlineStr">
        <is>
          <t>linkedin</t>
        </is>
      </c>
      <c r="E53">
        <f>HYPERLINK("https://www.linkedin.com/jobs/view/4321489514", "https://www.linkedin.com/jobs/view/4321489514")</f>
        <v/>
      </c>
      <c r="F53" t="inlineStr"/>
      <c r="G53" t="inlineStr">
        <is>
          <t>Sunnyvale, CA</t>
        </is>
      </c>
      <c r="H53" t="inlineStr"/>
      <c r="I5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The Age Assurance team’s mission is to provide Google with reliable, privacy\-preserving age signals and to support seamless, age\-appropriate journeys across Google products. In this role, the team plays a critical part in identifying minors through predictive methods and designing user experiences that allow users to proactively verify their age to access sensitive content.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cross\-functional teams and develop understanding of the underlying product problems that the team is aiming to solve. Design and inform analysis and collaborate closely with cross\-functional counterparts and product leads while designing analysis.
* Translate business problems into tractable investigative problems and execute analysis to drive change.
* Develop and improve inference and prediction algorithms in high\-stakes.
* Perform data analysis and modeling to identify opportunities for product improvement and measure the impact of initiatives to continuously refine our products.
* Help design and analyze experiments and consult with engineering teams on the analysis of A/B tests.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li-4365865031</t>
        </is>
      </c>
      <c r="B54" t="inlineStr">
        <is>
          <t>Research Data Scientist, Age Assurance</t>
        </is>
      </c>
      <c r="C54" t="inlineStr">
        <is>
          <t>Google</t>
        </is>
      </c>
      <c r="D54" t="inlineStr">
        <is>
          <t>linkedin</t>
        </is>
      </c>
      <c r="E54">
        <f>HYPERLINK("https://www.linkedin.com/jobs/view/4365865031", "https://www.linkedin.com/jobs/view/4365865031")</f>
        <v/>
      </c>
      <c r="F54" t="inlineStr"/>
      <c r="G54" t="inlineStr">
        <is>
          <t>San Francisco, CA</t>
        </is>
      </c>
      <c r="H54" t="inlineStr"/>
      <c r="I5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The Age Assurance team’s mission is to provide Google with reliable, privacy\-preserving age signals and to support seamless, age\-appropriate journeys across Google products. In this role, the team plays a critical part in identifying minors through predictive methods and designing user experiences that allow users to proactively verify their age to access sensitive content.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cross\-functional teams and develop understanding of the underlying product problems that the team is aiming to solve. Design and inform analysis and collaborate closely with cross\-functional counterparts and product leads while designing analysis.
* Translate business problems into tractable investigative problems and execute analysis to drive change.
* Develop and improve inference and prediction algorithms in high\-stakes.
* Perform data analysis and modeling to identify opportunities for product improvement and measure the impact of initiatives to continuously refine our products.
* Help design and analyze experiments and consult with engineering teams on the analysis of A/B tests.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li-4366193568</t>
        </is>
      </c>
      <c r="B55" t="inlineStr">
        <is>
          <t>Data Scientist</t>
        </is>
      </c>
      <c r="C55" t="inlineStr">
        <is>
          <t>Best Job Tool</t>
        </is>
      </c>
      <c r="D55" t="inlineStr">
        <is>
          <t>linkedin</t>
        </is>
      </c>
      <c r="E55">
        <f>HYPERLINK("https://www.linkedin.com/jobs/view/4366193568", "https://www.linkedin.com/jobs/view/4366193568")</f>
        <v/>
      </c>
      <c r="F55">
        <f>HYPERLINK("https://www.bestjobtool.com/job-description/3062943847?src=LinkedIn&amp;urlHash=5CwF", "https://www.bestjobtool.com/job-description/3062943847?src=LinkedIn&amp;urlHash=5CwF")</f>
        <v/>
      </c>
      <c r="G55" t="inlineStr"/>
      <c r="H55" t="inlineStr"/>
      <c r="I55" t="inlineStr">
        <is>
          <t>**About The Company**
 Sysco is a global leader in the foodservice industry, dedicated to providing high\-quality food products, equipment, and services to a diverse customer base including restaurants, healthcare facilities, educational institutions, and hospitality providers. With a commitment to innovation, sustainability, and customer satisfaction, Sysco continuously strives to optimize its operations through advanced analytics and technological solutions. As a company that values diversity, inclusion, and professional growth, Sysco offers a dynamic environment where talented individuals can thrive and make a meaningful impact on the industry.
**About The Role**
 The Data Science Lead for Predictive and Prescriptive Engines at Sysco plays a pivotal role in developing and managing one of the five core engines that drive strategic decision\-making across the organization. This position requires a seasoned professional with deep expertise in mathematical modeling, data analysis, and heuristic solution methods. The incumbent will be responsible for leading the creation, validation, and continuous improvement of complex models that inform business strategies and operational efficiencies. Collaboration is key in this role, as it involves working closely with cross\-functional teams—including technology, operations, and business units—to align priorities, ensure seamless integration, and maximize the value derived from predictive insights. Additionally, the role involves mentoring team members, fostering a data\-driven culture, and representing Sysco in industry forums to showcase innovation and thought leadership in data science.
**Qualifications**
 Candidates should possess a strong educational background with at least a Bachelor's degree plus five years of relevant industry experience, or a Master’s degree with three years, or a PhD with two years in fields such as management consulting, strategy, analytics, or within a specialized analytics organization. Extensive experience in accessing and manipulating data within SQL or NoSQL database environments is essential, with a minimum of four years. Proficiency in scientific scripting languages such as Python or object\-oriented programming languages like C\+\+ or Java is required, with at least two years of hands\-on experience. The ideal candidate will have a solid foundation in Bayesian statistics, regression analysis, supervised and unsupervised learning, and time\-series analysis, with a minimum of three years in these areas. Overall, a comprehensive analytics background spanning 7 to 10 years is preferred, including post\-graduate work.
 Professional skills include excellent communication abilities—both written and verbal—as well as the capacity to create alignment among diverse stakeholders. The candidate should possess strong executive presentation skills, with the ability to tailor messaging for different audiences and motivate teams. Problem\-solving skills should be analytical and logical, with a proven track record of addressing complex challenges. A self\-starter attitude, coupled with the ability to thrive in fast\-paced environments while maintaining high\-quality outputs, is vital. Additionally, a strong business and technical acumen is necessary to bridge the gap between data science and strategic business initiatives.
**Responsibilities**
* Ensure the data mined, cleansed, and engineered for models is accurate and appropriate, facilitating reliable insights and predictions.
* Identify and integrate new and diverse data sets to enhance problem\-solving capabilities and model robustness.
* Own the development, validation, and maintenance of multiple models associated with one of Sysco’s core predictive or prescriptive engines.
* Leverage advanced analytic tools, technologies, and platforms to address business challenges, creating a strategic roadmap for the engine’s evolution.
* Design, implement, and tune models and algorithms to optimize business outcomes, ensuring scalability and efficiency.
* Create and monitor performance scorecards and dashboards to track model adoption, effectiveness, and impact across the enterprise.
* Collaborate cross\-functionally with analytics teams, IT, and business units to refine models and ensure they deliver measurable value.
* Work closely with Business Technology teams to facilitate API development, front\-end integration, and downstream system deployment.
* Partner with business process owners to validate model outputs and develop training materials to ensure proper usage and understanding.
* Coordinate with data scientists and associate data scientists to select appropriate data sets, calculations, and methods for solving specific problems.
* Act as a magnet for data science talent by fostering a culture of innovation, mentorship, and continuous learning.
* Publish research papers and present at industry conferences annually to position Sysco as a leader in data science and analytics innovation.
**Benefits**
 Sysco offers a comprehensive benefits package that supports the health, well\-being, and professional development of its employees. This includes competitive health insurance plans, retirement savings options, paid time off, and wellness programs. Employees also have access to ongoing training and development opportunities, fostering continuous growth in their careers. The company encourages a healthy work\-life balance and provides a collaborative work environment that promotes innovation and teamwork. Additional perks may include performance bonuses, employee discounts, and recognition programs aimed at celebrating achievements and contributions.
 Equal Opportunity
 Sysco is committed to creating a diverse and inclusive workplace. We are an equal opportunity employer and do not discriminate based on race, color, religion, gender, sexual orientation, gender identity or expression, national origin, age, disability, or any other protected status under applicable laws. We believe that a diverse workforce enhances our ability to serve our customers and fosters a culture of innovation and respect. All qualified applicants are encouraged to apply and will be considered without regard to any protected characteristic.</t>
        </is>
      </c>
    </row>
    <row r="56">
      <c r="A56" t="inlineStr">
        <is>
          <t>li-4354752674</t>
        </is>
      </c>
      <c r="B56" t="inlineStr">
        <is>
          <t>Senior Data Scientist, Ecosystems</t>
        </is>
      </c>
      <c r="C56" t="inlineStr">
        <is>
          <t>Patreon</t>
        </is>
      </c>
      <c r="D56" t="inlineStr">
        <is>
          <t>linkedin</t>
        </is>
      </c>
      <c r="E56">
        <f>HYPERLINK("https://www.linkedin.com/jobs/view/4354752674", "https://www.linkedin.com/jobs/view/4354752674")</f>
        <v/>
      </c>
      <c r="F56" t="inlineStr"/>
      <c r="G56" t="inlineStr">
        <is>
          <t>San Francisco, CA</t>
        </is>
      </c>
      <c r="H56" t="inlineStr"/>
      <c r="I56"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**Senior Data Scientist** 
 to support our mission.
*This role is based in
 **New York or San Francisco** 
 and open to those who are able to be in\-office 2 days per week on a hybrid work model.*
**About The Role**
* You’ll work in lock step with your cross\-functional team to build product features that help creators improve their membership monetization.
* You’ll conduct quantitative research to inform product strategy and opportunities, design metrics to help track goals and make decisions, devise learning methods (including experiments) to test hypotheses, and work closely with our machine learning and data engineering teams on building MVP user\-facing data products.
* You'll translate data into actionable insights and communicate your technical work to the data team, your cross\-functional partners, executive leadership, and the rest of the company.
* You’ll be a cultural and technical leader on the data science team.
**About You**
* Bachelor's degree in Statistics, Economics, Engineering, Mathematics, a related quantitative field, or equivalent practical experience.
* You have a wealth of experience helping product teams make great decisions with data.
* You are an experimentation expert and possess a very strong statistical inference skillset.
* You have solid analytical thinking. You ask the right questions and strive to see beyond the numbers to understand what an analysis represents in terms of real\-world applications.
* You have experience making tradeoffs between speed and accuracy.
* You are a SQL expert and have experience in Python or R to perform statistical analyses.
* You have a track record of building strong relationships with product, engineering, research, and design teammates.
* You have a growth mindset and aspire to continuously improve your soft and technical skills.
* You are an expert communicator with a love for clarity and simplicity.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57">
      <c r="A57" t="inlineStr">
        <is>
          <t>li-4321401047</t>
        </is>
      </c>
      <c r="B57" t="inlineStr">
        <is>
          <t>Senior Data Scientist  PHD Direct Hire Fortune 100 Co Salary up to $150K+10% Bonus</t>
        </is>
      </c>
      <c r="C57" t="inlineStr">
        <is>
          <t>Confidential Careers</t>
        </is>
      </c>
      <c r="D57" t="inlineStr">
        <is>
          <t>linkedin</t>
        </is>
      </c>
      <c r="E57">
        <f>HYPERLINK("https://www.linkedin.com/jobs/view/4321401047", "https://www.linkedin.com/jobs/view/4321401047")</f>
        <v/>
      </c>
      <c r="F57" t="inlineStr"/>
      <c r="G57" t="inlineStr">
        <is>
          <t>Houston, TX</t>
        </is>
      </c>
      <c r="H57" t="inlineStr"/>
      <c r="I57" t="inlineStr">
        <is>
          <t>We are seeking a PhD\-level Senior Data Scientist to join a Fortune 100 company on a high\-impact, strategic initiative. This role is part of a special project focused on solving complex, data\-driven challenges and contributing to meaningful business outcomes within a large, established organization.
 This is a
 **direct\-hire** 
 position offering a competitive compensation package, including full benefits and paid time off. The role follows a hybrid work model, with an expectation of working onsite
 **three days per week** 
 , allowing for close collaboration with cross\-functional teams while maintaining flexibility.
 Qualified candidates must hold a PhD in a relevant field and be
 **authorized to work in the United States** 
 . We are looking for individuals who bring strong analytical expertise, intellectual curiosity, and the ability to apply advanced research methods in a real\-world, industry setting.</t>
        </is>
      </c>
    </row>
    <row r="58">
      <c r="A58" t="inlineStr">
        <is>
          <t>li-4347600032</t>
        </is>
      </c>
      <c r="B58" t="inlineStr">
        <is>
          <t>Senior Data Scientist</t>
        </is>
      </c>
      <c r="C58" t="inlineStr">
        <is>
          <t>Glocomms</t>
        </is>
      </c>
      <c r="D58" t="inlineStr">
        <is>
          <t>linkedin</t>
        </is>
      </c>
      <c r="E58">
        <f>HYPERLINK("https://www.linkedin.com/jobs/view/4347600032", "https://www.linkedin.com/jobs/view/4347600032")</f>
        <v/>
      </c>
      <c r="F58" t="inlineStr"/>
      <c r="G58" t="inlineStr">
        <is>
          <t>San Francisco County, CA</t>
        </is>
      </c>
      <c r="H58" t="inlineStr"/>
      <c r="I58" t="inlineStr">
        <is>
          <t>Our client is building a platform to make healthcare more accessible, transparent, and personalized. Their mission is to help patients find the right providers, access the right medications, and take control of their health with trust and clarity.
 The company has grown rapidly by combining operational excellence, clinical expertise, and innovative technology to deliver care that is more human and effective. They focus on areas such as pricing transparency, personalized medication management, and long\-term medical record access, creating a new model of care that empowers patients and providers alike.
 They are seeking a
 **Senior Data Scientist** 
 to lead experimentation across product, pharmacy, and design teams. This role involves designing and running A/B tests, building frameworks for causal inference, and ensuring statistical rigor in decision\-making. You'll collaborate closely with clinicians, engineers, and designers to drive evidence\-based improvements in patient experience.
**Key Responsibilities:** 
* Own design and execution of experiments (A/B tests, quasi\-experiments)
* Build tools to standardize experimentation and reporting
* Provide nuanced insights beyond simple metrics
* Mentor teammates and set best practices
**Ideal Background:** 
* 4\+ years of applied experimentation experience
* Strong Python and SQL skills
* Expertise in causal inference methods
* Ability to communicate complex results clearly
**Compensation:** 
 $150K\-$220K base salary \+ equity and benefits
**Location:** 
 Onsite, San Francisco
 The company offers top\-of\-market pay, generous equity, comprehensive benefits, and a collaborative culture focused on impact and innovation.</t>
        </is>
      </c>
    </row>
    <row r="59">
      <c r="A59" t="inlineStr">
        <is>
          <t>li-4326271156</t>
        </is>
      </c>
      <c r="B59" t="inlineStr">
        <is>
          <t>Ice Cream Customer Analytics Data Scientist</t>
        </is>
      </c>
      <c r="C59" t="inlineStr">
        <is>
          <t>The Magnum Ice Cream Company</t>
        </is>
      </c>
      <c r="D59" t="inlineStr">
        <is>
          <t>linkedin</t>
        </is>
      </c>
      <c r="E59">
        <f>HYPERLINK("https://www.linkedin.com/jobs/view/4326271156", "https://www.linkedin.com/jobs/view/4326271156")</f>
        <v/>
      </c>
      <c r="F59">
        <f>HYPERLINK("https://unilever.wd3.myworkdayjobs.com/TMICC/job/Englewood-Cliffs-NJ/Ice-Cream-Customer-Analytics-Data-Scientist_R-1169672-2?source=LinkedIn&amp;urlHash=Mhf1", "https://unilever.wd3.myworkdayjobs.com/TMICC/job/Englewood-Cliffs-NJ/Ice-Cream-Customer-Analytics-Data-Scientist_R-1169672-2?source=LinkedIn&amp;urlHash=Mhf1")</f>
        <v/>
      </c>
      <c r="G59" t="inlineStr">
        <is>
          <t>Englewood Cliffs, NJ</t>
        </is>
      </c>
      <c r="H59" t="inlineStr"/>
      <c r="I59" t="inlineStr">
        <is>
          <t>**Scope:** 
 US, Customer Development
**Location:** 
 Englewood Cliffs, NJ \- Hybrid (Minimum 2 Days in Office)
**Terms \&amp; Conditions:** 
 Full time, International sponsorship or relocation not supported
 If you are in the Ice Cream business or consider choosing to work for the The Magnum Ice Cream Company Ice Cream business, you will work for the Global, leading Ice Cream player with €7\.9bn Turn Over in 2023\. The Ice Cream business is operating in a highly attractive category, as we are part of the 1 trillion snacking and refreshment industry, growing consistently at high pace. We have strong brands equities: 5 of top 10 selling brands including Magnum and Ben \&amp; Jerry’s. We are investing to unlock the full growth potential of Ice Cream as a standalone entity, once we separate from Unilever, which happened in December of 2025\.
 Ice Cream has distinct characteristics from TMICC’s other operating businesses and the growth potential of Ice Cream will be better delivered under a different ownership structure. As an Ice Cream company we are committed to developing and nurturing talent within. You will have ample options for career growth and exploration, allowing you for you to explore roles and opportunities across the new organization. Your career development will be a priority for us, and we are dedicated to supporting your growth journey within the new company. We hope that you will want to build the new chapter of our Ice Cream history together with us.
**ABOUT ICE CREAM: Life Tastes Better with Ice Cream**
 TMICC Ice Cream is the largest global Ice Cream Company in the world, with over 100 years of experience delivering a diverse range of indulgent, yet responsible, craft food experiences and treats delighting consumers. Committed to innovation, quality, and sustainability we have 35 brands, including 3 one billion Euro brands (Magnum, Wall’s, Ben \&amp; Jerry’s), a strong presence in over 60 countries, generating annual revenue of over $8 billion. All brands are driven to transform moments into memories through indulgent yet responsibly made and marketed products. We have a well\-developed strategy to deliver growth and value creation which is clear on where to play and how to win.
 We turn the ordinary into the extraordinary by designing unique and innovative Ice Cream experiences that make life taste better, creating joyful experiences. In our Ice Cream business, we’re crafting the future through innovation and imaginative minds, creating unique products. We spark moments of happiness for people and within the communities where we operate. However, it is not as simple as it may seem. As Ice Cream makers we are serious about happiness. With warm hearts, we create the coolest products.
**Job Purpose**
 The Customer Analytics Data Scientist will report to the Associate Director of CD Analytics and Insights and will be responsible for developing advanced analytical models and insights that empower the US Customer Development function to achieve its sales ambitions. In this role, you will have the opportunity to design and implement predictive and prescriptive analytics solutions that drive decision\-making across sales, category management, shopper marketing, and channel strategy.
 This is a hands\-on technical role with strong business integration. The ideal candidate not only has deep expertise in statistical modeling and machine learning but also thrives on partnering with commercial and customer development teams to translate complex data into actionable business stories. You will collaborate closely with data engineering to ensure models are seamlessly operationalized within our data ecosystem and brought to life through visualization and stakeholder engagement.
**Key Responsibilities**
* Work closely with business stakeholders to translate needs into well designed and executed technology products that are embedded into daily decision\-making, with a focus on promotion optimization, syndicated and retailer data, demand forecasting, shopper marketing, digital commerce, and sales reporting
* Develop predictive and forecasting models (e.g., forecasting demand, pricing, promotions optimization, customer/shopper behavior) that drive commercial decision\-making and business performance.
* Collaborate with data engineering to define consistent business logic and unified data definitions, consistent with how the business operates, that enable self\-service analytics and integration across data products.
* Build advanced analytics capabilities including demand forecasting, promotion performance, assortment optimization, and shopper behavior modeling.
* Liase with local and global business and technology teams to define, manage, and enhance Magnum’s Customer Development analytics capabilities
* Conduct advanced analytics analyses using data science, machine learning, and AI to uncover insights that generate tangible business value
* Communicate and deliver engaging data visualizations and data narratives that bring data to life for both technical \&amp; non\-technical audiences, simplifying complex concepts and enabling decision\-making across commercial teams
* Guide and lead squads or project teams, driving adoption of data science principles and best\-in\-class analytics approaches to deliver impactful solutions.
**What You Need To Succeed**
* Technical aptitude and the ability to lead teams toward business\-value focused technology solutions
* 6\+ years of experience with cloud data platforms (Azure, AWS, GCP) and Databricks, with strong proficiency in SQL, PySpark, Python, and DAX for building high\-performance data transformations and pipelines.
* Hands\-on experience with Databricks, Azure Data Factory, Delta Lake, Power BI, Alteryx and related cloud data technologies.
* Proficient in machine learning frameworks and libraries including scikit\-learn, TensorFlow, PyTorch, XGBoost
* Experience with data visualization tools like PowerBI, Tableau.
* Strong ability to communicate technical findings to non\-technical audiences, turning data into actionable business narratives.
* Intellectual curiosity and strong analytic ability
* Preparedness to develop a deep understanding of business operations and needs for the Customer Development function
* Excellent planning, organization, and project estimation skills
* Strong understanding of the use and management of retailer and syndicated data
* Ability to work collaboratively with cross functional teams both locally and globally
* Ability to communicate and present complex topics clearly and compellingly to business stakeholders
**Skills**
* Strong understanding of data science principles and data visualization approaches
* Solid understanding of data modelling to support analytics and reporting use cases.
* Proficiency in coding languages such as Python, PySpark, DAX and SQL
* Ability to collect business requirements and translate into technical solutions
* Experience using tools like Databricks, Azure Data Factory, Power BI, and Alteryx
* Experience leveraging data sources such as Circana, Nielsen, panel data, and retailer data
* Ability to design intuitive and compelling front end business applications
* Data Engineering, Computer Science or study in related field.
**Required**
**EXPERIENCES \&amp; QUALIFICATIONS:**
* Experience applying data science, machine learning, and AI to business problems in Consumer Goods organizations
* Experience designing and implementing end\-to\-end data analyses and capabilities for a business focused audience
* Experience creating data visualization dashboards in tools such as PowerBI or Tableau
* Experience collecting business requirements and translating them into technology projects
* Experience working in a consumer goods organization
* Experience with the use and management of retailer and syndicated data (such as Circana, Nielsen)
**Preferred**
* Experience in a consumer goods Customer Development function
* Experience with retailer data platforms such as Scintilla, SymphonyAI, 1010data and 84\.51 Stratum
* Familiarity with Digital Commerce and Shopper Marketing data solutions
* Experience managing analytics teams
**Pay:** 
 The pay range for this position is $99,760 to $149,640\. TMICC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TMICC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\#TMICC
 \#TMICC
**About The Magnum Ice Cream Company**
 With 19\.000 expert ice cream colleagues and iconic brands like Wall’s, Cornetto and Ben \&amp; Jerry’s, loved in 76 countries, we are the world’s largest Ice Cream company leading the industry We have been taking pleasure seriously for more than 100 years, serving happiness with every lick or scoop of ice cream for generations.
**About**
 The Magnum Ice Cream Company (formerly part of Unilever)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 Here’s what defines success in our organization :
* We are all about growth
* We operate with speed and simplicity
* We win together with fun
* We boldly innovate to disrupt our industry
* We care and challenge
* We are experts in the Ice Cream Category
**ARE YOU EXCITED TO CRAFT THE ICE CREAM FUTURE?**
 Please apply online and do not forget to upload your CV. Your application will be reviewed against the requirements, and we will be in touch shortly after the closing date, with an update on the status of your application.
 The Magnum Ice Cream Company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protected veteran status, or any other characteristic protected by local, state, or federal law and will not be discriminated against on the basis of disability.
 For more information about your Federal rights, please see Know Your Rights: Workplace Discrimination is Illegal and Pay Transparency Non discrimination Provision.
 Employment is subject to verification of pre\-screening tests, which may include drug screening, background check, credit check and DMV check.
 If you are an individual with a disability in need of assistance at any time during our recruitment process, please contact your recruiter. Please note: This email is reserved for individuals with disabilities in need of assistance and is not a means of inquiry about positions or application statuses. The Protected Veterans or Individuals with Disabilities AAP narratives are available for inspection by any employee or applicant for employment Monday through Friday during normal business hours at establishment.</t>
        </is>
      </c>
    </row>
    <row r="60">
      <c r="A60" t="inlineStr">
        <is>
          <t>li-4321487616</t>
        </is>
      </c>
      <c r="B60" t="inlineStr">
        <is>
          <t>Sr. Data Scientist - Pricing Algorithms</t>
        </is>
      </c>
      <c r="C60" t="inlineStr">
        <is>
          <t>CarMax</t>
        </is>
      </c>
      <c r="D60" t="inlineStr">
        <is>
          <t>linkedin</t>
        </is>
      </c>
      <c r="E60">
        <f>HYPERLINK("https://www.linkedin.com/jobs/view/4321487616", "https://www.linkedin.com/jobs/view/4321487616")</f>
        <v/>
      </c>
      <c r="F60" t="inlineStr"/>
      <c r="G60" t="inlineStr">
        <is>
          <t>Richmond, VA</t>
        </is>
      </c>
      <c r="H60" t="inlineStr"/>
      <c r="I60" t="inlineStr">
        <is>
          <t>8901 \- Corp Office West Crk \- 12800 Tuckahoe Creek Parkway, Richmond, Virginia, 23238
 CarMax, the way your career should be!
**Sr. Data Scientist, Pricing Algorithms**
**About The Team**
 The Pricing team is a community of analysts, data scientists, and systems experts with a variety of technical and strategic skillsets. We work together to continually improve CarMax’s ability to accurately and systematically value each individual car that we buy and sell. Last year, CarMax sold over 1 million vehicles and appraised over 2 million vehicles, and Pricing directed over $20B in spend to purchase inventory – all while remaining responsive to constantly changing consumer demand, wholesale auction supply, and other global/local market conditions.
 Our team tackles complex problems while striving to be a great representation of CarMax’s 4 core values:
* Do the Right Thing: We prioritize maintaining the culture of integrity which has set CarMax apart in the used car industry, and promote a respectful and inclusive environment at work
* Put People First: We’re focused on nurturing associate development and on maintaining a healthy work culture, while also making sure our customers are offered a great experience
* Win Together: Teamwork is essential to what we do; we regularly learn from each other and draw on each other’s expertise and perspectives
* Go for Greatness: We continually improve our abilities and the products that we support, to build up CarMax’s position as an industry leader
**About The Role**
 CarMax relies on algorithms to make important decisions about which cars to buy, how to price them, and how to allocate them across our 200\+ stores. Doing so ensures that we have the right cars at the right prices to meet our customers’ needs. As we continue to innovate our business and shift more of our buying and selling online, we increasingly need to make these decisions quickly with less human intervention. Our team of data scientists and business analysts plays a critical role in unlocking the business value from these innovations.
 As an algorithms expert, you will build and support predictive models. Through collaboration and partnership with analysts and systems experts, you will play a key role in ensuring the models are deployed effectively to support our business goals.
**What You Will Do – Essential Responsibilities**
* Develop new models and improve our existing models
* Interpret, validate, and apply feature engineering to large and complex pricing\-related data sets
* Find creative ways to incorporate new insights and data sources
* Leverage statistical / machine learning techniques and sound reasoning to develop, validate, and improve predictive models
* Design controlled experiments to assess the business value of new models
* Present insights and recommendations to senior leaders to drive change
* Help CarMax continue to develop its data expertise
* Research innovations and best practices related to data sources, modeling methodologies, and data science tools
* Influence the team in the development of our modeling capability strategic roadmap
* Effectively communicate how our models work to team members, both at a general level and a detailed level
**Qualifications And Requirements**
 If you’re energized by putting your math, logic, and analytical reasoning skills to the test to solve complex problems then we encourage you to apply to join our team. We frequently offer a variety of roles and recommend checking out all available Pricing positions to find the best fit for your abilities and interests.
 For a candidate for this role, we’re looking for the following characteristics:
 Target mindset: Curious, skeptical, creative, committed to learning and staying informed on the latest techniques in data science, with a strong attention to detail and commitment to sound reasoning
**Required Experience**
* Either a bachelor’s degree in a quantitative discipline OR equivalent experience and training through past employment
* At least 2 years relevant work experience (Advanced study in a quantitative field may substitute for work experience), including experience applying strong foundational math and/or modeling skills to solve complex problems
**Ideal Candidates Would Have Experience With These Behaviors**
* Extracting and sharing clear insights from modelling
* Project management, ideally including end\-to\-end experience with the machine learning deployment pipeline
* Relationship building and collaboration
**Preferred Skills, Certifications, Or Knowledge Areas**
* Expertise in selecting and applying various modeling techniques (supervised \&amp; unsupervised, classification \&amp; regression, etc.),
* Python/SQL programming
* Data cleaning and pre\-processing
* Statistical and probabilistic analysis
 Work Location and Arrangement: This role will be based out of the Richmond, VA Home Office has a Hybrid work arrangement.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61">
      <c r="A61" t="inlineStr">
        <is>
          <t>li-4328361626</t>
        </is>
      </c>
      <c r="B61" t="inlineStr">
        <is>
          <t>Staff Data Scientist, Safety Metrics</t>
        </is>
      </c>
      <c r="C61" t="inlineStr">
        <is>
          <t>Waymo</t>
        </is>
      </c>
      <c r="D61" t="inlineStr">
        <is>
          <t>linkedin</t>
        </is>
      </c>
      <c r="E61">
        <f>HYPERLINK("https://www.linkedin.com/jobs/view/4328361626", "https://www.linkedin.com/jobs/view/4328361626")</f>
        <v/>
      </c>
      <c r="F61" t="inlineStr"/>
      <c r="G61" t="inlineStr">
        <is>
          <t>New York, NY</t>
        </is>
      </c>
      <c r="H61" t="inlineStr"/>
      <c r="I6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Planner Evaluation team works on one of the key challenges in autonomous driving: measuring and improving the quality of the software that drives the car. We are looking for experienced data\-minded software engineers and data scientists to help us improve how we characterize and evaluate changes to the Onboard software stack (Planner, Perception, etc).
 The primary responsibility of this role is to simplify, validate, own, and organize the most ubiquitous safety metrics at Waymo. This role will engage deeply with a wide span of stakeholders to understand core use cases of these safety metrics, and through deep understanding of the data, form expert opinion and recommendations on the most appropriate solutions and their interpretations. They will validate and evolve metric quality to satisfy the ever\-expanding use cases (new platforms, new territories) of Waymo's product. If you are passionate about autonomous vehicles and how to use rich, complex data to drive decision\-making, this is the role for you!
 In this hybrid role, you will report to a Data Science Manager.
**You Will**
* Design, implement, validate and launch driving behavior metrics
* Use simulations and real world examples to build datasets for model training and metric validation
* Design A/B experiments to evaluate two versions of software
* Collect, align, and advise stakeholder needs, providing expert opinion on how best to run rigorous, statistical evaluation.
**You Have**
* PhD in Statistics, Math, Physics, or another quantitative area (e.g., Computer Science, Robotics)
* 7\+ years of industry experience
* Strong communication/leadership to address a high surface area across different organizations and products
* Excellent data skills that produce efficient, data\-reasoned choices for simplifying metrics and validating their quality
* Proficiency in coding (across C\+\+, Python, SQL) that prevents them from being bottlenecked by Waymo's metric infrastructures
* Ability to take ambiguous business requirements and propose a technical solution
**We Prefer**
* Experience with A/B experiment infrastructure
* Experience building and validating metrics to measure quality in complex systems
* Exposure to ad\-hoc data analysis tools for rapid modeling and prototyping
* Experience coding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62">
      <c r="A62" t="inlineStr">
        <is>
          <t>li-4365863318</t>
        </is>
      </c>
      <c r="B62" t="inlineStr">
        <is>
          <t>Data Scientist</t>
        </is>
      </c>
      <c r="C62" t="inlineStr">
        <is>
          <t>South Plainfield Radiology</t>
        </is>
      </c>
      <c r="D62" t="inlineStr">
        <is>
          <t>linkedin</t>
        </is>
      </c>
      <c r="E62">
        <f>HYPERLINK("https://www.linkedin.com/jobs/view/4365863318", "https://www.linkedin.com/jobs/view/4365863318")</f>
        <v/>
      </c>
      <c r="F62" t="inlineStr"/>
      <c r="G62" t="inlineStr"/>
      <c r="H62" t="inlineStr"/>
      <c r="I62" t="inlineStr">
        <is>
          <t>**Company Description** 
 South Plainfield Radiology is located in South Plainfield, New Jersey, at 116 Corporate Blvd Ste D. The company is a key provider of medical imaging services, dedicated to delivering high\-quality diagnostic solutions. Striving for excellence and innovation in patient care, South Plainfield Radiology supports its commitment to improving healthcare standards. The organization focuses on leveraging advanced technologies for reliable and efficient radiological services.
**Role Description** 
 The Data Scientist applies statistical analysis, machine learning, and data modeling techniques to solve complex business problems. This role partners with product, engineering, and business teams to build predictive models, uncover insights, and drive data\-driven decision\-making.
**Responsibilities** 
* Develop, validate, and deploy
 **statistical and machine learning models**
* Analyze large, structured and unstructured datasets to generate insights
* Design and evaluate experiments (A/B testing, causal analysis)
* Collaborate with product and engineering teams to productionize models
* Build data pipelines and feature engineering processes
* Communicate findings and recommendations to technical and non\-technical stakeholders
* Monitor model performance and retrain models as needed
* Contribute to data science best practices, documentation, and code reviews
**Qualifications** 
* Bachelor’s degree in Data Science, Computer Science, Statistics, Mathematics, or related field
* 3–6\+ years of experience in data science or applied analytics
* Strong proficiency in
 **Python or R**
* Solid understanding of statistics, probability, and machine learning algorithms
* Experience working with SQL and relational databases
* Familiarity with data visualization tools and techniques</t>
        </is>
      </c>
    </row>
    <row r="63">
      <c r="A63" t="inlineStr">
        <is>
          <t>li-4355677842</t>
        </is>
      </c>
      <c r="B63" t="inlineStr">
        <is>
          <t>Senior Business Data Scientist, YouTube Ads Finance</t>
        </is>
      </c>
      <c r="C63" t="inlineStr">
        <is>
          <t>Google</t>
        </is>
      </c>
      <c r="D63" t="inlineStr">
        <is>
          <t>linkedin</t>
        </is>
      </c>
      <c r="E63">
        <f>HYPERLINK("https://www.linkedin.com/jobs/view/4355677842", "https://www.linkedin.com/jobs/view/4355677842")</f>
        <v/>
      </c>
      <c r="F63">
        <f>HYPERLINK("https://careers.google.com/jobs/results/134917908286317254-senior-business-data-scientist/?src=Online/LinkedIn/linkedin_us&amp;utm_source=linkedin&amp;utm_medium=jobposting&amp;utm_campaign=contract&amp;urlHash=kuSR", "https://careers.google.com/jobs/results/134917908286317254-senior-business-data-scientist/?src=Online/LinkedIn/linkedin_us&amp;utm_source=linkedin&amp;utm_medium=jobposting&amp;utm_campaign=contract&amp;urlHash=kuSR")</f>
        <v/>
      </c>
      <c r="G63" t="inlineStr">
        <is>
          <t>San Bruno, CA</t>
        </is>
      </c>
      <c r="H63" t="inlineStr"/>
      <c r="I63" t="inlineStr">
        <is>
          <t>**Minimum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**Preferred qualifications:**
* 6 years of experience using analytics to solve product or business problems, coding (e.g., Python, R, SQL), querying databases or statistical analysis.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In this role, you will shape the platform's business generation strategy. You will leverage data to identify key business opportunities, forecast business growth, and provide insightful analysis to YouTube leadership. This role involves examining ads business generation trends, conducting incrementality or causal studies, and developing scalable financial tools to drive strategic decisions and optimize investment levels.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YouTube's core margin\-related analytics and project\-based analytical pipeline to answer detailed questions on how recent trends impact margin profiles, and partner with YouTube finance to build priorities and project pipeline.
* Own, manage, present, and articulate trends impacting business growth and independently execute views and analysis that help provide insights into recent performance.
* Partner with product teams to understand launches that meaningfully change how we serve ads and collaborate within internal teams to package and bring analysis together.
* Develop scalable financial tools and infrastructure, including advanced datasets, intuitive dashboards, and financial models, to deliver timely updates on growth areas and business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li-4366209986</t>
        </is>
      </c>
      <c r="B64" t="inlineStr">
        <is>
          <t>Applied Scientist (Contract), Artificial General Intelligence</t>
        </is>
      </c>
      <c r="C64" t="inlineStr">
        <is>
          <t>Amazon</t>
        </is>
      </c>
      <c r="D64" t="inlineStr">
        <is>
          <t>linkedin</t>
        </is>
      </c>
      <c r="E64">
        <f>HYPERLINK("https://www.linkedin.com/jobs/view/4366209986", "https://www.linkedin.com/jobs/view/4366209986")</f>
        <v/>
      </c>
      <c r="F64">
        <f>HYPERLINK("https://www.amazon.jobs/jobs/3166403/applied-scientist-contract-artificial-general-intelligence?cmpid=SPLICX0248M&amp;utm_source=linkedin.com&amp;utm_campaign=cxro&amp;utm_medium=social_media&amp;utm_content=job_posting&amp;ss=paid&amp;urlHash=KpRq", "https://www.amazon.jobs/jobs/3166403/applied-scientist-contract-artificial-general-intelligence?cmpid=SPLICX0248M&amp;utm_source=linkedin.com&amp;utm_campaign=cxro&amp;utm_medium=social_media&amp;utm_content=job_posting&amp;ss=paid&amp;urlHash=KpRq")</f>
        <v/>
      </c>
      <c r="G64" t="inlineStr">
        <is>
          <t>Bellevue, WA</t>
        </is>
      </c>
      <c r="H64" t="inlineStr"/>
      <c r="I64"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65">
      <c r="A65" t="inlineStr">
        <is>
          <t>li-4366225208</t>
        </is>
      </c>
      <c r="B65" t="inlineStr">
        <is>
          <t>Applied Scientist (Contract), Artificial General Intelligence</t>
        </is>
      </c>
      <c r="C65" t="inlineStr">
        <is>
          <t>Amazon</t>
        </is>
      </c>
      <c r="D65" t="inlineStr">
        <is>
          <t>linkedin</t>
        </is>
      </c>
      <c r="E65">
        <f>HYPERLINK("https://www.linkedin.com/jobs/view/4366225208", "https://www.linkedin.com/jobs/view/4366225208")</f>
        <v/>
      </c>
      <c r="F65" t="inlineStr"/>
      <c r="G65" t="inlineStr">
        <is>
          <t>Boston, MA</t>
        </is>
      </c>
      <c r="H65" t="inlineStr"/>
      <c r="I6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66">
      <c r="A66" t="inlineStr">
        <is>
          <t>li-4366214408</t>
        </is>
      </c>
      <c r="B66" t="inlineStr">
        <is>
          <t>Applied Scientist (Contract), Artificial General Intelligence</t>
        </is>
      </c>
      <c r="C66" t="inlineStr">
        <is>
          <t>Amazon</t>
        </is>
      </c>
      <c r="D66" t="inlineStr">
        <is>
          <t>linkedin</t>
        </is>
      </c>
      <c r="E66">
        <f>HYPERLINK("https://www.linkedin.com/jobs/view/4366214408", "https://www.linkedin.com/jobs/view/4366214408")</f>
        <v/>
      </c>
      <c r="F66" t="inlineStr"/>
      <c r="G66" t="inlineStr">
        <is>
          <t>Boston, MA</t>
        </is>
      </c>
      <c r="H66" t="inlineStr"/>
      <c r="I66"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67">
      <c r="A67" t="inlineStr">
        <is>
          <t>li-4366223287</t>
        </is>
      </c>
      <c r="B67" t="inlineStr">
        <is>
          <t>Senior Marketing Data Scientist</t>
        </is>
      </c>
      <c r="C67" t="inlineStr">
        <is>
          <t>SoFi</t>
        </is>
      </c>
      <c r="D67" t="inlineStr">
        <is>
          <t>linkedin</t>
        </is>
      </c>
      <c r="E67">
        <f>HYPERLINK("https://www.linkedin.com/jobs/view/4366223287", "https://www.linkedin.com/jobs/view/4366223287")</f>
        <v/>
      </c>
      <c r="F67" t="inlineStr"/>
      <c r="G67" t="inlineStr">
        <is>
          <t>Greenville, DE</t>
        </is>
      </c>
      <c r="H67" t="inlineStr"/>
      <c r="I6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68">
      <c r="A68" t="inlineStr">
        <is>
          <t>li-4366227179</t>
        </is>
      </c>
      <c r="B68" t="inlineStr">
        <is>
          <t>Applied Scientist (Contract), Artificial General Intelligence</t>
        </is>
      </c>
      <c r="C68" t="inlineStr">
        <is>
          <t>Amazon</t>
        </is>
      </c>
      <c r="D68" t="inlineStr">
        <is>
          <t>linkedin</t>
        </is>
      </c>
      <c r="E68">
        <f>HYPERLINK("https://www.linkedin.com/jobs/view/4366227179", "https://www.linkedin.com/jobs/view/4366227179")</f>
        <v/>
      </c>
      <c r="F68" t="inlineStr"/>
      <c r="G68" t="inlineStr">
        <is>
          <t>Boston, MA</t>
        </is>
      </c>
      <c r="H68" t="inlineStr"/>
      <c r="I68"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A3166405</t>
        </is>
      </c>
    </row>
    <row r="69">
      <c r="A69" t="inlineStr">
        <is>
          <t>li-4354180691</t>
        </is>
      </c>
      <c r="B69" t="inlineStr">
        <is>
          <t>Data Engineer / Data Scientist / Data Architect - Full time</t>
        </is>
      </c>
      <c r="C69" t="inlineStr">
        <is>
          <t>Ztek Consulting</t>
        </is>
      </c>
      <c r="D69" t="inlineStr">
        <is>
          <t>linkedin</t>
        </is>
      </c>
      <c r="E69">
        <f>HYPERLINK("https://www.linkedin.com/jobs/view/4354180691", "https://www.linkedin.com/jobs/view/4354180691")</f>
        <v/>
      </c>
      <c r="F69" t="inlineStr"/>
      <c r="G69" t="inlineStr">
        <is>
          <t>Vienna, VA</t>
        </is>
      </c>
      <c r="H69" t="inlineStr"/>
      <c r="I69" t="inlineStr">
        <is>
          <t>Below are the 3 roles open:
 1\) Data Engineer
 2\) Data Scientist
 3\) Data Architect
**Job Descriptions:**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70">
      <c r="A70" t="inlineStr">
        <is>
          <t>li-4355729876</t>
        </is>
      </c>
      <c r="B70" t="inlineStr">
        <is>
          <t>Geospatial Data Scientist</t>
        </is>
      </c>
      <c r="C70" t="inlineStr">
        <is>
          <t>BAE Systems, Inc.</t>
        </is>
      </c>
      <c r="D70" t="inlineStr">
        <is>
          <t>linkedin</t>
        </is>
      </c>
      <c r="E70">
        <f>HYPERLINK("https://www.linkedin.com/jobs/view/4355729876", "https://www.linkedin.com/jobs/view/4355729876")</f>
        <v/>
      </c>
      <c r="F70" t="inlineStr"/>
      <c r="G70" t="inlineStr">
        <is>
          <t>Augusta, GA</t>
        </is>
      </c>
      <c r="H70" t="inlineStr"/>
      <c r="I70" t="inlineStr">
        <is>
          <t>**Job Description**
 BAE Systems, Inc. has a contingent opening for a Geospatial Data Scientist supporting US Army INSCOM primarily on Ft. Gordon, GA. The candidate’s role will be to work with GEOINT analysts to determine, create, and populate optimal data architectures, structures, systems, process automation, and models to support customer intelligence requirements. The Geospatial Data Scientist will be expected to lead efforts such as, but not limited to:
* design, implementation, and operate data driven approaches to client’s intelligence requirements;
* design how data will be stored, accessed, used, integrated, and managed by different data regimes and digital systems;
* developing, adapting, and integrating algorithms, software tools, and tradecraft to satisfy customer requirements.
 These efforts will be to directly support GEOINT exploitation, analysis and reporting of all Advanced GEOINT and Full Spectrum GEOINT (FSG) related disciplines, tradecraft, and products produced by INSCOM MIB\-Theater Integrated GEOINT Divisions (IGD). Sub\-disciplines include but are not limited to Synthetic Aperture RADAR (SAR), Electro\-Optical (EO), Moving Target Indicator (MTI), Light Detection and Ranging (LiDAR), Overhead Persistent Infrared (OPIR), Geospatial Information and Services (GI\&amp;S), Wide Area Persistent Surveillance (WAPS), geospatial data processing, and general intelligence analysis. The candidate must possess familiarity in GEOINT operations and extensive knowledge in data science to be considered.
**Required Education, Experience, \&amp; Skills**
 MA/MS degree from an accredited institution of higher learning in a STEM\-related discipline AND 5 years of relevant experience;
**OR**
 BA/BS degree in a STEM\-related discipline AND 10 years of relevant experience.
 Demonstrated mastery and employment of geographic and geospatial scientific principles, tools, and analytical techniques, to be reflected throughout most of the relevant prior experience.
 Demonstrated experience and proficiency with data science techniques including (but not limited to) logistic regression, vector, natural language processing, principal component analysis, clustering techniques, neural networks, deep learning models, image recognition and algorithm employment or development in support of any of the foregoing.
 Demonstrated experience and proficiency with tabular analysis, SQL, and scripting languages (e.g., Python, R, Julia, etc.) to deliver unique insights otherwise unobtainable.
 Familiarity with agile software development project management frameworks (e.g., Scrum, Kanban, Lean, etc.) to deliver new capabilities.
 Ability to work non\-traditional hours or days if mission requirements emerge.
**Preferred Education, Experience, \&amp; Skills**
 Certification in AWS (AI/ML specialty)
 Experience working with IT, business, or operational metrics platforms (e.g., Splunk, Elastic, Confluence, etc.).
 Knowledge of the National System for Geospatial\-Intelligence (NSG) tasking, collection, processing, exploitation and dissemination (TCPED) production chain.
 Experience working within a Department of War (DoW) or Intelligence Community (IC) operational environment and with DoW/IC geospatial data repositories.
 Familiarity with Army, DoW or IC GEOINT or Geospatial processes, policy and programs.
 Experience with Microsoft Office tools to deliver reports, graphics and briefings.
**Pay Information**
 Full\-Time Salary Range: $120874 \- $205486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71">
      <c r="A71" t="inlineStr">
        <is>
          <t>li-4366229155</t>
        </is>
      </c>
      <c r="B71" t="inlineStr">
        <is>
          <t>Applied Scientist (Contract), Artificial General Intelligence</t>
        </is>
      </c>
      <c r="C71" t="inlineStr">
        <is>
          <t>Amazon</t>
        </is>
      </c>
      <c r="D71" t="inlineStr">
        <is>
          <t>linkedin</t>
        </is>
      </c>
      <c r="E71">
        <f>HYPERLINK("https://www.linkedin.com/jobs/view/4366229155", "https://www.linkedin.com/jobs/view/4366229155")</f>
        <v/>
      </c>
      <c r="F71" t="inlineStr"/>
      <c r="G71" t="inlineStr">
        <is>
          <t>Bellevue, WA</t>
        </is>
      </c>
      <c r="H71" t="inlineStr"/>
      <c r="I71"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72">
      <c r="A72" t="inlineStr">
        <is>
          <t>li-4366204923</t>
        </is>
      </c>
      <c r="B72" t="inlineStr">
        <is>
          <t>Cleared Data Scientist</t>
        </is>
      </c>
      <c r="C72" t="inlineStr">
        <is>
          <t>Guidehouse</t>
        </is>
      </c>
      <c r="D72" t="inlineStr">
        <is>
          <t>linkedin</t>
        </is>
      </c>
      <c r="E72">
        <f>HYPERLINK("https://www.linkedin.com/jobs/view/4366204923", "https://www.linkedin.com/jobs/view/4366204923")</f>
        <v/>
      </c>
      <c r="F72" t="inlineStr"/>
      <c r="G72" t="inlineStr">
        <is>
          <t>Washington, DC</t>
        </is>
      </c>
      <c r="H72" t="inlineStr"/>
      <c r="I72" t="inlineStr">
        <is>
          <t>**Job Family**
 Data Science Consulting
**Travel Required**
 Up to 75%\+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to predictive analytics, machine learning (ML), and artificial intelligence (AI) as well as robotic process automation (RPA). Our services enable our clients to define their information strategy, enable mission critical insights and data\-driven decision making, reduce cost and complexity, increase trust, and improve operational effectiveness.
* Belong to a collaborative team dedicated to AI, Advanced Analytics and Intelligent Automation.
* Focus on client services, while also supporting business development, internal firm initiatives, and ongoing professional development in data science, data analytics, and/or data engineering.
* Work as a data scientist/data analytics/business intelligence professional in collaboration with cross\-functional teams.
* Continue career development in data science and data analytics software, methods, and consulting.
**What You Will Need**
* An ACTIVE and MAINTAINED "SECRET" Federal or DoD security clearance
* Bachelor's degree is required
* Minimum THREE (3\) years of relevant professional experience OR 2 years of relevant professional experience with a Master's degree
* High level of proficiency in Python
* Expertise in Tableau dashboard development
* Ability to design data modeling processes, create algorithms and predictive models, as well as perform custom analysis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Proficiency in PowerBI
* Ability to support on\-site and hybrid projects in the DC metro area
**What Would Be Nice To Have**
* Knowledge of additional coding languages such as R and SQL
* Competencies in IT Risk and/or Cyber domains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3">
      <c r="A73" t="inlineStr">
        <is>
          <t>li-4366211739</t>
        </is>
      </c>
      <c r="B73" t="inlineStr">
        <is>
          <t>Associate Data Scientist</t>
        </is>
      </c>
      <c r="C73" t="inlineStr">
        <is>
          <t>Capgemini</t>
        </is>
      </c>
      <c r="D73" t="inlineStr">
        <is>
          <t>linkedin</t>
        </is>
      </c>
      <c r="E73">
        <f>HYPERLINK("https://www.linkedin.com/jobs/view/4366211739", "https://www.linkedin.com/jobs/view/4366211739")</f>
        <v/>
      </c>
      <c r="F73" t="inlineStr"/>
      <c r="G73" t="inlineStr">
        <is>
          <t>Seattle, WA</t>
        </is>
      </c>
      <c r="H73" t="inlineStr"/>
      <c r="I7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an Associate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of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**Required Skill And Experience**
* Bachelor's degree in computer science, data engineering, or a related field with 5\+ years experience (Master's preferred).
* Proven experience in data engineering, MLOps, ETL, and database management, QL and data manipulation languages.
* Azure, Python, Java, or Scala.
* data warehousing platforms (e.g., Databricks, Amazon Redshift, Snowflake) and big data technologies (e.g., Hadoop, Spark).
* highly scalable Data stores, Data Lake, Data Warehouse, Lakehouse, and unstructured datasets
 The base compensation range for this role in the posted location is: $90,000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2026-01-26T23:29:21Z</dcterms:created>
  <dcterms:modified xsi:type="dcterms:W3CDTF">2026-01-26T23:29:21Z</dcterms:modified>
</cp:coreProperties>
</file>