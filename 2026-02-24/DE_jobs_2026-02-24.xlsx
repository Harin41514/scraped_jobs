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2"/>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in-3133b5a21a1473ac</t>
        </is>
      </c>
      <c r="B2" t="inlineStr">
        <is>
          <t>Analytics Engineer II</t>
        </is>
      </c>
      <c r="C2" t="inlineStr">
        <is>
          <t>CDW</t>
        </is>
      </c>
      <c r="D2" t="inlineStr">
        <is>
          <t>indeed</t>
        </is>
      </c>
      <c r="E2" t="inlineStr"/>
      <c r="F2" t="inlineStr"/>
      <c r="G2" t="inlineStr">
        <is>
          <t>Remote, US</t>
        </is>
      </c>
      <c r="H2" s="1" t="n">
        <v>46076</v>
      </c>
      <c r="I2" t="inlineStr">
        <is>
          <t>**Description**
At CDW, we make it happen, together. Trust, connection, and commitment are at the heart of how we work together to deliver for our customers. It’s why we’re coworkers, not just employees. Coworkers who genuinely believe in supporting our customers and one another. We collectively forge our path forward with a level of commitment that speaks to who we are and where we’re headed. We’re proud to share our story and Make Amazing Happen at CDW.
**Job Summary**
The Analytics Engineer II plays a pivotal role in designing, building, and operationalizing data solutions that power analytics, reporting, and data‑driven decision‑making across the enterprise. This role blends software engineering rigor with analytics‑focused data modeling by developing scalable data pipelines, transforming raw data into consumable datasets, and supporting analytics teams with well‑structured, high‑quality data assets. The Analytics Engineer II partners closely with business and technical teams to improve data models, enhance data accessibility, and automate complex data preparation tasks using modern cloud platforms and engineering best practices.
**What you will do:**
* Build and optimize full‑stack, cloud‑based data systems and pipelines that deliver high‑quality, analysis‑ready datasets for business and analytics teams
* Interface with other technology teams to build Azure Data Pipelines to integrate with Data Lake and other enterprise platforms
* Enhance ingestion, transformation, and orchestration workflows aligned with enterprise architecture standards
* Collaborate with other technology teams to help engineer data sets and curate semantic models that support analytics, machine learning, KPI reporting, and business intelligence use cases.
* Partners with business teams to enhance data models supporting business intelligence tools, increase data accessibility, and foster data\-driven decision\-making throughout the organization.
* Partner with analysts and data scientists to translate business requirements into scalable engineering solutions that improve data accessibility and reliability.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and support enterprise‑wide analytics decision‑making
* Responsible for using innovative and modern tools, techniques, and architectures to partially or completely automate the most\-common, repeatable, and tedious data preparation and integration tasks to minimize manual and error\-prone processes and improve productivity.
* Be curious and knowledgeable about new data management techniques and how to apply them to solve business problems.
* Document data flows, transformations, and modeling logic to promote consistency and trust in delivered datasets.
**What we expect of you:**
* BS degree in Computer Science, Information Systems, Business Analytics, or a related technical field **and** 3 years of data application development experience using Azure Data Factory/Fabric Data Factory or SSIS,
* 5\+ years of data application development experience using Azure Data Factory/Fabric Data Factory or SSIS.
* Experienced researching technical and business questions with minimal oversight.
* Intermediate to advanced SQL and/or Python skillsets to transform and analyze data, building or supporting data pipelines, and delivering datasets used for reporting or analytics.
* Experience in developing Power BI data models and dashboards
* Ability to work independently on moderately complex tasks.
* Ability to effectively communicate and collaborate with business partners and technical teams.
* Experience in Agile project management methodologies
* Experience experimenting with AI agents, LLM‑based tools, or prompt‑driven automation to enhance analytics or data workflows
Pay range: $86,000 \- $119,600 depending on experience and skill set  
Benefits overview: https://cdw.benefit\-info.com/  
Salary ranges may be subject to geographic differentials
**We make technology work so people can do great things.**
CDW is a leading multi\-brand provider of information technology solutions to business, government, education and healthcare customers in the United States, the United Kingdom and Canada. A Fortune 500 company and member of the S\&amp;P 500 Index, CDW helps its customers to navigate an increasingly complex IT market and maximize return on their technology investments. Together, we unite. Together, we win. Together, we thrive.
CDW is an equal opportunity employer. All qualified applicants will receive consideration for employment without regards to race, color, religion, sex, sexual orientation, gender identity, national origin, disability status, protected veteran status or any other basis prohibited by state and local law.
CDW is committed to fostering an equitable, transparent, and respectful hiring process for all applicants. During our application process, CDW’s goal is to get to know you as an applicant and understand your experience, strengths, skills, and qualifications. While AI can help you present yourself more clearly and effectively, the essence of your application should be authentically yours. To learn more, please review CDW's AI Applicant Notice.</t>
        </is>
      </c>
    </row>
    <row r="3">
      <c r="A3" t="inlineStr">
        <is>
          <t>in-bdaae4f586aad602</t>
        </is>
      </c>
      <c r="B3" t="inlineStr">
        <is>
          <t>Senior Lead Data Engineer</t>
        </is>
      </c>
      <c r="C3" t="inlineStr">
        <is>
          <t>Capital One</t>
        </is>
      </c>
      <c r="D3" t="inlineStr">
        <is>
          <t>indeed</t>
        </is>
      </c>
      <c r="E3" t="inlineStr"/>
      <c r="F3" t="inlineStr"/>
      <c r="G3" t="inlineStr">
        <is>
          <t>McLean, VA, US</t>
        </is>
      </c>
      <c r="H3" s="1" t="n">
        <v>46075</v>
      </c>
      <c r="I3" t="inlineStr">
        <is>
          <t>Senior Lead Data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Engineers**who are passionate about marrying data with emerging technologies. As a Capital One Senior Lead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Lead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6 years of experience in application development (Internship experience does not apply)
* At least 2 years of experience in big data technologies
* At least 1 year experience with cloud computing (AWS, Microsoft Azure, Google Cloud)
**Preferred Qualifications:**
* Master's Degree
* 9\+ years of experience in application development including Python, SQL, Scala, or Java
* 4\+ years of experience with a public cloud (AWS, Microsoft Azure, Google Cloud)
* 5\+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Lead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4">
      <c r="A4" t="inlineStr">
        <is>
          <t>in-efd44c75f79c5638</t>
        </is>
      </c>
      <c r="B4" t="inlineStr">
        <is>
          <t>Data Engineering Manager</t>
        </is>
      </c>
      <c r="C4" t="inlineStr">
        <is>
          <t>Pacific Gas and Electric</t>
        </is>
      </c>
      <c r="D4" t="inlineStr">
        <is>
          <t>indeed</t>
        </is>
      </c>
      <c r="E4" t="inlineStr"/>
      <c r="F4" t="inlineStr"/>
      <c r="G4" t="inlineStr">
        <is>
          <t>Oakland, CA, US</t>
        </is>
      </c>
      <c r="H4" s="1" t="n">
        <v>46075</v>
      </c>
      <c r="I4" t="inlineStr">
        <is>
          <t>Requisition ID \# 170537
**Job Category:** Information Technology
**Job Level:** Manager/Principal
**Business Unit:** Information Technology
**Work Type:** Hybrid
**Job Location:** Oakland
Department Overview
Information Systems Technology Services is a unified organization comprised of various departments which collaborate effectively in order to deliver high quality technology solutions.
Position Summary
We are seeking a highly skilled and experienced Manager to lead PG\&amp;E’s Enterprise Data Engineering team. This role will take charge in building our enterprise data \&amp; analytics capabilities, creating innovative data products and services to support business operations, analytic product teams, and internal stakeholders. The ideal candidate will have a strong background in project delivery, data architecture, data modeling, and ETL processes, combined with leadership experience and a passion for leading, developing and mentoring high performing teams.
This position is hybrid, working from your remote office and the Oakland General Office (OGO) at least once per week and/or based on business needs.
PG\&amp;E is providing the full salary/pay range for this position. The actual amount paid to an individual will be based on multiple factors, including, but not limited to, internal equity, specific skills, education, licenses or certifications, experience, market value, and geographic location. The range to reasonably expect will be around the minimum and the midpoint $147,000 \- $199,000\. The final decision will be made on a case\-by\-case basis related to the factors above. This job is also eligible to participate in PG\&amp;E’s discretionary incentive compensation programs.
**Bay Area Min:** $ 147,000
**Bay Area Max:** $ 251,000
**Job Responsibilities Leadership and Team Management:** Lead, mentor, and develop a team of data engineers, ensuring high levels of engagement, performance, and professional growth. Data Architecture: Direct the development and implementation of scalable, reliable, and efficient data architectures to enable analytic products. Data Quality: Establish and enforce data quality standards and best practices to ensure data integrity and reliability. Collaboration: Work closely with stakeholders: product managers, senior leadership, business stakeholders, data scientists, analysts, and others to understand their data needs and provide solutions that drive business value. Planning and Project Management: Manage data engineering projects, including planning, resource allocation, and execution, ensuring timely delivery and alignment with business objectives. Partner with stakeholders to develop robust data product roadmaps. Continuous Improvement: Foster a culture focused on continuous improvement to meet evolving business needs and technologies. Compliance: Ensure all data engineering activities comply with relevant data protection and privacy regulations and company policies. Cost Management: Responsible for managing team and project budget, ensuring that budget forecasts and actuals are closely monitored and providing variance analysis.
Qualifications
**Minimum:** Bachelors Degree in Computer Science or job\-related discipline or equivalent experience Experience in IT\-Information Technology, 8 years
**Desired:** Experience: At least 5 years of experience in a leadership or managerial role with a minimum of 2 years in data engineering, data solutions architect, data management, data product management. Leadership: Proven track record of leading and developing high\-performing teams. Communication: Excellent verbal and written communication skills, with the ability to effectively communicate with both technical and non\-technical stakeholders. Project Management/Delivery: Experience managing multiple projects simultaneously, with a focus on delivering results in a fast\-paced environment. Track record of successful delivering on large scale enterprise projects. Technical Skills: Deep knowledge of data warehouse and business intelligence design and architecture, sql, python, and pyspark. Masters Degree in Business Administration or job\-related discipline or equivalent experience Utility industry experience Leadership experience, IT\-Information Technology Experience in operations PMI\-Project Management Institute PMP\-Project Management Professional certification</t>
        </is>
      </c>
    </row>
    <row r="5">
      <c r="A5" t="inlineStr">
        <is>
          <t>in-9291f3f30c723313</t>
        </is>
      </c>
      <c r="B5" t="inlineStr">
        <is>
          <t>Associate Data Engineer</t>
        </is>
      </c>
      <c r="C5" t="inlineStr">
        <is>
          <t>CVS Health</t>
        </is>
      </c>
      <c r="D5" t="inlineStr">
        <is>
          <t>indeed</t>
        </is>
      </c>
      <c r="E5" t="inlineStr"/>
      <c r="F5" t="inlineStr"/>
      <c r="G5" t="inlineStr">
        <is>
          <t>TX, US</t>
        </is>
      </c>
      <c r="H5" s="1" t="n">
        <v>46027</v>
      </c>
      <c r="I5"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CVS Health is looking for a hands\-on, passionate, and driven data engineer with SQL, Python, and Cloud (preferably GCP) experience who wants to join forces with a high impact team making a difference in customers’ lives by reinventing how they connect with the most qualified healthcare providers in their area.  
As part of Analytics \&amp; Behavior Change, you will be embedded in a data engineering team. You will support other analytic and data science partners who are designing and developing applications/pipelines for CVS Health across various business units. You will brainstorm with product owners, consultants, data scientists and fellow engineers to build products used to improve the health outcomes of millions of people.  
**Required Qualifications**
1\+ years' professional experience building data transformation and processing solutions using SQL, Python or similar programming language  
* 1\+ years' leveraging multiple tools and programming languages to analyze and manipulate data sets from disparate data sources
* 1\+ years' experience on Teradata tool set, Unix, SQL and ETL
* 1\+ years' programming using Python, SQL, and/or shell scripting
**Preferred Qualifications**
Experience with Google Cloud Platform (GCP) using tools like BigQuery, Cloud Composer, Dataproc and Dataflow.  
* Experience building large\-scale applications and high\-volume data pipelines
* Working knowledge of orchestration tools, such as Apache Airflow
* Ability to understand complex systems and solve challenging analytical problems.
* Excellent problem\-solving skills and critical thinking ability
* Strong collaboration and communication skills within and across teams
 **Education**
Bachelor's degree in Computer Science, Information Systems, Data Engineering, Machine Learning, or related discipline
**Anticipated Weekly Hours**
40**Time Type**
Full time**Pay Range**
The typical pay range for this role is:
$61,800\.00 \- $123,600\.00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02/27/2026
Qualified applicants with arrest or conviction records will be considered for employment in accordance with all federal, state and local laws.</t>
        </is>
      </c>
    </row>
    <row r="6">
      <c r="A6" t="inlineStr">
        <is>
          <t>in-be4bc84d69e328fe</t>
        </is>
      </c>
      <c r="B6" t="inlineStr">
        <is>
          <t>ML Data Engineer</t>
        </is>
      </c>
      <c r="C6" t="inlineStr">
        <is>
          <t>Potomac</t>
        </is>
      </c>
      <c r="D6" t="inlineStr">
        <is>
          <t>indeed</t>
        </is>
      </c>
      <c r="E6" t="inlineStr"/>
      <c r="F6" t="inlineStr"/>
      <c r="G6" t="inlineStr">
        <is>
          <t>Bethesda, MD, US</t>
        </is>
      </c>
      <c r="H6" s="1" t="n">
        <v>46077</v>
      </c>
      <c r="I6" t="inlineStr">
        <is>
          <t>###### **The Opportunity**
At Potomac, we’re not for everyone—and that’s by design. We attract people who think critically, communicate clearly, and execute with urgency. People who care deeply about their work and don’t need handholding to make things happen.
We’re a boutique tactical asset manager with a differentiated product that serves the independent broker\-dealer and RIA channel
Headquartered in Bethesda, MD, we combine institutional\-grade investment expertise with a quantitative process that is Built to Conquer Risk**®.**
##### **Summary**
Potomac is continuing to invest in modern data and AI capabilities to support our growing business. We are seeking a Machine Learning Data Engineer to join our team and play a critical role in building and scaling our data infrastructure. This role will focus on designing and maintaining data pipelines, enabling machine learning and analytics use cases, and ensuring high\-quality, well\-governed data is available across the organization.
This position will work closely with Operations, Technology, Analytics, and business stakeholders to translate data needs into reliable, production\-ready data solutions.
##### **Key Responsibilities**
* Design, build, and maintain scalable data pipelines to ingest data from multiple internal and external sources (APIs, SaaS platforms, databases, files).
* Develop and manage a centralized data lake / lakehouse to standardize and curate data for analytics, reporting, and machine learning use cases.
* Implement ELT/ETL processes to clean, validate, transform, and model data into trusted datasets.
* Build and maintain machine\-learning–ready datasets and feature pipelines that support experimentation and production models.
* Ensure data quality, freshness, and reliability through monitoring, alerting, and automated validation checks.
* Partner with analytics and business teams to define data requirements, metrics, and reporting outputs.
* Support downstream data consumption for BI tools, dashboards, operational reporting, and partner data exports.
* Apply best practices around data governance, security, access controls, and documentation.
* Collaborate cross\-functionally to deliver scalable, maintainable data solutions aligned with business priorities.
* Continuously improve performance, cost efficiency, and reliability of the data platform.
##### **Qualifications**
###### ***Required***
* Bachelor’s degree in Computer Science, Data Engineering, Engineering, or a related field (or equivalent experience).
* 4\+ years of experience in data engineering or related roles.
* Strong proficiency in Python and SQL.
* Hands\-on experience building and operating data pipelines and workflows.
* Experience with modern data platforms (data lakes, data warehouses, or lakehouse architectures).
* Familiarity with orchestration tools (e.g., Airflow, Dagster, Prefect) and data transformation frameworks.
* Solid understanding of data modeling, schema design, and data quality best practices.
* Experience integrating data from APIs and third\-party systems.
* Strong problem\-solving skills and ability to work independently in a fast\-paced environment.
* Excellent communication skills and ability to work with both technical and non\-technical stakeholders.
###### ***Preferred***
* Experience supporting machine learning workflows (feature engineering, training datasets, or ML pipelines).
* Familiarity with cloud platforms (AWS, Azure, or GCP).
* Experience with streaming or near–real\-time data pipelines.
* Knowledge of data governance, security, and compliance best practices.
* Prior experience in financial services, fintech, or regulated data environments.
* Experience working in a high\-growth or startup environment.
Potomac is not your typical asset manager. We cut through the industry BS with brutal transparency and an obsession with execution. If you’re looking for a slow pace and low volume, this isn’t for you.
If you want to drive, build, and scale, this is your shot.
###### **Benefits:**
* Medical insurance
* Vision insurance
* Dental insurance
* Health savings account option
* 401(k) \&amp; other retirement benefits
* Paid maternity leave
* Paid paternity leave
* Commuter benefits
* Disability insurance
* Paid time off
**The pay range for this role is:**  
120,000 \- 140,000 USD per year(US)</t>
        </is>
      </c>
    </row>
    <row r="7">
      <c r="A7" t="inlineStr">
        <is>
          <t>in-72936d070d517eaf</t>
        </is>
      </c>
      <c r="B7" t="inlineStr">
        <is>
          <t>Data Engineer</t>
        </is>
      </c>
      <c r="C7" t="inlineStr">
        <is>
          <t>American business solutions inc</t>
        </is>
      </c>
      <c r="D7" t="inlineStr">
        <is>
          <t>indeed</t>
        </is>
      </c>
      <c r="E7" t="inlineStr"/>
      <c r="F7" t="inlineStr"/>
      <c r="G7" t="inlineStr">
        <is>
          <t>Lansing, MI, US</t>
        </is>
      </c>
      <c r="H7" s="1" t="n">
        <v>46077</v>
      </c>
      <c r="I7" t="inlineStr">
        <is>
          <t>**Required Skills**
-------------------
Bachelor’s degree in computer science, Information Systems, Data Analytics, or related field.
3\+ years of experience in report development and data analysis within large\-scale environments.
3\+ years of experience in AI Data engineering with AWS platforms.
3\+ years of experience in python, PySpark and Advanced Data Structures.
3\+ years of experience in Teradata Data Warehouse and ETL utilities.
Experience in AWS cloud and AI platform.
Proficiency in SQL, Hummingbird BI/Query, Business Objects, and Power BI.
Strong experience with dashboard development and data visualization best practices.
Solid understanding of relational databases and data warehouse concepts, preferably Teradata.
Excellent analytical, problem\-solving, and communication skills.</t>
        </is>
      </c>
    </row>
    <row r="8">
      <c r="A8" t="inlineStr">
        <is>
          <t>in-794e3d7e92cd2691</t>
        </is>
      </c>
      <c r="B8" t="inlineStr">
        <is>
          <t>Senior Data Engineer, Security Automation</t>
        </is>
      </c>
      <c r="C8" t="inlineStr">
        <is>
          <t>CVS Health</t>
        </is>
      </c>
      <c r="D8" t="inlineStr">
        <is>
          <t>indeed</t>
        </is>
      </c>
      <c r="E8" t="inlineStr"/>
      <c r="F8" t="inlineStr"/>
      <c r="G8" t="inlineStr">
        <is>
          <t>Scottsdale, AZ, US</t>
        </is>
      </c>
      <c r="H8" s="1" t="n">
        <v>46076</v>
      </c>
      <c r="I8"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The Senior Data Engineer is responsible for designing, building, securing, and optimizing large\-scale data pipelines and cloud\-based data solutions. This role enables reliable, efficient, and secure data access to support analytics, business operations, and cybersecurity initiatives. The engineer will ensure that data platforms and workflows adhere to security best practices, support threat detection and response capabilities, and meet compliance requirements across the enterprise.
Key Responsibilities
* Analyze complex and disparate data sources—both business and security\-related—and design scalable, secure data engineering pipelines.
* Develop and implement robust ELT processes and automated data workflows using Databricks and modern cloud technologies.
* Build and optimize data models, data marts, and integration frameworks that support analytics, data science, and cybersecurity monitoring (e.g., SIEM integration, threat intelligence enrichment).
* Implement data quality checks and validation routines to ensure accuracy, completeness, integrity, and proper data governance.
* Write efficient, maintainable code in SQL, Python, PySpark, and/or Scala to support data ingestion, transformation, and large\-scale processing.
* Ensure data pipelines and storage solutions follow security engineering best practices, including encryption, access control, audit logging, and secure DevOps patterns.
* Document data engineering processes, data flows, and system architecture for cross\-team visibility and knowledge sharing.
* Collaborate with cross\-functional teams to understand requirements and deliver secure, high\-quality data solutions aligned with business and cyber objectives.
**Required Qualifications:**
* 5\+ years of hands\-on experience in cloud data engineering, data integration, and/or data analysis.
* 3\+ years of experience developing scalable data pipelines using SQL, Python, PySpark, and/or Scala.
* 3\+ years of experience with Databricks and/or other cloud\-native data engineering platforms (Azure, AWS, or GCP).
**Preferred Qualifications:**
* Prior experience in Security Engineering, Security Automation, or supporting cybersecurity platforms (e.g., SIEM, SOAR, threat intelligence tools).
* Familiarity with data quality frameworks, data governance practices, and performance optimization techniques.
* Experience applying security controls within cloud data ecosystems, such as secure data lake architectures, role\-based access, or sensitive data handling.
**Education**
* Bachelor’s degree or equivalent experience (High School Diploma and 4 years of relevant experience).
**Anticipated Weekly Hours**
40**Time Type**
Full time**Pay Range**
The typical pay range for this role is:
$92,700\.00 \- $185,400\.00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03/02/2026
Qualified applicants with arrest or conviction records will be considered for employment in accordance with all federal, state and local laws.</t>
        </is>
      </c>
    </row>
    <row r="9">
      <c r="A9" t="inlineStr">
        <is>
          <t>in-496c92256df343d3</t>
        </is>
      </c>
      <c r="B9" t="inlineStr">
        <is>
          <t>Lead Power BI Developer / Lead BI Engineer</t>
        </is>
      </c>
      <c r="C9" t="inlineStr">
        <is>
          <t>METARPO</t>
        </is>
      </c>
      <c r="D9" t="inlineStr">
        <is>
          <t>indeed</t>
        </is>
      </c>
      <c r="E9" t="inlineStr"/>
      <c r="F9" t="inlineStr"/>
      <c r="G9" t="inlineStr">
        <is>
          <t>Santa Clara, CA, US</t>
        </is>
      </c>
      <c r="H9" s="1" t="n">
        <v>46076</v>
      </c>
      <c r="I9" t="inlineStr">
        <is>
          <t>**Role:** Lead Power BI Developer / Lead BI Engineer
**Location:** Santa Clara, CA\-Onsite
**Type:** Full time
**Required experience:** 12\+ years
Overview
Job Summary
We are looking for a Lead Power BI Developer who will own the BI reporting and analytics platform, drive design standards, and lead a team of BI developers and analysts. You will work closely with business stakeholders and data engineering teams to deliver scalable, high\-performance BI solutions that enable data\-driven decision\-making.
**Key Responsibilities:**  
Lead the design, development, and delivery of Power BI dashboards and reports
Own BI architecture, data modeling standards, and reporting best practices
Review and guide team on DAX, Power Query, and data modeling approaches
Partner with business stakeholders to gather requirements and define KPIs
Work closely with Data Engineering on data pipelines, data quality, and data models
Ensure performance optimization of reports, datasets, and semantic models
Define and enforce governance, security (RLS), and deployment standards in Power BI
Mentor and manage Power BI developers and analysts
Drive adoption of Power BI across the organization and improve self\-service BI
Oversee release management, UAT support, and production support
Document architecture, standards, and BI solutions
**Required Skills \&amp; Experience:**  
8\+ years in BI / Analytics, with 4\+ years of hands\-on Power BI experience
**Deep expertise in:**  
Power BI (Desktop, Service, Gateways, Workspaces)
DAX, Power Query (M)
Data modeling (star/snowflake schemas, semantic models)
Strong SQL skills (SQL Server / Azure SQL / similar)
Strong understanding of data warehousing, ETL/ELT, and analytics architecture
Experience leading BI teams or acting as a technical lead
Experience working with senior stakeholders and translating business needs into BI solutions
Experience with performance tuning and large\-scale Power BI deployments
Knowledge of security, governance, and best practices in Power BI
**Nice to Have:**  
Experience with Microsoft Fabric, Azure Synapse, or Databricks
Experience with CI/CD for Power BI and semantic models
Exposure to Python or other scripting for data preparation
Experience in enterprise BI environments
**What You’ll Bring:**  
Strong leadership and stakeholder management skills
Ability to think in terms of architecture, not just reports
High standards for quality, performance, and usability
Coaching mindset to grow the BI team</t>
        </is>
      </c>
    </row>
    <row r="10">
      <c r="A10" t="inlineStr">
        <is>
          <t>in-a1731c69346801d7</t>
        </is>
      </c>
      <c r="B10" t="inlineStr">
        <is>
          <t>Senior Scientific Data Platform Engineer (Joint Genome Institute)</t>
        </is>
      </c>
      <c r="C10" t="inlineStr">
        <is>
          <t>Lawrence Berkeley National Laboratory</t>
        </is>
      </c>
      <c r="D10" t="inlineStr">
        <is>
          <t>indeed</t>
        </is>
      </c>
      <c r="E10" t="inlineStr"/>
      <c r="F10" t="inlineStr"/>
      <c r="G10" t="inlineStr">
        <is>
          <t>San Francisco Bay Area, CA, US</t>
        </is>
      </c>
      <c r="H10" s="1" t="n">
        <v>46076</v>
      </c>
      <c r="I10" t="inlineStr">
        <is>
          <t>Berkeley Lab’s (LBNL) Joint Genome Institute (JGI) has an opening for a Senior Scientific Data Platform Engineer to play a critical role in transforming raw scientific outputs into high\-value, AI\-ready data assets that directly support JGI's mission.  
In this exciting role, you will analyze scientific use\-cases, data management challenges, and design robust, automated, and cost\-effective solutions to address them. Working at the intersection of scientific data and the data lakehouse platform, this position will contribute to the development and maintenance of JGI’s Data Lakehouse effort, leading ongoing integration efforts to ensure scientific data is well\-structured, accessible, and optimized for use by domain scientists and downstream AI applications.  
The JGI’s mission is to provide the global research community with access to the most advanced integrative genome science capabilities in support of the DOEs research mission to solve the world’s evolving energy and environmental challenges. The JGI supports projects in genome sequencing, synthesis, transcriptomics, metabolomics, and natural products in plants, fungi, algae, and microorganisms. This position is headquartered on the Lab’s main site at the Integrative Genomics Building (IGB) (Virtual Tour).  
This position has an anticipated start date of April 1, 2026\.  
We’re here for the same mission, to bring science solutions to the world. Join our team and YOU will play a supporting role in our goal to address global challenges! Have a high level of impact and work for an organization associated with 17 Nobel Prizes! *Why join Berkeley Lab?*
We invest in our employees by offering a total rewards package you can count on:* Exceptional health and retirement benefits, including pension or 401K\-style plans
* A culture where you’ll belong \- we are invested in our teams!
* In addition to accruing vacation and sick time, we also have a Winter Holiday Shutdown every year.
* Parental bonding leave (for both mothers and fathers)
* Pet insurance
What You Will Do:
* Analyze and evaluate complex scientific use\-cases and design automated system solutions.
* Provide technical expertise in identifying, evaluating, and developing cost\-effective systems and procedures that meet user requirements.
* Lead the design and implementation of data integration processes for the JGI's Data Lakehouse, ensuring large scientific datasets are structured for efficient querying and analysis.
* Design, build, and maintain fault\-tolerant, scalable, and efficient Extract, Transform, Load (ETL) data pipelines to ingest, transform, and load genomic data and associated metadata into the Data Lakehouse.
* Configure system settings and options.
* Plan and perform unit, integration, and acceptance testing.
* Create system specifications aligned with business requirements.
* Provide consultation and guidance to domain scientists and other users on the use of automated systems.
* Collaborate closely with cross\-functional teams to resolve business and system\-related issues.
What Is Required:
* A Bachelor’s Degree (or equivalent knowledge/training) in Computer Science, Data Engineering, or a related technical field and a minimum of 8 years of demonstrated experience structuring large\-scale datasets for efficient use in Data Lakehouse environments, leveraging technologies such as Parquet, Iceberg, Dremio, Spark, or similar lakehouse and data warehousing platforms or an equivalent combination of education and experience.
* Demonstrated proficiency with modern Extract, Transform, Load (ETL) and Extract, Load, Transform (ELT) tools and frameworks.
* Strong scripting skills in data engineering languages, including Python (with Pandas and PySpark) and advanced SQL for data manipulation and performance optimization.
* Strong analytical skills including the ability to identify problems, troubleshoot, and demonstrate good judgement in selecting methods and techniques for obtaining solutions.
* Excellent oral and written communication skills, including experience organizing and presenting technical information to varying audiences.
* Demonstrated interpersonal skills including experience collaborating with an interdisciplinary research team.
Desired Qualifications:
* A Master’s Degree (or equivalent knowledge/training) in Computer Science, Data Engineering, or a related technical field.
* Experience with Data Lakehouse technologies like Dremio or Spark.
* Domain knowledge of genomics data.
Additional Information:
* Application Date: Priority consideration will be given to candidates who apply with a resume and cover letter by March 9, 2026\. Applications will be accepted until the job posting is removed.
* Appointment Type: This is a full time, exempt from overtime pay (monthly paid), 2 year (benefits eligible), Term appointment with the possibility of extension or conversion to Career appointment based upon satisfactory job performance, continuing availability of funds, and ongoing operational needs.
* Salary Range: This position has a budgeted salary range of $139,440 \- $174,312 annually, which fits within the full salary range of $139,440 \- $235,308 annually for job code C71\.3\. It is not typical for an individual to be offered a salary at or near the top of the range for a position. Salary will be commensurate with the final candidate’s qualification and experience, including skills, knowledge, relevant education, certifications, and aligned with the internal peer group.
* Background Check: This position is subject to a background check. Any convictions will be evaluated to determine if they directly relate to the responsibilities and requirements of the position. Having a conviction history will not automatically disqualify an applicant from being considered for employment.
Work Modality: This position will be performed onsite at Lawrence Berkeley National Lab located at 1 Cyclotron Road, Berkeley, CA 94720\. Work schedules are dependent on business needs. A REAL ID or other acceptable form of identification is required to access Berkeley Lab sites (for more information * ).
* Relocation Assistance: This position is eligible for relocation assistance.
* Work Authorization: Applicants must be legally authorized to work in the United States. Berkeley Lab does not provide visa sponsorship for this position.
Want to learn more about working at Berkeley Lab? Please visit: careers.lbl.gov  
Equal Employment Opportunity Employer: The foundation of Berkeley Lab is our Stewardship Values: Team Science, Service, Trust, Innovation, and Respect; and we strive to build community with these shared values and commitments. Berkeley Lab is an Equal Opportunity Employer. We heartily welcome applications from all who could contribute to the Lab's mission of leading scientific discovery, excellence, and professionalism. In support of our rich global community, all qualified applicants will be considered for employment without regard to race, color, religion, sex, sexual orientation, gender identity, national origin, disability, age, protected veteran status, or other protected categories under State and Federal law.  
Berkeley Lab is a University of California employer. It is the policy of the University of California to undertake affirmative action and anti\-discrimination efforts, consistent with its obligations as a Federal and State contractor.  
Misconduct Disclosure Requirement: As a condition of employment, the finalist will be required to disclose if they are subject to any final administrative or judicial decisions within the last seven years determining that they committed any misconduct, are currently being investigated for misconduct, left a position during an investigation for alleged misconduct, or have filed an appeal with a previous employer.</t>
        </is>
      </c>
    </row>
    <row r="11">
      <c r="A11" t="inlineStr">
        <is>
          <t>in-bb3b123f509108b3</t>
        </is>
      </c>
      <c r="B11" t="inlineStr">
        <is>
          <t>Senior Data Engineer</t>
        </is>
      </c>
      <c r="C11" t="inlineStr">
        <is>
          <t>HCA Healthcare</t>
        </is>
      </c>
      <c r="D11" t="inlineStr">
        <is>
          <t>indeed</t>
        </is>
      </c>
      <c r="E11" t="inlineStr"/>
      <c r="F11" t="inlineStr"/>
      <c r="G11" t="inlineStr">
        <is>
          <t>Nashville, TN, US</t>
        </is>
      </c>
      <c r="H11" s="1" t="n">
        <v>46076</v>
      </c>
      <c r="I11" t="inlineStr">
        <is>
          <t>##### **Introduction**
Do you have the career opportunities as a(an) Senior Security Data Architect you want with your current employer? We have an exciting opportunity for you to join HCA Healthcare which is part of the nation's leading provider of healthcare services, HCA Healthcare.
##### **Benefits**
HCA Healthcare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Our teams are a committed, caring group of colleagues. Do you want to work as a(an) Senior Security Data Architect where your passion for creating positive patient interactions is valued? If you are dedicated to caring for the well\-being of others, this could be your next opportunity. We want your knowledge and expertise!
##### **Job Summary and Qualifications**
**Recruiter to insert Job Summary and requirements here**
**Recruiter to check inserted requirements to ensure it included all credentials below. Then they should delete the credentials**
###### **What qualifications you will need:**
Occasional/ Intermittent Required
5 years experience Required Years of Experience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"Bricks and mortar do not make a hospital. People do."\- Dr. Thomas Frist, Sr.  
HCA Healthcare Co\-Founder
If you are looking for an opportunity that provides satisfaction and personal growth, we encourage you to apply for our Senior Security Data Architect opening. We promptly review all applications. Highly qualified candidates will be contacted for interviews. **Unlock the possibilities and apply today!**
*We are an equal opportunity employer. We do not discriminate on the basis of race, religion, color, national origin, gender, sexual orientation, age, marital status, veteran status, or disability status.*</t>
        </is>
      </c>
    </row>
    <row r="12">
      <c r="A12" t="inlineStr">
        <is>
          <t>in-566792ca513787d3</t>
        </is>
      </c>
      <c r="B12" t="inlineStr">
        <is>
          <t>Lead Data Engineer - Branch Workplace Technology</t>
        </is>
      </c>
      <c r="C12" t="inlineStr">
        <is>
          <t>JPMorganChase</t>
        </is>
      </c>
      <c r="D12" t="inlineStr">
        <is>
          <t>indeed</t>
        </is>
      </c>
      <c r="E12" t="inlineStr"/>
      <c r="F12" t="inlineStr"/>
      <c r="G12" t="inlineStr">
        <is>
          <t>Westerville, OH, US</t>
        </is>
      </c>
      <c r="H12" s="1" t="n">
        <v>46076</v>
      </c>
      <c r="I12" t="inlineStr">
        <is>
          <t>**JOB DESCRIPTION**  
We have an exciting and rewarding opportunity for you to take your Data engineering career to the next level.
As a Lead Data Engineer JPMorgan Chase within the Consumer \&amp; Community Bank \- Branch Workplace Technology team, you serve as a expert Data Engineer on agile teams to design and deliver trusted market\-leading technology products in a secure, stable, and scalable way. You are responsible for leading critical data functions from architecture, modelling, transformation, modernization, migration, protection, security and governance in support of CCB Branch initiatives and objectives.
**Job responsibilities**
* Deliver end\-to\-end data solutions on cloud infrastructure leveraging the latest technologies and the best industry practices.
* Use domain modelling techniques to allow us to build best in class business products.
* Guide the evolution of logical and physical data models to support emerging business use cases and technological advancements
* Build solutions that avoid single points of failure, using scalable architectural patterns.
* Develop secure code so that our customers and ourselves are protected from malicious actors.
* Promptly investigate and fix issues and ensure they do not resurface in the future.
* Make sure our releases happen with zero downtime for our end\-users and Keeping us up to date by continuously updating our technologies and patterns.
* Structure software so that it is easy to understand, test and evolve.
* See that our data is written and read in a way that's optimized for our needs.
* Keep an eye on performance, making sure we use the right approach to identify and solve problems and ensure our systems are reliable and easy to operate.
Support the products you've built through their entire lifecycle, including in production and during incident management  
* 
**Required qualifications, capabilities and skills**
* Formal training or certification on data engineering concepts and 5\+ years applied experience.
* Recent hands\-on professional experience as a data engineer
* Expertise with Relational databases like Oracle, SQL Server and Postgres
* Proficient with AWS cloud technologies and distributed systems
* Proficiency with data transformation frameworks and data pipeline orchestration tools
* Experience with data governance frameworks
* Prior experience with managing large volumes of data and optimizing data processing
* Experience in coding with Java or Python programming language and experience in designing and implementing effective tests (unit, component, integration, end\-to\-end, performance, etc.)
* Excellent written and verbal communication skills
* Understanding of event\-base architecture, data streaming and messaging frameworks
* Coach other team members on coding practices, design principles, and implementation patterns that lead to high\-quality maintainable solutions.
Manage stakeholders and effectively prioritize work across multiple work streams.  
* 
**Preferred qualifications, capabilities and skills**
* Experience in working in a highly regulated environment / industry
* Understanding of incremental data processing and versioning
* Understanding of RESTful APIs and web technologies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13">
      <c r="A13" t="inlineStr">
        <is>
          <t>in-6c910dde0bc1fe48</t>
        </is>
      </c>
      <c r="B13" t="inlineStr">
        <is>
          <t>Principal Data Engineer - Databricks</t>
        </is>
      </c>
      <c r="C13" t="inlineStr">
        <is>
          <t>Alaska Airlines</t>
        </is>
      </c>
      <c r="D13" t="inlineStr">
        <is>
          <t>indeed</t>
        </is>
      </c>
      <c r="E13" t="inlineStr"/>
      <c r="F13" t="inlineStr"/>
      <c r="G13" t="inlineStr">
        <is>
          <t>SeaTac, WA, US</t>
        </is>
      </c>
      <c r="H13" s="1" t="n">
        <v>46075</v>
      </c>
      <c r="I13" t="inlineStr">
        <is>
          <t>Company: Alaska Airlines The Team:
Guided by our purpose, core values, and leadership principles, we are creating an airline people love. Our corporate teams set the strategies and operational plans to ensure the success of our company. Whether we use our expertise in accounting, human resources, finance, planning, legal, marketing, or any of our operational divisions, our shared passion for travel and our guests is what motivates us to achieve excellence each day. If you share our passion for creating an airline people love, we want to hear from you.
Role Summary:
The Principal Data Engineer is the sole subject matter expert in designing, optimizing, implementing and advancing Alaska Air Group’s Enterprise Data platform using Databricks. As an individual contributor, this role defines long\-term strategy for driving innovation, mentoring teams, partnering on the best technical implementation of Databricks, and ensuring the platform is scalable, secure, and aligned with Business and ITS goals.
Key Duties:
* Act as lead subject matter expert in designing and implementing high\-performance batch or real\-time data pipelines using Apache Spark, Delta Live Tables, and Structured Streaming on Databricks.
* Collaborate with data scientists, analysts, and engineering teams to deliver robust, production grade solutions.
* Define and enforce best practices for workspace governance, job orchestration, and CI/CD integration.
* Optimize cluster configurations, spark parameters, and job execution plans for cost efficiency and speed.
* Evaluate and implement new Databricks features to enhance platform capabilities. Champion the usage and raise awareness of these new features across the teams.
* Exercise considerable latitude and initiative to troubleshoot and resolve performance bottlenecks, memory issues, and streaming latency challenges.
* Lead development and mentor engineers on real\-time streaming solutions, spark internals, delta table optimization strategies, and advanced debugging techniques.
* Implement and manage Unity Catalog for centralized governance, data lineage, and fine\-grained access control.
* Monitor Databricks costs, identify, evaluate and drive implementation for cost reduction opportunities.
* Lead efforts to standardize tagging and metadata practices across the AAG Databricks environment to improve cost attribution, accountability, and reporting.
* Focus on continuous improvement in system reliability through automation and monitoring, including implementation of automated unit testing. Document and create best practices for the development of future teams.
* Collaborate directly with Enterprise Architecture and Security to develop and plan the platforms architecture and security strategies.
* Act as a forward thinker to help ensure that new capabilities are evaluated, implemented, and operationalized.
Job\-Specific Experience, Education \&amp; Skills:
**Required*** 7 years of experience in data engineering, big data platforms, and analytics, including independent work on large\-scale data architectures or a related area.
* Bachelor’s degree, or an additional two years of relevant training/experience in lieu of this degree.
* Expert\-level proficiency in Databricks, Apache Spark.
* Deep understanding of Databricks configurations and hands\-on experience with real\-time streaming using Structured Streaming and Delta Live tables.
* Strong coding skills with Python, SQL and PySpark.
* Expert knowledge and experience in Infrastructure as Code (ARM, Terraform) and CI/CD pipeline (Azure DevOps and/or GitHub preferred).
* Proven ability to optimize data pipelines for performance, reliability, and cost.
* Familiarity with Unity Catalog, Lakehouse Federation.
* Ability to work collaboratively with cross functional teams to understand objectives, gather automation requirements, write technical specifications, and perform in a lead role.
* Experience with Kafka.
* Excellent communication skills and a proven ability to collaborate or contribute to technical debate and design choices with a variety of team members.
* High school diploma or equivalent.
* Minimum age of 18\.
* Must be authorized to work in the U.S.
**Preferred*** Familiarity with Azure, MLflow.
* Certifications such as Databricks Certified Data Engineer Professional or Azure Solutions Architect Expert.
* Experience in Agile (Scrum) or Kanban development methodologies.
* Experience estimating effort and establishing timelines for projects.
* Experience conveying knowledge to diverse groups of people, such as classes, brown bag meetings, or seminars to ensure a consistent application of standards is established.
Job\-Specific Leadership Expectations:
Embody our values to own safety, do the right thing, be caring and kind, and deliver performance.
Salary Range: $138,500 \- $207,750 / year Salary Details:
Pay will be based on multiple factors, including and not limited to location, relevant experience/level and skillset while balancing internal equity relative to other Alaska/Hawaiian/Horizon employees. Alaska/Hawaiian/Horizon is committed to fair, unbiased compensation along with competitive benefits in all locations in which we operate. **Note:** We don’t typically hire at the top of the range.
Total Rewards:
*Alaska Airlines, Hawaiian Airlines and Horizon Air pay and benefits can vary by company, location, number of regularly scheduled hours worked, length of employment, and employment status.*  
* Free stand\-by travel privileges on Alaska Airlines, Hawaiian Airlines \&amp; Horizon Air
* Comprehensive well\-being programs including medical, dental and vision benefits
* Generous 401k match program
* Quarterly and annual bonus plans
* Generous holiday and paid time off
For more information about Alaska/Hawaiian/Horizon Total Rewards please visit our career site and view benefits.
Regulatory Information:
**Equal Employment Opportunity Policy Statement**  
It is the policy of Alaska Airlines, Hawaiian Airlines and Horizon Air to comply with all applicable federal, state and local laws governing nondiscrimination in employment and to ensure equal opportunity in all terms, conditions, and benefits of employment or potential employment.  
We also prohibit discrimination and harassment against any employee or applicant for employment because of race, color, religion, sex, national origin, age, disability, veteran status, genetic information and other legally protected categories.  
We have established an EEO Compliance Program under Section 503 of the Rehabilitation Act of 1973 (“Section 503”) and the Vietnam Era Veteran’s Readjustment Assistance Act of 1974 (“VEVRAA”). All applicants and employees are treated without regard to their race, color, religion, sex, national origin, disability or protected veteran status. In addition, we have established an audit and reporting system to allow for effective measurement of its equal employment opportunity activities.  
To implement this policy, we will:  
(1\) Recruit, hire, train and promote qualified persons in all job titles, without regard to race, color, religion, sex, national origin, age, disability, veteran status, genetic information and any other legally protected categories;
(2\) Ensure that employment decisions are based only on valid job requirements; and
(3\) Ensure that all personnel actions and employment activities such as compensation, benefits, promotions, layoffs, return from layoff, Alaska Airlines, Hawaiian Airlines and Horizon Air sponsored programs, and tuition assistance will be administered without regard to race, color, religion, sex, national origin, age, disability, veteran status, genetic information and other legally protected categories.
Employees and applicants for employment will not be subjected to harassment, intimidation, threats, coercion or discrimination because they have engaged or may engage in (1\) filing a complaint, (2\) opposing any act or practice made unlawful by, or exercising any other right protected by, any Federal, State or local law requiring equal opportunity, including Section 503 and the equal opportunity provisions of VEVRAA, or (3\) assisting or participating in any investigation, compliance evaluation, hearing, or any other activity related to the administration of any Federal, State or local law requiring equal opportunity, including Section 503 and the equal opportunity provisions of
VEVRAA. **Government Contractor \&amp; Department of Transportation (DOT) Regulations**  
Alaska Airlines, Hawaiian Airlines \&amp; Horizon Air are regulated by the Department of Transportation (DOT – regulations, 49 CFR part 40\) and all applicants are advised that post\-offer and/or pre\-employment drug testing will be conducted to determine the presence of marijuana, cocaine, opioids, phencyclidine (PCP) and amphetamines or a metabolite of these drugs prior to any offer or employment or transfer into a safety\-sensitive position. Failure to submit to testing or positive indications of drug use will render the applicant ineligible for employment with Alaska Airlines/Hawaiian Airlines/Horizon Air and any employment offer will be withdrawn.
FLSA Status: Exempt Employment Type: Full\-Time Regular/Temporary: Regular Requisition Type: Management Location: Seattle \- Hub Featured Job: 0 L:: \#LI\-B</t>
        </is>
      </c>
    </row>
    <row r="14">
      <c r="A14" t="inlineStr">
        <is>
          <t>in-7bb1becaa3bb4909</t>
        </is>
      </c>
      <c r="B14" t="inlineStr">
        <is>
          <t>Data Engineer</t>
        </is>
      </c>
      <c r="C14" t="inlineStr">
        <is>
          <t>Books-A-Million</t>
        </is>
      </c>
      <c r="D14" t="inlineStr">
        <is>
          <t>indeed</t>
        </is>
      </c>
      <c r="E14" t="inlineStr"/>
      <c r="F14" t="inlineStr"/>
      <c r="G14" t="inlineStr">
        <is>
          <t>Birmingham, AL, US</t>
        </is>
      </c>
      <c r="H14" s="1" t="n">
        <v>46075</v>
      </c>
      <c r="I14" t="inlineStr">
        <is>
          <t>**About the Job**
This position is located at our Birmingham, AL Home Office.
**Role Summary**
Books\-A\-Million, one of the nation’s leading book retailers, headquartered in Birmingham, is seeking a skilled **Data Engineer** to support a major digital transformation initiative focused on building a modern, enterprise\-grade data lakehouse. This role will design, develop, and maintain scalable data pipelines and architecture, ensuring data integrity, reliability, and performance to support advanced analytics and future data science efforts. The ideal candidate thrives in greenfield environments and is passionate about building high\-quality, scalable data systems; experience with data science concepts is a plus.
**Role Responsibilities**
**Digital Transformation \&amp; Data Architecture**
* Support Books\-A\-Million’s enterprise digital transformation initiative
* Design and build a modern, enterprise\-grade data lakehouse architecture
* Establish scalable, foundational data infrastructure in a greenfield environment
**Data Engineering \&amp; Pipeline Development**
* Develop, deploy, and maintain robust, scalable data pipelines
* Implement optimized data storage solutions
* Ensure efficient data ingestion, transformation, and integration processes.
**Data Quality, Governance \&amp; Performance**
* Ensure data integrity, reliability, and system performance
* Maintain high standards for data quality and consistency
* Support sustainable, scalable data operations
**Analytics \&amp; Advanced Capabilities Enablement**
* Build infrastructure to support advanced analytics and future data science initiatives
* Collaborate with Data \&amp; Analytics teams to enable reporting and insights
* Contribute to expanding enterprise data capabilities
**Innovation \&amp; Continuous Improvement**
* Thrive in build\-from\-scratch environments
* Identify opportunities to improve scalability and system efficiency
* Apply forward\-thinking, problem\-solving approaches to data system design
**Role Qualifications**
* Bachelor’s degree in computer science, Engineering, or a related technical field or appropriate experience.
* Proven experience as a Data Engineer, ETL Developer, or in a similar role.
* Strong programming skills in a language such as Python, Java, or Scala.
* Proficiency in SQL and experience with relational and non\-relational databases.
* Hands\-on experience with cloud platforms (e.g., AWS, Azure, GCP) and their data services (e.g., S3, Redshift, BigQuery).
* Experience with data pipeline and workflow orchestration tools (e.g., Airflow, Prefect, Dagster, Fivetran).
* Familiarity with data modeling concepts and best practices.
* A huge plus: Experience or knowledge in data science, machine learning, or statistical modeling.
* Strong problem\-solving skills and the ability to work independently and as part of a team.
**The Perks**
At Books\-A\-Million, we believe in taking care of our employees. As part of the team, you’ll enjoy a comprehensive benefits package, including:
* **Competitive Compensation**: We offer competitive pay and performance\-based incentives.
* **Health \&amp; Wellness**: Medical, dental, and vision insurance to keep you healthy.
* **Paid Time Off (PTO)**: Enjoy generous PTO and paid holidays.
* **Employee Discounts**: Get discounts on books and other products across our stores.
* **Retirement Savings**: Build your future with our 401(k) plan and company contributions.
**Equal Employment Opportunity (EEO) Statement**
Books\-A\-Million is an equal opportunity employer committed to fostering a diverse, inclusive, and welcoming workplace. We celebrate and embrace differences, and we strive to create an environment where every individual feels valued and empowered. We do not discriminate based on race, color, religion, gender, gender identity or expression, sexual orientation, age, national origin, disability, veteran status, or any other characteristic protected by federal, state, or local law.
All qualified applicants will receive consideration for employment without regard to their background or personal characteristics. We are dedicated to creating a culture of respect, equity, and opportunity for all employees, and we encourage individuals from all backgrounds to apply.</t>
        </is>
      </c>
    </row>
    <row r="15">
      <c r="A15" t="inlineStr">
        <is>
          <t>in-152d1a7ce86219a0</t>
        </is>
      </c>
      <c r="B15" t="inlineStr">
        <is>
          <t>Senior Data Engineer</t>
        </is>
      </c>
      <c r="C15" t="inlineStr">
        <is>
          <t>Mastercard</t>
        </is>
      </c>
      <c r="D15" t="inlineStr">
        <is>
          <t>indeed</t>
        </is>
      </c>
      <c r="E15" t="inlineStr"/>
      <c r="F15" t="inlineStr"/>
      <c r="G15" t="inlineStr">
        <is>
          <t>Arlington, VA, US</t>
        </is>
      </c>
      <c r="H15" s="1" t="n">
        <v>46075</v>
      </c>
      <c r="I15" t="inlineStr">
        <is>
          <t>**Our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Senior Data Engineer
Overview:
Mastercard Services Technology is seeking a Senior Data Engineer to contribute to the data management aspects of client engagements for Test \&amp; Learn and other Services products. In this role, you will develop robust data pipelines, implement scalable data solutions, and collaborate with cross\-functional teams. Engineers work in small, flexible teams. Every team member contributes to designing, building, and testing features.
The Test \&amp; Learn team aims to build industry\-leading business experimentation software that brings sophisticated analytic techniques to business users around the world. We are rapidly expanding our product offerings and innovating on how we deliver Test \&amp; Learn solutions to our clients.
This is a hybrid role based in Arlington, VA, with an expectation of three days per week onsite.  
Role:
* Independently lead parallel projects through design, implementation, automation, and maintenance of large\-scale enterprise ETL processes for a global client base.
* Act as an expert technical resource within the team and region
* Deliver on\-time, accurate, high\-value, and robust data solutions across multiple clients and industry sectors.
* Use SQL and other database technologies to optimize data processing. Develop scalable and efficient code to reduce the time required to handle large data sets.
* Partner with analytics and business stakeholders to understand business questions and translate them into data requirements.
* Leverage industry best practices, including version control, code reviews, and data validation, to ensure quality in data processes.
* Implement best practices and design streamlined processes to automate routine data tasks.
* Collaborate with and support junior Data Engineers, ensuring efficient execution of their tasks while providing mentorship and guidance.
* Build trust\-based working relationships with peers and clients across local and global teams.
* Comply and uphold all Mastercard internal policies and external regulations.
All About You:
* Experience as a Data Engineer or in a similar role, with a strong understanding of data engineering concepts and methodologies, including data modeling and database design to support scalable data solutions.
* Proven self\-motivated professional with experience working on collaborative teams
* Expertise writing and optimizing SQL queries to retrieve, manipulate, and analyze data efficiently.
* Experience with Relational Databases (RDBMS), with strong hands\-on expertise in Microsoft SQL Server and related technologies.
* Familiarity with ETL frameworks and the ability to design, implement, and maintain data pipelines.
* Experience with Databricks and Spark is a plus, but not required.
* Demonstrate curiosity about emerging developer productivity tools (e.g., GitHub Copilot); prior experience is not required, but a willingness to learn and experiment is highly valued.
* Demonstrate skills in the ability to innovate, think critically and disaggregate problems.
* Able to manage multiple projects and differing project priorities. Able to provide oversight, validation, and quality control to team’s work product.
* Excellent verbal and written communication skills, with the ability to articulate complex ideas clearly and concisely to both technical and non\-technical stakeholders.
* Bachelor's degree in a quantitative discipline such as Engineering, Mathematics, Finance, Business, or a related field. Equivalent practical experience may also be considered.
This role is not eligible for Mastercard’s work authorization sponsorship. As such, candidates must be eligible to work in the United States, now as well as in the future, without employer sponsorship.  
\#LI\-NF1  
\#AI3
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and may be eligible for an annual bonus or commissions depending on the role. The base salary offered may vary depending on multiple factors, including but not limited to location, job\-related knowledge, skills, and experience. Mastercard benefits for full time (and certain part time) employees generally include: insurance (including medical, prescription drug, dental, vision, disability, life insurance); flexible spending account and health savings account; paid leaves (including 16 weeks of new parent leave and up to 20 days of bereavement leave); 80 hours of Paid Sick and Safe Time, 25 days of vacation time and 5 personal days, pro\-rated based on date of hire; 10 annual paid U.S. observed holidays; 401k with a best\-in\-class company match; deferred compensation for eligible roles; fitness reimbursement or on\-site fitness facilities; eligibility for tuition reimbursement; and many more. Mastercard benefits for interns generally include: 56 hours of Paid Sick and Safe Time; jury duty leave; and on\-site fitness facilities in some locations.**Pay Ranges**
Arlington, Virginia: $132,000 \- $212,000 USD</t>
        </is>
      </c>
    </row>
    <row r="16">
      <c r="A16" t="inlineStr">
        <is>
          <t>in-4ef65db0c8cded69</t>
        </is>
      </c>
      <c r="B16" t="inlineStr">
        <is>
          <t>Data Engineer</t>
        </is>
      </c>
      <c r="C16" t="inlineStr">
        <is>
          <t>Fairview Health Services</t>
        </is>
      </c>
      <c r="D16" t="inlineStr">
        <is>
          <t>indeed</t>
        </is>
      </c>
      <c r="E16" t="inlineStr"/>
      <c r="F16" t="inlineStr"/>
      <c r="G16" t="inlineStr">
        <is>
          <t>Minneapolis, MN, US</t>
        </is>
      </c>
      <c r="H16" s="1" t="n">
        <v>46075</v>
      </c>
      <c r="I16" t="inlineStr">
        <is>
          <t>Responsibilities/Job Description:
Fairview Health Services seeks applicants for Data Engineer at its location in Minneapolis, MN.  
* Duties include implementation, maintenance and architecture of the MHealth Fairview data environment, leveraging data tools to acquire, restructure, and store enterprise data in a data warehouse and data marts.
* Plan, design and deploy enterprise data strategies by analyzing and translating business needs into long\-term solution data models.
* Support Fairview’s partnership with major academic institution focusing on healthcare research.
* Benefits: comprehensive package to include PTO, Medical, Dental, Vision, Retirement Savings.
* Epic data integration; ETL processes; data validation;
**Requirements:**
* Master’s degree in Technology Management, Computer Science, Data Engineering or related, plus 3 years experience (or Bachelor’s degree plus 5 years exp.) in healthcare data engineering to include: Epic Data Models (Caboodle, Cogito, Clarity, Clinical)
* Experience with C, C\+\+; Java, Python, RDBMS (Oracle, MS Access, MySql, PostgreSQL,);
* Experience performing Oracle to Microsoft SQL mappings;
* Experience with NoSQL databases (Hbase, Cassandra);
* Experience with Big Data Ecosystem utilizing Hadoop, MapReduce, Hive, Pig, Oozie, Sqoop, Kafka, Spark);
* Experience with ETL and data integration tools (IBM DataStage, DBeaver, ER/Studio for data modeling and transformation; experience developing ETL Flow Dashboards for data pipeline monitoring and reporting;
* Experience with Power BI Development, creating interactive reports and dashboards for data visualization and analytics.
* Interpreting statistical reliability and data quality within healthcare datasets
* Experience supporting clinical research initiatives;
Qualifications:
Salary: $113,000/year</t>
        </is>
      </c>
    </row>
    <row r="17">
      <c r="A17" t="inlineStr">
        <is>
          <t>in-9ac2d924b0b5879e</t>
        </is>
      </c>
      <c r="B17" t="inlineStr">
        <is>
          <t>Azure Data Engineer-2</t>
        </is>
      </c>
      <c r="C17" t="inlineStr">
        <is>
          <t>Realign</t>
        </is>
      </c>
      <c r="D17" t="inlineStr">
        <is>
          <t>indeed</t>
        </is>
      </c>
      <c r="E17" t="inlineStr"/>
      <c r="F17" t="inlineStr"/>
      <c r="G17" t="inlineStr">
        <is>
          <t>Bellevue, WA, US</t>
        </is>
      </c>
      <c r="H17" s="1" t="n">
        <v>46077</v>
      </c>
      <c r="I17" t="inlineStr">
        <is>
          <t>Bellevue, Washington 98004 Posted February 25th, 2026
 Looking for more job opportunities? Click here!
Job Type: Contract
Job Category: IT
Job Description
**Role** : Azure Data Engineer  
**Location** : Bellevue, WA  
Contract **Mandatory Skill Sets:*** Strong experience in Data Engineering , Python, Snowflake, SQL, Azure
* Hands\-on expertise with ETL/data pipelines
* Experience with large\-scale data processing frameworks
* Strong SQL and data modelling knowledge
* Experience working in Agile/Scrum delivery models
* Ability to work onsite and collaborate with cross\-functional teams
* Cloud data platforms (AWS/Azure/GCP)
* Performance optimization and data quality management
* Production support and troubleshooting experience
Required Skills
DEVOPS ENGINEER
 SENIOR EMAIL SECURITY ENGINEER</t>
        </is>
      </c>
    </row>
    <row r="18">
      <c r="A18" t="inlineStr">
        <is>
          <t>in-50332f23365d6c8f</t>
        </is>
      </c>
      <c r="B18" t="inlineStr">
        <is>
          <t>AWS Data Platform Engineer</t>
        </is>
      </c>
      <c r="C18" t="inlineStr">
        <is>
          <t>Concentrix</t>
        </is>
      </c>
      <c r="D18" t="inlineStr">
        <is>
          <t>indeed</t>
        </is>
      </c>
      <c r="E18" t="inlineStr"/>
      <c r="F18" t="inlineStr"/>
      <c r="G18" t="inlineStr">
        <is>
          <t>VA, US</t>
        </is>
      </c>
      <c r="H18" s="1" t="n">
        <v>46077</v>
      </c>
      <c r="I18" t="inlineStr">
        <is>
          <t>**Title: AWS Data Platform Engineer**
**Location: Remote in USA**
**Key Responsibilities**
Preferred 6\+ years of experience
**AWS Data Lake Architecture \&amp; Setup**
* Design and maintain scalable **AWS Data Lakes** using:
	+ **Amazon S3** for multi\-zone data storage (raw, curated, processed)
	+ **AWS Glue** Jobs, Crawlers, and Data Catalog
	+ **AWS Lake Formation** for centralized governance and security
* Configure Lake Formation capabilities:
	+ Row/column\-level access control
	+ Tag\-based access control (LF\-TBAC)
	+ Governed table permissions
	+ Cross\-account data sharing
* Implement best practices in:
	+ Data partitioning
	+ Schema evolution
	+ Metadata and catalog management
* Build and optimize ingestion and ETL pipelines for batch or near\-real\-time workloads.
**AWS Serverless Development**
* Develop serverless applications using:
	+ **Lambda**
	+ **API Gateway**
	+ **EventBridge**
	+ **SNS/SQS**
	+ **Step Functions**
* Build and tune AWS Glue ETL jobs using Python and PySpark.
* Implement cost\-efficient, highly scalable, event\-driven architectures.
**Monitoring, Logging \&amp; Observability**
* Implement monitoring and alerting using:
	+ **Amazon CloudWatch Logs, Metrics \&amp; Dashboards**
	+ CloudWatch Alarms for proactive incident detection
* Use CloudWatch Log Insights for log analytics and troubleshooting.
* Configure **AWS X\-Ray** for distributed tracing and end\-to\-end visibility.
* Build automated alerts around:
	+ Lambda failures
	+ Glue job errors
	+ Data pipeline SLAs
	+ Performance anomalies
**Data Engineering \&amp; Spark**
* Develop ETL pipelines using **PySpark** on AWS Glue or EMR.
* Optimize Spark workloads for performance, cost, and scaling.
* Troubleshoot distributed data issues and tune job performance.
**Python Development**
* Write clean Python code for Lambda functions, Glue jobs, and automation tools.
* Develop shared internal libraries for ETL, monitoring, and data governance.
* Implement automated CI/CD delivery pipelines.
**DevOps \&amp; Cloud Platform Automation**
* Use Infrastructure\-as\-Code tools including:
	+ **Terraform** (modules, workspaces, state management)
	+ AWS CloudFormation or CDK (optional but beneficial)
* Implement:
	+ Automated provisioning of AWS resources
	+ Version\-controlled, repeatable deployments
	+ Secure IAM roles and resource policies
* Configure monitoring, alerting, logging pipelines, and operational dashboards.
The base salary range for this position is $92,250 \- $131,786,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03/02/2026\.This position is for an existing, immediate vacancy. We are currently seeking to fill this role with an individual who can start as soon as possible.
**\#Concentrix**
**\#Remote**</t>
        </is>
      </c>
    </row>
    <row r="19">
      <c r="A19" t="inlineStr">
        <is>
          <t>in-488784d73124ca5d</t>
        </is>
      </c>
      <c r="B19" t="inlineStr">
        <is>
          <t>AWS Data Platform Engineer</t>
        </is>
      </c>
      <c r="C19" t="inlineStr">
        <is>
          <t>Concentrix</t>
        </is>
      </c>
      <c r="D19" t="inlineStr">
        <is>
          <t>indeed</t>
        </is>
      </c>
      <c r="E19" t="inlineStr"/>
      <c r="F19" t="inlineStr"/>
      <c r="G19" t="inlineStr">
        <is>
          <t>WI, US</t>
        </is>
      </c>
      <c r="H19" s="1" t="n">
        <v>46077</v>
      </c>
      <c r="I19" t="inlineStr">
        <is>
          <t>**Title: AWS Data Platform Engineer**
**Location: Remote in USA**
**Key Responsibilities**
Preferred 6\+ years of experience
**AWS Data Lake Architecture \&amp; Setup**
* Design and maintain scalable **AWS Data Lakes** using:
	+ **Amazon S3** for multi\-zone data storage (raw, curated, processed)
	+ **AWS Glue** Jobs, Crawlers, and Data Catalog
	+ **AWS Lake Formation** for centralized governance and security
* Configure Lake Formation capabilities:
	+ Row/column\-level access control
	+ Tag\-based access control (LF\-TBAC)
	+ Governed table permissions
	+ Cross\-account data sharing
* Implement best practices in:
	+ Data partitioning
	+ Schema evolution
	+ Metadata and catalog management
* Build and optimize ingestion and ETL pipelines for batch or near\-real\-time workloads.
**AWS Serverless Development**
* Develop serverless applications using:
	+ **Lambda**
	+ **API Gateway**
	+ **EventBridge**
	+ **SNS/SQS**
	+ **Step Functions**
* Build and tune AWS Glue ETL jobs using Python and PySpark.
* Implement cost\-efficient, highly scalable, event\-driven architectures.
**Monitoring, Logging \&amp; Observability**
* Implement monitoring and alerting using:
	+ **Amazon CloudWatch Logs, Metrics \&amp; Dashboards**
	+ CloudWatch Alarms for proactive incident detection
* Use CloudWatch Log Insights for log analytics and troubleshooting.
* Configure **AWS X\-Ray** for distributed tracing and end\-to\-end visibility.
* Build automated alerts around:
	+ Lambda failures
	+ Glue job errors
	+ Data pipeline SLAs
	+ Performance anomalies
**Data Engineering \&amp; Spark**
* Develop ETL pipelines using **PySpark** on AWS Glue or EMR.
* Optimize Spark workloads for performance, cost, and scaling.
* Troubleshoot distributed data issues and tune job performance.
**Python Development**
* Write clean Python code for Lambda functions, Glue jobs, and automation tools.
* Develop shared internal libraries for ETL, monitoring, and data governance.
* Implement automated CI/CD delivery pipelines.
**DevOps \&amp; Cloud Platform Automation**
* Use Infrastructure\-as\-Code tools including:
	+ **Terraform** (modules, workspaces, state management)
	+ AWS CloudFormation or CDK (optional but beneficial)
* Implement:
	+ Automated provisioning of AWS resources
	+ Version\-controlled, repeatable deployments
	+ Secure IAM roles and resource policies
* Configure monitoring, alerting, logging pipelines, and operational dashboards.
The base salary range for this position is $92,250 \- $131,786,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03/02/2026\.This position is for an existing, immediate vacancy. We are currently seeking to fill this role with an individual who can start as soon as possible.
**\#Concentrix**
**\#Remote**</t>
        </is>
      </c>
    </row>
    <row r="20">
      <c r="A20" t="inlineStr">
        <is>
          <t>in-3a83a03051de71cc</t>
        </is>
      </c>
      <c r="B20" t="inlineStr">
        <is>
          <t>AWS Data Platform Engineer</t>
        </is>
      </c>
      <c r="C20" t="inlineStr">
        <is>
          <t>Concentrix</t>
        </is>
      </c>
      <c r="D20" t="inlineStr">
        <is>
          <t>indeed</t>
        </is>
      </c>
      <c r="E20" t="inlineStr"/>
      <c r="F20" t="inlineStr"/>
      <c r="G20" t="inlineStr">
        <is>
          <t>WY, US</t>
        </is>
      </c>
      <c r="H20" s="1" t="n">
        <v>46077</v>
      </c>
      <c r="I20" t="inlineStr">
        <is>
          <t>**Title: AWS Data Platform Engineer**
**Location: Remote in USA**
**Key Responsibilities**
Preferred 6\+ years of experience
**AWS Data Lake Architecture \&amp; Setup**
* Design and maintain scalable **AWS Data Lakes** using:
	+ **Amazon S3** for multi\-zone data storage (raw, curated, processed)
	+ **AWS Glue** Jobs, Crawlers, and Data Catalog
	+ **AWS Lake Formation** for centralized governance and security
* Configure Lake Formation capabilities:
	+ Row/column\-level access control
	+ Tag\-based access control (LF\-TBAC)
	+ Governed table permissions
	+ Cross\-account data sharing
* Implement best practices in:
	+ Data partitioning
	+ Schema evolution
	+ Metadata and catalog management
* Build and optimize ingestion and ETL pipelines for batch or near\-real\-time workloads.
**AWS Serverless Development**
* Develop serverless applications using:
	+ **Lambda**
	+ **API Gateway**
	+ **EventBridge**
	+ **SNS/SQS**
	+ **Step Functions**
* Build and tune AWS Glue ETL jobs using Python and PySpark.
* Implement cost\-efficient, highly scalable, event\-driven architectures.
**Monitoring, Logging \&amp; Observability**
* Implement monitoring and alerting using:
	+ **Amazon CloudWatch Logs, Metrics \&amp; Dashboards**
	+ CloudWatch Alarms for proactive incident detection
* Use CloudWatch Log Insights for log analytics and troubleshooting.
* Configure **AWS X\-Ray** for distributed tracing and end\-to\-end visibility.
* Build automated alerts around:
	+ Lambda failures
	+ Glue job errors
	+ Data pipeline SLAs
	+ Performance anomalies
**Data Engineering \&amp; Spark**
* Develop ETL pipelines using **PySpark** on AWS Glue or EMR.
* Optimize Spark workloads for performance, cost, and scaling.
* Troubleshoot distributed data issues and tune job performance.
**Python Development**
* Write clean Python code for Lambda functions, Glue jobs, and automation tools.
* Develop shared internal libraries for ETL, monitoring, and data governance.
* Implement automated CI/CD delivery pipelines.
**DevOps \&amp; Cloud Platform Automation**
* Use Infrastructure\-as\-Code tools including:
	+ **Terraform** (modules, workspaces, state management)
	+ AWS CloudFormation or CDK (optional but beneficial)
* Implement:
	+ Automated provisioning of AWS resources
	+ Version\-controlled, repeatable deployments
	+ Secure IAM roles and resource policies
* Configure monitoring, alerting, logging pipelines, and operational dashboards.
The base salary range for this position is $92,250 \- $131,786,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03/02/2026\.This position is for an existing, immediate vacancy. We are currently seeking to fill this role with an individual who can start as soon as possible.
**\#Concentrix**
**\#Remote**</t>
        </is>
      </c>
    </row>
    <row r="21">
      <c r="A21" t="inlineStr">
        <is>
          <t>in-4cf9f1be1b3cebb3</t>
        </is>
      </c>
      <c r="B21" t="inlineStr">
        <is>
          <t>AWS Data Platform Engineer</t>
        </is>
      </c>
      <c r="C21" t="inlineStr">
        <is>
          <t>Concentrix</t>
        </is>
      </c>
      <c r="D21" t="inlineStr">
        <is>
          <t>indeed</t>
        </is>
      </c>
      <c r="E21" t="inlineStr"/>
      <c r="F21" t="inlineStr"/>
      <c r="G21" t="inlineStr">
        <is>
          <t>VT, US</t>
        </is>
      </c>
      <c r="H21" s="1" t="n">
        <v>46077</v>
      </c>
      <c r="I21" t="inlineStr">
        <is>
          <t>**Title: AWS Data Platform Engineer**
**Location: Remote in USA**
**Key Responsibilities**
Preferred 6\+ years of experience
**AWS Data Lake Architecture \&amp; Setup**
* Design and maintain scalable **AWS Data Lakes** using:
	+ **Amazon S3** for multi\-zone data storage (raw, curated, processed)
	+ **AWS Glue** Jobs, Crawlers, and Data Catalog
	+ **AWS Lake Formation** for centralized governance and security
* Configure Lake Formation capabilities:
	+ Row/column\-level access control
	+ Tag\-based access control (LF\-TBAC)
	+ Governed table permissions
	+ Cross\-account data sharing
* Implement best practices in:
	+ Data partitioning
	+ Schema evolution
	+ Metadata and catalog management
* Build and optimize ingestion and ETL pipelines for batch or near\-real\-time workloads.
**AWS Serverless Development**
* Develop serverless applications using:
	+ **Lambda**
	+ **API Gateway**
	+ **EventBridge**
	+ **SNS/SQS**
	+ **Step Functions**
* Build and tune AWS Glue ETL jobs using Python and PySpark.
* Implement cost\-efficient, highly scalable, event\-driven architectures.
**Monitoring, Logging \&amp; Observability**
* Implement monitoring and alerting using:
	+ **Amazon CloudWatch Logs, Metrics \&amp; Dashboards**
	+ CloudWatch Alarms for proactive incident detection
* Use CloudWatch Log Insights for log analytics and troubleshooting.
* Configure **AWS X\-Ray** for distributed tracing and end\-to\-end visibility.
* Build automated alerts around:
	+ Lambda failures
	+ Glue job errors
	+ Data pipeline SLAs
	+ Performance anomalies
**Data Engineering \&amp; Spark**
* Develop ETL pipelines using **PySpark** on AWS Glue or EMR.
* Optimize Spark workloads for performance, cost, and scaling.
* Troubleshoot distributed data issues and tune job performance.
**Python Development**
* Write clean Python code for Lambda functions, Glue jobs, and automation tools.
* Develop shared internal libraries for ETL, monitoring, and data governance.
* Implement automated CI/CD delivery pipelines.
**DevOps \&amp; Cloud Platform Automation**
* Use Infrastructure\-as\-Code tools including:
	+ **Terraform** (modules, workspaces, state management)
	+ AWS CloudFormation or CDK (optional but beneficial)
* Implement:
	+ Automated provisioning of AWS resources
	+ Version\-controlled, repeatable deployments
	+ Secure IAM roles and resource policies
* Configure monitoring, alerting, logging pipelines, and operational dashboards.
The base salary range for this position is $92,250 \- $131,786,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03/02/2026\.This position is for an existing, immediate vacancy. We are currently seeking to fill this role with an individual who can start as soon as possible.
**\#Concentrix**
**\#Remote**</t>
        </is>
      </c>
    </row>
    <row r="22">
      <c r="A22" t="inlineStr">
        <is>
          <t>in-09088ced465b49f7</t>
        </is>
      </c>
      <c r="B22" t="inlineStr">
        <is>
          <t>AWS Data Platform Engineer</t>
        </is>
      </c>
      <c r="C22" t="inlineStr">
        <is>
          <t>Concentrix</t>
        </is>
      </c>
      <c r="D22" t="inlineStr">
        <is>
          <t>indeed</t>
        </is>
      </c>
      <c r="E22" t="inlineStr"/>
      <c r="F22" t="inlineStr"/>
      <c r="G22" t="inlineStr">
        <is>
          <t>PA, US</t>
        </is>
      </c>
      <c r="H22" s="1" t="n">
        <v>46077</v>
      </c>
      <c r="I22" t="inlineStr">
        <is>
          <t>**Title: AWS Data Platform Engineer**
**Location: Remote in USA**
**Key Responsibilities**
Preferred 6\+ years of experience
**AWS Data Lake Architecture \&amp; Setup**
* Design and maintain scalable **AWS Data Lakes** using:
	+ **Amazon S3** for multi\-zone data storage (raw, curated, processed)
	+ **AWS Glue** Jobs, Crawlers, and Data Catalog
	+ **AWS Lake Formation** for centralized governance and security
* Configure Lake Formation capabilities:
	+ Row/column\-level access control
	+ Tag\-based access control (LF\-TBAC)
	+ Governed table permissions
	+ Cross\-account data sharing
* Implement best practices in:
	+ Data partitioning
	+ Schema evolution
	+ Metadata and catalog management
* Build and optimize ingestion and ETL pipelines for batch or near\-real\-time workloads.
**AWS Serverless Development**
* Develop serverless applications using:
	+ **Lambda**
	+ **API Gateway**
	+ **EventBridge**
	+ **SNS/SQS**
	+ **Step Functions**
* Build and tune AWS Glue ETL jobs using Python and PySpark.
* Implement cost\-efficient, highly scalable, event\-driven architectures.
**Monitoring, Logging \&amp; Observability**
* Implement monitoring and alerting using:
	+ **Amazon CloudWatch Logs, Metrics \&amp; Dashboards**
	+ CloudWatch Alarms for proactive incident detection
* Use CloudWatch Log Insights for log analytics and troubleshooting.
* Configure **AWS X\-Ray** for distributed tracing and end\-to\-end visibility.
* Build automated alerts around:
	+ Lambda failures
	+ Glue job errors
	+ Data pipeline SLAs
	+ Performance anomalies
**Data Engineering \&amp; Spark**
* Develop ETL pipelines using **PySpark** on AWS Glue or EMR.
* Optimize Spark workloads for performance, cost, and scaling.
* Troubleshoot distributed data issues and tune job performance.
**Python Development**
* Write clean Python code for Lambda functions, Glue jobs, and automation tools.
* Develop shared internal libraries for ETL, monitoring, and data governance.
* Implement automated CI/CD delivery pipelines.
**DevOps \&amp; Cloud Platform Automation**
* Use Infrastructure\-as\-Code tools including:
	+ **Terraform** (modules, workspaces, state management)
	+ AWS CloudFormation or CDK (optional but beneficial)
* Implement:
	+ Automated provisioning of AWS resources
	+ Version\-controlled, repeatable deployments
	+ Secure IAM roles and resource policies
* Configure monitoring, alerting, logging pipelines, and operational dashboards.
The base salary range for this position is $92,250 \- $131,786,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03/02/2026\.This position is for an existing, immediate vacancy. We are currently seeking to fill this role with an individual who can start as soon as possible.
**\#Concentrix**
**\#Remote**</t>
        </is>
      </c>
    </row>
    <row r="23">
      <c r="A23" t="inlineStr">
        <is>
          <t>in-918a7e3c1ab3b499</t>
        </is>
      </c>
      <c r="B23" t="inlineStr">
        <is>
          <t>AWS Data Platform Engineer</t>
        </is>
      </c>
      <c r="C23" t="inlineStr">
        <is>
          <t>Concentrix</t>
        </is>
      </c>
      <c r="D23" t="inlineStr">
        <is>
          <t>indeed</t>
        </is>
      </c>
      <c r="E23" t="inlineStr"/>
      <c r="F23" t="inlineStr"/>
      <c r="G23" t="inlineStr">
        <is>
          <t>CO, US</t>
        </is>
      </c>
      <c r="H23" s="1" t="n">
        <v>46077</v>
      </c>
      <c r="I23" t="inlineStr">
        <is>
          <t>**Title: AWS Data Platform Engineer**
**Location: Remote in USA**
**Key Responsibilities**
Preferred 6\+ years of experience
**AWS Data Lake Architecture \&amp; Setup**
* Design and maintain scalable **AWS Data Lakes** using:
	+ **Amazon S3** for multi\-zone data storage (raw, curated, processed)
	+ **AWS Glue** Jobs, Crawlers, and Data Catalog
	+ **AWS Lake Formation** for centralized governance and security
* Configure Lake Formation capabilities:
	+ Row/column\-level access control
	+ Tag\-based access control (LF\-TBAC)
	+ Governed table permissions
	+ Cross\-account data sharing
* Implement best practices in:
	+ Data partitioning
	+ Schema evolution
	+ Metadata and catalog management
* Build and optimize ingestion and ETL pipelines for batch or near\-real\-time workloads.
**AWS Serverless Development**
* Develop serverless applications using:
	+ **Lambda**
	+ **API Gateway**
	+ **EventBridge**
	+ **SNS/SQS**
	+ **Step Functions**
* Build and tune AWS Glue ETL jobs using Python and PySpark.
* Implement cost\-efficient, highly scalable, event\-driven architectures.
**Monitoring, Logging \&amp; Observability**
* Implement monitoring and alerting using:
	+ **Amazon CloudWatch Logs, Metrics \&amp; Dashboards**
	+ CloudWatch Alarms for proactive incident detection
* Use CloudWatch Log Insights for log analytics and troubleshooting.
* Configure **AWS X\-Ray** for distributed tracing and end\-to\-end visibility.
* Build automated alerts around:
	+ Lambda failures
	+ Glue job errors
	+ Data pipeline SLAs
	+ Performance anomalies
**Data Engineering \&amp; Spark**
* Develop ETL pipelines using **PySpark** on AWS Glue or EMR.
* Optimize Spark workloads for performance, cost, and scaling.
* Troubleshoot distributed data issues and tune job performance.
**Python Development**
* Write clean Python code for Lambda functions, Glue jobs, and automation tools.
* Develop shared internal libraries for ETL, monitoring, and data governance.
* Implement automated CI/CD delivery pipelines.
**DevOps \&amp; Cloud Platform Automation**
* Use Infrastructure\-as\-Code tools including:
	+ **Terraform** (modules, workspaces, state management)
	+ AWS CloudFormation or CDK (optional but beneficial)
* Implement:
	+ Automated provisioning of AWS resources
	+ Version\-controlled, repeatable deployments
	+ Secure IAM roles and resource policies
* Configure monitoring, alerting, logging pipelines, and operational dashboards.
The base salary range for this position is $92,250 \- $131,786,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03/02/2026\.This position is for an existing, immediate vacancy. We are currently seeking to fill this role with an individual who can start as soon as possible.
**\#Concentrix**
**\#Remote**</t>
        </is>
      </c>
    </row>
    <row r="24">
      <c r="A24" t="inlineStr">
        <is>
          <t>in-df850d0800211a6f</t>
        </is>
      </c>
      <c r="B24" t="inlineStr">
        <is>
          <t>AWS Data Platform Engineer</t>
        </is>
      </c>
      <c r="C24" t="inlineStr">
        <is>
          <t>Concentrix</t>
        </is>
      </c>
      <c r="D24" t="inlineStr">
        <is>
          <t>indeed</t>
        </is>
      </c>
      <c r="E24" t="inlineStr"/>
      <c r="F24" t="inlineStr"/>
      <c r="G24" t="inlineStr">
        <is>
          <t>OH, US</t>
        </is>
      </c>
      <c r="H24" s="1" t="n">
        <v>46077</v>
      </c>
      <c r="I24" t="inlineStr">
        <is>
          <t>**Title: AWS Data Platform Engineer**
**Location: Remote in USA**
**Key Responsibilities**
Preferred 6\+ years of experience
**AWS Data Lake Architecture \&amp; Setup**
* Design and maintain scalable **AWS Data Lakes** using:
	+ **Amazon S3** for multi\-zone data storage (raw, curated, processed)
	+ **AWS Glue** Jobs, Crawlers, and Data Catalog
	+ **AWS Lake Formation** for centralized governance and security
* Configure Lake Formation capabilities:
	+ Row/column\-level access control
	+ Tag\-based access control (LF\-TBAC)
	+ Governed table permissions
	+ Cross\-account data sharing
* Implement best practices in:
	+ Data partitioning
	+ Schema evolution
	+ Metadata and catalog management
* Build and optimize ingestion and ETL pipelines for batch or near\-real\-time workloads.
**AWS Serverless Development**
* Develop serverless applications using:
	+ **Lambda**
	+ **API Gateway**
	+ **EventBridge**
	+ **SNS/SQS**
	+ **Step Functions**
* Build and tune AWS Glue ETL jobs using Python and PySpark.
* Implement cost\-efficient, highly scalable, event\-driven architectures.
**Monitoring, Logging \&amp; Observability**
* Implement monitoring and alerting using:
	+ **Amazon CloudWatch Logs, Metrics \&amp; Dashboards**
	+ CloudWatch Alarms for proactive incident detection
* Use CloudWatch Log Insights for log analytics and troubleshooting.
* Configure **AWS X\-Ray** for distributed tracing and end\-to\-end visibility.
* Build automated alerts around:
	+ Lambda failures
	+ Glue job errors
	+ Data pipeline SLAs
	+ Performance anomalies
**Data Engineering \&amp; Spark**
* Develop ETL pipelines using **PySpark** on AWS Glue or EMR.
* Optimize Spark workloads for performance, cost, and scaling.
* Troubleshoot distributed data issues and tune job performance.
**Python Development**
* Write clean Python code for Lambda functions, Glue jobs, and automation tools.
* Develop shared internal libraries for ETL, monitoring, and data governance.
* Implement automated CI/CD delivery pipelines.
**DevOps \&amp; Cloud Platform Automation**
* Use Infrastructure\-as\-Code tools including:
	+ **Terraform** (modules, workspaces, state management)
	+ AWS CloudFormation or CDK (optional but beneficial)
* Implement:
	+ Automated provisioning of AWS resources
	+ Version\-controlled, repeatable deployments
	+ Secure IAM roles and resource policies
* Configure monitoring, alerting, logging pipelines, and operational dashboards.
The base salary range for this position is $92,250 \- $131,786,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03/02/2026\.This position is for an existing, immediate vacancy. We are currently seeking to fill this role with an individual who can start as soon as possible.
**\#Concentrix**
**\#Remote**</t>
        </is>
      </c>
    </row>
    <row r="25">
      <c r="A25" t="inlineStr">
        <is>
          <t>in-96f6cf05adf06982</t>
        </is>
      </c>
      <c r="B25" t="inlineStr">
        <is>
          <t>AWS Data Platform Engineer</t>
        </is>
      </c>
      <c r="C25" t="inlineStr">
        <is>
          <t>Concentrix</t>
        </is>
      </c>
      <c r="D25" t="inlineStr">
        <is>
          <t>indeed</t>
        </is>
      </c>
      <c r="E25" t="inlineStr"/>
      <c r="F25" t="inlineStr"/>
      <c r="G25" t="inlineStr">
        <is>
          <t>MS, US</t>
        </is>
      </c>
      <c r="H25" s="1" t="n">
        <v>46077</v>
      </c>
      <c r="I25" t="inlineStr">
        <is>
          <t>**Title: AWS Data Platform Engineer**
**Location: Remote in USA**
**Key Responsibilities**
Preferred 6\+ years of experience
**AWS Data Lake Architecture \&amp; Setup**
* Design and maintain scalable **AWS Data Lakes** using:
	+ **Amazon S3** for multi\-zone data storage (raw, curated, processed)
	+ **AWS Glue** Jobs, Crawlers, and Data Catalog
	+ **AWS Lake Formation** for centralized governance and security
* Configure Lake Formation capabilities:
	+ Row/column\-level access control
	+ Tag\-based access control (LF\-TBAC)
	+ Governed table permissions
	+ Cross\-account data sharing
* Implement best practices in:
	+ Data partitioning
	+ Schema evolution
	+ Metadata and catalog management
* Build and optimize ingestion and ETL pipelines for batch or near\-real\-time workloads.
**AWS Serverless Development**
* Develop serverless applications using:
	+ **Lambda**
	+ **API Gateway**
	+ **EventBridge**
	+ **SNS/SQS**
	+ **Step Functions**
* Build and tune AWS Glue ETL jobs using Python and PySpark.
* Implement cost\-efficient, highly scalable, event\-driven architectures.
**Monitoring, Logging \&amp; Observability**
* Implement monitoring and alerting using:
	+ **Amazon CloudWatch Logs, Metrics \&amp; Dashboards**
	+ CloudWatch Alarms for proactive incident detection
* Use CloudWatch Log Insights for log analytics and troubleshooting.
* Configure **AWS X\-Ray** for distributed tracing and end\-to\-end visibility.
* Build automated alerts around:
	+ Lambda failures
	+ Glue job errors
	+ Data pipeline SLAs
	+ Performance anomalies
**Data Engineering \&amp; Spark**
* Develop ETL pipelines using **PySpark** on AWS Glue or EMR.
* Optimize Spark workloads for performance, cost, and scaling.
* Troubleshoot distributed data issues and tune job performance.
**Python Development**
* Write clean Python code for Lambda functions, Glue jobs, and automation tools.
* Develop shared internal libraries for ETL, monitoring, and data governance.
* Implement automated CI/CD delivery pipelines.
**DevOps \&amp; Cloud Platform Automation**
* Use Infrastructure\-as\-Code tools including:
	+ **Terraform** (modules, workspaces, state management)
	+ AWS CloudFormation or CDK (optional but beneficial)
* Implement:
	+ Automated provisioning of AWS resources
	+ Version\-controlled, repeatable deployments
	+ Secure IAM roles and resource policies
* Configure monitoring, alerting, logging pipelines, and operational dashboards.
The base salary range for this position is $92,250 \- $131,786,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03/02/2026\.This position is for an existing, immediate vacancy. We are currently seeking to fill this role with an individual who can start as soon as possible.
**\#Concentrix**
**\#Remote**</t>
        </is>
      </c>
    </row>
    <row r="26">
      <c r="A26" t="inlineStr">
        <is>
          <t>in-49351622325c642d</t>
        </is>
      </c>
      <c r="B26" t="inlineStr">
        <is>
          <t>AWS Data Platform Engineer</t>
        </is>
      </c>
      <c r="C26" t="inlineStr">
        <is>
          <t>Concentrix</t>
        </is>
      </c>
      <c r="D26" t="inlineStr">
        <is>
          <t>indeed</t>
        </is>
      </c>
      <c r="E26" t="inlineStr"/>
      <c r="F26" t="inlineStr"/>
      <c r="G26" t="inlineStr">
        <is>
          <t>NM, US</t>
        </is>
      </c>
      <c r="H26" s="1" t="n">
        <v>46077</v>
      </c>
      <c r="I26" t="inlineStr">
        <is>
          <t>**Title: AWS Data Platform Engineer**
**Location: Remote in USA**
**Key Responsibilities**
Preferred 6\+ years of experience
**AWS Data Lake Architecture \&amp; Setup**
* Design and maintain scalable **AWS Data Lakes** using:
	+ **Amazon S3** for multi\-zone data storage (raw, curated, processed)
	+ **AWS Glue** Jobs, Crawlers, and Data Catalog
	+ **AWS Lake Formation** for centralized governance and security
* Configure Lake Formation capabilities:
	+ Row/column\-level access control
	+ Tag\-based access control (LF\-TBAC)
	+ Governed table permissions
	+ Cross\-account data sharing
* Implement best practices in:
	+ Data partitioning
	+ Schema evolution
	+ Metadata and catalog management
* Build and optimize ingestion and ETL pipelines for batch or near\-real\-time workloads.
**AWS Serverless Development**
* Develop serverless applications using:
	+ **Lambda**
	+ **API Gateway**
	+ **EventBridge**
	+ **SNS/SQS**
	+ **Step Functions**
* Build and tune AWS Glue ETL jobs using Python and PySpark.
* Implement cost\-efficient, highly scalable, event\-driven architectures.
**Monitoring, Logging \&amp; Observability**
* Implement monitoring and alerting using:
	+ **Amazon CloudWatch Logs, Metrics \&amp; Dashboards**
	+ CloudWatch Alarms for proactive incident detection
* Use CloudWatch Log Insights for log analytics and troubleshooting.
* Configure **AWS X\-Ray** for distributed tracing and end\-to\-end visibility.
* Build automated alerts around:
	+ Lambda failures
	+ Glue job errors
	+ Data pipeline SLAs
	+ Performance anomalies
**Data Engineering \&amp; Spark**
* Develop ETL pipelines using **PySpark** on AWS Glue or EMR.
* Optimize Spark workloads for performance, cost, and scaling.
* Troubleshoot distributed data issues and tune job performance.
**Python Development**
* Write clean Python code for Lambda functions, Glue jobs, and automation tools.
* Develop shared internal libraries for ETL, monitoring, and data governance.
* Implement automated CI/CD delivery pipelines.
**DevOps \&amp; Cloud Platform Automation**
* Use Infrastructure\-as\-Code tools including:
	+ **Terraform** (modules, workspaces, state management)
	+ AWS CloudFormation or CDK (optional but beneficial)
* Implement:
	+ Automated provisioning of AWS resources
	+ Version\-controlled, repeatable deployments
	+ Secure IAM roles and resource policies
* Configure monitoring, alerting, logging pipelines, and operational dashboards.
The base salary range for this position is $92,250 \- $131,786,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03/02/2026\.This position is for an existing, immediate vacancy. We are currently seeking to fill this role with an individual who can start as soon as possible.
**\#Concentrix**
**\#Remote**</t>
        </is>
      </c>
    </row>
    <row r="27">
      <c r="A27" t="inlineStr">
        <is>
          <t>in-f5cb630284635d10</t>
        </is>
      </c>
      <c r="B27" t="inlineStr">
        <is>
          <t>AWS Data Platform Engineer</t>
        </is>
      </c>
      <c r="C27" t="inlineStr">
        <is>
          <t>Concentrix</t>
        </is>
      </c>
      <c r="D27" t="inlineStr">
        <is>
          <t>indeed</t>
        </is>
      </c>
      <c r="E27" t="inlineStr"/>
      <c r="F27" t="inlineStr"/>
      <c r="G27" t="inlineStr">
        <is>
          <t>TX, US</t>
        </is>
      </c>
      <c r="H27" s="1" t="n">
        <v>46077</v>
      </c>
      <c r="I27" t="inlineStr">
        <is>
          <t>**Title: AWS Data Platform Engineer**
**Location: Remote in USA**
**Key Responsibilities**
Preferred 6\+ years of experience
**AWS Data Lake Architecture \&amp; Setup**
* Design and maintain scalable **AWS Data Lakes** using:
	+ **Amazon S3** for multi\-zone data storage (raw, curated, processed)
	+ **AWS Glue** Jobs, Crawlers, and Data Catalog
	+ **AWS Lake Formation** for centralized governance and security
* Configure Lake Formation capabilities:
	+ Row/column\-level access control
	+ Tag\-based access control (LF\-TBAC)
	+ Governed table permissions
	+ Cross\-account data sharing
* Implement best practices in:
	+ Data partitioning
	+ Schema evolution
	+ Metadata and catalog management
* Build and optimize ingestion and ETL pipelines for batch or near\-real\-time workloads.
**AWS Serverless Development**
* Develop serverless applications using:
	+ **Lambda**
	+ **API Gateway**
	+ **EventBridge**
	+ **SNS/SQS**
	+ **Step Functions**
* Build and tune AWS Glue ETL jobs using Python and PySpark.
* Implement cost\-efficient, highly scalable, event\-driven architectures.
**Monitoring, Logging \&amp; Observability**
* Implement monitoring and alerting using:
	+ **Amazon CloudWatch Logs, Metrics \&amp; Dashboards**
	+ CloudWatch Alarms for proactive incident detection
* Use CloudWatch Log Insights for log analytics and troubleshooting.
* Configure **AWS X\-Ray** for distributed tracing and end\-to\-end visibility.
* Build automated alerts around:
	+ Lambda failures
	+ Glue job errors
	+ Data pipeline SLAs
	+ Performance anomalies
**Data Engineering \&amp; Spark**
* Develop ETL pipelines using **PySpark** on AWS Glue or EMR.
* Optimize Spark workloads for performance, cost, and scaling.
* Troubleshoot distributed data issues and tune job performance.
**Python Development**
* Write clean Python code for Lambda functions, Glue jobs, and automation tools.
* Develop shared internal libraries for ETL, monitoring, and data governance.
* Implement automated CI/CD delivery pipelines.
**DevOps \&amp; Cloud Platform Automation**
* Use Infrastructure\-as\-Code tools including:
	+ **Terraform** (modules, workspaces, state management)
	+ AWS CloudFormation or CDK (optional but beneficial)
* Implement:
	+ Automated provisioning of AWS resources
	+ Version\-controlled, repeatable deployments
	+ Secure IAM roles and resource policies
* Configure monitoring, alerting, logging pipelines, and operational dashboards.
The base salary range for this position is $92,250 \- $131,786,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03/02/2026\.This position is for an existing, immediate vacancy. We are currently seeking to fill this role with an individual who can start as soon as possible.
**\#Concentrix**
**\#Remote**</t>
        </is>
      </c>
    </row>
    <row r="28">
      <c r="A28" t="inlineStr">
        <is>
          <t>in-6a18fe79343696c2</t>
        </is>
      </c>
      <c r="B28" t="inlineStr">
        <is>
          <t>AWS Data Platform Engineer</t>
        </is>
      </c>
      <c r="C28" t="inlineStr">
        <is>
          <t>Concentrix</t>
        </is>
      </c>
      <c r="D28" t="inlineStr">
        <is>
          <t>indeed</t>
        </is>
      </c>
      <c r="E28" t="inlineStr"/>
      <c r="F28" t="inlineStr"/>
      <c r="G28" t="inlineStr">
        <is>
          <t>NE, US</t>
        </is>
      </c>
      <c r="H28" s="1" t="n">
        <v>46077</v>
      </c>
      <c r="I28" t="inlineStr">
        <is>
          <t>**Title: AWS Data Platform Engineer**
**Location: Remote in USA**
**Key Responsibilities**
Preferred 6\+ years of experience
**AWS Data Lake Architecture \&amp; Setup**
* Design and maintain scalable **AWS Data Lakes** using:
	+ **Amazon S3** for multi\-zone data storage (raw, curated, processed)
	+ **AWS Glue** Jobs, Crawlers, and Data Catalog
	+ **AWS Lake Formation** for centralized governance and security
* Configure Lake Formation capabilities:
	+ Row/column\-level access control
	+ Tag\-based access control (LF\-TBAC)
	+ Governed table permissions
	+ Cross\-account data sharing
* Implement best practices in:
	+ Data partitioning
	+ Schema evolution
	+ Metadata and catalog management
* Build and optimize ingestion and ETL pipelines for batch or near\-real\-time workloads.
**AWS Serverless Development**
* Develop serverless applications using:
	+ **Lambda**
	+ **API Gateway**
	+ **EventBridge**
	+ **SNS/SQS**
	+ **Step Functions**
* Build and tune AWS Glue ETL jobs using Python and PySpark.
* Implement cost\-efficient, highly scalable, event\-driven architectures.
**Monitoring, Logging \&amp; Observability**
* Implement monitoring and alerting using:
	+ **Amazon CloudWatch Logs, Metrics \&amp; Dashboards**
	+ CloudWatch Alarms for proactive incident detection
* Use CloudWatch Log Insights for log analytics and troubleshooting.
* Configure **AWS X\-Ray** for distributed tracing and end\-to\-end visibility.
* Build automated alerts around:
	+ Lambda failures
	+ Glue job errors
	+ Data pipeline SLAs
	+ Performance anomalies
**Data Engineering \&amp; Spark**
* Develop ETL pipelines using **PySpark** on AWS Glue or EMR.
* Optimize Spark workloads for performance, cost, and scaling.
* Troubleshoot distributed data issues and tune job performance.
**Python Development**
* Write clean Python code for Lambda functions, Glue jobs, and automation tools.
* Develop shared internal libraries for ETL, monitoring, and data governance.
* Implement automated CI/CD delivery pipelines.
**DevOps \&amp; Cloud Platform Automation**
* Use Infrastructure\-as\-Code tools including:
	+ **Terraform** (modules, workspaces, state management)
	+ AWS CloudFormation or CDK (optional but beneficial)
* Implement:
	+ Automated provisioning of AWS resources
	+ Version\-controlled, repeatable deployments
	+ Secure IAM roles and resource policies
* Configure monitoring, alerting, logging pipelines, and operational dashboards.
The base salary range for this position is $92,250 \- $131,786,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03/02/2026\.This position is for an existing, immediate vacancy. We are currently seeking to fill this role with an individual who can start as soon as possible.
**\#Concentrix**
**\#Remote**</t>
        </is>
      </c>
    </row>
    <row r="29">
      <c r="A29" t="inlineStr">
        <is>
          <t>in-d01fcf56429b22f3</t>
        </is>
      </c>
      <c r="B29" t="inlineStr">
        <is>
          <t>AWS Data Platform Engineer</t>
        </is>
      </c>
      <c r="C29" t="inlineStr">
        <is>
          <t>Concentrix</t>
        </is>
      </c>
      <c r="D29" t="inlineStr">
        <is>
          <t>indeed</t>
        </is>
      </c>
      <c r="E29" t="inlineStr"/>
      <c r="F29" t="inlineStr"/>
      <c r="G29" t="inlineStr">
        <is>
          <t>WV, US</t>
        </is>
      </c>
      <c r="H29" s="1" t="n">
        <v>46077</v>
      </c>
      <c r="I29" t="inlineStr">
        <is>
          <t>**Title: AWS Data Platform Engineer**
**Location: Remote in USA**
**Key Responsibilities**
Preferred 6\+ years of experience
**AWS Data Lake Architecture \&amp; Setup**
* Design and maintain scalable **AWS Data Lakes** using:
	+ **Amazon S3** for multi\-zone data storage (raw, curated, processed)
	+ **AWS Glue** Jobs, Crawlers, and Data Catalog
	+ **AWS Lake Formation** for centralized governance and security
* Configure Lake Formation capabilities:
	+ Row/column\-level access control
	+ Tag\-based access control (LF\-TBAC)
	+ Governed table permissions
	+ Cross\-account data sharing
* Implement best practices in:
	+ Data partitioning
	+ Schema evolution
	+ Metadata and catalog management
* Build and optimize ingestion and ETL pipelines for batch or near\-real\-time workloads.
**AWS Serverless Development**
* Develop serverless applications using:
	+ **Lambda**
	+ **API Gateway**
	+ **EventBridge**
	+ **SNS/SQS**
	+ **Step Functions**
* Build and tune AWS Glue ETL jobs using Python and PySpark.
* Implement cost\-efficient, highly scalable, event\-driven architectures.
**Monitoring, Logging \&amp; Observability**
* Implement monitoring and alerting using:
	+ **Amazon CloudWatch Logs, Metrics \&amp; Dashboards**
	+ CloudWatch Alarms for proactive incident detection
* Use CloudWatch Log Insights for log analytics and troubleshooting.
* Configure **AWS X\-Ray** for distributed tracing and end\-to\-end visibility.
* Build automated alerts around:
	+ Lambda failures
	+ Glue job errors
	+ Data pipeline SLAs
	+ Performance anomalies
**Data Engineering \&amp; Spark**
* Develop ETL pipelines using **PySpark** on AWS Glue or EMR.
* Optimize Spark workloads for performance, cost, and scaling.
* Troubleshoot distributed data issues and tune job performance.
**Python Development**
* Write clean Python code for Lambda functions, Glue jobs, and automation tools.
* Develop shared internal libraries for ETL, monitoring, and data governance.
* Implement automated CI/CD delivery pipelines.
**DevOps \&amp; Cloud Platform Automation**
* Use Infrastructure\-as\-Code tools including:
	+ **Terraform** (modules, workspaces, state management)
	+ AWS CloudFormation or CDK (optional but beneficial)
* Implement:
	+ Automated provisioning of AWS resources
	+ Version\-controlled, repeatable deployments
	+ Secure IAM roles and resource policies
* Configure monitoring, alerting, logging pipelines, and operational dashboards.
The base salary range for this position is $92,250 \- $131,786,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03/02/2026\.This position is for an existing, immediate vacancy. We are currently seeking to fill this role with an individual who can start as soon as possible.
**\#Concentrix**
**\#Remote**</t>
        </is>
      </c>
    </row>
    <row r="30">
      <c r="A30" t="inlineStr">
        <is>
          <t>in-35d3942f25a95dc7</t>
        </is>
      </c>
      <c r="B30" t="inlineStr">
        <is>
          <t>AWS Data Platform Engineer</t>
        </is>
      </c>
      <c r="C30" t="inlineStr">
        <is>
          <t>Concentrix</t>
        </is>
      </c>
      <c r="D30" t="inlineStr">
        <is>
          <t>indeed</t>
        </is>
      </c>
      <c r="E30" t="inlineStr"/>
      <c r="F30" t="inlineStr"/>
      <c r="G30" t="inlineStr">
        <is>
          <t>SC, US</t>
        </is>
      </c>
      <c r="H30" s="1" t="n">
        <v>46077</v>
      </c>
      <c r="I30" t="inlineStr">
        <is>
          <t>**Title: AWS Data Platform Engineer**
**Location: Remote in USA**
**Key Responsibilities**
Preferred 6\+ years of experience
**AWS Data Lake Architecture \&amp; Setup**
* Design and maintain scalable **AWS Data Lakes** using:
	+ **Amazon S3** for multi\-zone data storage (raw, curated, processed)
	+ **AWS Glue** Jobs, Crawlers, and Data Catalog
	+ **AWS Lake Formation** for centralized governance and security
* Configure Lake Formation capabilities:
	+ Row/column\-level access control
	+ Tag\-based access control (LF\-TBAC)
	+ Governed table permissions
	+ Cross\-account data sharing
* Implement best practices in:
	+ Data partitioning
	+ Schema evolution
	+ Metadata and catalog management
* Build and optimize ingestion and ETL pipelines for batch or near\-real\-time workloads.
**AWS Serverless Development**
* Develop serverless applications using:
	+ **Lambda**
	+ **API Gateway**
	+ **EventBridge**
	+ **SNS/SQS**
	+ **Step Functions**
* Build and tune AWS Glue ETL jobs using Python and PySpark.
* Implement cost\-efficient, highly scalable, event\-driven architectures.
**Monitoring, Logging \&amp; Observability**
* Implement monitoring and alerting using:
	+ **Amazon CloudWatch Logs, Metrics \&amp; Dashboards**
	+ CloudWatch Alarms for proactive incident detection
* Use CloudWatch Log Insights for log analytics and troubleshooting.
* Configure **AWS X\-Ray** for distributed tracing and end\-to\-end visibility.
* Build automated alerts around:
	+ Lambda failures
	+ Glue job errors
	+ Data pipeline SLAs
	+ Performance anomalies
**Data Engineering \&amp; Spark**
* Develop ETL pipelines using **PySpark** on AWS Glue or EMR.
* Optimize Spark workloads for performance, cost, and scaling.
* Troubleshoot distributed data issues and tune job performance.
**Python Development**
* Write clean Python code for Lambda functions, Glue jobs, and automation tools.
* Develop shared internal libraries for ETL, monitoring, and data governance.
* Implement automated CI/CD delivery pipelines.
**DevOps \&amp; Cloud Platform Automation**
* Use Infrastructure\-as\-Code tools including:
	+ **Terraform** (modules, workspaces, state management)
	+ AWS CloudFormation or CDK (optional but beneficial)
* Implement:
	+ Automated provisioning of AWS resources
	+ Version\-controlled, repeatable deployments
	+ Secure IAM roles and resource policies
* Configure monitoring, alerting, logging pipelines, and operational dashboards.
The base salary range for this position is $92,250 \- $131,786,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03/02/2026\.This position is for an existing, immediate vacancy. We are currently seeking to fill this role with an individual who can start as soon as possible.
**\#Concentrix**
**\#Remote**</t>
        </is>
      </c>
    </row>
    <row r="31">
      <c r="A31" t="inlineStr">
        <is>
          <t>in-179f41f660f48774</t>
        </is>
      </c>
      <c r="B31" t="inlineStr">
        <is>
          <t>AWS Data Platform Engineer</t>
        </is>
      </c>
      <c r="C31" t="inlineStr">
        <is>
          <t>Concentrix</t>
        </is>
      </c>
      <c r="D31" t="inlineStr">
        <is>
          <t>indeed</t>
        </is>
      </c>
      <c r="E31" t="inlineStr"/>
      <c r="F31" t="inlineStr"/>
      <c r="G31" t="inlineStr">
        <is>
          <t>TN, US</t>
        </is>
      </c>
      <c r="H31" s="1" t="n">
        <v>46077</v>
      </c>
      <c r="I31" t="inlineStr">
        <is>
          <t>**Title: AWS Data Platform Engineer**
**Location: Remote in USA**
**Key Responsibilities**
Preferred 6\+ years of experience
**AWS Data Lake Architecture \&amp; Setup**
* Design and maintain scalable **AWS Data Lakes** using:
	+ **Amazon S3** for multi\-zone data storage (raw, curated, processed)
	+ **AWS Glue** Jobs, Crawlers, and Data Catalog
	+ **AWS Lake Formation** for centralized governance and security
* Configure Lake Formation capabilities:
	+ Row/column\-level access control
	+ Tag\-based access control (LF\-TBAC)
	+ Governed table permissions
	+ Cross\-account data sharing
* Implement best practices in:
	+ Data partitioning
	+ Schema evolution
	+ Metadata and catalog management
* Build and optimize ingestion and ETL pipelines for batch or near\-real\-time workloads.
**AWS Serverless Development**
* Develop serverless applications using:
	+ **Lambda**
	+ **API Gateway**
	+ **EventBridge**
	+ **SNS/SQS**
	+ **Step Functions**
* Build and tune AWS Glue ETL jobs using Python and PySpark.
* Implement cost\-efficient, highly scalable, event\-driven architectures.
**Monitoring, Logging \&amp; Observability**
* Implement monitoring and alerting using:
	+ **Amazon CloudWatch Logs, Metrics \&amp; Dashboards**
	+ CloudWatch Alarms for proactive incident detection
* Use CloudWatch Log Insights for log analytics and troubleshooting.
* Configure **AWS X\-Ray** for distributed tracing and end\-to\-end visibility.
* Build automated alerts around:
	+ Lambda failures
	+ Glue job errors
	+ Data pipeline SLAs
	+ Performance anomalies
**Data Engineering \&amp; Spark**
* Develop ETL pipelines using **PySpark** on AWS Glue or EMR.
* Optimize Spark workloads for performance, cost, and scaling.
* Troubleshoot distributed data issues and tune job performance.
**Python Development**
* Write clean Python code for Lambda functions, Glue jobs, and automation tools.
* Develop shared internal libraries for ETL, monitoring, and data governance.
* Implement automated CI/CD delivery pipelines.
**DevOps \&amp; Cloud Platform Automation**
* Use Infrastructure\-as\-Code tools including:
	+ **Terraform** (modules, workspaces, state management)
	+ AWS CloudFormation or CDK (optional but beneficial)
* Implement:
	+ Automated provisioning of AWS resources
	+ Version\-controlled, repeatable deployments
	+ Secure IAM roles and resource policies
* Configure monitoring, alerting, logging pipelines, and operational dashboards.
The base salary range for this position is $92,250 \- $131,786,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03/02/2026\.This position is for an existing, immediate vacancy. We are currently seeking to fill this role with an individual who can start as soon as possible.
**\#Concentrix**
**\#Remote**</t>
        </is>
      </c>
    </row>
    <row r="32">
      <c r="A32" t="inlineStr">
        <is>
          <t>in-aa8c99e610dc718a</t>
        </is>
      </c>
      <c r="B32" t="inlineStr">
        <is>
          <t>AWS Data Platform Engineer</t>
        </is>
      </c>
      <c r="C32" t="inlineStr">
        <is>
          <t>Concentrix</t>
        </is>
      </c>
      <c r="D32" t="inlineStr">
        <is>
          <t>indeed</t>
        </is>
      </c>
      <c r="E32" t="inlineStr"/>
      <c r="F32" t="inlineStr"/>
      <c r="G32" t="inlineStr">
        <is>
          <t>ID, US</t>
        </is>
      </c>
      <c r="H32" s="1" t="n">
        <v>46077</v>
      </c>
      <c r="I32" t="inlineStr">
        <is>
          <t>**Title: AWS Data Platform Engineer**
**Location: Remote in USA**
**Key Responsibilities**
Preferred 6\+ years of experience
**AWS Data Lake Architecture \&amp; Setup**
* Design and maintain scalable **AWS Data Lakes** using:
	+ **Amazon S3** for multi\-zone data storage (raw, curated, processed)
	+ **AWS Glue** Jobs, Crawlers, and Data Catalog
	+ **AWS Lake Formation** for centralized governance and security
* Configure Lake Formation capabilities:
	+ Row/column\-level access control
	+ Tag\-based access control (LF\-TBAC)
	+ Governed table permissions
	+ Cross\-account data sharing
* Implement best practices in:
	+ Data partitioning
	+ Schema evolution
	+ Metadata and catalog management
* Build and optimize ingestion and ETL pipelines for batch or near\-real\-time workloads.
**AWS Serverless Development**
* Develop serverless applications using:
	+ **Lambda**
	+ **API Gateway**
	+ **EventBridge**
	+ **SNS/SQS**
	+ **Step Functions**
* Build and tune AWS Glue ETL jobs using Python and PySpark.
* Implement cost\-efficient, highly scalable, event\-driven architectures.
**Monitoring, Logging \&amp; Observability**
* Implement monitoring and alerting using:
	+ **Amazon CloudWatch Logs, Metrics \&amp; Dashboards**
	+ CloudWatch Alarms for proactive incident detection
* Use CloudWatch Log Insights for log analytics and troubleshooting.
* Configure **AWS X\-Ray** for distributed tracing and end\-to\-end visibility.
* Build automated alerts around:
	+ Lambda failures
	+ Glue job errors
	+ Data pipeline SLAs
	+ Performance anomalies
**Data Engineering \&amp; Spark**
* Develop ETL pipelines using **PySpark** on AWS Glue or EMR.
* Optimize Spark workloads for performance, cost, and scaling.
* Troubleshoot distributed data issues and tune job performance.
**Python Development**
* Write clean Python code for Lambda functions, Glue jobs, and automation tools.
* Develop shared internal libraries for ETL, monitoring, and data governance.
* Implement automated CI/CD delivery pipelines.
**DevOps \&amp; Cloud Platform Automation**
* Use Infrastructure\-as\-Code tools including:
	+ **Terraform** (modules, workspaces, state management)
	+ AWS CloudFormation or CDK (optional but beneficial)
* Implement:
	+ Automated provisioning of AWS resources
	+ Version\-controlled, repeatable deployments
	+ Secure IAM roles and resource policies
* Configure monitoring, alerting, logging pipelines, and operational dashboards.
The base salary range for this position is $92,250 \- $131,786,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03/02/2026\.This position is for an existing, immediate vacancy. We are currently seeking to fill this role with an individual who can start as soon as possible.
**\#Concentrix**
**\#Remote**</t>
        </is>
      </c>
    </row>
    <row r="33">
      <c r="A33" t="inlineStr">
        <is>
          <t>in-fe48df16882c48ff</t>
        </is>
      </c>
      <c r="B33" t="inlineStr">
        <is>
          <t>AWS Data Platform Engineer</t>
        </is>
      </c>
      <c r="C33" t="inlineStr">
        <is>
          <t>Concentrix</t>
        </is>
      </c>
      <c r="D33" t="inlineStr">
        <is>
          <t>indeed</t>
        </is>
      </c>
      <c r="E33" t="inlineStr"/>
      <c r="F33" t="inlineStr"/>
      <c r="G33" t="inlineStr">
        <is>
          <t>MI, US</t>
        </is>
      </c>
      <c r="H33" s="1" t="n">
        <v>46077</v>
      </c>
      <c r="I33" t="inlineStr">
        <is>
          <t>**Title: AWS Data Platform Engineer**
**Location: Remote in USA**
**Key Responsibilities**
Preferred 6\+ years of experience
**AWS Data Lake Architecture \&amp; Setup**
* Design and maintain scalable **AWS Data Lakes** using:
	+ **Amazon S3** for multi\-zone data storage (raw, curated, processed)
	+ **AWS Glue** Jobs, Crawlers, and Data Catalog
	+ **AWS Lake Formation** for centralized governance and security
* Configure Lake Formation capabilities:
	+ Row/column\-level access control
	+ Tag\-based access control (LF\-TBAC)
	+ Governed table permissions
	+ Cross\-account data sharing
* Implement best practices in:
	+ Data partitioning
	+ Schema evolution
	+ Metadata and catalog management
* Build and optimize ingestion and ETL pipelines for batch or near\-real\-time workloads.
**AWS Serverless Development**
* Develop serverless applications using:
	+ **Lambda**
	+ **API Gateway**
	+ **EventBridge**
	+ **SNS/SQS**
	+ **Step Functions**
* Build and tune AWS Glue ETL jobs using Python and PySpark.
* Implement cost\-efficient, highly scalable, event\-driven architectures.
**Monitoring, Logging \&amp; Observability**
* Implement monitoring and alerting using:
	+ **Amazon CloudWatch Logs, Metrics \&amp; Dashboards**
	+ CloudWatch Alarms for proactive incident detection
* Use CloudWatch Log Insights for log analytics and troubleshooting.
* Configure **AWS X\-Ray** for distributed tracing and end\-to\-end visibility.
* Build automated alerts around:
	+ Lambda failures
	+ Glue job errors
	+ Data pipeline SLAs
	+ Performance anomalies
**Data Engineering \&amp; Spark**
* Develop ETL pipelines using **PySpark** on AWS Glue or EMR.
* Optimize Spark workloads for performance, cost, and scaling.
* Troubleshoot distributed data issues and tune job performance.
**Python Development**
* Write clean Python code for Lambda functions, Glue jobs, and automation tools.
* Develop shared internal libraries for ETL, monitoring, and data governance.
* Implement automated CI/CD delivery pipelines.
**DevOps \&amp; Cloud Platform Automation**
* Use Infrastructure\-as\-Code tools including:
	+ **Terraform** (modules, workspaces, state management)
	+ AWS CloudFormation or CDK (optional but beneficial)
* Implement:
	+ Automated provisioning of AWS resources
	+ Version\-controlled, repeatable deployments
	+ Secure IAM roles and resource policies
* Configure monitoring, alerting, logging pipelines, and operational dashboards.
The base salary range for this position is $92,250 \- $131,786,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03/02/2026\.This position is for an existing, immediate vacancy. We are currently seeking to fill this role with an individual who can start as soon as possible.
**\#Concentrix**
**\#Remote**</t>
        </is>
      </c>
    </row>
    <row r="34">
      <c r="A34" t="inlineStr">
        <is>
          <t>in-48ab104d579f6157</t>
        </is>
      </c>
      <c r="B34" t="inlineStr">
        <is>
          <t>AWS Data Platform Engineer</t>
        </is>
      </c>
      <c r="C34" t="inlineStr">
        <is>
          <t>Concentrix</t>
        </is>
      </c>
      <c r="D34" t="inlineStr">
        <is>
          <t>indeed</t>
        </is>
      </c>
      <c r="E34" t="inlineStr"/>
      <c r="F34" t="inlineStr"/>
      <c r="G34" t="inlineStr">
        <is>
          <t>UT, US</t>
        </is>
      </c>
      <c r="H34" s="1" t="n">
        <v>46077</v>
      </c>
      <c r="I34" t="inlineStr">
        <is>
          <t>**Title: AWS Data Platform Engineer**
**Location: Remote in USA**
**Key Responsibilities**
Preferred 6\+ years of experience
**AWS Data Lake Architecture \&amp; Setup**
* Design and maintain scalable **AWS Data Lakes** using:
	+ **Amazon S3** for multi\-zone data storage (raw, curated, processed)
	+ **AWS Glue** Jobs, Crawlers, and Data Catalog
	+ **AWS Lake Formation** for centralized governance and security
* Configure Lake Formation capabilities:
	+ Row/column\-level access control
	+ Tag\-based access control (LF\-TBAC)
	+ Governed table permissions
	+ Cross\-account data sharing
* Implement best practices in:
	+ Data partitioning
	+ Schema evolution
	+ Metadata and catalog management
* Build and optimize ingestion and ETL pipelines for batch or near\-real\-time workloads.
**AWS Serverless Development**
* Develop serverless applications using:
	+ **Lambda**
	+ **API Gateway**
	+ **EventBridge**
	+ **SNS/SQS**
	+ **Step Functions**
* Build and tune AWS Glue ETL jobs using Python and PySpark.
* Implement cost\-efficient, highly scalable, event\-driven architectures.
**Monitoring, Logging \&amp; Observability**
* Implement monitoring and alerting using:
	+ **Amazon CloudWatch Logs, Metrics \&amp; Dashboards**
	+ CloudWatch Alarms for proactive incident detection
* Use CloudWatch Log Insights for log analytics and troubleshooting.
* Configure **AWS X\-Ray** for distributed tracing and end\-to\-end visibility.
* Build automated alerts around:
	+ Lambda failures
	+ Glue job errors
	+ Data pipeline SLAs
	+ Performance anomalies
**Data Engineering \&amp; Spark**
* Develop ETL pipelines using **PySpark** on AWS Glue or EMR.
* Optimize Spark workloads for performance, cost, and scaling.
* Troubleshoot distributed data issues and tune job performance.
**Python Development**
* Write clean Python code for Lambda functions, Glue jobs, and automation tools.
* Develop shared internal libraries for ETL, monitoring, and data governance.
* Implement automated CI/CD delivery pipelines.
**DevOps \&amp; Cloud Platform Automation**
* Use Infrastructure\-as\-Code tools including:
	+ **Terraform** (modules, workspaces, state management)
	+ AWS CloudFormation or CDK (optional but beneficial)
* Implement:
	+ Automated provisioning of AWS resources
	+ Version\-controlled, repeatable deployments
	+ Secure IAM roles and resource policies
* Configure monitoring, alerting, logging pipelines, and operational dashboards.
The base salary range for this position is $92,250 \- $131,786,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03/02/2026\.This position is for an existing, immediate vacancy. We are currently seeking to fill this role with an individual who can start as soon as possible.
**\#Concentrix**
**\#Remote**</t>
        </is>
      </c>
    </row>
    <row r="35">
      <c r="A35" t="inlineStr">
        <is>
          <t>in-9eb69f10163f7e52</t>
        </is>
      </c>
      <c r="B35" t="inlineStr">
        <is>
          <t>AWS Data Platform Engineer</t>
        </is>
      </c>
      <c r="C35" t="inlineStr">
        <is>
          <t>Concentrix</t>
        </is>
      </c>
      <c r="D35" t="inlineStr">
        <is>
          <t>indeed</t>
        </is>
      </c>
      <c r="E35" t="inlineStr"/>
      <c r="F35" t="inlineStr"/>
      <c r="G35" t="inlineStr">
        <is>
          <t>RI, US</t>
        </is>
      </c>
      <c r="H35" s="1" t="n">
        <v>46077</v>
      </c>
      <c r="I35" t="inlineStr">
        <is>
          <t>**Title: AWS Data Platform Engineer**
**Location: Remote in USA**
**Key Responsibilities**
Preferred 6\+ years of experience
**AWS Data Lake Architecture \&amp; Setup**
* Design and maintain scalable **AWS Data Lakes** using:
	+ **Amazon S3** for multi\-zone data storage (raw, curated, processed)
	+ **AWS Glue** Jobs, Crawlers, and Data Catalog
	+ **AWS Lake Formation** for centralized governance and security
* Configure Lake Formation capabilities:
	+ Row/column\-level access control
	+ Tag\-based access control (LF\-TBAC)
	+ Governed table permissions
	+ Cross\-account data sharing
* Implement best practices in:
	+ Data partitioning
	+ Schema evolution
	+ Metadata and catalog management
* Build and optimize ingestion and ETL pipelines for batch or near\-real\-time workloads.
**AWS Serverless Development**
* Develop serverless applications using:
	+ **Lambda**
	+ **API Gateway**
	+ **EventBridge**
	+ **SNS/SQS**
	+ **Step Functions**
* Build and tune AWS Glue ETL jobs using Python and PySpark.
* Implement cost\-efficient, highly scalable, event\-driven architectures.
**Monitoring, Logging \&amp; Observability**
* Implement monitoring and alerting using:
	+ **Amazon CloudWatch Logs, Metrics \&amp; Dashboards**
	+ CloudWatch Alarms for proactive incident detection
* Use CloudWatch Log Insights for log analytics and troubleshooting.
* Configure **AWS X\-Ray** for distributed tracing and end\-to\-end visibility.
* Build automated alerts around:
	+ Lambda failures
	+ Glue job errors
	+ Data pipeline SLAs
	+ Performance anomalies
**Data Engineering \&amp; Spark**
* Develop ETL pipelines using **PySpark** on AWS Glue or EMR.
* Optimize Spark workloads for performance, cost, and scaling.
* Troubleshoot distributed data issues and tune job performance.
**Python Development**
* Write clean Python code for Lambda functions, Glue jobs, and automation tools.
* Develop shared internal libraries for ETL, monitoring, and data governance.
* Implement automated CI/CD delivery pipelines.
**DevOps \&amp; Cloud Platform Automation**
* Use Infrastructure\-as\-Code tools including:
	+ **Terraform** (modules, workspaces, state management)
	+ AWS CloudFormation or CDK (optional but beneficial)
* Implement:
	+ Automated provisioning of AWS resources
	+ Version\-controlled, repeatable deployments
	+ Secure IAM roles and resource policies
* Configure monitoring, alerting, logging pipelines, and operational dashboards.
The base salary range for this position is $92,250 \- $131,786,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03/02/2026\.This position is for an existing, immediate vacancy. We are currently seeking to fill this role with an individual who can start as soon as possible.
**\#Concentrix**
**\#Remote**</t>
        </is>
      </c>
    </row>
    <row r="36">
      <c r="A36" t="inlineStr">
        <is>
          <t>in-ff48f763950a943a</t>
        </is>
      </c>
      <c r="B36" t="inlineStr">
        <is>
          <t>AWS Data Platform Engineer</t>
        </is>
      </c>
      <c r="C36" t="inlineStr">
        <is>
          <t>Concentrix</t>
        </is>
      </c>
      <c r="D36" t="inlineStr">
        <is>
          <t>indeed</t>
        </is>
      </c>
      <c r="E36" t="inlineStr"/>
      <c r="F36" t="inlineStr"/>
      <c r="G36" t="inlineStr">
        <is>
          <t>ND, US</t>
        </is>
      </c>
      <c r="H36" s="1" t="n">
        <v>46077</v>
      </c>
      <c r="I36" t="inlineStr">
        <is>
          <t>**Title: AWS Data Platform Engineer**
**Location: Remote in USA**
**Key Responsibilities**
Preferred 6\+ years of experience
**AWS Data Lake Architecture \&amp; Setup**
* Design and maintain scalable **AWS Data Lakes** using:
	+ **Amazon S3** for multi\-zone data storage (raw, curated, processed)
	+ **AWS Glue** Jobs, Crawlers, and Data Catalog
	+ **AWS Lake Formation** for centralized governance and security
* Configure Lake Formation capabilities:
	+ Row/column\-level access control
	+ Tag\-based access control (LF\-TBAC)
	+ Governed table permissions
	+ Cross\-account data sharing
* Implement best practices in:
	+ Data partitioning
	+ Schema evolution
	+ Metadata and catalog management
* Build and optimize ingestion and ETL pipelines for batch or near\-real\-time workloads.
**AWS Serverless Development**
* Develop serverless applications using:
	+ **Lambda**
	+ **API Gateway**
	+ **EventBridge**
	+ **SNS/SQS**
	+ **Step Functions**
* Build and tune AWS Glue ETL jobs using Python and PySpark.
* Implement cost\-efficient, highly scalable, event\-driven architectures.
**Monitoring, Logging \&amp; Observability**
* Implement monitoring and alerting using:
	+ **Amazon CloudWatch Logs, Metrics \&amp; Dashboards**
	+ CloudWatch Alarms for proactive incident detection
* Use CloudWatch Log Insights for log analytics and troubleshooting.
* Configure **AWS X\-Ray** for distributed tracing and end\-to\-end visibility.
* Build automated alerts around:
	+ Lambda failures
	+ Glue job errors
	+ Data pipeline SLAs
	+ Performance anomalies
**Data Engineering \&amp; Spark**
* Develop ETL pipelines using **PySpark** on AWS Glue or EMR.
* Optimize Spark workloads for performance, cost, and scaling.
* Troubleshoot distributed data issues and tune job performance.
**Python Development**
* Write clean Python code for Lambda functions, Glue jobs, and automation tools.
* Develop shared internal libraries for ETL, monitoring, and data governance.
* Implement automated CI/CD delivery pipelines.
**DevOps \&amp; Cloud Platform Automation**
* Use Infrastructure\-as\-Code tools including:
	+ **Terraform** (modules, workspaces, state management)
	+ AWS CloudFormation or CDK (optional but beneficial)
* Implement:
	+ Automated provisioning of AWS resources
	+ Version\-controlled, repeatable deployments
	+ Secure IAM roles and resource policies
* Configure monitoring, alerting, logging pipelines, and operational dashboards.
The base salary range for this position is $92,250 \- $131,786,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03/02/2026\.This position is for an existing, immediate vacancy. We are currently seeking to fill this role with an individual who can start as soon as possible.
**\#Concentrix**
**\#Remote**</t>
        </is>
      </c>
    </row>
    <row r="37">
      <c r="A37" t="inlineStr">
        <is>
          <t>in-41daa222a6c0eb65</t>
        </is>
      </c>
      <c r="B37" t="inlineStr">
        <is>
          <t>AWS Data Platform Engineer</t>
        </is>
      </c>
      <c r="C37" t="inlineStr">
        <is>
          <t>Concentrix</t>
        </is>
      </c>
      <c r="D37" t="inlineStr">
        <is>
          <t>indeed</t>
        </is>
      </c>
      <c r="E37" t="inlineStr"/>
      <c r="F37" t="inlineStr"/>
      <c r="G37" t="inlineStr">
        <is>
          <t>OK, US</t>
        </is>
      </c>
      <c r="H37" s="1" t="n">
        <v>46077</v>
      </c>
      <c r="I37" t="inlineStr">
        <is>
          <t>**Title: AWS Data Platform Engineer**
**Location: Remote in USA**
**Key Responsibilities**
Preferred 6\+ years of experience
**AWS Data Lake Architecture \&amp; Setup**
* Design and maintain scalable **AWS Data Lakes** using:
	+ **Amazon S3** for multi\-zone data storage (raw, curated, processed)
	+ **AWS Glue** Jobs, Crawlers, and Data Catalog
	+ **AWS Lake Formation** for centralized governance and security
* Configure Lake Formation capabilities:
	+ Row/column\-level access control
	+ Tag\-based access control (LF\-TBAC)
	+ Governed table permissions
	+ Cross\-account data sharing
* Implement best practices in:
	+ Data partitioning
	+ Schema evolution
	+ Metadata and catalog management
* Build and optimize ingestion and ETL pipelines for batch or near\-real\-time workloads.
**AWS Serverless Development**
* Develop serverless applications using:
	+ **Lambda**
	+ **API Gateway**
	+ **EventBridge**
	+ **SNS/SQS**
	+ **Step Functions**
* Build and tune AWS Glue ETL jobs using Python and PySpark.
* Implement cost\-efficient, highly scalable, event\-driven architectures.
**Monitoring, Logging \&amp; Observability**
* Implement monitoring and alerting using:
	+ **Amazon CloudWatch Logs, Metrics \&amp; Dashboards**
	+ CloudWatch Alarms for proactive incident detection
* Use CloudWatch Log Insights for log analytics and troubleshooting.
* Configure **AWS X\-Ray** for distributed tracing and end\-to\-end visibility.
* Build automated alerts around:
	+ Lambda failures
	+ Glue job errors
	+ Data pipeline SLAs
	+ Performance anomalies
**Data Engineering \&amp; Spark**
* Develop ETL pipelines using **PySpark** on AWS Glue or EMR.
* Optimize Spark workloads for performance, cost, and scaling.
* Troubleshoot distributed data issues and tune job performance.
**Python Development**
* Write clean Python code for Lambda functions, Glue jobs, and automation tools.
* Develop shared internal libraries for ETL, monitoring, and data governance.
* Implement automated CI/CD delivery pipelines.
**DevOps \&amp; Cloud Platform Automation**
* Use Infrastructure\-as\-Code tools including:
	+ **Terraform** (modules, workspaces, state management)
	+ AWS CloudFormation or CDK (optional but beneficial)
* Implement:
	+ Automated provisioning of AWS resources
	+ Version\-controlled, repeatable deployments
	+ Secure IAM roles and resource policies
* Configure monitoring, alerting, logging pipelines, and operational dashboards.
The base salary range for this position is $92,250 \- $131,786,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03/02/2026\.This position is for an existing, immediate vacancy. We are currently seeking to fill this role with an individual who can start as soon as possible.
**\#Concentrix**
**\#Remote**</t>
        </is>
      </c>
    </row>
    <row r="38">
      <c r="A38" t="inlineStr">
        <is>
          <t>in-b513eec114560369</t>
        </is>
      </c>
      <c r="B38" t="inlineStr">
        <is>
          <t>AWS Data Platform Engineer</t>
        </is>
      </c>
      <c r="C38" t="inlineStr">
        <is>
          <t>Concentrix</t>
        </is>
      </c>
      <c r="D38" t="inlineStr">
        <is>
          <t>indeed</t>
        </is>
      </c>
      <c r="E38" t="inlineStr"/>
      <c r="F38" t="inlineStr"/>
      <c r="G38" t="inlineStr">
        <is>
          <t>NV, US</t>
        </is>
      </c>
      <c r="H38" s="1" t="n">
        <v>46077</v>
      </c>
      <c r="I38" t="inlineStr">
        <is>
          <t>**Title: AWS Data Platform Engineer**
**Location: Remote in USA**
**Key Responsibilities**
Preferred 6\+ years of experience
**AWS Data Lake Architecture \&amp; Setup**
* Design and maintain scalable **AWS Data Lakes** using:
	+ **Amazon S3** for multi\-zone data storage (raw, curated, processed)
	+ **AWS Glue** Jobs, Crawlers, and Data Catalog
	+ **AWS Lake Formation** for centralized governance and security
* Configure Lake Formation capabilities:
	+ Row/column\-level access control
	+ Tag\-based access control (LF\-TBAC)
	+ Governed table permissions
	+ Cross\-account data sharing
* Implement best practices in:
	+ Data partitioning
	+ Schema evolution
	+ Metadata and catalog management
* Build and optimize ingestion and ETL pipelines for batch or near\-real\-time workloads.
**AWS Serverless Development**
* Develop serverless applications using:
	+ **Lambda**
	+ **API Gateway**
	+ **EventBridge**
	+ **SNS/SQS**
	+ **Step Functions**
* Build and tune AWS Glue ETL jobs using Python and PySpark.
* Implement cost\-efficient, highly scalable, event\-driven architectures.
**Monitoring, Logging \&amp; Observability**
* Implement monitoring and alerting using:
	+ **Amazon CloudWatch Logs, Metrics \&amp; Dashboards**
	+ CloudWatch Alarms for proactive incident detection
* Use CloudWatch Log Insights for log analytics and troubleshooting.
* Configure **AWS X\-Ray** for distributed tracing and end\-to\-end visibility.
* Build automated alerts around:
	+ Lambda failures
	+ Glue job errors
	+ Data pipeline SLAs
	+ Performance anomalies
**Data Engineering \&amp; Spark**
* Develop ETL pipelines using **PySpark** on AWS Glue or EMR.
* Optimize Spark workloads for performance, cost, and scaling.
* Troubleshoot distributed data issues and tune job performance.
**Python Development**
* Write clean Python code for Lambda functions, Glue jobs, and automation tools.
* Develop shared internal libraries for ETL, monitoring, and data governance.
* Implement automated CI/CD delivery pipelines.
**DevOps \&amp; Cloud Platform Automation**
* Use Infrastructure\-as\-Code tools including:
	+ **Terraform** (modules, workspaces, state management)
	+ AWS CloudFormation or CDK (optional but beneficial)
* Implement:
	+ Automated provisioning of AWS resources
	+ Version\-controlled, repeatable deployments
	+ Secure IAM roles and resource policies
* Configure monitoring, alerting, logging pipelines, and operational dashboards.
The base salary range for this position is $92,250 \- $131,786,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03/02/2026\.This position is for an existing, immediate vacancy. We are currently seeking to fill this role with an individual who can start as soon as possible.
**\#Concentrix**
**\#Remote**</t>
        </is>
      </c>
    </row>
    <row r="39">
      <c r="A39" t="inlineStr">
        <is>
          <t>in-2f1fc91c2f3af434</t>
        </is>
      </c>
      <c r="B39" t="inlineStr">
        <is>
          <t>AWS Data Platform Engineer</t>
        </is>
      </c>
      <c r="C39" t="inlineStr">
        <is>
          <t>Concentrix</t>
        </is>
      </c>
      <c r="D39" t="inlineStr">
        <is>
          <t>indeed</t>
        </is>
      </c>
      <c r="E39" t="inlineStr"/>
      <c r="F39" t="inlineStr"/>
      <c r="G39" t="inlineStr">
        <is>
          <t>LA, US</t>
        </is>
      </c>
      <c r="H39" s="1" t="n">
        <v>46077</v>
      </c>
      <c r="I39" t="inlineStr">
        <is>
          <t>**Title: AWS Data Platform Engineer**
**Location: Remote in USA**
**Key Responsibilities**
Preferred 6\+ years of experience
**AWS Data Lake Architecture \&amp; Setup**
* Design and maintain scalable **AWS Data Lakes** using:
	+ **Amazon S3** for multi\-zone data storage (raw, curated, processed)
	+ **AWS Glue** Jobs, Crawlers, and Data Catalog
	+ **AWS Lake Formation** for centralized governance and security
* Configure Lake Formation capabilities:
	+ Row/column\-level access control
	+ Tag\-based access control (LF\-TBAC)
	+ Governed table permissions
	+ Cross\-account data sharing
* Implement best practices in:
	+ Data partitioning
	+ Schema evolution
	+ Metadata and catalog management
* Build and optimize ingestion and ETL pipelines for batch or near\-real\-time workloads.
**AWS Serverless Development**
* Develop serverless applications using:
	+ **Lambda**
	+ **API Gateway**
	+ **EventBridge**
	+ **SNS/SQS**
	+ **Step Functions**
* Build and tune AWS Glue ETL jobs using Python and PySpark.
* Implement cost\-efficient, highly scalable, event\-driven architectures.
**Monitoring, Logging \&amp; Observability**
* Implement monitoring and alerting using:
	+ **Amazon CloudWatch Logs, Metrics \&amp; Dashboards**
	+ CloudWatch Alarms for proactive incident detection
* Use CloudWatch Log Insights for log analytics and troubleshooting.
* Configure **AWS X\-Ray** for distributed tracing and end\-to\-end visibility.
* Build automated alerts around:
	+ Lambda failures
	+ Glue job errors
	+ Data pipeline SLAs
	+ Performance anomalies
**Data Engineering \&amp; Spark**
* Develop ETL pipelines using **PySpark** on AWS Glue or EMR.
* Optimize Spark workloads for performance, cost, and scaling.
* Troubleshoot distributed data issues and tune job performance.
**Python Development**
* Write clean Python code for Lambda functions, Glue jobs, and automation tools.
* Develop shared internal libraries for ETL, monitoring, and data governance.
* Implement automated CI/CD delivery pipelines.
**DevOps \&amp; Cloud Platform Automation**
* Use Infrastructure\-as\-Code tools including:
	+ **Terraform** (modules, workspaces, state management)
	+ AWS CloudFormation or CDK (optional but beneficial)
* Implement:
	+ Automated provisioning of AWS resources
	+ Version\-controlled, repeatable deployments
	+ Secure IAM roles and resource policies
* Configure monitoring, alerting, logging pipelines, and operational dashboards.
The base salary range for this position is $92,250 \- $131,786,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03/02/2026\.This position is for an existing, immediate vacancy. We are currently seeking to fill this role with an individual who can start as soon as possible.
**\#Concentrix**
**\#Remote**</t>
        </is>
      </c>
    </row>
    <row r="40">
      <c r="A40" t="inlineStr">
        <is>
          <t>in-9dd42a0e9f6369fb</t>
        </is>
      </c>
      <c r="B40" t="inlineStr">
        <is>
          <t>AWS Data Platform Engineer</t>
        </is>
      </c>
      <c r="C40" t="inlineStr">
        <is>
          <t>Concentrix</t>
        </is>
      </c>
      <c r="D40" t="inlineStr">
        <is>
          <t>indeed</t>
        </is>
      </c>
      <c r="E40" t="inlineStr"/>
      <c r="F40" t="inlineStr"/>
      <c r="G40" t="inlineStr">
        <is>
          <t>SD, US</t>
        </is>
      </c>
      <c r="H40" s="1" t="n">
        <v>46077</v>
      </c>
      <c r="I40" t="inlineStr">
        <is>
          <t>**Title: AWS Data Platform Engineer**
**Location: Remote in USA**
**Key Responsibilities**
Preferred 6\+ years of experience
**AWS Data Lake Architecture \&amp; Setup**
* Design and maintain scalable **AWS Data Lakes** using:
	+ **Amazon S3** for multi\-zone data storage (raw, curated, processed)
	+ **AWS Glue** Jobs, Crawlers, and Data Catalog
	+ **AWS Lake Formation** for centralized governance and security
* Configure Lake Formation capabilities:
	+ Row/column\-level access control
	+ Tag\-based access control (LF\-TBAC)
	+ Governed table permissions
	+ Cross\-account data sharing
* Implement best practices in:
	+ Data partitioning
	+ Schema evolution
	+ Metadata and catalog management
* Build and optimize ingestion and ETL pipelines for batch or near\-real\-time workloads.
**AWS Serverless Development**
* Develop serverless applications using:
	+ **Lambda**
	+ **API Gateway**
	+ **EventBridge**
	+ **SNS/SQS**
	+ **Step Functions**
* Build and tune AWS Glue ETL jobs using Python and PySpark.
* Implement cost\-efficient, highly scalable, event\-driven architectures.
**Monitoring, Logging \&amp; Observability**
* Implement monitoring and alerting using:
	+ **Amazon CloudWatch Logs, Metrics \&amp; Dashboards**
	+ CloudWatch Alarms for proactive incident detection
* Use CloudWatch Log Insights for log analytics and troubleshooting.
* Configure **AWS X\-Ray** for distributed tracing and end\-to\-end visibility.
* Build automated alerts around:
	+ Lambda failures
	+ Glue job errors
	+ Data pipeline SLAs
	+ Performance anomalies
**Data Engineering \&amp; Spark**
* Develop ETL pipelines using **PySpark** on AWS Glue or EMR.
* Optimize Spark workloads for performance, cost, and scaling.
* Troubleshoot distributed data issues and tune job performance.
**Python Development**
* Write clean Python code for Lambda functions, Glue jobs, and automation tools.
* Develop shared internal libraries for ETL, monitoring, and data governance.
* Implement automated CI/CD delivery pipelines.
**DevOps \&amp; Cloud Platform Automation**
* Use Infrastructure\-as\-Code tools including:
	+ **Terraform** (modules, workspaces, state management)
	+ AWS CloudFormation or CDK (optional but beneficial)
* Implement:
	+ Automated provisioning of AWS resources
	+ Version\-controlled, repeatable deployments
	+ Secure IAM roles and resource policies
* Configure monitoring, alerting, logging pipelines, and operational dashboards.
The base salary range for this position is $92,250 \- $131,786,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03/02/2026\.This position is for an existing, immediate vacancy. We are currently seeking to fill this role with an individual who can start as soon as possible.
**\#Concentrix**
**\#Remote**</t>
        </is>
      </c>
    </row>
    <row r="41">
      <c r="A41" t="inlineStr">
        <is>
          <t>in-e2ce8108c4c6139a</t>
        </is>
      </c>
      <c r="B41" t="inlineStr">
        <is>
          <t>AWS Data Platform Engineer</t>
        </is>
      </c>
      <c r="C41" t="inlineStr">
        <is>
          <t>Concentrix</t>
        </is>
      </c>
      <c r="D41" t="inlineStr">
        <is>
          <t>indeed</t>
        </is>
      </c>
      <c r="E41" t="inlineStr"/>
      <c r="F41" t="inlineStr"/>
      <c r="G41" t="inlineStr">
        <is>
          <t>MO, US</t>
        </is>
      </c>
      <c r="H41" s="1" t="n">
        <v>46077</v>
      </c>
      <c r="I41" t="inlineStr">
        <is>
          <t>**Title: AWS Data Platform Engineer**
**Location: Remote in USA**
**Key Responsibilities**
Preferred 6\+ years of experience
**AWS Data Lake Architecture \&amp; Setup**
* Design and maintain scalable **AWS Data Lakes** using:
	+ **Amazon S3** for multi\-zone data storage (raw, curated, processed)
	+ **AWS Glue** Jobs, Crawlers, and Data Catalog
	+ **AWS Lake Formation** for centralized governance and security
* Configure Lake Formation capabilities:
	+ Row/column\-level access control
	+ Tag\-based access control (LF\-TBAC)
	+ Governed table permissions
	+ Cross\-account data sharing
* Implement best practices in:
	+ Data partitioning
	+ Schema evolution
	+ Metadata and catalog management
* Build and optimize ingestion and ETL pipelines for batch or near\-real\-time workloads.
**AWS Serverless Development**
* Develop serverless applications using:
	+ **Lambda**
	+ **API Gateway**
	+ **EventBridge**
	+ **SNS/SQS**
	+ **Step Functions**
* Build and tune AWS Glue ETL jobs using Python and PySpark.
* Implement cost\-efficient, highly scalable, event\-driven architectures.
**Monitoring, Logging \&amp; Observability**
* Implement monitoring and alerting using:
	+ **Amazon CloudWatch Logs, Metrics \&amp; Dashboards**
	+ CloudWatch Alarms for proactive incident detection
* Use CloudWatch Log Insights for log analytics and troubleshooting.
* Configure **AWS X\-Ray** for distributed tracing and end\-to\-end visibility.
* Build automated alerts around:
	+ Lambda failures
	+ Glue job errors
	+ Data pipeline SLAs
	+ Performance anomalies
**Data Engineering \&amp; Spark**
* Develop ETL pipelines using **PySpark** on AWS Glue or EMR.
* Optimize Spark workloads for performance, cost, and scaling.
* Troubleshoot distributed data issues and tune job performance.
**Python Development**
* Write clean Python code for Lambda functions, Glue jobs, and automation tools.
* Develop shared internal libraries for ETL, monitoring, and data governance.
* Implement automated CI/CD delivery pipelines.
**DevOps \&amp; Cloud Platform Automation**
* Use Infrastructure\-as\-Code tools including:
	+ **Terraform** (modules, workspaces, state management)
	+ AWS CloudFormation or CDK (optional but beneficial)
* Implement:
	+ Automated provisioning of AWS resources
	+ Version\-controlled, repeatable deployments
	+ Secure IAM roles and resource policies
* Configure monitoring, alerting, logging pipelines, and operational dashboards.
The base salary range for this position is $92,250 \- $131,786,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03/02/2026\.This position is for an existing, immediate vacancy. We are currently seeking to fill this role with an individual who can start as soon as possible.
**\#Concentrix**
**\#Remote**</t>
        </is>
      </c>
    </row>
    <row r="42">
      <c r="A42" t="inlineStr">
        <is>
          <t>in-8bb1399157ed987a</t>
        </is>
      </c>
      <c r="B42" t="inlineStr">
        <is>
          <t>AWS Data Platform Engineer</t>
        </is>
      </c>
      <c r="C42" t="inlineStr">
        <is>
          <t>Concentrix</t>
        </is>
      </c>
      <c r="D42" t="inlineStr">
        <is>
          <t>indeed</t>
        </is>
      </c>
      <c r="E42" t="inlineStr"/>
      <c r="F42" t="inlineStr"/>
      <c r="G42" t="inlineStr">
        <is>
          <t>NC, US</t>
        </is>
      </c>
      <c r="H42" s="1" t="n">
        <v>46077</v>
      </c>
      <c r="I42" t="inlineStr">
        <is>
          <t>**Title: AWS Data Platform Engineer**
**Location: Remote in USA**
**Key Responsibilities**
Preferred 6\+ years of experience
**AWS Data Lake Architecture \&amp; Setup**
* Design and maintain scalable **AWS Data Lakes** using:
	+ **Amazon S3** for multi\-zone data storage (raw, curated, processed)
	+ **AWS Glue** Jobs, Crawlers, and Data Catalog
	+ **AWS Lake Formation** for centralized governance and security
* Configure Lake Formation capabilities:
	+ Row/column\-level access control
	+ Tag\-based access control (LF\-TBAC)
	+ Governed table permissions
	+ Cross\-account data sharing
* Implement best practices in:
	+ Data partitioning
	+ Schema evolution
	+ Metadata and catalog management
* Build and optimize ingestion and ETL pipelines for batch or near\-real\-time workloads.
**AWS Serverless Development**
* Develop serverless applications using:
	+ **Lambda**
	+ **API Gateway**
	+ **EventBridge**
	+ **SNS/SQS**
	+ **Step Functions**
* Build and tune AWS Glue ETL jobs using Python and PySpark.
* Implement cost\-efficient, highly scalable, event\-driven architectures.
**Monitoring, Logging \&amp; Observability**
* Implement monitoring and alerting using:
	+ **Amazon CloudWatch Logs, Metrics \&amp; Dashboards**
	+ CloudWatch Alarms for proactive incident detection
* Use CloudWatch Log Insights for log analytics and troubleshooting.
* Configure **AWS X\-Ray** for distributed tracing and end\-to\-end visibility.
* Build automated alerts around:
	+ Lambda failures
	+ Glue job errors
	+ Data pipeline SLAs
	+ Performance anomalies
**Data Engineering \&amp; Spark**
* Develop ETL pipelines using **PySpark** on AWS Glue or EMR.
* Optimize Spark workloads for performance, cost, and scaling.
* Troubleshoot distributed data issues and tune job performance.
**Python Development**
* Write clean Python code for Lambda functions, Glue jobs, and automation tools.
* Develop shared internal libraries for ETL, monitoring, and data governance.
* Implement automated CI/CD delivery pipelines.
**DevOps \&amp; Cloud Platform Automation**
* Use Infrastructure\-as\-Code tools including:
	+ **Terraform** (modules, workspaces, state management)
	+ AWS CloudFormation or CDK (optional but beneficial)
* Implement:
	+ Automated provisioning of AWS resources
	+ Version\-controlled, repeatable deployments
	+ Secure IAM roles and resource policies
* Configure monitoring, alerting, logging pipelines, and operational dashboards.
The base salary range for this position is $92,250 \- $131,786,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03/02/2026\.This position is for an existing, immediate vacancy. We are currently seeking to fill this role with an individual who can start as soon as possible.
**\#Concentrix**
**\#Remote**</t>
        </is>
      </c>
    </row>
    <row r="43">
      <c r="A43" t="inlineStr">
        <is>
          <t>in-aa27179e71f1d215</t>
        </is>
      </c>
      <c r="B43" t="inlineStr">
        <is>
          <t>AWS Data Platform Engineer</t>
        </is>
      </c>
      <c r="C43" t="inlineStr">
        <is>
          <t>Concentrix</t>
        </is>
      </c>
      <c r="D43" t="inlineStr">
        <is>
          <t>indeed</t>
        </is>
      </c>
      <c r="E43" t="inlineStr"/>
      <c r="F43" t="inlineStr"/>
      <c r="G43" t="inlineStr">
        <is>
          <t>MN, US</t>
        </is>
      </c>
      <c r="H43" s="1" t="n">
        <v>46077</v>
      </c>
      <c r="I43" t="inlineStr">
        <is>
          <t>**Title: AWS Data Platform Engineer**
**Location: Remote in USA**
**Key Responsibilities**
Preferred 6\+ years of experience
**AWS Data Lake Architecture \&amp; Setup**
* Design and maintain scalable **AWS Data Lakes** using:
	+ **Amazon S3** for multi\-zone data storage (raw, curated, processed)
	+ **AWS Glue** Jobs, Crawlers, and Data Catalog
	+ **AWS Lake Formation** for centralized governance and security
* Configure Lake Formation capabilities:
	+ Row/column\-level access control
	+ Tag\-based access control (LF\-TBAC)
	+ Governed table permissions
	+ Cross\-account data sharing
* Implement best practices in:
	+ Data partitioning
	+ Schema evolution
	+ Metadata and catalog management
* Build and optimize ingestion and ETL pipelines for batch or near\-real\-time workloads.
**AWS Serverless Development**
* Develop serverless applications using:
	+ **Lambda**
	+ **API Gateway**
	+ **EventBridge**
	+ **SNS/SQS**
	+ **Step Functions**
* Build and tune AWS Glue ETL jobs using Python and PySpark.
* Implement cost\-efficient, highly scalable, event\-driven architectures.
**Monitoring, Logging \&amp; Observability**
* Implement monitoring and alerting using:
	+ **Amazon CloudWatch Logs, Metrics \&amp; Dashboards**
	+ CloudWatch Alarms for proactive incident detection
* Use CloudWatch Log Insights for log analytics and troubleshooting.
* Configure **AWS X\-Ray** for distributed tracing and end\-to\-end visibility.
* Build automated alerts around:
	+ Lambda failures
	+ Glue job errors
	+ Data pipeline SLAs
	+ Performance anomalies
**Data Engineering \&amp; Spark**
* Develop ETL pipelines using **PySpark** on AWS Glue or EMR.
* Optimize Spark workloads for performance, cost, and scaling.
* Troubleshoot distributed data issues and tune job performance.
**Python Development**
* Write clean Python code for Lambda functions, Glue jobs, and automation tools.
* Develop shared internal libraries for ETL, monitoring, and data governance.
* Implement automated CI/CD delivery pipelines.
**DevOps \&amp; Cloud Platform Automation**
* Use Infrastructure\-as\-Code tools including:
	+ **Terraform** (modules, workspaces, state management)
	+ AWS CloudFormation or CDK (optional but beneficial)
* Implement:
	+ Automated provisioning of AWS resources
	+ Version\-controlled, repeatable deployments
	+ Secure IAM roles and resource policies
* Configure monitoring, alerting, logging pipelines, and operational dashboards.
The base salary range for this position is $92,250 \- $131,786,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03/02/2026\.This position is for an existing, immediate vacancy. We are currently seeking to fill this role with an individual who can start as soon as possible.
**\#Concentrix**
**\#Remote**</t>
        </is>
      </c>
    </row>
    <row r="44">
      <c r="A44" t="inlineStr">
        <is>
          <t>in-487287ab40eadad6</t>
        </is>
      </c>
      <c r="B44" t="inlineStr">
        <is>
          <t>AWS Data Platform Engineer</t>
        </is>
      </c>
      <c r="C44" t="inlineStr">
        <is>
          <t>Concentrix</t>
        </is>
      </c>
      <c r="D44" t="inlineStr">
        <is>
          <t>indeed</t>
        </is>
      </c>
      <c r="E44" t="inlineStr"/>
      <c r="F44" t="inlineStr"/>
      <c r="G44" t="inlineStr">
        <is>
          <t>ME, US</t>
        </is>
      </c>
      <c r="H44" s="1" t="n">
        <v>46077</v>
      </c>
      <c r="I44" t="inlineStr">
        <is>
          <t>**Title: AWS Data Platform Engineer**
**Location: Remote in USA**
**Key Responsibilities**
Preferred 6\+ years of experience
**AWS Data Lake Architecture \&amp; Setup**
* Design and maintain scalable **AWS Data Lakes** using:
	+ **Amazon S3** for multi\-zone data storage (raw, curated, processed)
	+ **AWS Glue** Jobs, Crawlers, and Data Catalog
	+ **AWS Lake Formation** for centralized governance and security
* Configure Lake Formation capabilities:
	+ Row/column\-level access control
	+ Tag\-based access control (LF\-TBAC)
	+ Governed table permissions
	+ Cross\-account data sharing
* Implement best practices in:
	+ Data partitioning
	+ Schema evolution
	+ Metadata and catalog management
* Build and optimize ingestion and ETL pipelines for batch or near\-real\-time workloads.
**AWS Serverless Development**
* Develop serverless applications using:
	+ **Lambda**
	+ **API Gateway**
	+ **EventBridge**
	+ **SNS/SQS**
	+ **Step Functions**
* Build and tune AWS Glue ETL jobs using Python and PySpark.
* Implement cost\-efficient, highly scalable, event\-driven architectures.
**Monitoring, Logging \&amp; Observability**
* Implement monitoring and alerting using:
	+ **Amazon CloudWatch Logs, Metrics \&amp; Dashboards**
	+ CloudWatch Alarms for proactive incident detection
* Use CloudWatch Log Insights for log analytics and troubleshooting.
* Configure **AWS X\-Ray** for distributed tracing and end\-to\-end visibility.
* Build automated alerts around:
	+ Lambda failures
	+ Glue job errors
	+ Data pipeline SLAs
	+ Performance anomalies
**Data Engineering \&amp; Spark**
* Develop ETL pipelines using **PySpark** on AWS Glue or EMR.
* Optimize Spark workloads for performance, cost, and scaling.
* Troubleshoot distributed data issues and tune job performance.
**Python Development**
* Write clean Python code for Lambda functions, Glue jobs, and automation tools.
* Develop shared internal libraries for ETL, monitoring, and data governance.
* Implement automated CI/CD delivery pipelines.
**DevOps \&amp; Cloud Platform Automation**
* Use Infrastructure\-as\-Code tools including:
	+ **Terraform** (modules, workspaces, state management)
	+ AWS CloudFormation or CDK (optional but beneficial)
* Implement:
	+ Automated provisioning of AWS resources
	+ Version\-controlled, repeatable deployments
	+ Secure IAM roles and resource policies
* Configure monitoring, alerting, logging pipelines, and operational dashboards.
The base salary range for this position is $92,250 \- $131,786,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03/02/2026\.This position is for an existing, immediate vacancy. We are currently seeking to fill this role with an individual who can start as soon as possible.
**\#Concentrix**
**\#Remote**</t>
        </is>
      </c>
    </row>
    <row r="45">
      <c r="A45" t="inlineStr">
        <is>
          <t>in-f6a4b18b4f729cc5</t>
        </is>
      </c>
      <c r="B45" t="inlineStr">
        <is>
          <t>AWS Data Platform Engineer</t>
        </is>
      </c>
      <c r="C45" t="inlineStr">
        <is>
          <t>Concentrix</t>
        </is>
      </c>
      <c r="D45" t="inlineStr">
        <is>
          <t>indeed</t>
        </is>
      </c>
      <c r="E45" t="inlineStr"/>
      <c r="F45" t="inlineStr"/>
      <c r="G45" t="inlineStr">
        <is>
          <t>AZ, US</t>
        </is>
      </c>
      <c r="H45" s="1" t="n">
        <v>46077</v>
      </c>
      <c r="I45" t="inlineStr">
        <is>
          <t>**Title: AWS Data Platform Engineer**
**Location: Remote in USA**
**Key Responsibilities**
Preferred 6\+ years of experience
**AWS Data Lake Architecture \&amp; Setup**
* Design and maintain scalable **AWS Data Lakes** using:
	+ **Amazon S3** for multi\-zone data storage (raw, curated, processed)
	+ **AWS Glue** Jobs, Crawlers, and Data Catalog
	+ **AWS Lake Formation** for centralized governance and security
* Configure Lake Formation capabilities:
	+ Row/column\-level access control
	+ Tag\-based access control (LF\-TBAC)
	+ Governed table permissions
	+ Cross\-account data sharing
* Implement best practices in:
	+ Data partitioning
	+ Schema evolution
	+ Metadata and catalog management
* Build and optimize ingestion and ETL pipelines for batch or near\-real\-time workloads.
**AWS Serverless Development**
* Develop serverless applications using:
	+ **Lambda**
	+ **API Gateway**
	+ **EventBridge**
	+ **SNS/SQS**
	+ **Step Functions**
* Build and tune AWS Glue ETL jobs using Python and PySpark.
* Implement cost\-efficient, highly scalable, event\-driven architectures.
**Monitoring, Logging \&amp; Observability**
* Implement monitoring and alerting using:
	+ **Amazon CloudWatch Logs, Metrics \&amp; Dashboards**
	+ CloudWatch Alarms for proactive incident detection
* Use CloudWatch Log Insights for log analytics and troubleshooting.
* Configure **AWS X\-Ray** for distributed tracing and end\-to\-end visibility.
* Build automated alerts around:
	+ Lambda failures
	+ Glue job errors
	+ Data pipeline SLAs
	+ Performance anomalies
**Data Engineering \&amp; Spark**
* Develop ETL pipelines using **PySpark** on AWS Glue or EMR.
* Optimize Spark workloads for performance, cost, and scaling.
* Troubleshoot distributed data issues and tune job performance.
**Python Development**
* Write clean Python code for Lambda functions, Glue jobs, and automation tools.
* Develop shared internal libraries for ETL, monitoring, and data governance.
* Implement automated CI/CD delivery pipelines.
**DevOps \&amp; Cloud Platform Automation**
* Use Infrastructure\-as\-Code tools including:
	+ **Terraform** (modules, workspaces, state management)
	+ AWS CloudFormation or CDK (optional but beneficial)
* Implement:
	+ Automated provisioning of AWS resources
	+ Version\-controlled, repeatable deployments
	+ Secure IAM roles and resource policies
* Configure monitoring, alerting, logging pipelines, and operational dashboards.
The base salary range for this position is $92,250 \- $131,786,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03/02/2026\.This position is for an existing, immediate vacancy. We are currently seeking to fill this role with an individual who can start as soon as possible.
**\#Concentrix**
**\#Remote**</t>
        </is>
      </c>
    </row>
    <row r="46">
      <c r="A46" t="inlineStr">
        <is>
          <t>in-5156ae4f3304f436</t>
        </is>
      </c>
      <c r="B46" t="inlineStr">
        <is>
          <t>AWS Data Platform Engineer</t>
        </is>
      </c>
      <c r="C46" t="inlineStr">
        <is>
          <t>Concentrix</t>
        </is>
      </c>
      <c r="D46" t="inlineStr">
        <is>
          <t>indeed</t>
        </is>
      </c>
      <c r="E46" t="inlineStr"/>
      <c r="F46" t="inlineStr"/>
      <c r="G46" t="inlineStr">
        <is>
          <t>KY, US</t>
        </is>
      </c>
      <c r="H46" s="1" t="n">
        <v>46077</v>
      </c>
      <c r="I46" t="inlineStr">
        <is>
          <t>**Title: AWS Data Platform Engineer**
**Location: Remote in USA**
**Key Responsibilities**
Preferred 6\+ years of experience
**AWS Data Lake Architecture \&amp; Setup**
* Design and maintain scalable **AWS Data Lakes** using:
	+ **Amazon S3** for multi\-zone data storage (raw, curated, processed)
	+ **AWS Glue** Jobs, Crawlers, and Data Catalog
	+ **AWS Lake Formation** for centralized governance and security
* Configure Lake Formation capabilities:
	+ Row/column\-level access control
	+ Tag\-based access control (LF\-TBAC)
	+ Governed table permissions
	+ Cross\-account data sharing
* Implement best practices in:
	+ Data partitioning
	+ Schema evolution
	+ Metadata and catalog management
* Build and optimize ingestion and ETL pipelines for batch or near\-real\-time workloads.
**AWS Serverless Development**
* Develop serverless applications using:
	+ **Lambda**
	+ **API Gateway**
	+ **EventBridge**
	+ **SNS/SQS**
	+ **Step Functions**
* Build and tune AWS Glue ETL jobs using Python and PySpark.
* Implement cost\-efficient, highly scalable, event\-driven architectures.
**Monitoring, Logging \&amp; Observability**
* Implement monitoring and alerting using:
	+ **Amazon CloudWatch Logs, Metrics \&amp; Dashboards**
	+ CloudWatch Alarms for proactive incident detection
* Use CloudWatch Log Insights for log analytics and troubleshooting.
* Configure **AWS X\-Ray** for distributed tracing and end\-to\-end visibility.
* Build automated alerts around:
	+ Lambda failures
	+ Glue job errors
	+ Data pipeline SLAs
	+ Performance anomalies
**Data Engineering \&amp; Spark**
* Develop ETL pipelines using **PySpark** on AWS Glue or EMR.
* Optimize Spark workloads for performance, cost, and scaling.
* Troubleshoot distributed data issues and tune job performance.
**Python Development**
* Write clean Python code for Lambda functions, Glue jobs, and automation tools.
* Develop shared internal libraries for ETL, monitoring, and data governance.
* Implement automated CI/CD delivery pipelines.
**DevOps \&amp; Cloud Platform Automation**
* Use Infrastructure\-as\-Code tools including:
	+ **Terraform** (modules, workspaces, state management)
	+ AWS CloudFormation or CDK (optional but beneficial)
* Implement:
	+ Automated provisioning of AWS resources
	+ Version\-controlled, repeatable deployments
	+ Secure IAM roles and resource policies
* Configure monitoring, alerting, logging pipelines, and operational dashboards.
The base salary range for this position is $92,250 \- $131,786,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03/02/2026\.This position is for an existing, immediate vacancy. We are currently seeking to fill this role with an individual who can start as soon as possible.
**\#Concentrix**
**\#Remote**</t>
        </is>
      </c>
    </row>
    <row r="47">
      <c r="A47" t="inlineStr">
        <is>
          <t>in-a1291f0caedc31ca</t>
        </is>
      </c>
      <c r="B47" t="inlineStr">
        <is>
          <t>AWS Data Platform Engineer</t>
        </is>
      </c>
      <c r="C47" t="inlineStr">
        <is>
          <t>Concentrix</t>
        </is>
      </c>
      <c r="D47" t="inlineStr">
        <is>
          <t>indeed</t>
        </is>
      </c>
      <c r="E47" t="inlineStr"/>
      <c r="F47" t="inlineStr"/>
      <c r="G47" t="inlineStr">
        <is>
          <t>IN, US</t>
        </is>
      </c>
      <c r="H47" s="1" t="n">
        <v>46077</v>
      </c>
      <c r="I47" t="inlineStr">
        <is>
          <t>**Title: AWS Data Platform Engineer**
**Location: Remote in USA**
**Key Responsibilities**
Preferred 6\+ years of experience
**AWS Data Lake Architecture \&amp; Setup**
* Design and maintain scalable **AWS Data Lakes** using:
	+ **Amazon S3** for multi\-zone data storage (raw, curated, processed)
	+ **AWS Glue** Jobs, Crawlers, and Data Catalog
	+ **AWS Lake Formation** for centralized governance and security
* Configure Lake Formation capabilities:
	+ Row/column\-level access control
	+ Tag\-based access control (LF\-TBAC)
	+ Governed table permissions
	+ Cross\-account data sharing
* Implement best practices in:
	+ Data partitioning
	+ Schema evolution
	+ Metadata and catalog management
* Build and optimize ingestion and ETL pipelines for batch or near\-real\-time workloads.
**AWS Serverless Development**
* Develop serverless applications using:
	+ **Lambda**
	+ **API Gateway**
	+ **EventBridge**
	+ **SNS/SQS**
	+ **Step Functions**
* Build and tune AWS Glue ETL jobs using Python and PySpark.
* Implement cost\-efficient, highly scalable, event\-driven architectures.
**Monitoring, Logging \&amp; Observability**
* Implement monitoring and alerting using:
	+ **Amazon CloudWatch Logs, Metrics \&amp; Dashboards**
	+ CloudWatch Alarms for proactive incident detection
* Use CloudWatch Log Insights for log analytics and troubleshooting.
* Configure **AWS X\-Ray** for distributed tracing and end\-to\-end visibility.
* Build automated alerts around:
	+ Lambda failures
	+ Glue job errors
	+ Data pipeline SLAs
	+ Performance anomalies
**Data Engineering \&amp; Spark**
* Develop ETL pipelines using **PySpark** on AWS Glue or EMR.
* Optimize Spark workloads for performance, cost, and scaling.
* Troubleshoot distributed data issues and tune job performance.
**Python Development**
* Write clean Python code for Lambda functions, Glue jobs, and automation tools.
* Develop shared internal libraries for ETL, monitoring, and data governance.
* Implement automated CI/CD delivery pipelines.
**DevOps \&amp; Cloud Platform Automation**
* Use Infrastructure\-as\-Code tools including:
	+ **Terraform** (modules, workspaces, state management)
	+ AWS CloudFormation or CDK (optional but beneficial)
* Implement:
	+ Automated provisioning of AWS resources
	+ Version\-controlled, repeatable deployments
	+ Secure IAM roles and resource policies
* Configure monitoring, alerting, logging pipelines, and operational dashboards.
The base salary range for this position is $92,250 \- $131,786,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03/02/2026\.This position is for an existing, immediate vacancy. We are currently seeking to fill this role with an individual who can start as soon as possible.
**\#Concentrix**
**\#Remote**</t>
        </is>
      </c>
    </row>
    <row r="48">
      <c r="A48" t="inlineStr">
        <is>
          <t>in-6c38f857835e4e55</t>
        </is>
      </c>
      <c r="B48" t="inlineStr">
        <is>
          <t>AWS Data Platform Engineer</t>
        </is>
      </c>
      <c r="C48" t="inlineStr">
        <is>
          <t>Concentrix</t>
        </is>
      </c>
      <c r="D48" t="inlineStr">
        <is>
          <t>indeed</t>
        </is>
      </c>
      <c r="E48" t="inlineStr"/>
      <c r="F48" t="inlineStr"/>
      <c r="G48" t="inlineStr">
        <is>
          <t>KS, US</t>
        </is>
      </c>
      <c r="H48" s="1" t="n">
        <v>46077</v>
      </c>
      <c r="I48" t="inlineStr">
        <is>
          <t>**Title: AWS Data Platform Engineer**
**Location: Remote in USA**
**Key Responsibilities**
Preferred 6\+ years of experience
**AWS Data Lake Architecture \&amp; Setup**
* Design and maintain scalable **AWS Data Lakes** using:
	+ **Amazon S3** for multi\-zone data storage (raw, curated, processed)
	+ **AWS Glue** Jobs, Crawlers, and Data Catalog
	+ **AWS Lake Formation** for centralized governance and security
* Configure Lake Formation capabilities:
	+ Row/column\-level access control
	+ Tag\-based access control (LF\-TBAC)
	+ Governed table permissions
	+ Cross\-account data sharing
* Implement best practices in:
	+ Data partitioning
	+ Schema evolution
	+ Metadata and catalog management
* Build and optimize ingestion and ETL pipelines for batch or near\-real\-time workloads.
**AWS Serverless Development**
* Develop serverless applications using:
	+ **Lambda**
	+ **API Gateway**
	+ **EventBridge**
	+ **SNS/SQS**
	+ **Step Functions**
* Build and tune AWS Glue ETL jobs using Python and PySpark.
* Implement cost\-efficient, highly scalable, event\-driven architectures.
**Monitoring, Logging \&amp; Observability**
* Implement monitoring and alerting using:
	+ **Amazon CloudWatch Logs, Metrics \&amp; Dashboards**
	+ CloudWatch Alarms for proactive incident detection
* Use CloudWatch Log Insights for log analytics and troubleshooting.
* Configure **AWS X\-Ray** for distributed tracing and end\-to\-end visibility.
* Build automated alerts around:
	+ Lambda failures
	+ Glue job errors
	+ Data pipeline SLAs
	+ Performance anomalies
**Data Engineering \&amp; Spark**
* Develop ETL pipelines using **PySpark** on AWS Glue or EMR.
* Optimize Spark workloads for performance, cost, and scaling.
* Troubleshoot distributed data issues and tune job performance.
**Python Development**
* Write clean Python code for Lambda functions, Glue jobs, and automation tools.
* Develop shared internal libraries for ETL, monitoring, and data governance.
* Implement automated CI/CD delivery pipelines.
**DevOps \&amp; Cloud Platform Automation**
* Use Infrastructure\-as\-Code tools including:
	+ **Terraform** (modules, workspaces, state management)
	+ AWS CloudFormation or CDK (optional but beneficial)
* Implement:
	+ Automated provisioning of AWS resources
	+ Version\-controlled, repeatable deployments
	+ Secure IAM roles and resource policies
* Configure monitoring, alerting, logging pipelines, and operational dashboards.
The base salary range for this position is $92,250 \- $131,786,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03/02/2026\.This position is for an existing, immediate vacancy. We are currently seeking to fill this role with an individual who can start as soon as possible.
**\#Concentrix**
**\#Remote**</t>
        </is>
      </c>
    </row>
    <row r="49">
      <c r="A49" t="inlineStr">
        <is>
          <t>in-05bf91f82d524c1b</t>
        </is>
      </c>
      <c r="B49" t="inlineStr">
        <is>
          <t>AWS Data Platform Engineer</t>
        </is>
      </c>
      <c r="C49" t="inlineStr">
        <is>
          <t>Concentrix</t>
        </is>
      </c>
      <c r="D49" t="inlineStr">
        <is>
          <t>indeed</t>
        </is>
      </c>
      <c r="E49" t="inlineStr"/>
      <c r="F49" t="inlineStr"/>
      <c r="G49" t="inlineStr">
        <is>
          <t>AL, US</t>
        </is>
      </c>
      <c r="H49" s="1" t="n">
        <v>46077</v>
      </c>
      <c r="I49" t="inlineStr">
        <is>
          <t>**Title: AWS Data Platform Engineer**
**Location: Remote in USA**
**Key Responsibilities**
Preferred 6\+ years of experience
**AWS Data Lake Architecture \&amp; Setup**
* Design and maintain scalable **AWS Data Lakes** using:
	+ **Amazon S3** for multi\-zone data storage (raw, curated, processed)
	+ **AWS Glue** Jobs, Crawlers, and Data Catalog
	+ **AWS Lake Formation** for centralized governance and security
* Configure Lake Formation capabilities:
	+ Row/column\-level access control
	+ Tag\-based access control (LF\-TBAC)
	+ Governed table permissions
	+ Cross\-account data sharing
* Implement best practices in:
	+ Data partitioning
	+ Schema evolution
	+ Metadata and catalog management
* Build and optimize ingestion and ETL pipelines for batch or near\-real\-time workloads.
**AWS Serverless Development**
* Develop serverless applications using:
	+ **Lambda**
	+ **API Gateway**
	+ **EventBridge**
	+ **SNS/SQS**
	+ **Step Functions**
* Build and tune AWS Glue ETL jobs using Python and PySpark.
* Implement cost\-efficient, highly scalable, event\-driven architectures.
**Monitoring, Logging \&amp; Observability**
* Implement monitoring and alerting using:
	+ **Amazon CloudWatch Logs, Metrics \&amp; Dashboards**
	+ CloudWatch Alarms for proactive incident detection
* Use CloudWatch Log Insights for log analytics and troubleshooting.
* Configure **AWS X\-Ray** for distributed tracing and end\-to\-end visibility.
* Build automated alerts around:
	+ Lambda failures
	+ Glue job errors
	+ Data pipeline SLAs
	+ Performance anomalies
**Data Engineering \&amp; Spark**
* Develop ETL pipelines using **PySpark** on AWS Glue or EMR.
* Optimize Spark workloads for performance, cost, and scaling.
* Troubleshoot distributed data issues and tune job performance.
**Python Development**
* Write clean Python code for Lambda functions, Glue jobs, and automation tools.
* Develop shared internal libraries for ETL, monitoring, and data governance.
* Implement automated CI/CD delivery pipelines.
**DevOps \&amp; Cloud Platform Automation**
* Use Infrastructure\-as\-Code tools including:
	+ **Terraform** (modules, workspaces, state management)
	+ AWS CloudFormation or CDK (optional but beneficial)
* Implement:
	+ Automated provisioning of AWS resources
	+ Version\-controlled, repeatable deployments
	+ Secure IAM roles and resource policies
* Configure monitoring, alerting, logging pipelines, and operational dashboards.
The base salary range for this position is $92,250 \- $131,786,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03/02/2026\.This position is for an existing, immediate vacancy. We are currently seeking to fill this role with an individual who can start as soon as possible.
**\#Concentrix**
**\#Remote**</t>
        </is>
      </c>
    </row>
    <row r="50">
      <c r="A50" t="inlineStr">
        <is>
          <t>in-2f7a7b948aeaf749</t>
        </is>
      </c>
      <c r="B50" t="inlineStr">
        <is>
          <t>AWS Data Platform Engineer</t>
        </is>
      </c>
      <c r="C50" t="inlineStr">
        <is>
          <t>Concentrix</t>
        </is>
      </c>
      <c r="D50" t="inlineStr">
        <is>
          <t>indeed</t>
        </is>
      </c>
      <c r="E50" t="inlineStr"/>
      <c r="F50" t="inlineStr"/>
      <c r="G50" t="inlineStr">
        <is>
          <t>AR, US</t>
        </is>
      </c>
      <c r="H50" s="1" t="n">
        <v>46077</v>
      </c>
      <c r="I50" t="inlineStr">
        <is>
          <t>**Title: AWS Data Platform Engineer**
**Location: Remote in USA**
**Key Responsibilities**
Preferred 6\+ years of experience
**AWS Data Lake Architecture \&amp; Setup**
* Design and maintain scalable **AWS Data Lakes** using:
	+ **Amazon S3** for multi\-zone data storage (raw, curated, processed)
	+ **AWS Glue** Jobs, Crawlers, and Data Catalog
	+ **AWS Lake Formation** for centralized governance and security
* Configure Lake Formation capabilities:
	+ Row/column\-level access control
	+ Tag\-based access control (LF\-TBAC)
	+ Governed table permissions
	+ Cross\-account data sharing
* Implement best practices in:
	+ Data partitioning
	+ Schema evolution
	+ Metadata and catalog management
* Build and optimize ingestion and ETL pipelines for batch or near\-real\-time workloads.
**AWS Serverless Development**
* Develop serverless applications using:
	+ **Lambda**
	+ **API Gateway**
	+ **EventBridge**
	+ **SNS/SQS**
	+ **Step Functions**
* Build and tune AWS Glue ETL jobs using Python and PySpark.
* Implement cost\-efficient, highly scalable, event\-driven architectures.
**Monitoring, Logging \&amp; Observability**
* Implement monitoring and alerting using:
	+ **Amazon CloudWatch Logs, Metrics \&amp; Dashboards**
	+ CloudWatch Alarms for proactive incident detection
* Use CloudWatch Log Insights for log analytics and troubleshooting.
* Configure **AWS X\-Ray** for distributed tracing and end\-to\-end visibility.
* Build automated alerts around:
	+ Lambda failures
	+ Glue job errors
	+ Data pipeline SLAs
	+ Performance anomalies
**Data Engineering \&amp; Spark**
* Develop ETL pipelines using **PySpark** on AWS Glue or EMR.
* Optimize Spark workloads for performance, cost, and scaling.
* Troubleshoot distributed data issues and tune job performance.
**Python Development**
* Write clean Python code for Lambda functions, Glue jobs, and automation tools.
* Develop shared internal libraries for ETL, monitoring, and data governance.
* Implement automated CI/CD delivery pipelines.
**DevOps \&amp; Cloud Platform Automation**
* Use Infrastructure\-as\-Code tools including:
	+ **Terraform** (modules, workspaces, state management)
	+ AWS CloudFormation or CDK (optional but beneficial)
* Implement:
	+ Automated provisioning of AWS resources
	+ Version\-controlled, repeatable deployments
	+ Secure IAM roles and resource policies
* Configure monitoring, alerting, logging pipelines, and operational dashboards.
The base salary range for this position is $92,250 \- $131,786,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03/02/2026\.This position is for an existing, immediate vacancy. We are currently seeking to fill this role with an individual who can start as soon as possible.
**\#Concentrix**
**\#Remote**</t>
        </is>
      </c>
    </row>
    <row r="51">
      <c r="A51" t="inlineStr">
        <is>
          <t>in-dfa6956cd2874889</t>
        </is>
      </c>
      <c r="B51" t="inlineStr">
        <is>
          <t>AWS Data Platform Engineer</t>
        </is>
      </c>
      <c r="C51" t="inlineStr">
        <is>
          <t>Concentrix</t>
        </is>
      </c>
      <c r="D51" t="inlineStr">
        <is>
          <t>indeed</t>
        </is>
      </c>
      <c r="E51" t="inlineStr"/>
      <c r="F51" t="inlineStr"/>
      <c r="G51" t="inlineStr">
        <is>
          <t>FL, US</t>
        </is>
      </c>
      <c r="H51" s="1" t="n">
        <v>46077</v>
      </c>
      <c r="I51" t="inlineStr">
        <is>
          <t>**Title: AWS Data Platform Engineer**
**Location: Remote in USA**
**Key Responsibilities**
Preferred 6\+ years of experience
**AWS Data Lake Architecture \&amp; Setup**
* Design and maintain scalable **AWS Data Lakes** using:
	+ **Amazon S3** for multi\-zone data storage (raw, curated, processed)
	+ **AWS Glue** Jobs, Crawlers, and Data Catalog
	+ **AWS Lake Formation** for centralized governance and security
* Configure Lake Formation capabilities:
	+ Row/column\-level access control
	+ Tag\-based access control (LF\-TBAC)
	+ Governed table permissions
	+ Cross\-account data sharing
* Implement best practices in:
	+ Data partitioning
	+ Schema evolution
	+ Metadata and catalog management
* Build and optimize ingestion and ETL pipelines for batch or near\-real\-time workloads.
**AWS Serverless Development**
* Develop serverless applications using:
	+ **Lambda**
	+ **API Gateway**
	+ **EventBridge**
	+ **SNS/SQS**
	+ **Step Functions**
* Build and tune AWS Glue ETL jobs using Python and PySpark.
* Implement cost\-efficient, highly scalable, event\-driven architectures.
**Monitoring, Logging \&amp; Observability**
* Implement monitoring and alerting using:
	+ **Amazon CloudWatch Logs, Metrics \&amp; Dashboards**
	+ CloudWatch Alarms for proactive incident detection
* Use CloudWatch Log Insights for log analytics and troubleshooting.
* Configure **AWS X\-Ray** for distributed tracing and end\-to\-end visibility.
* Build automated alerts around:
	+ Lambda failures
	+ Glue job errors
	+ Data pipeline SLAs
	+ Performance anomalies
**Data Engineering \&amp; Spark**
* Develop ETL pipelines using **PySpark** on AWS Glue or EMR.
* Optimize Spark workloads for performance, cost, and scaling.
* Troubleshoot distributed data issues and tune job performance.
**Python Development**
* Write clean Python code for Lambda functions, Glue jobs, and automation tools.
* Develop shared internal libraries for ETL, monitoring, and data governance.
* Implement automated CI/CD delivery pipelines.
**DevOps \&amp; Cloud Platform Automation**
* Use Infrastructure\-as\-Code tools including:
	+ **Terraform** (modules, workspaces, state management)
	+ AWS CloudFormation or CDK (optional but beneficial)
* Implement:
	+ Automated provisioning of AWS resources
	+ Version\-controlled, repeatable deployments
	+ Secure IAM roles and resource policies
* Configure monitoring, alerting, logging pipelines, and operational dashboards.
The base salary range for this position is $92,250 \- $131,786,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03/02/2026\.This position is for an existing, immediate vacancy. We are currently seeking to fill this role with an individual who can start as soon as possible.
**\#Concentrix**
**\#Remote**</t>
        </is>
      </c>
    </row>
    <row r="52">
      <c r="A52" t="inlineStr">
        <is>
          <t>in-57ced1716ea9d344</t>
        </is>
      </c>
      <c r="B52" t="inlineStr">
        <is>
          <t>AWS Data Platform Engineer</t>
        </is>
      </c>
      <c r="C52" t="inlineStr">
        <is>
          <t>Concentrix</t>
        </is>
      </c>
      <c r="D52" t="inlineStr">
        <is>
          <t>indeed</t>
        </is>
      </c>
      <c r="E52" t="inlineStr"/>
      <c r="F52" t="inlineStr"/>
      <c r="G52" t="inlineStr">
        <is>
          <t>IA, US</t>
        </is>
      </c>
      <c r="H52" s="1" t="n">
        <v>46077</v>
      </c>
      <c r="I52" t="inlineStr">
        <is>
          <t>**Title: AWS Data Platform Engineer**
**Location: Remote in USA**
**Key Responsibilities**
Preferred 6\+ years of experience
**AWS Data Lake Architecture \&amp; Setup**
* Design and maintain scalable **AWS Data Lakes** using:
	+ **Amazon S3** for multi\-zone data storage (raw, curated, processed)
	+ **AWS Glue** Jobs, Crawlers, and Data Catalog
	+ **AWS Lake Formation** for centralized governance and security
* Configure Lake Formation capabilities:
	+ Row/column\-level access control
	+ Tag\-based access control (LF\-TBAC)
	+ Governed table permissions
	+ Cross\-account data sharing
* Implement best practices in:
	+ Data partitioning
	+ Schema evolution
	+ Metadata and catalog management
* Build and optimize ingestion and ETL pipelines for batch or near\-real\-time workloads.
**AWS Serverless Development**
* Develop serverless applications using:
	+ **Lambda**
	+ **API Gateway**
	+ **EventBridge**
	+ **SNS/SQS**
	+ **Step Functions**
* Build and tune AWS Glue ETL jobs using Python and PySpark.
* Implement cost\-efficient, highly scalable, event\-driven architectures.
**Monitoring, Logging \&amp; Observability**
* Implement monitoring and alerting using:
	+ **Amazon CloudWatch Logs, Metrics \&amp; Dashboards**
	+ CloudWatch Alarms for proactive incident detection
* Use CloudWatch Log Insights for log analytics and troubleshooting.
* Configure **AWS X\-Ray** for distributed tracing and end\-to\-end visibility.
* Build automated alerts around:
	+ Lambda failures
	+ Glue job errors
	+ Data pipeline SLAs
	+ Performance anomalies
**Data Engineering \&amp; Spark**
* Develop ETL pipelines using **PySpark** on AWS Glue or EMR.
* Optimize Spark workloads for performance, cost, and scaling.
* Troubleshoot distributed data issues and tune job performance.
**Python Development**
* Write clean Python code for Lambda functions, Glue jobs, and automation tools.
* Develop shared internal libraries for ETL, monitoring, and data governance.
* Implement automated CI/CD delivery pipelines.
**DevOps \&amp; Cloud Platform Automation**
* Use Infrastructure\-as\-Code tools including:
	+ **Terraform** (modules, workspaces, state management)
	+ AWS CloudFormation or CDK (optional but beneficial)
* Implement:
	+ Automated provisioning of AWS resources
	+ Version\-controlled, repeatable deployments
	+ Secure IAM roles and resource policies
* Configure monitoring, alerting, logging pipelines, and operational dashboards.
The base salary range for this position is $92,250 \- $131,786,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03/02/2026\.This position is for an existing, immediate vacancy. We are currently seeking to fill this role with an individual who can start as soon as possible.
**\#Concentrix**
**\#Remote**</t>
        </is>
      </c>
    </row>
    <row r="53">
      <c r="A53" t="inlineStr">
        <is>
          <t>in-ae6072c3cca7eb88</t>
        </is>
      </c>
      <c r="B53" t="inlineStr">
        <is>
          <t>AWS Data Platform Engineer</t>
        </is>
      </c>
      <c r="C53" t="inlineStr">
        <is>
          <t>Concentrix</t>
        </is>
      </c>
      <c r="D53" t="inlineStr">
        <is>
          <t>indeed</t>
        </is>
      </c>
      <c r="E53" t="inlineStr"/>
      <c r="F53" t="inlineStr"/>
      <c r="G53" t="inlineStr">
        <is>
          <t>GA, US</t>
        </is>
      </c>
      <c r="H53" s="1" t="n">
        <v>46077</v>
      </c>
      <c r="I53" t="inlineStr">
        <is>
          <t>**Title: AWS Data Platform Engineer**
**Location: Remote in USA**
**Key Responsibilities**
Preferred 6\+ years of experience
**AWS Data Lake Architecture \&amp; Setup**
* Design and maintain scalable **AWS Data Lakes** using:
	+ **Amazon S3** for multi\-zone data storage (raw, curated, processed)
	+ **AWS Glue** Jobs, Crawlers, and Data Catalog
	+ **AWS Lake Formation** for centralized governance and security
* Configure Lake Formation capabilities:
	+ Row/column\-level access control
	+ Tag\-based access control (LF\-TBAC)
	+ Governed table permissions
	+ Cross\-account data sharing
* Implement best practices in:
	+ Data partitioning
	+ Schema evolution
	+ Metadata and catalog management
* Build and optimize ingestion and ETL pipelines for batch or near\-real\-time workloads.
**AWS Serverless Development**
* Develop serverless applications using:
	+ **Lambda**
	+ **API Gateway**
	+ **EventBridge**
	+ **SNS/SQS**
	+ **Step Functions**
* Build and tune AWS Glue ETL jobs using Python and PySpark.
* Implement cost\-efficient, highly scalable, event\-driven architectures.
**Monitoring, Logging \&amp; Observability**
* Implement monitoring and alerting using:
	+ **Amazon CloudWatch Logs, Metrics \&amp; Dashboards**
	+ CloudWatch Alarms for proactive incident detection
* Use CloudWatch Log Insights for log analytics and troubleshooting.
* Configure **AWS X\-Ray** for distributed tracing and end\-to\-end visibility.
* Build automated alerts around:
	+ Lambda failures
	+ Glue job errors
	+ Data pipeline SLAs
	+ Performance anomalies
**Data Engineering \&amp; Spark**
* Develop ETL pipelines using **PySpark** on AWS Glue or EMR.
* Optimize Spark workloads for performance, cost, and scaling.
* Troubleshoot distributed data issues and tune job performance.
**Python Development**
* Write clean Python code for Lambda functions, Glue jobs, and automation tools.
* Develop shared internal libraries for ETL, monitoring, and data governance.
* Implement automated CI/CD delivery pipelines.
**DevOps \&amp; Cloud Platform Automation**
* Use Infrastructure\-as\-Code tools including:
	+ **Terraform** (modules, workspaces, state management)
	+ AWS CloudFormation or CDK (optional but beneficial)
* Implement:
	+ Automated provisioning of AWS resources
	+ Version\-controlled, repeatable deployments
	+ Secure IAM roles and resource policies
* Configure monitoring, alerting, logging pipelines, and operational dashboards.
The base salary range for this position is $92,250 \- $131,786,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03/02/2026\.This position is for an existing, immediate vacancy. We are currently seeking to fill this role with an individual who can start as soon as possible.
**\#Concentrix**
**\#Remote**</t>
        </is>
      </c>
    </row>
    <row r="54">
      <c r="A54" t="inlineStr">
        <is>
          <t>in-15009ccaaf26a63b</t>
        </is>
      </c>
      <c r="B54" t="inlineStr">
        <is>
          <t>Oracle Golden Gate Administrator / Data Engineer-1</t>
        </is>
      </c>
      <c r="C54" t="inlineStr">
        <is>
          <t>Realign</t>
        </is>
      </c>
      <c r="D54" t="inlineStr">
        <is>
          <t>indeed</t>
        </is>
      </c>
      <c r="E54" t="inlineStr"/>
      <c r="F54" t="inlineStr"/>
      <c r="G54" t="inlineStr">
        <is>
          <t>Seattle, WA, US</t>
        </is>
      </c>
      <c r="H54" s="1" t="n">
        <v>46077</v>
      </c>
      <c r="I54" t="inlineStr">
        <is>
          <t>Seattle, Washington 98039 Posted February 25th, 2026
 Looking for more job opportunities? Click here!
Job Type: Full Time
Job Category: IT
Job Description
**Role:** Oracle Golden Gate Administrator / Data Engineer**Location:** Seattle, WA  
**FTE**  
Job Description
Must Have Technical/Functional Skills
Oracle Golden Gate Classic architecture(text based) and administration – Mandatory* Oracle Golden Gate New architecture(GUI based) \- Plus
* Data extract/transfer experience from Non\-Oracle Databases
(Teradata, Amazon S3,SQL. Azure, GCP etc.)* HVR(High Value Replicator),FiveTran product administration and Data Engineering – is a Plus
* Linux skill, PL/SQL , Jenkins job execution \&amp; Java awareness
* Familiarity with couple of database systems
 **Responsibilities*** Extract data and data replication in Oracle GG product
* Building and maintaining ETL pipelines with Oracle Goldengate ( HVR also is a plus)
* System administration and Tuning
* Daily Systems Monitoring
* Patching and software upgrades for product and servers
* Break fix all production issues
* Incident management and service requests
* Upgrades/migrations/customizations
* On\-call Support
Required Skills
DEVOPS ENGINEER
 SENIOR EMAIL SECURITY ENGINEER</t>
        </is>
      </c>
    </row>
    <row r="55">
      <c r="A55" t="inlineStr">
        <is>
          <t>in-603edc80dcbc0729</t>
        </is>
      </c>
      <c r="B55" t="inlineStr">
        <is>
          <t>RF Data Engineer</t>
        </is>
      </c>
      <c r="C55" t="inlineStr">
        <is>
          <t>Parsons</t>
        </is>
      </c>
      <c r="D55" t="inlineStr">
        <is>
          <t>indeed</t>
        </is>
      </c>
      <c r="E55" t="inlineStr"/>
      <c r="F55" t="inlineStr"/>
      <c r="G55" t="inlineStr">
        <is>
          <t>Remote, US</t>
        </is>
      </c>
      <c r="H55" s="1" t="n">
        <v>46076</v>
      </c>
      <c r="I55"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seeking an RF Data Engineer with specialized expertise in DoD spectrum management, regulatory compliance, and data engineering to support our cutting\-edge **Drone Armor** counter\-unmanned aerial systems (C\-UAS) program. This critical role requires extensive experience in military spectrum certification processes combined with advanced data science capabilities to ensure Done Armor systems operate effectively within complex electromagnetic environments while maintaining regulatory compliance.
**What You'll Be Doing:**
**RF Spectrum Analysis \&amp; Management**
* Analyze RF spectrum data to identify and characterize drone communication signatures and control frequencies
* Develop and maintain spectrum certification documentation supporting Drone Armor system deployments
* Coordinate frequency assignments and deconfliction efforts with military and civilian spectrum management authorities
* Generate technical documentation including DD Form 1494 for Drone Armor RF operations
* Conduct electromagnetic interference (EMI) and electromagnetic compatibility (EMC) analysis for C\-UAS operations
**Data Engineering \&amp; Analytics**
* Design and implement data pipelines for real\-time RF signal collection, processing, and analysis from Drone Armor sensors
* Develop machine learning models to improve drone detection accuracy and reduce false alarm rates
* Create data visualization dashboards for operational monitoring and system performance assessment
* Apply advanced analytics to RF spectrum data to identify emerging drone threats and communication protocols
* Implement cloud\-based data architectures for scalable storage and processing of RF sensor data
**System Integration \&amp; Testing**
* Support field testing and evaluation of Drone Armor systems in operational environments
* Perform frequency\-dependent analysis to assess system effectiveness across various RF bands
* Collaborate with software development teams to integrate RF data processing algorithms
* Utilize spectrum databases (Spectrum XXI, JSDR, EL\-CID) to support deployment planning
* Conduct Spectrum Supportability Risk Assessments (SSRAs) for Drone Armor acquisitions
**Technical Documentation \&amp; Coordination**
* Prepare technical reports documenting RF performance, spectrum utilization, and system capabilities
* Support Host Nation Coordination activities for international Drone Armor deployments
* Assist with Equipment Spectrum Certification processes per AR 5\-12 and DoD 5000\.1
* Maintain awareness of evolving drone technologies and RF communication standards
**What Required Skills You'll Bring:**
**Education**
* Master’s degree in computer science, electronics engineering OR other engineering or technical discipline is required with 10 yrs of experience OR 10 years of relevant RF/data engineering experience may be substituted for education
**Experience**
* Minimum ten (10\) years of experience with Department of Defense (DoD) spectrum management policy, certification, and documentation
* Minimum eight (8\) years of experience in generating DD Form 1494 and reviewing detailed spectrum certification documents
* Minimum four (4\) years of experience with data engineering, data analytics, or software development
**Technical Competencies**
* Proficiency in programming languages such as Python, MATLAB, R, or similar for data analysis
* Experience with RF measurement equipment and spectrum analyzers
* Knowledge of wireless communication protocols and RF propagation principles
* Familiarity with DoD spectrum management policies and procedures
* Understanding of data engineering principles including ETL processes, data modeling, and database management
* Experience with cloud technology platforms (AWS, Azure, Google Cloud) and their application to data engineering workflows
* Understanding of data mesh architectures and data tagging methodologoies
* Familiarity with electronic phenomena principles as they relate to RF systems and spectrum management
**Security \&amp; Citizenship**
* Must be a US Citizen
* **SECRET** security clearance is required
**What Desired Skills You'll Bring:**
**Advanced Education \&amp; Certifications**
* PhD in Electrical Engineering, Computer Science, Data Science, or related discipline
* Professional certifications in data science, cloud computing (AWS/Azure/GCP), or RF engineering
**Specialized Experience**
* Experience with counter\-drone technologies, electronic warfare, or signals intelligence (SIGINT)
* Knowledge of commercial and military drone RF signatures and communication protocols
* Experience with machine learning/AI applications for RF signal classification
* Familiarity with software\-defined radio (SDR) platforms and development
* Knowledge of NTIA Redbook, ITU regulations, and CJCSM 3320\.01
**Advanced Technical Skills**
* Experience with big data technologies (Hadoop, Spark, Kafka) for RF data processing
* Proficiency in cloud platforms (AWS, Azure, Google Cloud) for data engineering workflows
* Experience with data mesh architectures and modern data governance practices
* Knowledge of containerization (Docker, Kubernetes) and DevOps practices
* Experience with real\-time data streaming and edge computing applications
* Familiarity with digital signal processing (DSP) techniques and algorithms
* Experience with software coding for data interoperability between DoD spectrum management systems
**Database \&amp; Tools Experience**
* Experience accessing spectrum databases: Spectrum XXI, HNSWDO, JSDR, Stepstone, EL\-CID
* Proficiency with data visualization tools (Tableau, Power BI, Grafana)
* Experience with version control systems (Git) and collaborative development environments
**Analytical Capabilities**
* Experience performing Frequency Dependent Rejection and Frequency Distance Separation Analysis
* Knowledge of statistical analysis and hypothesis testing methodologies
* Experience with electromagnetic modeling and simulation tools
**Work Location:**
**Remote with ability and willingness to travel to Aberdeen Proving Ground, MD** (with potential travel to test sites and additional customer locations)
**Security Clearance Requirement:**
An active Secret security clearance is required for this position.
This position is part of our Federal Solutions team.
The Federal Solutions segment delivers resources to our US government customers that ensure the success of missions around the globe. Our intelligent employees drive the state of the art as they provide services and solutions in the areas of defense, security, intelligence, infrastructure, and environmental. We promote a culture of excellence and close\-knit teams that take pride in delivering, protecting, and sustaining our nation's most critical assets, from Earth to cyberspace. Throughout the company, our people are anticipating what’s next to deliver the solutions our customers need now.
Salary Range: $112,200\.00 \- $196,400\.00
We value our employees and want our employees to take care of their overall wellbeing, which is why we offer best\-in\-class benefits such as medical, dental, vision, paid time off, Employee Stock Ownership Plan (ESOP), 401(k), life insurance, flexible work schedules, and holidays to fit your busy lifestyle!
This position will be posted for a minimum of 3 days and will continue to be posted for an average of 30 days until a qualified applicant is selected or the position has been cancelled.
Parsons is an equal opportunity employer, and all qualified applicants will receive consideration for employment without regard to race, color, religion, sex, national origin, disability, veteran status or any other protected status.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
COMPETITIVE BENEFIT OFFERINGS  
Financial Wellness  
We care about your financial wellbeing. Parsons offers competitive pay and retirement plans to help you build wealth for the future while giving you the flexibility to diversify your investments.
Work Life Harmony  
Balance in life is important and time away from the office is imperative to allow you to refresh and focus your attention on the things that matter to you. Parsons supports your time away by providing paid time off and paid flexible holidays.
Career Development  
We are committed to fostering the personal and professional growth of our employees. Develop and advance yourself though our comprehensive training, educational and mentorship programs.  
Veteran Support  
We provide Industry leading benefits to support veterans and active\-duty members to provide security for you and your family by offering robust leave and benefits; including paid active\-duty military leave and paid time off when transitioning back to civilian life.
Mind \&amp; Body  
At Parsons we inspire healthier habits, heathier minds, and a healthier you through our wellness program. Participate in our weekly Meditation Mondays and Wellness Wednesdays. Wellness, at Parsons, is more than just your annual checkup.
Health  
Health is not a one size fits all. At Parsons, we offer a robust Employee Assistance Program as well as comprehensive medical, dental and vision plans through large, national carriers with the choice of regional PPO, HDHP, or HMO networks.</t>
        </is>
      </c>
    </row>
    <row r="56">
      <c r="A56" t="inlineStr">
        <is>
          <t>in-2ba4d3f3dd72a9a1</t>
        </is>
      </c>
      <c r="B56" t="inlineStr">
        <is>
          <t>Principal Graph Analytics Engineer</t>
        </is>
      </c>
      <c r="C56" t="inlineStr">
        <is>
          <t>General Motors (GM)</t>
        </is>
      </c>
      <c r="D56" t="inlineStr">
        <is>
          <t>indeed</t>
        </is>
      </c>
      <c r="E56" t="inlineStr"/>
      <c r="F56" t="inlineStr"/>
      <c r="G56" t="inlineStr">
        <is>
          <t>Milford, MI, US</t>
        </is>
      </c>
      <c r="H56" s="1" t="n">
        <v>46076</v>
      </c>
      <c r="I56" t="inlineStr">
        <is>
          <t>**Job Description**
**Work Classification:**
**Hybrid:** This means the successful candidate is expected to report to their primary location (Milford, MI) three times per week, at minimum, or other frequency dictated by the business.
**The Role:**
We are seeking a Principal Engineer with deep expertise in Graph Theory to lead the design of advanced algorithms and data structures for complex, large\-scale systems within the Vehicle Systems \&amp; Embedded Engineering (VSEE) organization, supporting our transition to a next\-generation Software Defined Vehicle (SDV) architecture. This role is ideal for a hands\-on technical leader with a PhD in Mathematics, Computer Science, or related field with a strong research record in graph theory and a track record of successfully applying that work to real\-world engineering problems.
You will be the principal technical authority for how we model, analyze, and exploit large\-scale vehicle, network, and backend graphs, guiding top\-level architectural decisions that shape how the broader technical community applies graph\-based analysis to solve difficult SDV engineering challenges.
You will shape technical strategy, mentor senior engineers, and partner with cross\-functional stakeholders to deliver high\-impact solutions grounded in rigorous mathematics. This is not a pure research role; success requires translating advanced theoretical work into scalable, maintainable production systems and influencing how multiple teams adopt and apply these methods. While not expected to be the primary implementer for all systems, you will remain technically hands\-on through prototyping, reviews, and critical\-path contributions.
**In the context of SDV, example problem spaces include:**
* Analyzing software, service, and configuration dependency graphs to understand impact, risk, blast radius, and safe rollout strategies (including OTA updates)
* Optimizing compute, network, and storage placement and performing fault and safety analysis using graph\-based representations of in\-vehicle and offboard systems
* Building and querying graph\-based knowledge and lifecycle models that connect requirements, architecture, implementation, verification, and fleet data for SDV
**What You'll Do:**
-------------------
* **Set graph\-based technical direction** : Own the graph\-theoretic architecture and strategy for SDV\-relevant systems and platforms, including standards for correctness, scalability, and reliability.
* **Apply advanced graph theory to SDV problems:** Formulate key SDV challenges such as graph\-based modeling or combinatorial optimization problems and drive advanced graph\-based algorithms (including for NP\-hard classes) from prototype to production.
* **Design and review graph\-based systems:** Lead end\-to\-end designs that use graph\-based models across data, compute, and APIs, partnering with platform and infrastructure teams to ensure workloads are efficient, observable, and resilient.
* **Elevate the graph\-based technical community:** Mentor senior and staff engineers, align cross\-functional teams on problem framing and solution approaches, and provide internal and external thought leadership (design reviews, talks, publications).
**Your Skills \&amp; Abilities (Required Qualifications):**
* Master's in Mathematics, Computer Science, Operations Research, or a closely related field, with a strong focus on graph theory.
* 8\+ years of post\-education experience in algorithm design and large\-scale systems, with a proven track record of applying graph\-theoretic concepts to real engineering problems and taking models from prototype to production.
* Deep expertise in graph\-based algorithms and optimization, including:
	+ Core graph\-based algorithms (e.g., paths, flows, connectivity, matchings, spanning trees, graph search, spectral methods).
	+ Network and combinatorial optimization, with practical approaches to NP\-complete and NP\-hard problems (e.g., relaxations, approximation algorithms, heuristics).
	+ Analysis of algorithms: time/space complexity and probabilistic/approximation analysis.
* Strong software engineering skills:
	+ Proficiency in at least one systems or production language (e.g., C\+\+, Rust, Java, Go) and one high\-level language (e.g., Python).
	+ Experience with data structures, distributed systems concepts, and performance optimization.
* Demonstrated ability to:
	+ Lead multi\-team, multi\-quarter initiatives as the primary technical owner.
	+ Communicate complex mathematical ideas clearly to both technical and non\-technical stakeholders.
	+ Make pragmatic trade\-offs between theoretical optimality and engineering constraints.
**What Can Give You A Competitive Edge** ( **Preferred Qualifications):**
* PhD in Mathematics, Computer Science, Operations Research, or a closely related field, with a strong focus on graph theory.
* 10\+ years of post\-education experience in algorithm design and large\-scale systems, with a proven track record of applying graph\-theoretic concepts to real engineering problems and taking models from prototype to production.
* Experience building or working with graph databases, graph processing frameworks, or large\-scale graph analytics platforms.
* Contributions to peer\-reviewed publications in graph theory, algorithms, or related areas.
* Experience in one or more domains where graphs are central, such as:
	+ Routing, logistics, and network design
	+ Recommender systems and knowledge graphs
	+ Dependency analysis and configuration management
	+ Reliability, resilience, or fault propagation in complex networks
* Prior experience as a Principal / Staff / Distinguished Engineer or equivalent, with:
	+ A track record of raising the technical bar across teams.
	+ Experience mentoring PhD\-level talent and senior engineers.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**Relocation:**
This job may be eligible for relocation benefits.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57">
      <c r="A57" t="inlineStr">
        <is>
          <t>in-2b595faffecb0515</t>
        </is>
      </c>
      <c r="B57" t="inlineStr">
        <is>
          <t>RWD Data Engineer</t>
        </is>
      </c>
      <c r="C57" t="inlineStr">
        <is>
          <t>Parexel</t>
        </is>
      </c>
      <c r="D57" t="inlineStr">
        <is>
          <t>indeed</t>
        </is>
      </c>
      <c r="E57" t="inlineStr"/>
      <c r="F57" t="inlineStr"/>
      <c r="G57" t="inlineStr">
        <is>
          <t>Washington, DC, US</t>
        </is>
      </c>
      <c r="H57" s="1" t="n">
        <v>46076</v>
      </c>
      <c r="I57" t="inlineStr">
        <is>
          <t>**Parexel is hiring a remote based RWD Data Engineer.**
If you are passionate about transforming complex healthcare data into meaningful, high\-quality insights, join us as an RWD Data Engineer, where you’ll play a critical role in shaping how real\-world data is ingested, standardized, and delivered across our organization.
In this role, you’ll work hands‑on with diverse data sources—from healthcare claims to EMR and registry databases—ensuring accuracy, consistency, and usability. You’ll collaborate closely with cross‑functional partners to gather requirements, design technical specifications, and build robust data pipelines that empower statistical programmers, analysts, and data scientists to do their best work.
**What you will do:**
* Support project teams in the design, development, and delivery of RWD solutions across multiple databases.
* Manage the inflow of diverse healthcare data sources and ensure data quality.
* Develop technical specifications and transform data into a common data model.
* Publish validated datasets for enterprise\-wide use.
* Provide reports, presentations, and technical explanations to epidemiologists, analysts, and programmers.
* Communicate with data vendors and ensure accountability for data quality.
* Help ensure quality standards and evaluate new methodologies.
* Perform SQL querying, transformation, and quality control.
* Apply SAS, Python, and programming tools to support analytical workflows.
* Work with real\-world healthcare datasets (Optum, PharMetrics, Flatiron, registry data).
* Support OMOP data model conversions.
* Leverage AI tools such as Databricks Genie and MS Copilot.
* Work independently or as part of a team.
**Basic Qualifications:**
* Bachelor’s degree in Data Engineering, Computer Science, Statistics, Mathematics, or related field.
* 1–2 years of SAS statistical programming experience.
* 5 years of Python programming experience.
* Experience with SQL querying and data transformation.
* Experience with real\-world healthcare data (Optum, PharMetrics, Flatiron, Registry databases).
* Experience with OMOP specifications and conversions.
* Experience communicating with data vendors.
* Proficiency leveraging AI tools (Databricks Genie, MS Copilot).
* Ability to work independently and collaboratively.
* Self\-starter with strong time management.
**Preferred Qualifications:**
* Master’s degree in a related field.
* Experience with Databricks (Spark SQL, Python, R).
* Experience with Spotfire or Power BI.
* Pharmaceutical industry experience.
\#LI\-REMOTE</t>
        </is>
      </c>
    </row>
    <row r="58">
      <c r="A58" t="inlineStr">
        <is>
          <t>in-1ff21e0f44745194</t>
        </is>
      </c>
      <c r="B58" t="inlineStr">
        <is>
          <t>Data Engineer</t>
        </is>
      </c>
      <c r="C58" t="inlineStr">
        <is>
          <t>Flywheel Energy</t>
        </is>
      </c>
      <c r="D58" t="inlineStr">
        <is>
          <t>indeed</t>
        </is>
      </c>
      <c r="E58" t="inlineStr"/>
      <c r="F58" t="inlineStr"/>
      <c r="G58" t="inlineStr">
        <is>
          <t>Oklahoma City, OK, US</t>
        </is>
      </c>
      <c r="H58" s="1" t="n">
        <v>46076</v>
      </c>
      <c r="I58" t="inlineStr">
        <is>
          <t>Job Summary
-----------
The Network Engineer (Database\-focused) is responsible for designing, developing, and optimizing enterprise database systems across SQL Server, Azure SQL, and hybrid cloud environments. This role leads database development initiatives, implements secure and efficient migration strategies, and supports both relational and non\-relational data platforms. The engineer provides advanced Tier 2/3 troubleshooting for performance and operational issues, ensuring high availability, regulatory compliance, and data protection. Additionally, this position collaborates with cross‑functional teams to integrate databases with applications, support ETL workflows, and enable scalable cloud\-based solutions. The role also includes performance monitoring, capacity planning, disaster recovery preparation, and maintaining comprehensive documentation to support reliable and resilient data operations.
Key Responsibilities
--------------------
* Database Development: Develop and performance optimize databases on SQL Server and Azure SQL platforms, and automate daily tasks using T\-SQL and similar administrative tools (SSIS, Python)
* Database Migration: Develop and apply migration strategies between Azure and on\-prem systems to maintain data platform operations.
* Database Design and Implementation: Design, deploy, and manage relational and non\-relational databases, including schema development, indexing, and partitioning to support enterprise applications.
* Troubleshooting and Support: Diagnose and resolve database issues, such as performance bottlenecks, errors, or failures, providing Tier 2/3 support for data\-related incidents.
* Security and Compliance: Implement and enforce database security policies, including user access controls, encryption, auditing, and adherence to regulations (e.g., PCI\-DSS) to safeguard sensitive data. (Working with DBAs and IT)
* Performance Monitoring: Monitor database performance using tools like SQL Server Management Studio, Oracle Enterprise Manager, or Prometheus, identifying and optimizing slow queries or resource usage.
* Collaboration: Work with developers, analysts, and IT teams to integrate databases with applications, support ETL processes, and enable cloud\-based data solutions.
* Documentation: Create and maintain detailed database documentation, including ER diagrams, data dictionaries, and recovery procedures.
* Capacity Planning: Evaluate current and projected data storage needs, recommending scaling solutions or migrations to accommodate business expansion.
* Disaster Recovery: Develop, test, and maintain Fabric database replication and copy jobs. Work with DBAs to test failover, and disaster recovery strategies to ensure minimal downtime and data loss.
Required Qualifications
-----------------------
* Experience: 2\-6 years of hands\-on experience in ETL and ELT frameworks.
* Education: Associate’s degree in Computer Science, Information Technology, Database Management, **or equivalent experience**
* Hands\-on experience with database troubleshooting, query optimization, and performance tuning
* Willingness to perform occasional after\-hours critical support and maintenance, depending on business needs
* Strong problem\-solving and analytical skills
* Excellent communication and teamwork abilities
* Ability to manage multiple priorities in a fast\-paced environment
Preferred Qualifications
------------------------
* Hands\-on experience with SQL Server database technologies, Microsoft Fabric, and Python Scala Notebooks
* 2\-5 years of experience in the oil and gas or energy industry
* Oracle Certified Professional (OCP), Microsoft Certified: Azure Database Administrator Associate, or similar certifications
* Strong knowledge of database concepts (e.g., ACID properties, normalization, replication, sharding).
* Experience with cloud databases (e.g., AWS RDS, Azure SQL Database, Google Cloud SQL) and big data tools (e.g., Hadoop, Spark).
* Knowledge of cybersecurity and data protection best practices (Microsoft Entra and other IAM tools)
* Familiarity with database monitoring tools and ETL frameworks (SSIS)
* Understanding of data warehousing, BI tools (e.g., Tableau, Power BI), and automation scripting (e.g., SQL, Python, Bash, SSRS, KQL, Graph API).</t>
        </is>
      </c>
    </row>
    <row r="59">
      <c r="A59" t="inlineStr">
        <is>
          <t>in-58a1672c8342f581</t>
        </is>
      </c>
      <c r="B59" t="inlineStr">
        <is>
          <t>Data engineer</t>
        </is>
      </c>
      <c r="C59" t="inlineStr">
        <is>
          <t>Stacklogy</t>
        </is>
      </c>
      <c r="D59" t="inlineStr">
        <is>
          <t>indeed</t>
        </is>
      </c>
      <c r="E59" t="inlineStr"/>
      <c r="F59" t="inlineStr"/>
      <c r="G59" t="inlineStr">
        <is>
          <t>US</t>
        </is>
      </c>
      <c r="H59" s="1" t="n">
        <v>46076</v>
      </c>
      <c r="I59" t="inlineStr">
        <is>
          <t>**Qualification:**  
Master's Degree in Statistical Analytics, Data Science, or Bachelor's Degree in computer science engineering will be considered with at least three \- five years of applicable work experience
**Preferred Proficiency:**  
* Web development experience (AngularJS, D3\).
* Experience in a statistical programming language like R or Python; applied machine learning techniques including dimensionality reduction strategies, supervised/unsupervised classification and natural language processing frameworks.
* Experience in at least one data visualization tools (e.g. Tableau, QlikView) and data warehousing tools (e.g. Informatica) is preferred
**Huge Advantage:**  
* Building and scaling Machine Learning frameworks
* Hadoop (Hive, Spark, UDF's)
**Definite Plus:**  
* Web development experience (AngularJS, D3\).
**Experience:**  
* 5\+ years of relevant experience in one of the following areas: Data engineering, database engineering, business intelligence or business analytics.
* 5\+ years of hands\-on experience in writing complex, highly\-optimized SQL queries across large data sets.
* 2\+ years of experience in scripting languages like Python etc.
If you qualify for this position, please send your resume at hr@stacklogy.com Please bookmark this page to know more about job openings at Stacklogy.</t>
        </is>
      </c>
    </row>
    <row r="60">
      <c r="A60" t="inlineStr">
        <is>
          <t>in-4d736aba4e41448a</t>
        </is>
      </c>
      <c r="B60" t="inlineStr">
        <is>
          <t>Data and Analytics Engineer 2</t>
        </is>
      </c>
      <c r="C60" t="inlineStr">
        <is>
          <t>First National Bank</t>
        </is>
      </c>
      <c r="D60" t="inlineStr">
        <is>
          <t>indeed</t>
        </is>
      </c>
      <c r="E60" t="inlineStr"/>
      <c r="F60" t="inlineStr"/>
      <c r="G60" t="inlineStr">
        <is>
          <t>Pittsburgh, PA, US</t>
        </is>
      </c>
      <c r="H60" s="1" t="n">
        <v>46076</v>
      </c>
      <c r="I60" t="inlineStr">
        <is>
          <t>**Primary Office Location:**
----------------------------
626 Washington Place. Pittsburgh, Pennsylvania. 15219\.
**Join our team. Make a difference \- for us and for your future.**
-------------------------------------------------------------------
**It is strongly preferred for candidates for this role to have the following skills:**
* **Strong proficiency in SSIS and data modeling** , including designing, building, and optimizing ETL workflows and relational data structures.
* **Experience with the Medallion data model pattern** (Bronze/Silver/Gold architecture) and applying it to support scalable, governed data pipelines.
**\*\*Please note: this on\-site position is based at our Financial Center in Pittsburgh, PA. Candidates must be local, or willing to relocate to the area.**
**FNB will not provide sponsorship for employment\-based visas for this position; only candidates who are legally authorized to work in the U.S. will be considered.\*\***
**Position Title:** Data and Analytics Engineer 2
**Business Unit:** Technology
**Reports to:** Manager of Data and Analytics Engineering
**Position Overview:**
This position is primarily responsible for providing comprehensive data and analytics support for all business units across the corporation and works on low to medium complex and cross\-functional data centric solutions, works on multiple projects as a team member, works with BI and Data Analysts to understand customer need. The incumbent collects, analyzes and shares data to help business teams drive improvement in key business metrics, customer experience and business results and has a moderate impact on operations, resources and the corporation's reputation.
**Primary Responsibilities:**
Works with Business Information and Data Analysts to understand customer needs. Collects, analyzes and shares data to help business teams drive improvement in key business metrics, customer experience and business results. Utilizes database and web application technologies to develop and evaluate innovative business intelligence tools and automated reports.
Develops and tests analytical solutions such as databases, queries, views, reports and dashboards. Assists in data conversions, imports and exports of data within and between internal and external software systems. Documents new and existing models, solutions and implementations.
Designs and builds reporting and analysis tools that help streamline the business and makes reporting, analyzing, planning and forecasting more efficient. Supports and assists with the integration of analytical platforms with enterprise systems and applications. Troubleshoots analytics tools, systems, and software. Tracks performance and production issues.
May assist in performance tuning of analytics applications. Escalates production issues as appropriate. Ensures the collected data is within required quality standards. May maintain the quality of Metadata Repository by adding, modifying and deleting data.
Adheres to process, policies and standards. Keeps customers informed about business intelligence tool problems and resolutions. Tracks and reports on issues and enhancement requests for the business in a timely manner.
Performs regular assignments using own judgment and following the corporation's data policy, while keeping supervisor informed as necessary. Receives general guidance on new projects as to methods, procedures and desired end results. Uses discretion to make decisions within the scope of their responsibilities. Complex assignments are usually reviewed upon completion.
Performs other related duties and projects as assigned.
All employees have the responsibility and the accountability to serve as risk managers for their businesses by understanding, reporting, responding to, managing and monitoring the risk they encounter daily as required by F.N.B. Corporation’s risk management program.
F.N.B. Corporation is committed to achieving superior levels of compliance by adhering to regulatory laws and guidelines. Compliance with regulatory laws and company procedures is a required component of all position descriptions.
**Minimum Level of Education Required to Perform the Primary Responsibilities of this Position:**
BA or BS  
**Minimum \# of Years of Job Related Experience Required to Perform the Primary Responsibilities of this Position:**
3  
**Skills Required to Perform the Primary Responsibilities of this Position:**
Excellent customer service skills
Ability to use general office equipment
Ability to work and multi\-task in a fast paced environment
Excellent organizational, analytical and interpersonal skills
Detail\-oriented
Minimum of 3 years of related technical experience
Minimum of 3 years of experience supporting a major Business Intelligence/Data Warehousing system
Expert skills in data analysis and data mining  
**Licensures/Certifications Required to Perform the Primary Responsibilities of this Position:**
N/A  
**Physical Requirements or Work Conditions Beyond Traditional Office Work:**
N/A  
**Equal Employment Opportunity (EEO):**
It is the policy of F.N.B. Corporation (FNB) and its affiliates not to discriminate against any employee or applicant for employment because of age, race, color, religion, sex, national origin, disability, veteran status or any other category protected by law. It is also the policy of FNB and its affiliates to employ and advance in employment all persons regardless of their status as individuals with disabilities or veterans, and to base all employment decisions only on valid job requirements. FNB provides all applicants and employees a discrimination and harassment free workplace.</t>
        </is>
      </c>
    </row>
    <row r="61">
      <c r="A61" t="inlineStr">
        <is>
          <t>in-e257d3470494c120</t>
        </is>
      </c>
      <c r="B61" t="inlineStr">
        <is>
          <t>Senior Principal Data Engineer</t>
        </is>
      </c>
      <c r="C61" t="inlineStr">
        <is>
          <t>Amtrak</t>
        </is>
      </c>
      <c r="D61" t="inlineStr">
        <is>
          <t>indeed</t>
        </is>
      </c>
      <c r="E61" t="inlineStr"/>
      <c r="F61" t="inlineStr"/>
      <c r="G61" t="inlineStr">
        <is>
          <t>Washington, DC, US</t>
        </is>
      </c>
      <c r="H61" s="1" t="n">
        <v>46076</v>
      </c>
      <c r="I61" t="inlineStr">
        <is>
          <t>**Your success is a train ride away!**
As we move America’s workforce toward the future, Amtrak connects businesses and communities across the country. We employ more than 20,000 diverse, energetic professionals in a variety of career fields throughout the United States. The safety of our passengers, our employees, the public and our operating environment is our priority, and the success of our railroad is due to our employees.
 **Are you ready to join our team?**
Our values of ‘Do the Right Thing, Excel Together and Put Customers First’ are at the heart of what matters most to us, and our Core Capabilities, ‘Building Trust, Accountability, Effective Communication, Customer Focus, and Proactive Safety \&amp; Security’ are what every employee needs to know and do to be most impactful at Amtrak. By living the Amtrak values, focusing on our capabilities, and actively embracing and fostering diverse ideas, backgrounds, and perspectives, together we will honor our past and make Amtrak a company of the future.
COMPANY: National Railroad Passenger Corporation (Amtrak)  
TITLE: Senior Principal Data Engineer  
LOCATION: Washington, D.C.
DUTIES: Lead the technological advancement and architecture of data\-driven solutions across multiple departments including Operations, Finance, Safety, Marketing, and IT. Spearhead the design, development, and delivery of end\-to\-end solutions on contemporary technology platforms. Oversee designing data ingestion, transfer, and consumption processes that are cost\-effective and performance efficient. Act as a Subject Matter Expert (SME) for key and critical source systems to offer essential guidance and mentorship to the Development, Testing, Implementation, and Support teams. Adapt and enhance solutions to meet evolving requirements, ensuring alignment with business objectives.
REQUIREMENTS: Bachelor's degree or equivalent in Computer Science, Computer Information Systems, or a related field followed by seven (7\) years of progressive, post\-baccalaureate experience as a Senior Principal Data Engineer or any occupation related to Software Development. Must also have seven (7\) years of experience: (1\) Building solutions using the following technologies: Informatica Data Quality, Informatica MDM, Erwin, and Informatica Power Center; (2\) Administering applications in UNIX, LINUX, and Windows environments; (3\) Writing and executing scripts in Perl; (4\) Implementing solutions on AWS leveraging identity resolutions, data lake, metadata, and data governance; (5\) Performing data migrations, cleansing, integration, and normalization for data warehouses; (6\) Creating customized Master Data Management (MDM) and IDD solutions. All experience may be acquired concurrently. Remote work permitted in accordance with company policy. All positions require pre\-employment background check verification and a pre\-employment drug screen.
SALARY: $175,427 to $215,100 per year
CONTACT: To apply,https://bit.ly/4cS8dSO Please reference Job Code: 7705232\.
**Requisition ID:**166139  
**Posting Location(s):**District of Columbia
**Job Family/Function:**Information Technology  
**Relocation Offered:**No  
**Travel Requirements:**Up to 25%
**You power our progress through your performance.**
We want your work at Amtrak to be more than a job. We want your career at Amtrak to be a fulfilling experience where you find challenging work, rewarding opportunities, respect among colleagues, and attractive compensation. Amtrak maintains a culture that values high performance and recognizes individual employee contributions.
Amtrak is committed to a safe workplace free of drugs and alcohol. All Amtrak positions requires a pre\-employment background check that includes prior employment verification, a criminal history check and a pre\-employment drug screen.
Candidates who test positive for marijuana will be disqualified, regardless of any state or local statute, ordinance, regulation, or other law that legalizes or decriminalizes the use or possession of marijuana, whether for medical, recreational, or other use. Amtrak's pre\-employment drug testing program is administered in accordance with DOT regulations and applicable law.  
In accordance with DOT regulations (49 CFR § 40\.25\), Amtrak is required to obtain prior drug and alcohol testing records for applicants/employees intending to perform safety\-sensitive duties for covered Department of Transportation positions. If an applicant/employee refuses to provide written consent for Amtrak to obtain these records, the individual will not be permitted to perform safety\-sensitive functions.
In accordance with federal law governing security checks of covered individuals for providers of public transportation (Title 6 U.S.C. §1143\), Amtrak is required to screen applicants for any permanent or interim disqualifying criminal offenses.
Amtrak is an equal opportunity employer and all qualified applicants will receive consideration for employment without regard to race/color, to include traits historically associated with race, including but not limited to, hair texture and hairstyles such as braids, locks and twists, religion, sex (including pregnancy, childbirth and related conditions, such as lactation), national origin/ethnicity, disability (intellectual, mental and physical), veteran status, marital status, ancestry, sexual orientation, gender identity and gender expression, genetic information, citizenship or any other personal characteristics protected by law..</t>
        </is>
      </c>
    </row>
    <row r="62">
      <c r="A62" t="inlineStr">
        <is>
          <t>in-56f9c6d0f9fe42b9</t>
        </is>
      </c>
      <c r="B62" t="inlineStr">
        <is>
          <t>Senior Data Engineer / Architect(Informatica -CAI and CDI Developer ) Remote</t>
        </is>
      </c>
      <c r="C62" t="inlineStr">
        <is>
          <t>Cognizant Technology Solutions</t>
        </is>
      </c>
      <c r="D62" t="inlineStr">
        <is>
          <t>indeed</t>
        </is>
      </c>
      <c r="E62" t="inlineStr"/>
      <c r="F62" t="inlineStr"/>
      <c r="G62" t="inlineStr">
        <is>
          <t>Cincinnati, OH, US</t>
        </is>
      </c>
      <c r="H62" s="1" t="n">
        <v>46076</v>
      </c>
      <c r="I62" t="inlineStr">
        <is>
          <t>**Description \- External**
**We are Cognizant AIA \- Artificial Intelligence and Analytics !!**
**About AI \&amp; Analytics:** Artificial intelligence (AI) and the data it collects and analyzes will soon sit at the core of all intelligent, human\-centric businesses. By decoding customer needs, preferences, and behaviors, our clients can understand exactly what services, products, and experiences their consumers need. Within AI \&amp; Analytics, we work to design the future—a future in which trial\-and\-error business decisions have been replaced by informed choices and data\-supported strategies! By applying AI and data science, we help leading companies to prototype, refine, validate, and scale their AI and analytics products and delivery models! Cognizant’s AIA practice takes insights that are buried in data and provide businesses with a clear way to transform how they source, interpret, and consume their information. Our clients need flexible data structures and a streamlined data architecture that quickly turns data resources into informative, meaningful intelligence.
**Job Summary**
We are seeking a skilled Informatica CAI and CDI Developer with strong experience in the telematics and connected vehicle domain. The role focuses on designing and implementing real time integrations and data pipelines that ingest, process, and distribute high volume vehicle and IoT data across cloud and enterprise ecosystems.
**Responsibilities**
* Design and develop real time and event driven integrations using Informatica CAI
* Build synchronous and asynchronous integration processes using CAI Process Designer
* Develop and expose REST SOAP APIs for connected vehicle and enterprise integrations
* Configure and manage connectors, adapters, and Secure Agents
* Implement error handling, retries, logging, and exception frameworks
* Monitor and troubleshoot integrations using CAI Application Integration Console
* Design and develop batch and incremental data pipelines using Informatica CDI
* Ingest, transform, and load large volumes of vehicle telemetry, sensor, and diagnostic data
* Optimize mappings for performance, scalability, and reliability
* Implement data validation, data quality checks, and reconciliation logic
* Support data delivery to data lakes, warehouses, and analytics platforms
* Work with telematics data such as GPS location data Vehicle health and diagnostics Driver behavior and trip data Sensor and event data
* Must Haves:
	+ Mid\-level Informatica and IICS development experience
	+ CAI \- Cloud Application Integration experience (including APIs)
	+ Snowflake Cloud DW experience
	+ Able to code and process large volume of raw data in SQL
	+ Skill debugging/troubleshooting/RCA
	+ Agile and DevOps experience and best practices \- automating processes, test cases, ticketing
	+ Solid communication skills \- this person must be a doer with the ability to multi\-task, move quickly, remain engaged with team, and be reliable throughout the day
* *Nice\-to\-haves:*
* P\&amp;C Insurance domain expertise
* Telematics and connected vehicle domain
* Top Responsibilities:
* Coding / Writing complex queries in SQL
* Configuring ingestion pipelines using EDP Ingestion Framework, Informatica, and UC4
* Understands and shares development agile / DevOps best practices in terms of managing code, test cases, development stories assigned.
Data Engineering activities: data pipeline creation, ETL, application integration, etc.
\#LI\-KN1
Salary and Other Compensation:
Applications will be accepted until February 29th 2026\. The annual salary for this position is between $120\- $130K depending on experience and other qualifications of the successful candidate.
Please note, this role is not able to offer visa transfer or sponsorship now or in the future.
This position is also eligible for Cognizant’s discretionary annual incentive program, based on performance and subject to the terms of Cognizant’s applicable plans.
Benefits: Cognizant offers the following benefits for this position, subject to applicable eligibility requirements:· Medical/Dental/Vision/Life Insurance· Paid holidays plus Paid Time Off· 401(k) plan and contributions· Long\-term/Short\-term Disability· Paid Parental Leave· Employee Stock Purchase Plan
Disclaimer: The salary, other compensation, and benefits information is accurate as of the date of this posting. Cognizant reserves the right to modify this information at any time, subject to applicable law.</t>
        </is>
      </c>
    </row>
    <row r="63">
      <c r="A63" t="inlineStr">
        <is>
          <t>in-92ebeb9e75e44d14</t>
        </is>
      </c>
      <c r="B63" t="inlineStr">
        <is>
          <t>Senior Data Engineer, Business Operations</t>
        </is>
      </c>
      <c r="C63" t="inlineStr">
        <is>
          <t>SK Life Science Inc.</t>
        </is>
      </c>
      <c r="D63" t="inlineStr">
        <is>
          <t>indeed</t>
        </is>
      </c>
      <c r="E63" t="inlineStr"/>
      <c r="F63" t="inlineStr"/>
      <c r="G63" t="inlineStr">
        <is>
          <t>Paramus, NJ, US</t>
        </is>
      </c>
      <c r="H63" s="1" t="n">
        <v>46076</v>
      </c>
      <c r="I63" t="inlineStr">
        <is>
          <t>Overview:
The Senior Data Engineer, Biz Ops will play a critical role in architecting the data infrastructure powering our AI\-driven business operations platform. This role is responsible for analyzing the current database environment, redesigning it for AI\-native use cases, and establishing the foundational data architecture for our end\-to\-end decision\-intelligence platform\-driven business operations platform. This role is responsible for analyzing the current database environment, redesigning it for AI\-native use cases, and establishing the foundational data architecture for our end\-to\-end decision\-intelligence platform.‑driven business operations platform. This role is responsible for analyzing the current database environment, redesigning it for AI‑native use cases, and establishing the foundational data architecture for our end‑to‑end decision‑intelligence platform.
You will design scalable data ecosystems—including Data Lakes, Data Pipelines, and semantic modeling layers—using modern engineering standards (dbt, orchestration frameworks, CI/CD). Working closely with commercial and business operations experts, you will dissect existing workflows and reimagine them as AI\-ready, streamlined processes in collaboration with AI Scientists and AI Engineers\-ready, streamlined processes in collaboration with AI Scientists and AI Engineers.‑ready, streamlined processes in collaboration with AI Scientists and AI Engineers.
You will translate ambiguous operational and business challenges into clean, reliable, ontology\-aligned data models that enable forecasting, planning, and optimization across the value chain, beginning with supply chain operations. This is a high\-impact senior role for someone who thrives in owning a data ecosystem end\-to\-end and building AI\-centric data infrastructure from the ground up\-aligned data models that enable forecasting, planning, and optimization across the value chain, beginning with supply chain operations. This is a high\-impact senior role for someone who thrives in owning a data ecosystem end\-to\-end and building AI\-centric data infrastructure from the ground up.‑aligned data models that enable forecasting, planning, and optimization across the value chain, beginning with supply chain operations. This is a high‑impact senior role for someone who thrives in owning a data ecosystem end‑to‑end and building AI‑centric data infrastructure from the ground up.
Responsibilities:
* Analyze existing databases and redesign them for AI/ML readiness, including ontology‑driven and semantic data modeling.
* Architect and implement centralized Data Lake and scalable, robust data pipelines supporting operational workflows and AI‑driven decision processes.
* Build and maintain high‑quality data transformations using dbt and enforce software engineering best practices across the data stack.
* Design feature‑ready data models to support AI/ML use cases such as forecasting, classification, and optimization.
* Develop secure and reliable data ingestion frameworks (batch and streaming) with strong observability and performance controls.
* Partner with Commercial, Marketing, and AI teams to translate business problems into data requirements, semantic models, and scalable pipelines.
* Implement data quality, lineage, and governance practices aligned with enterprise standards.
* Lead technical direction on modern data stack architecture and continuously improve scalability, efficiency, and maintainability.
* Contribute to an agile, experimentation‑driven culture, balancing rapid PoC execution with long‑term architectural integrity.
Qualifications:
* **Education**: Bachelor’s degree or higher in Computer Science, Engineering, or related field.
* **Experience**: 5\+ years of hands\-on experience in Data Engineering or technical Analytics Engineering, with deep experience building data lakes and orchestrating complex pipelines.
* **Skills**:
* + Strong programming proficiency in Python and PySpark for large‑scale distributed data processing, data manipulation, automation, and pipeline development.
* Expert‑level SQL for data modeling, complex transformations, and performance optimization.
* Experience with modern data lake table formats such as Apache Iceberg.
* Familiarity with Medallion Data Architecture (Bronze/Silver/Gold) for scalable and governed data processing.
* Hands‑on experience with modern transformation frameworks (e.g., dbt) and orchestration tools (e.g., Airflow or Python\-based schedulers).
* Knowledge of core AWS or Azure data services and data observability practices.
* Experience optimizing data models for BI and visualization tools (e.g., Tableau).
* Ability to define business metrics and derive semantic meaning from operational KPIs.
 **Strongly Preferred*** Master’s degree or higher in a quantitative or technical field.
* Experience working with ML pipelines (e.g., MLflow, Feature Stores) and collaborating with AI Scientists/Engineers.
* Knowledge of ontology‑based modeling, semantic layers, and modern data architectures (e.g., Data Mesh, Data Fabric).
* Experience with Graph Databases (e.g., Neo4j) for semantic modeling, ontology alignment, or operational knowledge graphs.
* Domain experience in Supply Chain Management (SCM), BizOps, RevOps, or Commercial Operations.
* Experience in regulated industries (e.g., biopharma, healthcare, finance).
* Experience in a BizOps or highly cross‑functional technical role.
* Hands‑on experience with Snowflake architecture.
 **Who Thrives in This Role**
* Someone who enjoys owning a data ecosystem end‑to‑end and building from zero to one.
* A strategic thinker who balances strong technical depth with understanding of real business context.
* An engineer who thrives in close collaboration with Commercial and AI teams to define how data powers decisions.
* A builder comfortable operating in a fast‑paced, startup‑like environment where innovation and speed matter.
* An “Agile Operator” who can rapidly prototype for PoCs while architecting for long‑term scalability and reliability.</t>
        </is>
      </c>
    </row>
    <row r="64">
      <c r="A64" t="inlineStr">
        <is>
          <t>in-a354ac69a534497f</t>
        </is>
      </c>
      <c r="B64" t="inlineStr">
        <is>
          <t>Insurance Analyst / Analytics Engineer</t>
        </is>
      </c>
      <c r="C64" t="inlineStr">
        <is>
          <t>Harbor Health</t>
        </is>
      </c>
      <c r="D64" t="inlineStr">
        <is>
          <t>indeed</t>
        </is>
      </c>
      <c r="E64" t="inlineStr"/>
      <c r="F64" t="inlineStr"/>
      <c r="G64" t="inlineStr">
        <is>
          <t>TX, US</t>
        </is>
      </c>
      <c r="H64" s="1" t="n">
        <v>46076</v>
      </c>
      <c r="I64" t="inlineStr">
        <is>
          <t>COMPANY OVERVIEW  
Harbor Health is on a mission to disrupt the outdated US healthcare system. Leveraging a revolutionary payvidor model, we are creating an entirely new approach to care\-one that delivers improved quality, reduced cost, greater access, and an exceptional experience. Our vision is supported by intelligent, anticipatory clinical systems and aligned benefits that place the member at the center. If you're inspired by the opportunity to rebuild healthcare from the ground up with cutting\-edge technology and a member\-focused mindset, we want to hear from you!  
POSITION OVERVIEW  
We're seeking an Insurance Analyst / Analytics Engineer to drive actionable intelligence across our integrated insurance operations. This will include work across clinical management revenue operations, risk adjustment, utilization management, pharmacy, and member retention. This is a high\-visibility, high\-impact role at the intersection of payor economics, population health, and data\-driven operations. You will also collaborate to enhance our data infrastructure \&amp; operations to improve the usability of our data assets. You will closely work with teams across the organization, including Product, Data, Engineering, and Operations. This role combines analytical thinking with hands\-on data execution to support Harbor Health's mission of transforming healthcare in Texas.
POSITION DUTIES \&amp; RESPONSIBILITIES
**General Responsibilities**
* Build and maintain the semantic layer/metrics; define KPI logic and reusable models that power dashboards and self\-serve reporting.
* Translate business questions into performant SQL and polished dashboards in our BI tool (Omni); ship clean, drill\-friendly reports.
* Collaborate with stakeholders to customize reporting and data workflows.
* Help implement and monitor ETL/ELT to land and transform data from databases, files, and APIs.
* Manage schema changes and migrations with version control and backward\-compatible rollouts.
* Develop and deploy forecasting models (e.g., regression, time\-series) to power forecasting reports and alerts.
* Collaborate with data engineering team to support on business logic as part of typical build processes.
**Representative Analytics**
* Own monthly KPI reporting revenue operations including net premium PMPM, retro eligibility adjustments, grace\-period exposure PMPM.
* Monitor enrollment integrity and subsidy reconciliation, flagging financial exposure from ineligible members, retro adjustments, or APTC grace\-period risk.
* Build and maintain financial models that incorporate leading indicators (auth data, ADT feeds, pharmacy claims) into forward\-looking cost projections.
* Produce and maintain core utilization metrics: PCP visits/1,000, specialist visits/1,000, ER visits/1,000, avoidable ER rate, readmission rate, LOS, and LOC.
* Develop leading indicator dashboards using pre\-claims data source (e.g., ADT feeds, authorization data, eligibility checks Athena, Zus, and pharmacy\-claims).
* identify and continuously monitor high\-cost claimants using a multi\-signal approach; paid and inventory claims, auth data, ADT, pharmacy, and EMR data.
DESIRED PROFESSIONAL SKILLS \&amp; EXPERIENCE
* 3\-6 years of experience in healthcare analytics within a managed care, health plan, or payvidor environment.
* Deep familiarity with payor data structures: claims, eligibility/834 transactions, authorization data, ADT feeds, and risk adjustment data.
* Strong SQL proficiency; experience querying data warehouses such as Snowflake.
* Demonstrated ability to build and maintain PMPM\-based reporting, utilization analytics, and population health dashboards.
* Understanding of ACA\-specific constructs: APTC grace periods, CSR tiers, risk adjustment under the V28 model.
* Ability to translate complex analytics into clear, actionable narratives for operational and executive audiences.
* Experience with data visualization tools such as Omni, Looker, PowerBI, etc.
* Familiarity with EMR data (Athena preferred) and multi\-system data integration across clinical and financial sources.
* Experience building ETL/ELT and data processing pipelines using dbt. Familiarity with data orchestration tools such as Airflow or Dagster are a plus.
* Hands\-on experience with relational databases and data warehouses.
* Understanding of data modeling principles (star/snowflake schema, normalization/denormalization).
* Familiarity, excitement and comfort working in the HealthTech industry; strong plus if already familiar with key healthcare data concepts.
* Interest and understanding in Harbor Health's "payvidor" business model, and the enormous impacts it will have on the American healthcare system.
WHAT WE OFFER
* Transformational impact: Be at the forefront of reimagining healthcare operations and payment models.
* Leadership and Ownership: Shape operational strategies in a dynamic, fast\-paced environment with high autonomy.
* Collaborative Culture: Join a team that values innovation, integrity, and collective success.
* Competitive Compensation \&amp; Benefits: We reward top talent with robust pay, benefits, and growth opportunities.
* Remote Flexibility: Work from anywhere while staying closely connected to a mission\-driven team.
* Inclusive Environment: We celebrate diverse perspectives and are committed to creating an equitable workplace.
Harbor Health is an Equal Opportunity Employer. We do not discriminate on the basis of race, color, religion, sex, sexual orientation, gender identity, national origin, age, disability, veteran status, or any other characteristic protected by law. We are committed to creating an inclusive environment for all clinicians and teammates and actively encourage applications from people of all backgrounds.
RjwvdbcRu1</t>
        </is>
      </c>
    </row>
    <row r="65">
      <c r="A65" t="inlineStr">
        <is>
          <t>in-1fe7366cb944d55d</t>
        </is>
      </c>
      <c r="B65" t="inlineStr">
        <is>
          <t>Data Engineer</t>
        </is>
      </c>
      <c r="C65" t="inlineStr">
        <is>
          <t>Associa</t>
        </is>
      </c>
      <c r="D65" t="inlineStr">
        <is>
          <t>indeed</t>
        </is>
      </c>
      <c r="E65" t="inlineStr"/>
      <c r="F65" t="inlineStr"/>
      <c r="G65" t="inlineStr">
        <is>
          <t>Richardson, TX, US</t>
        </is>
      </c>
      <c r="H65" s="1" t="n">
        <v>46076</v>
      </c>
      <c r="I65" t="inlineStr">
        <is>
          <t>We are seeking an experienced Data Engineer to join our team and lead data migration efforts through the development and optimization of our data platform. This role is critical to designing and executing dynamic, scalable data extraction and ingestion pipelines, implementing robust ingestion frameworks, and enabling analytics and data science initiatives across the organization. The candidate must have expert, hands\-on experience in Python, Databricks, SQL, and a proven track record of designing and implementing enterprise\-grade data ingestion solutions. M**ust be local to the Dallas/Ft Worth area \- will require some onsite presence at our Richardson, TX location.**
**What You'll Do**
------------------
* Design, build, and maintain scalable data pipelines and ETL/ELT workflows using Python and SQL
* Architect and implement data ingestion patterns for batch, streaming, and hybrid workloads
* Develop and optimize solutions on Databricks big data platforms, leveraging Delta Lake, Spark, and related technologies
* Establish and enforce data quality standards, monitoring, and alerting across the data platform
* Collaborate with data scientists, analysts, and business stakeholders to understand data requirements and deliver reliable data products
* Define and implement medallion architecture (Bronze/Silver/Gold) patterns for data transformation and governance
* Mentor junior engineers and contribute to engineering best practices and documentation
Requirements:
**Required Qualifications**
---------------------------
Only candidates with the following skills \&amp; experience should be considered.
### **Required Technical Skills**
* **Big Data Platforms:** Direct, hands\-on experience building and operating Databricks\-based data platforms, including Unity Catalog, Delta Lake, Delta Live Tables (DLT), Workflows, and Apache Spark.
* **Python:** Strong to Expert proficiency required, Deep understanding of Python for data engineering (PySpark, pandas, or equivalent), data validation in pipelines (e.g. Pydantic, Great Expectations, or equivalent), and production\-grade coding practices
* **SQL:** Advanced SQL skills needed , including experience with relational data modeling, complex analytical queries (joins, window functions, CTEs), and performance tuning in analytical data platforms (e.g., Spark SQL, T‑SQL, or similar).
* **Platform Architecture \&amp; ETL:** Required hands\-on experience designing and operating end‑to‑end ETL pipelines on an enterprise lakehouse platform, including:
	+ Building production\-grade pipelines for large\-scale transformations with integrated quality enforcement using PySpark and pandas.
	+ Implementing batch and/or streaming ingestion using API, file based, Change Data Capture (CDC) patterns.
	+ Ability to apply structured data modeling principles to canonical and enriched datasets within a medallion architecture
	+ Ability to apply analytics\-oriented data modeling principles to data products within a medallion architecture
	+ Adhering to data governance practices, including data quality, lineage and auditability, and access control.
	+ Monitoring, optimizing, and troubleshooting production data pipelines for performance and reliability.
### **Required Experience**
* **Data Engineering Tenure**: 5\+ years of professional experience in data engineering role. Multi\-year track record of delivering production data pipelines at scale required
* **Software Engineering Practices:**Experience developing and operating production data systems using modern software engineering and SDLC practices.
### **Required Soft Skills**
* Strong, proactive communication skills are a must\-have for this position
* Ability to demonstrate technical functionality to both technical and non\-technical audiences
* Ownership of work and solution mindset are vital foundations of our work culture
### **Preferred Qualifications \&amp; Experience**
Any of the following qualifications are preferred:
* Databricks certifications (Data Engineer Associate/Professional)
* Experience with cloud platforms (AWS or Azure) and their native data services
* Experience with CI/CD for data pipelines and infrastructure\-as\-code practices preferred
* Familiarity with orchestration tools (Airflow, Prefect, Databricks Workflows)
* Experience with data migration projects or multi\-source integration scenarios
* Knowledge of real\-time streaming technologies (Kafka, Event Hubs, Kinesis)
* Background in SaaS, ERP, or property management software domains</t>
        </is>
      </c>
    </row>
    <row r="66">
      <c r="A66" t="inlineStr">
        <is>
          <t>in-29ff7e541da6ff4a</t>
        </is>
      </c>
      <c r="B66" t="inlineStr">
        <is>
          <t>Data Engineer Senior</t>
        </is>
      </c>
      <c r="C66" t="inlineStr">
        <is>
          <t>Huntington Bank</t>
        </is>
      </c>
      <c r="D66" t="inlineStr">
        <is>
          <t>indeed</t>
        </is>
      </c>
      <c r="E66" t="inlineStr"/>
      <c r="F66" t="inlineStr"/>
      <c r="G66" t="inlineStr">
        <is>
          <t>Columbus, OH, US</t>
        </is>
      </c>
      <c r="H66" s="1" t="n">
        <v>46076</v>
      </c>
      <c r="I66" t="inlineStr">
        <is>
          <t>**Description**
===============
**Summary:**
Our Enterprise Data Engineering department is growing, and we're looking for an outstanding Senior Data Engineer to join our team. The Senior Data Engineer will play a pivotal role in building and operationalizing the minimally inclusive data necessary for the enterprise data and analytics initiatives following industry standard practices and tools. Our goal is to be the Best performing Regional Bank in America, and we need data and analytics to meet that goal.
The Data Engineer Senior plays a pivotal role in building and operationalizing the minimally inclusive data necessary for the enterprise data and analytics initiatives following industry standard practices and tools. Data Engineers will also test for data quality to ensure Huntington’s data conforms to business rules and is accurate, complete, consistent, and uniform. This role’s primarily focuses on building, managing and optimizing data pipelines and then moving these data pipelines effectively into production for key data and analytics consumers like business/data analysts, data scientists or any persona that needs curated data for data and analytics use cases across the enterprise.
**Duties and Responsibilities:**
* Architecting, creating and maintaining data pipelines.
* Assist with renovating the data management infrastructure to drive automation in data integration and management.
* Work in partnership with data science teams and with business analysts in refining their data requirements for various data and analytics initiatives and their data consumption requirements.
* Train counterparts across the organization in data pipelining and preparation techniques, which make it easier for them to integrate and consume the data they need for their own use cases.
* Work with data governance teams and participate in vetting and promoting content created in the business and by data scientists to the curated data catalog for governed reuse.
* Demonstrated ability to communicate complex results to technical and non\-technical audiences.
* Demonstrated ability to work effectively in teams as well as independently across multiple tasks while meeting aggressive timelines.
* Strategic, intellectually curious thinker with focus on outcomes.
* Professional image with the ability to form relationships across functions.
* Performs other duties as assigned.
**Basic Qualifications:**
* Bachelor's Degree in computer science, statistics or related field, or equivalent related work experience.
* 4\+ years of related experience in data management disciplines including data integration, data modeling, optimization and data quality, and/or other areas directly relevant to data engineering responsibilities and tasks.
* 4\+ years of experience working in cross\-functional teams and collaborating with business stakeholders in support of a departmental and/or multi\-departmental data management and analytics initiative, experience with data preparation tools and database programming languages.
**Preferred Qualifications:**
* Experience building modular, reusable ETL frameworks, focusing on scalability and maintenance.
* Strong experience with data engineering tooling (e.g., Glue, Lambda, Athena, AWS)
* Strong knowledge of BI software tools (e.g., QuickSight, Tableau, etc)
* Experience with workflow orchestration tools \- like Apache Airflow \- to schedule, monitor and manage data pipelines.
* Strong experience with advanced analytics tools
* Hands on data testing experience
* Hands on experience or exposure to Oracle Database.
* Strong experience with open\-source and commercial data science platforms
* Familiarity with Agile methodology practices.
* Strong experience with various Data Management architectures and processes.
* Strong ability to design, build and manage data pipelines for data
* Strong experience in working with large, heterogeneous datasets in building and optimizing data pipelines, pipeline architectures and integrated datasets
* Demonstrated success in working with large, heterogeneous datasets to extract business value
* Strong experience in working with DevOps capabilities like version control, automated builds, testing and release management capabilities
* Demonstrated ability to communicate complex results to technical and non\-technical audiences
* Demonstrated ability to work effectively in teams as well as independently across multiple tasks while meeting aggressive timelines
* Strategic, intellectually curious thinker with focus on outcomes
* Professional image with the ability to form relationships across functions
* Willingness and ability to learn new technologies on the job
* Financial Services background is preferred, or interest in learning.
 **Exempt Status: (Yes** \= not eligible for overtime pay) (**No** \= eligible for overtime pay)
Yes**Workplace Type:**
Office
Our Approach to **Office** Workplace Type
Certain positions outside our branch network may be eligible for a flexible work arrangement. We’re combining the best of both worlds: in\-office and work from home. Our approach enables our teams to deepen connections, maintain a strong community, and do their best work. Remote roles will also have the opportunity to come together in our offices for moments that matter. Specific work arrangements will be provided by the hiring team.
Huntington will not sponsor applicants for this position for immigration benefits, including but not limited to assisting with obtaining work permission for F\-1 students, H\-1B professionals, O\-1 workers, TN workers, E\-3 workers, among other immigration statuses. Applicants must be currently authorized to work in the United States on a full\-time basis.
Huntington is an Equal Opportunity Employer.
Tobacco\-Free Hiring Practice: Visit Huntington's Career Web Site for more details.
**Note to Agency Recruiters:** Huntington will not pay a fee for any placement resulting from the receipt of an unsolicited resume. All unsolicited resumes sent to any Huntington colleagues, directly or indirectly, will be considered Huntington property. Recruiting agencies must have a valid, written and fully executed Master Service Agreement and Statement of Work for consideration.</t>
        </is>
      </c>
    </row>
    <row r="67">
      <c r="A67" t="inlineStr">
        <is>
          <t>in-90b9bf7f8529c676</t>
        </is>
      </c>
      <c r="B67" t="inlineStr">
        <is>
          <t>Data Engineer Senior</t>
        </is>
      </c>
      <c r="C67" t="inlineStr">
        <is>
          <t>Huntington Bank</t>
        </is>
      </c>
      <c r="D67" t="inlineStr">
        <is>
          <t>indeed</t>
        </is>
      </c>
      <c r="E67" t="inlineStr"/>
      <c r="F67" t="inlineStr"/>
      <c r="G67" t="inlineStr">
        <is>
          <t>Dallas, TX, US</t>
        </is>
      </c>
      <c r="H67" s="1" t="n">
        <v>46076</v>
      </c>
      <c r="I67" t="inlineStr">
        <is>
          <t>**Description**
===============
**Summary:**
Our Enterprise Data Engineering department is growing, and we're looking for an outstanding Senior Data Engineer to join our team. The Senior Data Engineer will play a pivotal role in building and operationalizing the minimally inclusive data necessary for the enterprise data and analytics initiatives following industry standard practices and tools. Our goal is to be the Best performing Regional Bank in America, and we need data and analytics to meet that goal.
The Data Engineer Senior plays a pivotal role in building and operationalizing the minimally inclusive data necessary for the enterprise data and analytics initiatives following industry standard practices and tools. Data Engineers will also test for data quality to ensure Huntington’s data conforms to business rules and is accurate, complete, consistent, and uniform. This role’s primarily focuses on building, managing and optimizing data pipelines and then moving these data pipelines effectively into production for key data and analytics consumers like business/data analysts, data scientists or any persona that needs curated data for data and analytics use cases across the enterprise.
**Duties and Responsibilities:**
* Architecting, creating and maintaining data pipelines.
* Assist with renovating the data management infrastructure to drive automation in data integration and management.
* Work in partnership with data science teams and with business analysts in refining their data requirements for various data and analytics initiatives and their data consumption requirements.
* Train counterparts across the organization in data pipelining and preparation techniques, which make it easier for them to integrate and consume the data they need for their own use cases.
* Work with data governance teams and participate in vetting and promoting content created in the business and by data scientists to the curated data catalog for governed reuse.
* Demonstrated ability to communicate complex results to technical and non\-technical audiences.
* Demonstrated ability to work effectively in teams as well as independently across multiple tasks while meeting aggressive timelines.
* Strategic, intellectually curious thinker with focus on outcomes.
* Professional image with the ability to form relationships across functions.
* Performs other duties as assigned.
**Basic Qualifications:**
* Bachelor's Degree in computer science, statistics or related field, or equivalent related work experience.
* 4\+ years of related experience in data management disciplines including data integration, data modeling, optimization and data quality, and/or other areas directly relevant to data engineering responsibilities and tasks.
* 4\+ years of experience working in cross\-functional teams and collaborating with business stakeholders in support of a departmental and/or multi\-departmental data management and analytics initiative, experience with data preparation tools and database programming languages.
**Preferred Qualifications:**
* Experience building modular, reusable ETL frameworks, focusing on scalability and maintenance.
* Strong experience with data engineering tooling (e.g., Glue, Lambda, Athena, AWS)
* Strong knowledge of BI software tools (e.g., QuickSight, Tableau, etc)
* Experience with workflow orchestration tools \- like Apache Airflow \- to schedule, monitor and manage data pipelines.
* Strong experience with advanced analytics tools
* Hands on data testing experience
* Hands on experience or exposure to Oracle Database.
* Strong experience with open\-source and commercial data science platforms
* Familiarity with Agile methodology practices.
* Strong experience with various Data Management architectures and processes.
* Strong ability to design, build and manage data pipelines for data
* Strong experience in working with large, heterogeneous datasets in building and optimizing data pipelines, pipeline architectures and integrated datasets
* Demonstrated success in working with large, heterogeneous datasets to extract business value
* Strong experience in working with DevOps capabilities like version control, automated builds, testing and release management capabilities
* Demonstrated ability to communicate complex results to technical and non\-technical audiences
* Demonstrated ability to work effectively in teams as well as independently across multiple tasks while meeting aggressive timelines
* Strategic, intellectually curious thinker with focus on outcomes
* Professional image with the ability to form relationships across functions
* Willingness and ability to learn new technologies on the job
* Financial Services background is preferred, or interest in learning.
 **Exempt Status: (Yes** \= not eligible for overtime pay) (**No** \= eligible for overtime pay)
Yes**Workplace Type:**
Office
Our Approach to **Office** Workplace Type
Certain positions outside our branch network may be eligible for a flexible work arrangement. We’re combining the best of both worlds: in\-office and work from home. Our approach enables our teams to deepen connections, maintain a strong community, and do their best work. Remote roles will also have the opportunity to come together in our offices for moments that matter. Specific work arrangements will be provided by the hiring team.
Huntington will not sponsor applicants for this position for immigration benefits, including but not limited to assisting with obtaining work permission for F\-1 students, H\-1B professionals, O\-1 workers, TN workers, E\-3 workers, among other immigration statuses. Applicants must be currently authorized to work in the United States on a full\-time basis.
Huntington is an Equal Opportunity Employer.
Tobacco\-Free Hiring Practice: Visit Huntington's Career Web Site for more details.
**Note to Agency Recruiters:** Huntington will not pay a fee for any placement resulting from the receipt of an unsolicited resume. All unsolicited resumes sent to any Huntington colleagues, directly or indirectly, will be considered Huntington property. Recruiting agencies must have a valid, written and fully executed Master Service Agreement and Statement of Work for consideration.</t>
        </is>
      </c>
    </row>
    <row r="68">
      <c r="A68" t="inlineStr">
        <is>
          <t>in-e3517357605b9f8e</t>
        </is>
      </c>
      <c r="B68" t="inlineStr">
        <is>
          <t>Senior Data Engineer – AxiomSL Development</t>
        </is>
      </c>
      <c r="C68" t="inlineStr">
        <is>
          <t>TECHSTRA SOLUTIONS</t>
        </is>
      </c>
      <c r="D68" t="inlineStr">
        <is>
          <t>indeed</t>
        </is>
      </c>
      <c r="E68" t="inlineStr"/>
      <c r="F68" t="inlineStr"/>
      <c r="G68" t="inlineStr">
        <is>
          <t>Dallas, TX, US</t>
        </is>
      </c>
      <c r="H68" s="1" t="n">
        <v>46076</v>
      </c>
      <c r="I68" t="inlineStr">
        <is>
          <t>**Role Overview**  
The Senior Data Engineer with deep expertise in AxiomSL is to support regulatory reporting initiatives within a complex banking and financial services environment. This role is responsible for designing, developing, and maintaining AxiomSL data sources, components, and regulatory reports while ensuring data integrity, traceability, and compliance with federal regulatory requirements. The ideal candidate combines strong AxiomSL platform experience with advanced SQL, data modeling proficiency, and the ability to troubleshoot large\-scale data integration challenges across disparate source systems.  
**Key Responsibilities**  
 AxiomSL Development \&amp; Platform Management* Design, develop, enhance, and upgrade AxiomSL data sources, portfolios, aggregates, and report templates.
* Configure and maintain AxiomSL components, data models, and calculation logic to meet regulatory requirements.
* Support AxiomSL platform upgrades, patching, and environment migrations.
* Implement automation strategies for report generation, validation, and reconciliation processes.
Regulatory Reporting Delivery* Develop and maintain regulatory reports including FRY\-9C, FFIEC 101, 14M, and 14Q.
* Translate regulatory requirements into technical specifications and AxiomSL data mappings.
* Partner with Regulatory Reporting, Finance, and Risk teams to validate calculations and reporting outputs.
* Support internal and external audits with clear data lineage, controls documentation, and traceability.
Data Engineering \&amp; Integration* Design and maintain scalable data pipelines feeding AxiomSL from core banking, risk, and finance systems.
* Perform advanced SQL development for data transformation, aggregation, and validation.
* Troubleshoot and resolve data quality issues across upstream and downstream systems.
* Implement reconciliation controls to ensure accuracy, completeness, and timeliness of reported data.
* Develop robust data models aligned to regulatory reporting and risk aggregation standards.
Data Governance \&amp; Quality* Enforce data governance standards including lineage documentation, metadata management, and control frameworks.
* Conduct root cause analysis for data anomalies and reporting discrepancies.
* Collaborate with enterprise data management teams to improve data quality and consistency.
* Establish monitoring and automation mechanisms to proactively identify reporting issues.
Production Support \&amp; Continuous Improvement* Provide L2/L3 production support for AxiomSL regulatory reporting cycles.
* Participate in month\-end, quarter\-end, and regulatory submission processes.
* Identify opportunities for performance optimization and process automation.
* Contribute to documentation, knowledge transfer, and platform stability initiatives.
**Required Qualifications/****Skills*** 5\+ years of experience in data engineering within banking or financial services
* 3\+ years of hands\-on AxiomSL development experience
* Strong experience developing regulatory reports (FRY\-9C, FFIEC 101, 14M/Q)
* Advanced SQL expertise (complex joins, CTEs, performance tuning, data transformations)
* Strong understanding of data modeling principles (dimensional and relational models)
* Experience integrating multiple source systems into regulatory reporting platforms
* Proven ability to troubleshoot complex data quality and reconciliation issues
* Experience working in controlled, audit\-sensitive regulatory environments
**Preferred Qualifications*** Experience supporting Federal Reserve or OCC regulatory submissions
* Familiarity with BCBS 239 principles and regulatory data aggregation standards
* Experience with automation tools or scripting (Python, shell scripting, workflow orchestration tools)
* Knowledge of enterprise ETL tools and data warehousing platforms
* Experience with cloud\-based data platforms (AWS, Azure, or GCP)
* Familiarity with Agile delivery methodologies
**Locations:** Pittsburgh, PA  
**About Techstra Solutions**  
Techstra Solutions is a certified woman\-owned (WBENC) management consulting firm specializing in strategy, technology, and implementation services for large organizations undergoing digital and talent transformation. Our experienced team partners with clients to co\-create innovative solutions in applications, data, AI, and automation that accelerate measurable, sustainable change. From advisory consulting through technical execution, we are dedicated to driving world\-class business solutions that fit your strategic requirements and deliver results. For more information: www.techstrasolutions.com**Equal Employment Opportunity Statement**
Techstra Solutions is an equal opportunity employer. The Company makes its decisions on merit, and its policy of equal opportunity prohibits discrimination in all phases of the employment process, including, but not limited to, recruitment, hiring, promotion, selection, transfer, demotion, layoff, termination, compensation, benefits, and other terms and conditions of employment. The policy of equal opportunity applies without regard to race, color, creed, religion, gender,, sexual orientation, gender identification, pregnancy, marital status, national origin, ancestry, age, disability that can reasonably be accommodated without undue hardship, military status, veteran status, genetic predisposition or carrier status, alienage or citizenship, domestic partnership status, arrest or conviction record, status as a victim of domestic violence, or any other protected categories under federal, state, or local law. The Company also prohibits discrimination or harassment based upon the perception that a person has, or is associated with a person who has, any of these characteristics.
qw9oC0zAe8</t>
        </is>
      </c>
    </row>
    <row r="69">
      <c r="A69" t="inlineStr">
        <is>
          <t>in-24876c58f01971fd</t>
        </is>
      </c>
      <c r="B69" t="inlineStr">
        <is>
          <t>Data Engineer</t>
        </is>
      </c>
      <c r="C69" t="inlineStr">
        <is>
          <t>INTEGRITYOne Partners, Inc.</t>
        </is>
      </c>
      <c r="D69" t="inlineStr">
        <is>
          <t>indeed</t>
        </is>
      </c>
      <c r="E69" t="inlineStr"/>
      <c r="F69" t="inlineStr"/>
      <c r="G69" t="inlineStr">
        <is>
          <t>Crystal City, VA, US</t>
        </is>
      </c>
      <c r="H69" s="1" t="n">
        <v>46076</v>
      </c>
      <c r="I69" t="inlineStr">
        <is>
          <t>INTEGRITYOne Partners  
Data Engineer – Mid\-Level  
Location – Hybrid – 1\-2 days per week on\-site in Crystal City, VA**The Role**
============
As a mid\-level Data Engineer, you'll be at the forefront of delivering software solutions that directly impact our clients' law enforcement mission. You'll work with dedicated team members and clients to solve complex technical problems and develop systems that keep our country safe and secure.**About Us**
============
INTEGRITYOne Partners specializes in IT modernization and business transformation for Federal clients. We tackle big problems with missions that positively impact our country's health, safety, and security. Our team of dedicated consultants and technologists thrives on learning new technologies, frameworks, and methodologies. With decades of experience, we pride ourselves on building outstanding and sustainable software products and systems.**Ideal Candidate Profile**
===========================
* Demonstrates intellectual curiosity and a passion for continuous learning
* Thrives in a collaborative, fast\-paced environment
* Shows adaptability and resilience in the face of complex challenges
* Exhibits strong problem\-solving skills and attention to detail
* Possesses excellent communication and interpersonal skills
**Technical Skills Required**
=============================
* Python
* Java
* Microservices (REST/SOAP/GraphQL)
* JSON and JSON format mediation techniques
* AWS Managed Services for back\-end infrastructure (S3, RDS, EC2, Lambda)
* High\-volume ETL solutions
* LINUX (RHEL preferred), shell scripting
* Relational database knowledge in Oracle or Postgres, Strong SQL Knowledge
* DevSecOps tools and techniques (Jenkins, Ansible, Terraform, Vault)
**Key Responsibilities**
========================
* Collaborate with cross\-functional teams to deliver results over 2\-week sprints
* Gather requirements, design, implement, and test software and systems
* Develop scalable, high\-performance, and highly available applications and systems components
* Diagnose and resolve complex system issues
* Communicate effectively with clients, team members, and other development teams
* Respond to client requirements in tight timeframes, demonstrating flexibility in work location and hours
**Requirements**
================
* US Citizenship (ability to obtain and maintain a DHS 6C Public Trust clearance)
* Bachelor's degree or higher (computer science background recommended but not required with suitable experience)
* Ability to work on\-site in Crystal City, Virginia, 1\-2 days per week
**Experience**
==============
* 4\-6 years of experience in Agile software development
* Proven track record in designing and developing scalable applications
* Experience working in government or high\-security environments is a plus
**Career Development**
======================
At INTEGRITYOne Partners, we reward hard work and outstanding results. We offer:* Mentorship programs
* Ongoing training and certification opportunities
* Clear path for advancement within the organization
* Exposure to cutting\-edge technologies and high\-impact projects
* Competitive raises, bonuses, and promotions
**Ready to Make a Difference?**
===============================
If you're passionate about technology, driven by innovation, and want to contribute to national security, we want to hear from you. Apply now and join our team of dedicated professionals shaping the future of federal IT solutions.**Interviewing Tips**
=====================
From researching to preparing for your interview and putting your best foot forward, we want you to be prepared and confident as you explore opportunities with INTEGRITYOne Partners. Check out interviewing tips from our recruiters.  
At INTEGRITYOne Partners, we have high standards for the members of our team \- and when our people meet these standards, the personal and professional rewards are plentiful. We help INTEGRITYOne Partners’ employees grow in their careers by gaining enhanced Federal knowledge and experience, sought\-after skills, greater discipline and drive, and targeted education and training
INTEGRITYOne Partners is an equal opportunity employer Minorities / Females / Veterans / Disabilities. All qualified applicants will be considered without regard to race, ethnicity, color, national origin, religion, sexual orientation, gender identity, veteran status, or status as a qualified individual with a disability or any other personal characteristic protected by law.
LZ2UUNZFc5</t>
        </is>
      </c>
    </row>
    <row r="70">
      <c r="A70" t="inlineStr">
        <is>
          <t>in-95a6decb50e7bc6c</t>
        </is>
      </c>
      <c r="B70" t="inlineStr">
        <is>
          <t>Senior Data Engineer (Must be a U.S. Citizen)</t>
        </is>
      </c>
      <c r="C70" t="inlineStr">
        <is>
          <t>PBG</t>
        </is>
      </c>
      <c r="D70" t="inlineStr">
        <is>
          <t>indeed</t>
        </is>
      </c>
      <c r="E70" t="inlineStr"/>
      <c r="F70" t="inlineStr"/>
      <c r="G70" t="inlineStr">
        <is>
          <t>Washington, DC, US</t>
        </is>
      </c>
      <c r="H70" s="1" t="n">
        <v>46076</v>
      </c>
      <c r="I70" t="inlineStr">
        <is>
          <t>PBG delivers mission\-focused solutions that eliminate inefficiency and power transformation for federal agencies requiring agility, security, and impact.
**Senior Data Engineer**
========================
**Location**: Washington, DC (Hybrid, with on\-site presence as required by the client)
**Contract**: IT Management and Governance Support Services (ITMGSS) Blanket Order Agreement (BOA), Task Order 1: Business Process Improvement (BPI) Support Services
**Clearance/Screening Requirements:** Candidates must be US Citizens and able to successfully undergo a background investigation.
**Position Summary:**
---------------------
PBG's McLean, VA office is seeking a skilled and forward\-thinking Data Engineer to join a critical Task Order focused on Business Process Improvement (BPI) for the Board of Governors of the Federal Reserve System (Board). As a vital member of a dedicated Agile sprint team, this individual will design, build, and maintain the data infrastructure essential for transforming the Board's economic and policy analysis capabilities. The Data Engineer will be responsible for creating robust data pipelines, transformations, and workflows, working side\-by\-side with Business Process Analysts to map current\-state data flows and design modernized, target\-state architectures. This role requires a strong technical foundation in data engineering, experience in data\-intensive regulatory or financial environments, and the ability to help guide modernization efforts away from legacy systems.
**Key Responsibilities:**
The Data Engineer shall be responsible for the following (subject to evolving needs):
* Design, build, and maintain robust and scalable data pipelines, ETL/ELT processes, and complex data workflows to support economic analysis.
* Collaborate directly with business process analysts and architects to analyze current\-state data flows and contribute to the design of target\-state data architectures.
* Act as a technical subject matter expert for data engineering, actively supporting data modernization and migration initiatives away from legacy systems.
* Create and maintain technical documentation for data flows, dependencies, and processes to support business analysis and ensure architectural alignment.
* Implement solutions that adhere to best practices in data governance, data quality, metadata management, and access control.
**Minimum Qualifications:**
---------------------------
* A Bachelor's degree (BS/BA) in computer science, information systems, engineering, or a related technical field from an accredited institution.
* A minimum of 8 years of professional experience, with at least 3\+ years leading in data engineering, data integration, or a related technical field.
* Demonstrated experience designing, developing data pipelines, data transformations, and data workflows.
* Experience working with relational and/or non\-relational databases and data storage technologies.
* Ability to document data flows, data dependencies, and technical processes in support of business process analysis.
* Experience supporting data\-intensive, analytical, research, financial, or regulatory environments.
* Experience using ETL/ELT framework and proficiency in programming language used for building pipelines (e.g., Python, R, SQL, Perl, Scala, etc.).
* Familiarity with data governance, data quality, metadata, and access control considerations.
* Experience working alongside business process analysts or enterprise architect to document current\-state and target\-state data architectures/processes.
* Ability to support modernization or migration efforts from legacy data environments.
* Experience working in agile, hybrid, or iterative delivery environments, including collaboration with cross\-functional teams and incremental solution delivery.
* Strong analytical and problem\-solving skills.
**Highly Valued Qualifications:**
---------------------------------
* Experience supporting data pipelines used for modeling, forecasting, or analytical workloads.
* Demonstrated experience in analyzing interdependencies across data pipelines, repositories, analytical models, and workflows.
* Familiar with cloud\-based data platforms and services (AWS preferred) and modern data engineering tools.
* Familiar with programming languages used for data analytics (e.g., R, SAS, Stata, etc.).
* Familiar with data pipeline and orchestration tools (e.g., Databricks, Apache Airflow, AWS Glue, Informatica, etc.).
* Experience working in environments with federated ownership models and complex governance structures.
 **\#WHYPBG**
We have successfully built a company culture based on our single most important asset \- our employees. At PBG we are passionate about employee engagement and make it our business to provide our employees a range of challenging and rewarding opportunities that align with business strategy, promote team work and inspire innovation. A job is where you are spending most of your day, so PBG believes in making it a fun, collaborative and productive environment. We want our employees to have the opportunity to grow and be part of a company that is making a lasting contribution to our customers.
**Benefits:**
* 401K Retirement Plan
* Medical Plan options with significant financial investments from PBG
* Prescription benefit plan
* Dental and Vision coverage
* Employee Assistance Program
* Short term / Long\-term disability
* Supplemental group life and AD\&amp;D options
* Yearly Bonuses
* Generous Paid Time Off / Paid Holidays
* Career/Professional Development Program
* Spot Bonus Program
**Equal Employment Opportunity Statement:**
PBG is an equal opportunity employer and makes all employment decisions based on job\-related qualifications, skills, experience, and business needs. We do not discriminate against any applicant or employee based on legally protected characteristics, including but not limited to race, color, religion, sex, national origin, age, disability, genetic information, or veteran status, in accordance with applicable federal, state, and local laws. PBG complies with all laws regarding non\-discrimination in employment in every location in which the company operates
**Disclaimer:**
This job description reflects management's assignment of essential job functions but is not intended to be a comprehensive list of all activities, duties and responsibilities required by the job incumbent. Nothing in the herein restricts management's right to assign or reassign duties and responsibilities to this job at any time.  
This document does not create an employment contract, implied or otherwise, other than an "at will" relationship.</t>
        </is>
      </c>
    </row>
    <row r="71">
      <c r="A71" t="inlineStr">
        <is>
          <t>in-b3e5e0e8fb1f2fdf</t>
        </is>
      </c>
      <c r="B71" t="inlineStr">
        <is>
          <t>Data Engineer III</t>
        </is>
      </c>
      <c r="C71" t="inlineStr">
        <is>
          <t>JPMorganChase</t>
        </is>
      </c>
      <c r="D71" t="inlineStr">
        <is>
          <t>indeed</t>
        </is>
      </c>
      <c r="E71" t="inlineStr"/>
      <c r="F71" t="inlineStr"/>
      <c r="G71" t="inlineStr">
        <is>
          <t>Columbus, OH, US</t>
        </is>
      </c>
      <c r="H71" s="1" t="n">
        <v>46076</v>
      </c>
      <c r="I71" t="inlineStr">
        <is>
          <t>**JOB DESCRIPTION**  
This is your chance to change the path of your career and work at one of the world's leading financial institutions.
As a Python/Java Software Engineer III at JPMorgan Chase within the Consumer \&amp; Community Banking/Data Products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Demonstrate python development experience, including modular coding, creating reusable classes, logging, and testing
* Understand PySpark or distributed data processing frameworks
* Exhibit Proficiency in writing DBT macros, jinja templates, seeds, and custom test cases
* Have Experience with Airflow on MWAA, Astronomer or Kubernetes
* Show Proficiency with Glue jobs, Athena, Cloud watch, and Lambda
* Working knowledge of Terraform for infrastructure automation
* Apply Understanding of Iceberg, Hudi or Delta Lake and their role in data\-lake architecture.
* Possess Ability to query and manage open\-table format datasets.
* Designing and optimizing ETL/ELT pipelines.
* Demonstrate Knowledge of snowflake streams, tasks, roles, and warehouses.
* Utilize Experience with version control like GIT, testing frameworks, and code reviews
**Required qualifications, capabilities, and skills**
* Formal training or certification on software engineering concepts and 3\+ years of applied experience
* Proficiency in Python/Java technology
* Hands\-on practical experience in system design, application development, testing, and operational stability
* Proficient in coding in one or more languages such as Python/Java
* Experience in building solutions using cloud technologies like AWS
* Exposure to message streaming technologies such KAFKA/FLINK
* Experience in developing, debugging, and maintaining code in a large corporate environment with one or more modern programming languages and database querying languages.
* Overall knowledge of the Software Development Life Cycle
* Solid understanding of agile methodologies such as CI/CD, Application Resiliency, and Security
* Demonstrated knowledge of software applications and technical processes within a technical discipline (e.g., cloud, artificial intelligence, machine learning, mobile, etc.)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72">
      <c r="A72" t="inlineStr">
        <is>
          <t>in-9a0eee0454930a97</t>
        </is>
      </c>
      <c r="B72" t="inlineStr">
        <is>
          <t>Data Engineer, Data and Science</t>
        </is>
      </c>
      <c r="C72" t="inlineStr">
        <is>
          <t>Aircall</t>
        </is>
      </c>
      <c r="D72" t="inlineStr">
        <is>
          <t>indeed</t>
        </is>
      </c>
      <c r="E72" t="inlineStr"/>
      <c r="F72" t="inlineStr"/>
      <c r="G72" t="inlineStr">
        <is>
          <t>Seattle, WA, US</t>
        </is>
      </c>
      <c r="H72" s="1" t="n">
        <v>46076</v>
      </c>
      <c r="I72" t="inlineStr">
        <is>
          <t>**Seattle Office /** **San Francisco Office****Engineering – 13008 \- Data /****Permanent Full Time Employee /****Hybrid**
Aircall is a unicorn, AI\-powered customer communications platform used by 22,000\+ companies worldwide to drive revenue, resolve issues faster, and scale customer\-facing teams. We’re redefining customer communications by bringing voice, SMS, WhatsApp, and AI together into one seamless workspace.  
Our momentum comes from a simple idea: help teams work smarter, not harder. Aircall’s AI Voice Agent automates routine calls, AI Assist streamlines post\-call work, and AI Assist Pro delivers real\-time guidance so people can do their best work. The result is higher revenue, faster resolutions, and teams that scale with confidence.  
Aircall is headquartered in Paris, our European HQ, with a strong North American presence anchored in Seattle, our North American HQ, and teams across Madrid, London, Berlin, San Francisco, New York City, Sydney, and Mexico City. We’ve built a product customers love and a business that’s scaling quickly, backed by world\-class investors and driven by rapid AI innovation across multiple product lines.
At Aircall, you’ll join a company in motion. We’re ambitious, product\-driven, and execution\-focused, with visible impact, fast decisions, and real growth. **How we work at Aircall:** We’re customer\-obsessed, data\-driven, and focused on delivering meaningful outcomes. We value ownership, continuous learning, and thoughtful speed. If you thrive in a collaborative, fast\-moving environment where trust and impact matter, you’ll feel at home here. **About the role**The Data Engineering team at Aircall works on providing high\-quality, reliable, and actionable data. As an AI\-first data team, we are currently in a pivotal transition to build a robust semantic layer that will power our AI\-first data platform, enabling analytics at speed and democratizing intelligent insights across the company. Some of the key problems we are currently solving include taking charge of data reliability, integrating new sources for raw data ingestion, and building sophisticated data models to power real\-time dashboards and predictive analytics.  
In this role, you will be instrumental in building new datasets for high\-impact use cases such as churn prediction and feature adoption, while owning the end\-to\-end reliability and scalability of our data pipelines. You will work closely with Product and GTM business teams, sitting at the heart of a larger data organization alongside Data Science, Analytics, and Applied Scientists to bridge the gap between raw data and AI\-driven decision\-making.+ Design, build and maintain core data infrastructure pieces that allow Aircall to support our many data use cases.
+ Enhance the data stack, lineage monitoring and alerting to prevent incidents and improve data quality.
+ Implement best practices for data management, storage and security to ensure data integrity and compliance with regulations.
+ Own the core company data pipeline, responsible for converting business needs to efficient \&amp; reliable data pipelines.
+ Participate in code reviews to ensure code quality and share knowledge.
+ Lead efforts to evaluate and integrate new technologies and tools to enhance our data infrastructure.
+ Define and manage evolving data models and data schemas. Manage SLA for data sets that power our company metrics.
+ Collaborate with applied scientists, data scientists, analysts and other business stakeholders to drive efficiencies for their work, supporting complex data processing, storage and orchestration
### **A little more about you:**
+ Bachelor's degree or higher in Computer Science, Engineering, or a related field.
+ 3\+ years of experience in data engineering, with a strong focus on designing and building data pipelines and infrastructure.
+ Proficient in SQL and Python, with the ability to translate complexity into efficient code.
+ Experience with data workflow development and management tools (dbt, Airflow).
+ Solid understanding of distributed computing principles and experience with cloud\-based data platforms such as AWS, GCP, or Azure.
+ Strong analytical and problem\-solving skills, with the ability to effectively troubleshoot complex data issues.Excellent communication and collaboration skills, with the ability to work effectively in a cross\-functional team environment.
+ Prior experience designing **AI\-ready data semantic layer** is a major plus, specifically for enabling low\-latency, high\-fidelity analytics at scale.
+ Experience with data tooling, data governance, business intelligence and data privacy is a plus.
$154,000 \- $186,000 a year
This is not including equity and other benefits. The actual salary offered will carefully consider a wide range of factors, including your skills, qualifications, and experience.
Why join us?  
 Key moment to join Aircall in terms of growth and opportunities* ️ Our people matter, work\-life balance is important at Aircall
 Fast\-learning environment, entrepreneurial and strong team spirit
 45\+ Nationalities: cosmopolite \&amp; multi\-cultural mindset
 Competitive salary package \&amp; equity
 Medical, dental, and vision insurance is 100% covered
 401k plan with company matching!
✈️ Unlimited PTO — take the time you need to come to work feeling great!* ️ Wellness, internet, and childcare reimbursements
 Generous parental leave policy  
DE\&amp;I Statement:
At Aircall, we believe diversity, equity and inclusion – irrespective of origins, identity, background and orientations – are core to our journey.  
We pride ourselves on promoting active inclusion within our business to foster a strong sense of belonging for all. We’re working to create a place filled with diverse people who can enrich and learn from one another. We’re committed to ensuring that everyone not only has a seat at the table but is valued and respected at it by providing equal opportunities to develop and thrive.  
We will constantly challenge ourselves to make sure that we live up to our ambitions around diversity, equity and inclusion, and keep this conversation open. Above all else, we understand and acknowledge that we have work to do and much to learn.  
Want to know more about candidate privacy? Find our Candidate Privacy Notice here.*We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3">
      <c r="A73" t="inlineStr">
        <is>
          <t>in-c2475c3b210a4903</t>
        </is>
      </c>
      <c r="B73" t="inlineStr">
        <is>
          <t>Data Engineer</t>
        </is>
      </c>
      <c r="C73" t="inlineStr">
        <is>
          <t>Booz Allen Hamilton</t>
        </is>
      </c>
      <c r="D73" t="inlineStr">
        <is>
          <t>indeed</t>
        </is>
      </c>
      <c r="E73" t="inlineStr"/>
      <c r="F73" t="inlineStr"/>
      <c r="G73" t="inlineStr">
        <is>
          <t>San Diego, CA, US</t>
        </is>
      </c>
      <c r="H73" s="1" t="n">
        <v>46076</v>
      </c>
      <c r="I73" t="inlineStr">
        <is>
          <t>Data Engineer**The Opportunity:**
Ever\-expanding technology like IoT, machine learning, and artificial intelligence means that there’s more structured and unstructured data available today than ever before. As a data engineer, you know that organizing data can yield pivotal insights when it’s gathered from disparate sources. We need an experienced data engineer like you to help our clients find answers in their data to impact important missions.
As a Data Engineer, you will be at the forefront of unlocking the potential within vast datasets. You will be responsible for designing, building, and maintaining the scalable data pipelines and infrastructure necessary to support our advanced analytics, machine learning, and artificial intelligence initiatives. Your work will involve everything from data extraction and transformation to loading and modeling, ensuring that data is ready for analysis and use in cutting\-edge applications. You will collaborate with data scientists, AI/ML engineers, and solutions architects to solve complex problems and deliver data\-driven solutions for our clients.
You will design, construct, install, test, and maintain highly scalable data management systems and robust data pipelines. In supporting this effort, you will perform comprehensive data cleaning, anomaly detection, and preparation to ensure data quality and integrity. You will collaborate with mission partners to prepare, format, and tag existing documentation and data to be used by an internal generative AI tool. You will integrate new data sources and manage data flows across various systems. You will assist with the implementation of enterprise IT systems, applications, and infrastructure, ensuring security and compliance. You will work with database management systems, knowledge graphs, ontologies, and vector databases. You will support the operationalization of models through enterprise DataOps, DevSecOps, and MLOps processes.
Work with us to use data for good.
Join us. The world can’t wait.
**You Have:**
* 3\+ years of experience in Data Engineering, Data Science, or Software Engineering
* Experience with Palantir products such as AIP, Gotham, and Foundry
* Experience with database management, data modeling, data cleaning, and both structured and unstructured data
* Experience in programming with languages such as Python, R, Java, or C\+\+
* Experience with SQL and procedural SQL languages, such as PL/SQL or pgSQL
* Knowledge of cloud services, including AWS, Azure, or Google Cloud
* TS/SCI clearance
* Bachelor’s degree in Computer Science, Computer Engineering, or Data Science
**Nice If You Have:**
* Experience with big data technologies, such as HDFS, Accumulo, Hive, Kafka, and Spark
* Experience with data engineering and data science tools, including Databricks, ElasticSearch, Apache NiFi, or StreamSets
* Experience implementing AI/ML solutions and deploying models, including LLMs, locally or via cloud technologies
* Knowledge of enterprise CI/CD practices and tools, such as Git, Jenkins, and Docker
* Knowledge of federal information security policies, standards, and risk management processes
* Master’s degree in a relevant technical field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74">
      <c r="A74" t="inlineStr">
        <is>
          <t>in-4ca9dff46f08d4f4</t>
        </is>
      </c>
      <c r="B74" t="inlineStr">
        <is>
          <t>Enterprise Cybersecurity Data Engineer and Business Intelligence Developer</t>
        </is>
      </c>
      <c r="C74" t="inlineStr">
        <is>
          <t>Booz Allen Hamilton</t>
        </is>
      </c>
      <c r="D74" t="inlineStr">
        <is>
          <t>indeed</t>
        </is>
      </c>
      <c r="E74" t="inlineStr"/>
      <c r="F74" t="inlineStr"/>
      <c r="G74" t="inlineStr">
        <is>
          <t>McLean, VA, US</t>
        </is>
      </c>
      <c r="H74" s="1" t="n">
        <v>46076</v>
      </c>
      <c r="I74" t="inlineStr">
        <is>
          <t>Enterprise Cybersecurity Data Engineer and Business Intelligence Developer**The Opportunity:**
As an Enterprise Cybersecurity Data Engineer and Business Intelligence (BI) Developer, you will apply expertise in business intelligence to wrangle data and develop custom visualizations in Power BI. You will engage with stakeholders to comprehend client challenges, prototype new ideas and technologies, and help create solutions that drive data\-driven decision making. You will ensure the quality delivery of software through thorough testing, data validation, and reviews. You will apply leading\-edge principles, theories, and concepts, and contribute to the development of new principles and concepts. You will work on unusually complex problems and provide highly innovative solutions. Due to the nature of work performed within this facility, U.S. citizenship is required.
**How You’ll Contribute:**
As a Cybersecurity Data Engineer and Business Intelligence Developer on our team, you’ll:
* Develop and maintain 20\+ Power BI dashboards, 10\+ audiences and 2 Power BI applications across 4 Power BI workspaces
* Document data transformations, dashboards, and automated metrics in a team Confluence page
* Extract, transform, and load data from various data sources using Python or SQL
* Apply consulting skills and AI expertise by gathering technical requirements, distilling the requirements into tasks, delivering to the customer, and iterating on the dashboards
* Grow your communication and technical skills by merging advising and technology to create automated and efficient solutions
**You Have:**
* 5\+ years of experience using business intelligence or data visualization tools to aggregate and analyze data collected from various sources, such as Power BI
* 5\+ years of experience using advanced analytical methods, storytelling methods, and data visualization tools to develop data\-driven narratives
* 3\+ years of experience working with SQL or Python languages
* Knowledge of front\-end design and data visualization techniques and UI/UX methodologies and best practices
* Ability to simplify complex concepts and distill information into coherent and compelling narratives, making it accessible to a broad audience
* Ability to collaborate with business analysts or users to clarify requirements and work closely with different business groups to comprehend and respond to their reporting and dashboard needs
* Ability to demonstrate clean coding habits, including ensuring quality
* Ability to work independently and collaboratively in a team environment
* Ability to be self\-motivated and pay strict attention to detail
* HS diploma or GED
**Nice If You Have:**
* 5\+ years of experience in cybersecurity, information technology, or data science in a professional work environment
* Experience in User Experience (UX) and design
* Experience with analytics and data science techniques, including natural language processing, random forest, clustering, optimization, and linear programming
* Knowledge of experimental research methodologies
* Possession of strong analytical, problem\-solving, and critical thinking skills
* Possession of strong written and verbal communication skills, including presenting complex information in a clear and concise manner
* Bachelor’s degree in Cybersecurity, Data Science, Information Technology, Mathematics, or a related field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75">
      <c r="A75" t="inlineStr">
        <is>
          <t>in-4d47293536b45cfc</t>
        </is>
      </c>
      <c r="B75" t="inlineStr">
        <is>
          <t>Health Services Data Engineer</t>
        </is>
      </c>
      <c r="C75" t="inlineStr">
        <is>
          <t>Booz Allen Hamilton</t>
        </is>
      </c>
      <c r="D75" t="inlineStr">
        <is>
          <t>indeed</t>
        </is>
      </c>
      <c r="E75" t="inlineStr"/>
      <c r="F75" t="inlineStr"/>
      <c r="G75" t="inlineStr">
        <is>
          <t>McLean, VA, US</t>
        </is>
      </c>
      <c r="H75" s="1" t="n">
        <v>46076</v>
      </c>
      <c r="I75" t="inlineStr">
        <is>
          <t>Health Services Data Engineer**The Opportunity:**
Ever\-expanding technology like IoT, machine learning, and artificial intelligence means that there’s more structured and unstructured data available today than ever before. As a data engineer, you know that organizing data can yield pivotal insights when it’s gathered from disparate sources. We need an experienced data professional like you to help our clients find answers in their data to impact important missions—from fraud detection to cancer research to national intelligence.
As a Data Engineer at Booz Allen, you’ll use your expertise to help build advanced technology solutions and lead data engineering activities on some of the most mission\-driven projects in the industry. You’ll guide data engineering activities by overseeing the development and deployment of pipelines that organize and make disparate data meaningful.
Here, you’ll serve as a technical lead on analytic tasks in the federal health space. You’ll use your expertise to conduct analytic and engineering work as an individual contributor, organize analytic work for small\- to medium\-sized tasks and teams, help teams solve complex coding or analytic issues, and mentor junior analysts and engineers. Support the development and maintenance of scalable data pipelines that supply data in forms needed for business analysis. Identify opportunities to leverage leading\-edge analytic and engineering principles, theories, and concepts solutions to help clients solve new and existing problems. Collaborate with various team members, including quantitative and qualitative analysts, policy experts, developers, communications specialists, and project managers.
Work with us to use data for good. Here, we focus on growing as a team to make the best solutions for our customers, so you’ll have resources for mentoring and learning new skills and tools. Join our team as we transform healthcare capabilities with cloud technology, enabling data science and advanced analytics applications, artificial intelligence and machine learning, and automation.
Join us. The world can’t wait.
**You Have:**
* 6\+ years of experience performing data management with health data in SQL and Python, including using Databricks or Snowflake and big data tools or frameworks, such as Spark
* Experience analyzing health insurance claims data in the Chronic Conditions Warehouse (CCW), Integrated Data Repository (IDR), or Centralized Data Repository (CDR)
* Experience with data validation, cleansing, and enrichment techniques to improve the accuracy and completeness of data
* Experience designing, implementing, and optimizing end\-to\-end data pipelines for ingesting, processing, and transforming large volumes of data
* Experience designing and developing ETL workflows using tools, such as Apache Spark or AWS Glue, and monitoring and troubleshooting ETL processes to identify and resolve issues in a timely manner
* Knowledge of healthcare data such as Provider Enrollment, Chain, and Ownership System (PECOS), Master Beneficiary Summary File (MBSF), Standard Analytic Files (SAF), or Prescription Drug Event (PDE) data
* Ability to design and maintain data models, schemas, and database structures to support operations and to build and maintain data integrations with internal and external data sources and APIs
* Ability to communicate and clearly explain complex methodologies, and present findings and recommendations to both technical and non\-technical audiences
* Ability to obtain and maintain a Public Trust or Suitability/Fitness determination based on client requirements
* Bachelor’s degree in an Epidemiology, Economics, Statistics, or Computer Science field
**Nice If You Have:**
* Experience with the federal procurement and proposal process
* Experience managing tasks for others
* Experience with Agile engineering practices
* Knowledge of quantitative methods for the detection of fraud, improper payments, or other payment anomalies
* Knowledge of healthcare pay\-for\-performance based payment adjustments
* Knowledge of quality measure calculation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76">
      <c r="A76" t="inlineStr">
        <is>
          <t>in-635921f4402acdff</t>
        </is>
      </c>
      <c r="B76" t="inlineStr">
        <is>
          <t>Data Engineer</t>
        </is>
      </c>
      <c r="C76" t="inlineStr">
        <is>
          <t>University of Maryland Global Campus</t>
        </is>
      </c>
      <c r="D76" t="inlineStr">
        <is>
          <t>indeed</t>
        </is>
      </c>
      <c r="E76" t="inlineStr"/>
      <c r="F76" t="inlineStr"/>
      <c r="G76" t="inlineStr">
        <is>
          <t>Adelphi, MD, US</t>
        </is>
      </c>
      <c r="H76" s="1" t="n">
        <v>46076</v>
      </c>
      <c r="I76" t="inlineStr">
        <is>
          <t>Job Ref:
10025042
Location:
Adelphi, MD
Category:
IT and Project Management
Type:
Full time
Data Engineer
Data StrategyUS Exempt RegularFull timeStateside Exempt 4\.2**Data Engineer**
**Data Strategy**
**Full\-time, Exempt Regular, Pay Grade 4\.2**
**Location: Hybrid**
A skilled, hands\-on Data Engineer responsible for designing, building, deploying, and operating enterprise data ingestion, transformation, and delivery pipelines within a Databricks Lakehouse environment. The role focuses on data integration and interoperability, enabling secure and reliable access to curated datasets for analytics, applications, and machine learning use cases.
**Duties and Responsibilities:**
* Design, build, test, and operate scalable batch and streaming data ingestion and transformation pipelines using Databricks, Apache Spark, Delta Lake, Python, and SQL.
* Implement data integration workflows that ingest and process data from diverse internal and external sources, including databases, files, REST APIs, and streaming platforms, in alignment with established architectural standards.
* Develop, maintain, and document curated datasets and data products that support analytics, reporting, and downstream application and machine learning use cases.
* Package, version, and deploy data pipelines using Databricks Asset Bundles, adhering to established CI/CD processes and environment promotion practices (development, test, production).
* Apply data quality validation, monitoring, and observability controls to ensure data accuracy, pipeline reliability, and compliance with defined service\-level objectives.
* Implement and maintain access controls, authentication, and authorization using Unity Catalog in accordance with enterprise data governance and security requirements.
* Monitor pipeline performance and resource utilization, perform routine tuning, and support incident resolution and root\-cause analysis for production data workflows.
* Collaborate with platform, analytics, and governance teams to clarify data requirements, resolve integration issues, and support data consumers.
**Competencies****:**
* Technical execution and problem solving
* Attention to detail and data quality
* Collaboration within cross\-functional teams
* Accountability for operational stability
**Skills****:**
* Databricks, Apache Spark, Delta Lake
* SQL and Python
* Batch and streaming ingestion patterns
* Federated data access and APIs
* Unity Catalog and governance
**Education \&amp; Experience Requirements**
Education:
* Bachelor's degree in Computer Science, Information Systems, or a related field.
Experience:
* 5\+ years of hands\-on data engineering experience supporting production data pipelines.
**Preferred Experience Requirements**
Education:
* Master's degree preferred.
Experience:
* Large\-scale governed data environments.
Certifications:
* Databricks certifications preferred.
All submissions should include a cover letter and resume.
**The University of Maryland Global Campus (UMGC) is an equal opportunity employer and complies with all applicable federal and state laws regarding nondiscrimination. UMGC is committed to a policy of equal opportunity for all persons and does not discriminate on the basis of race, color, national origin, age, marital status, sex, sexual orientation, gender identity, gender expression, disability, religion, ancestry, political affiliation or veteran status in employment, educational programs and activities, and admissions.**
**Workplace Accommodations:**
The University of Maryland Global Campus Global Campus (UMGC) is committed to creating and maintaining a welcoming and inclusive working environment for people of all abilities. UMGC is dedicated to the principle that no qualified individual with a disability shall, based on disability, be excluded from participation in or be denied the benefits of the services, programs, or activities of the University, or be subjected to discrimination. For information about UMGC's Reasonable Workplace Accommodation Policy or to request an accommodation, applicants/candidates can contact Employee Accommodations via email at employee\-accommodations@umgc.edu.
**Benefits Package Highlights:**
* **Generous Time Off:** Enjoy 22 days of paid vacation, 15 days of sick leave, 3 personal days, and 16 paid holidays (17 during general election years). **For part\-time employees, time off rates will be prorated based on the number of hours worked.**
* **Comprehensive Health Coverage:** Access to health care, medical with vision, dental, and prescription plans for both individuals and families, effective from the 1st of the month following your hire date.
* **Insurance Options:** Term Life Insurance, Accidental Death and Dismemberment Insurance, and Long\-Term Disability (LTD) Insurance. **Part\-time employees working less than 0\.5 FTE are not eligible for LTD.**
* **Flexible Spending Accounts:** Available for medical and dependent care expenses.
* **Retirement Plans:** Choose between the Optional Retirement Program (ORP) or the Maryland State Retirement and Pension System (MSRPS).
* **Supplemental Retirement Plans:** include 401(k), 403(b), 457(b), and various Roth options. The university does not provide matching funds.
* **Tuition Remission:** Immediate availability for Regular Exempt Staff. Spouses and dependent children are eligible for undergraduate tuition remission after two years of service. **NOTE: For part\-time employees (at least 50 percent of the time), tuition remission benefits are prorated.**
**Hiring Range:**
$112,000\.00 \- $127,000\.00</t>
        </is>
      </c>
    </row>
    <row r="77">
      <c r="A77" t="inlineStr">
        <is>
          <t>in-a25ec63d2a45d72c</t>
        </is>
      </c>
      <c r="B77" t="inlineStr">
        <is>
          <t>AIML Services- Data Platform Engineer</t>
        </is>
      </c>
      <c r="C77" t="inlineStr">
        <is>
          <t>GSK</t>
        </is>
      </c>
      <c r="D77" t="inlineStr">
        <is>
          <t>indeed</t>
        </is>
      </c>
      <c r="E77" t="inlineStr"/>
      <c r="F77" t="inlineStr"/>
      <c r="G77" t="inlineStr">
        <is>
          <t>San Francisco, CA, US</t>
        </is>
      </c>
      <c r="H77" s="1" t="n">
        <v>46076</v>
      </c>
      <c r="I77" t="inlineStr">
        <is>
          <t>**Site Name:** South San Francisco 611 Gateway Blvd, Cambridge 300 Technology Square, Seattle Sixth Ave  
**Posted Date:** Feb 24 2026  
At GSK we see a world in which advanced applications of Machine Learning and AI will allow us to develop transformational medicines using the power of genetics, functional genomics, and machine learning. AI will also play a role in how we diagnose and use medicines to enable everyone to do more feel better and live longer. It is an ambitious vision that will require the development of products at the cutting edge of Machine Learning and AI.
We're looking for a highly skilled individual contributor who can consistently take a poorly defined business or technical problem, work it to a well\-defined problem/specification, and execute on it at a high level. They have a strong focus on metrics, both in the domains of system health/performance and the impact of their work. They are a model for the team on best practices for software development in general (and their specialization in particular), including code quality, documentation, DevOps practices, and testing, and coaching/mentorship. They ensure the robustness of our services and serve as an escalation point in the operation of existing services, pipelines, and workflows.
This individual should be deeply familiar with the tools of their specialization and of their customers and engaged with the open\-source community surrounding them – potentially, even to the level of contributing pull requests.
**Key****Responsibilities**:
* Lead the design, development, and implementation of data frameworks, pipelines and services to support data operations for machine learning engineering teams.
* Collaborate with cross\-functional teams to identify requirements and provide technical guidance. Integrate APIs with systems and platforms for seamless data exchange and enhanced system functionality.
* Produce well\-engineered software, including appropriate automated test suites, technical documentation, and necessary operations.
* Boldly explore the bleeding edge of GenAI/agentic tools and frameworks to maximize gains while minimizing failures.
* Ensure consistent application of platform abstractions to ensure quality and consistency with respect to logging and lineage.
* Consult, educate, and coach/mentor on developer best practices and production standards, participate in code reviews and design sessions.
* Adhere to QMS framework and CI/CD best practices and helps to guide improvements to them that improve ways of working.
* Stay up\-to\-date on emerging technologies, trends, and best practices. Identify areas for improvement across the stack.
The AI/ML team is built on the principles of ownership, accountability, continuous development, and collaboration. We hire for the long term, and we're motivated to make this a great place to work. Our leaders will be committed to your career and development from day one.
**Why you?**
============
**Basic Qualifications:**
* Bachelor's or graduate degree in Computer Science, focused on software or data engineering, high\-performance computing, or machine learning or 5\+ years of industry experience in software/data/machine learning engineering.
* 2\+ years of industry experience in software engineering.
* Experience in Python.
* Experience in applying CI/CD implementations using git and a common CI/CD stack (e.g. Jenkins, CircleCI, GitLab, Azure DevOps)
* Experience in API design principles, protocols, and tools (REST, GraphQL, Swagger, etc.)
* Experience in data system/ETL design principles, protocols, and tools (REST, GraphQL, Swagger, etc.)
* Experience developing infrastructure using Cloud services in GCP or similar cloud environment.
* Experience working with Docker and Kubernetes, or closely related containerization and cluster computing frameworks.
**Preferred Qualifications:**
* Candidates with explicit experience working on machine learning orchestration in cloud or HPC environments (using MLFlow, Kubeflow, or similar) will be highly competitive.
* Technical leadership and experience leading development projects and/or teams is desirable but not required. Bonus points for demonstrated experience leading efforts in large programs involving multiple cross\-functional teams/stakeholders.
* Experience upholding software/production best practices, as well as mentorship/coaching is strongly preferred. A willingness and demonstrated ability in these domains are sufficient.
* Experience with event\-driven architectures and implementing event hooks/triggers in API systems. Familiarity with webhooks, message queues, and pub/sub systems. Ability to design API integrations that enable real\-time data updates and notifications.
* Competitive candidates will be agile\-minded, demonstrating clear proficiency in iterative software development and prototyping.
* Candidates who’ve worked on Search products, vector databases, knowledge graphs, or other production AI/ML products—particularly with agentic interfaces and integrations—will be highly competitive.
\#LI\-GSK
* If you are based in Cambridge, MA; Waltham, MA; Rockville, MD; or San Francisco, CA, the annual base salary for new hires in this position ranges $136,125 to $226,875\.
The US salary ranges take into account a number of factors including work location within the US market, the candidate’s skills, experience, education level and the market rate for the role. In addition, this position offers an annual bonus and eligibility to participate in our share based long term incentive program which is dependent on the level of the role. Available benefits include health care and other insurance benefits (for employee and family), retirement benefits, paid holidays, vacation, and paid caregiver/parental and medical leave.  
If salary ranges are not displayed in the job posting for a specific country, the relevant compensation will be discussed during the recruitment process.
Please visit GSK US Benefits Summary to learn more about the comprehensive benefits program GSK offers US employees.
**Why GSK?**
**Uniting science, technology and talent to get ahead of disease together.**
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 to impact health at scale.
People and patients around the world count on the medicines and vaccines we make, so we’re committed to creating an environment where our people can thrive and focus on what matters most. Our culture of being ambitious for patients, accountable for impact and doing the right thing is the foundation for how, together, we deliver for patients, shareholders and our people.
Should you require any adjustments to our process to assist you in demonstrating your strengths and capabilities contact us at HR.AmericasSC\-CS@gsk.com where you can also request a call.
Please note should your inquiry not relate to adjustments, we will not be able to support you through these channels. However, we have created a Recruitment FAQ guide. Click the link where you will find answers to multiple questions we receive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https://openpaymentsdata.cms.gov/</t>
        </is>
      </c>
    </row>
    <row r="78">
      <c r="A78" t="inlineStr">
        <is>
          <t>in-41cbea8637a10d68</t>
        </is>
      </c>
      <c r="B78" t="inlineStr">
        <is>
          <t>AIML Services- Data Platform Engineer</t>
        </is>
      </c>
      <c r="C78" t="inlineStr">
        <is>
          <t>GSK</t>
        </is>
      </c>
      <c r="D78" t="inlineStr">
        <is>
          <t>indeed</t>
        </is>
      </c>
      <c r="E78" t="inlineStr"/>
      <c r="F78" t="inlineStr"/>
      <c r="G78" t="inlineStr">
        <is>
          <t>Seattle, WA, US</t>
        </is>
      </c>
      <c r="H78" s="1" t="n">
        <v>46076</v>
      </c>
      <c r="I78" t="inlineStr">
        <is>
          <t>**Site Name:** South San Francisco 611 Gateway Blvd, Cambridge 300 Technology Square, Seattle Sixth Ave  
**Posted Date:** Feb 24 2026  
At GSK we see a world in which advanced applications of Machine Learning and AI will allow us to develop transformational medicines using the power of genetics, functional genomics, and machine learning. AI will also play a role in how we diagnose and use medicines to enable everyone to do more feel better and live longer. It is an ambitious vision that will require the development of products at the cutting edge of Machine Learning and AI.
We're looking for a highly skilled individual contributor who can consistently take a poorly defined business or technical problem, work it to a well\-defined problem/specification, and execute on it at a high level. They have a strong focus on metrics, both in the domains of system health/performance and the impact of their work. They are a model for the team on best practices for software development in general (and their specialization in particular), including code quality, documentation, DevOps practices, and testing, and coaching/mentorship. They ensure the robustness of our services and serve as an escalation point in the operation of existing services, pipelines, and workflows.
This individual should be deeply familiar with the tools of their specialization and of their customers and engaged with the open\-source community surrounding them – potentially, even to the level of contributing pull requests.
**Key****Responsibilities**:
* Lead the design, development, and implementation of data frameworks, pipelines and services to support data operations for machine learning engineering teams.
* Collaborate with cross\-functional teams to identify requirements and provide technical guidance. Integrate APIs with systems and platforms for seamless data exchange and enhanced system functionality.
* Produce well\-engineered software, including appropriate automated test suites, technical documentation, and necessary operations.
* Boldly explore the bleeding edge of GenAI/agentic tools and frameworks to maximize gains while minimizing failures.
* Ensure consistent application of platform abstractions to ensure quality and consistency with respect to logging and lineage.
* Consult, educate, and coach/mentor on developer best practices and production standards, participate in code reviews and design sessions.
* Adhere to QMS framework and CI/CD best practices and helps to guide improvements to them that improve ways of working.
* Stay up\-to\-date on emerging technologies, trends, and best practices. Identify areas for improvement across the stack.
The AI/ML team is built on the principles of ownership, accountability, continuous development, and collaboration. We hire for the long term, and we're motivated to make this a great place to work. Our leaders will be committed to your career and development from day one.
**Why you?**
============
**Basic Qualifications:**
* Bachelor's or graduate degree in Computer Science, focused on software or data engineering, high\-performance computing, or machine learning or 5\+ years of industry experience in software/data/machine learning engineering.
* 2\+ years of industry experience in software engineering.
* Experience in Python.
* Experience in applying CI/CD implementations using git and a common CI/CD stack (e.g. Jenkins, CircleCI, GitLab, Azure DevOps)
* Experience in API design principles, protocols, and tools (REST, GraphQL, Swagger, etc.)
* Experience in data system/ETL design principles, protocols, and tools (REST, GraphQL, Swagger, etc.)
* Experience developing infrastructure using Cloud services in GCP or similar cloud environment.
* Experience working with Docker and Kubernetes, or closely related containerization and cluster computing frameworks.
**Preferred Qualifications:**
* Candidates with explicit experience working on machine learning orchestration in cloud or HPC environments (using MLFlow, Kubeflow, or similar) will be highly competitive.
* Technical leadership and experience leading development projects and/or teams is desirable but not required. Bonus points for demonstrated experience leading efforts in large programs involving multiple cross\-functional teams/stakeholders.
* Experience upholding software/production best practices, as well as mentorship/coaching is strongly preferred. A willingness and demonstrated ability in these domains are sufficient.
* Experience with event\-driven architectures and implementing event hooks/triggers in API systems. Familiarity with webhooks, message queues, and pub/sub systems. Ability to design API integrations that enable real\-time data updates and notifications.
* Competitive candidates will be agile\-minded, demonstrating clear proficiency in iterative software development and prototyping.
* Candidates who’ve worked on Search products, vector databases, knowledge graphs, or other production AI/ML products—particularly with agentic interfaces and integrations—will be highly competitive.
\#LI\-GSK
* If you are based in Cambridge, MA; Waltham, MA; Rockville, MD; or San Francisco, CA, the annual base salary for new hires in this position ranges $136,125 to $226,875\.
The US salary ranges take into account a number of factors including work location within the US market, the candidate’s skills, experience, education level and the market rate for the role. In addition, this position offers an annual bonus and eligibility to participate in our share based long term incentive program which is dependent on the level of the role. Available benefits include health care and other insurance benefits (for employee and family), retirement benefits, paid holidays, vacation, and paid caregiver/parental and medical leave.  
If salary ranges are not displayed in the job posting for a specific country, the relevant compensation will be discussed during the recruitment process.
Please visit GSK US Benefits Summary to learn more about the comprehensive benefits program GSK offers US employees.
**Why GSK?**
**Uniting science, technology and talent to get ahead of disease together.**
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 to impact health at scale.
People and patients around the world count on the medicines and vaccines we make, so we’re committed to creating an environment where our people can thrive and focus on what matters most. Our culture of being ambitious for patients, accountable for impact and doing the right thing is the foundation for how, together, we deliver for patients, shareholders and our people.
Should you require any adjustments to our process to assist you in demonstrating your strengths and capabilities contact us at HR.AmericasSC\-CS@gsk.com where you can also request a call.
Please note should your inquiry not relate to adjustments, we will not be able to support you through these channels. However, we have created a Recruitment FAQ guide. Click the link where you will find answers to multiple questions we receive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https://openpaymentsdata.cms.gov/</t>
        </is>
      </c>
    </row>
    <row r="79">
      <c r="A79" t="inlineStr">
        <is>
          <t>in-94ad64f2466c8d7d</t>
        </is>
      </c>
      <c r="B79" t="inlineStr">
        <is>
          <t>AIML Services- Data Platform Engineer</t>
        </is>
      </c>
      <c r="C79" t="inlineStr">
        <is>
          <t>GSK</t>
        </is>
      </c>
      <c r="D79" t="inlineStr">
        <is>
          <t>indeed</t>
        </is>
      </c>
      <c r="E79" t="inlineStr"/>
      <c r="F79" t="inlineStr"/>
      <c r="G79" t="inlineStr">
        <is>
          <t>Cambridge, MA, US</t>
        </is>
      </c>
      <c r="H79" s="1" t="n">
        <v>46076</v>
      </c>
      <c r="I79" t="inlineStr">
        <is>
          <t>**Site Name:** South San Francisco 611 Gateway Blvd, Cambridge 300 Technology Square, Seattle Sixth Ave  
**Posted Date:** Feb 24 2026  
At GSK we see a world in which advanced applications of Machine Learning and AI will allow us to develop transformational medicines using the power of genetics, functional genomics, and machine learning. AI will also play a role in how we diagnose and use medicines to enable everyone to do more feel better and live longer. It is an ambitious vision that will require the development of products at the cutting edge of Machine Learning and AI.
We're looking for a highly skilled individual contributor who can consistently take a poorly defined business or technical problem, work it to a well\-defined problem/specification, and execute on it at a high level. They have a strong focus on metrics, both in the domains of system health/performance and the impact of their work. They are a model for the team on best practices for software development in general (and their specialization in particular), including code quality, documentation, DevOps practices, and testing, and coaching/mentorship. They ensure the robustness of our services and serve as an escalation point in the operation of existing services, pipelines, and workflows.
This individual should be deeply familiar with the tools of their specialization and of their customers and engaged with the open\-source community surrounding them – potentially, even to the level of contributing pull requests.
**Key****Responsibilities**:
* Lead the design, development, and implementation of data frameworks, pipelines and services to support data operations for machine learning engineering teams.
* Collaborate with cross\-functional teams to identify requirements and provide technical guidance. Integrate APIs with systems and platforms for seamless data exchange and enhanced system functionality.
* Produce well\-engineered software, including appropriate automated test suites, technical documentation, and necessary operations.
* Boldly explore the bleeding edge of GenAI/agentic tools and frameworks to maximize gains while minimizing failures.
* Ensure consistent application of platform abstractions to ensure quality and consistency with respect to logging and lineage.
* Consult, educate, and coach/mentor on developer best practices and production standards, participate in code reviews and design sessions.
* Adhere to QMS framework and CI/CD best practices and helps to guide improvements to them that improve ways of working.
* Stay up\-to\-date on emerging technologies, trends, and best practices. Identify areas for improvement across the stack.
The AI/ML team is built on the principles of ownership, accountability, continuous development, and collaboration. We hire for the long term, and we're motivated to make this a great place to work. Our leaders will be committed to your career and development from day one.
**Why you?**
============
**Basic Qualifications:**
* Bachelor's or graduate degree in Computer Science, focused on software or data engineering, high\-performance computing, or machine learning or 5\+ years of industry experience in software/data/machine learning engineering.
* 2\+ years of industry experience in software engineering.
* Experience in Python.
* Experience in applying CI/CD implementations using git and a common CI/CD stack (e.g. Jenkins, CircleCI, GitLab, Azure DevOps)
* Experience in API design principles, protocols, and tools (REST, GraphQL, Swagger, etc.)
* Experience in data system/ETL design principles, protocols, and tools (REST, GraphQL, Swagger, etc.)
* Experience developing infrastructure using Cloud services in GCP or similar cloud environment.
* Experience working with Docker and Kubernetes, or closely related containerization and cluster computing frameworks.
**Preferred Qualifications:**
* Candidates with explicit experience working on machine learning orchestration in cloud or HPC environments (using MLFlow, Kubeflow, or similar) will be highly competitive.
* Technical leadership and experience leading development projects and/or teams is desirable but not required. Bonus points for demonstrated experience leading efforts in large programs involving multiple cross\-functional teams/stakeholders.
* Experience upholding software/production best practices, as well as mentorship/coaching is strongly preferred. A willingness and demonstrated ability in these domains are sufficient.
* Experience with event\-driven architectures and implementing event hooks/triggers in API systems. Familiarity with webhooks, message queues, and pub/sub systems. Ability to design API integrations that enable real\-time data updates and notifications.
* Competitive candidates will be agile\-minded, demonstrating clear proficiency in iterative software development and prototyping.
* Candidates who’ve worked on Search products, vector databases, knowledge graphs, or other production AI/ML products—particularly with agentic interfaces and integrations—will be highly competitive.
\#LI\-GSK
* If you are based in Cambridge, MA; Waltham, MA; Rockville, MD; or San Francisco, CA, the annual base salary for new hires in this position ranges $136,125 to $226,875\.
The US salary ranges take into account a number of factors including work location within the US market, the candidate’s skills, experience, education level and the market rate for the role. In addition, this position offers an annual bonus and eligibility to participate in our share based long term incentive program which is dependent on the level of the role. Available benefits include health care and other insurance benefits (for employee and family), retirement benefits, paid holidays, vacation, and paid caregiver/parental and medical leave.  
If salary ranges are not displayed in the job posting for a specific country, the relevant compensation will be discussed during the recruitment process.
Please visit GSK US Benefits Summary to learn more about the comprehensive benefits program GSK offers US employees.
**Why GSK?**
**Uniting science, technology and talent to get ahead of disease together.**
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 to impact health at scale.
People and patients around the world count on the medicines and vaccines we make, so we’re committed to creating an environment where our people can thrive and focus on what matters most. Our culture of being ambitious for patients, accountable for impact and doing the right thing is the foundation for how, together, we deliver for patients, shareholders and our people.
Should you require any adjustments to our process to assist you in demonstrating your strengths and capabilities contact us at HR.AmericasSC\-CS@gsk.com where you can also request a call.
Please note should your inquiry not relate to adjustments, we will not be able to support you through these channels. However, we have created a Recruitment FAQ guide. Click the link where you will find answers to multiple questions we receive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https://openpaymentsdata.cms.gov/</t>
        </is>
      </c>
    </row>
    <row r="80">
      <c r="A80" t="inlineStr">
        <is>
          <t>in-4d1820f8d0d8314d</t>
        </is>
      </c>
      <c r="B80" t="inlineStr">
        <is>
          <t>Data Engineer - Remote</t>
        </is>
      </c>
      <c r="C80" t="inlineStr">
        <is>
          <t>Ocean Blue Solutions</t>
        </is>
      </c>
      <c r="D80" t="inlineStr">
        <is>
          <t>indeed</t>
        </is>
      </c>
      <c r="E80" t="inlineStr"/>
      <c r="F80" t="inlineStr"/>
      <c r="G80" t="inlineStr">
        <is>
          <t>Columbus, OH, US</t>
        </is>
      </c>
      <c r="H80" s="1" t="n">
        <v>46076</v>
      </c>
      <c r="I80" t="inlineStr">
        <is>
          <t>**Data Engineer \- Remote** *3 hours ago* 
*columbus,ohio*
**Data Engineer**
Location: Remote
Job Description **Overview:**
We are seeking a highly skilled and motivated Data Engineer to join our innovative team. As a Data Engineer, you will be responsible for designing, building, and maintaining scalable data pipelines and infrastructure to support our data\-driven initiatives. You will collaborate closely with cross\-functional teams to ensure the availability, reliability, and performance of our data systems and solutions. **Responsibilities**
Data Pipeline Development  
* Design, implement, and optimize end\-to\-end data pipelines for ingesting,
* processing, and transforming large volumes of structured and unstructured data.
* Develop robust ETL (Extract, Transform, Load) processes to integrate data from
* diverse sources into our data ecosystem.
* Implement data validation and quality checks to ensure accuracy and consistency.
Data Modeling and Architecture* Design and maintain data models, schemas, and database structures to support analytical and operational use cases.
* Optimize data storage and retrieval mechanisms for performance and scalability.
* Evaluate and implement data storage solutions, including relational databases, NoSQL databases, data lakes, and cloud storage services.
Data Integration and API Development* Build and maintain integrations with internal and external data sources and APIs.
* Implement RESTful APIs and web services for data access and consumption.
* Ensure compatibility and interoperability between different systems and platforms.
Data Infrastructure Management* Configure and manage data infrastructure components, including databases, data warehouses, data lakes, and distributed computing frameworks.
* Monitor system performance, troubleshoot issues, and implement optimizations to enhance reliability and efficiency.
* Implement data security controls and access management policies to protect sensitive information.
Collaboration and Documentation* Collaborate with data scientists, analysts, and other stakeholders to understand data requirements and deliver tailored solutions.
* Document technical designs, workflows, and best practices to facilitate knowledge sharing and maintain system documentation.
* Provide technical guidance and support to team members and stakeholders as needed.
* Collaborate with analysts and platform teams; participate in reviews, sprints, POCs, and reusable frameworks
Requirements:* Bachelor’s or master’s degree in computer science, Information Systems or related fields
* Proven experience in data engineering, software development, or related roles.
* Proficiency in programming languages commonly used in data engineering (e.g., Python, PySpark,Java, Scala, etc.).
* Strong knowledge of database systems, data modeling techniques, and SQL proficiency (e.g., Snowflake, MS Fabric, SQL Server, Oracle, Azure SQL).
* Proficiency with ETL tools commonly used in data engineering (e.g., Informatica, Databricks, Azure Data Factory).
* Experience with dashboard and reporting tools (e.g., Tableau, Power BI, Looker, etc.).
* Experience with big data technologies and frameworks (e.g., Hadoop, Spark, Kafka, etc.).
* Familiarity with cloud platforms and services (e.g., AWS, Azure, Google Cloud Platform, etc.).
* Excellent problem\-solving skills and attention to detail.
* Effective communication and collaboration skills in a team\-oriented environment.
* Ability to adapt to evolving technologies and business requirements.
 **Equal Opportunity Employer:** Race, Color, Religion, Sex, Sexual Orientation, Gender Identity, National Origin, Age, Genetic Information, Disability, Protected Veteran Status, or any other legally protected group status.</t>
        </is>
      </c>
    </row>
    <row r="81">
      <c r="A81" t="inlineStr">
        <is>
          <t>in-1c46f71694eeec95</t>
        </is>
      </c>
      <c r="B81" t="inlineStr">
        <is>
          <t>Senior Lead Data Engineer</t>
        </is>
      </c>
      <c r="C81" t="inlineStr">
        <is>
          <t>Information Technology Senior Management Forum</t>
        </is>
      </c>
      <c r="D81" t="inlineStr">
        <is>
          <t>indeed</t>
        </is>
      </c>
      <c r="E81" t="inlineStr"/>
      <c r="F81" t="inlineStr"/>
      <c r="G81" t="inlineStr">
        <is>
          <t>McLean, VA, US</t>
        </is>
      </c>
      <c r="H81" s="1" t="n">
        <v>46075</v>
      </c>
      <c r="I81" t="inlineStr">
        <is>
          <t>Posted Date
2/23/2026
Description
Senior Lead Data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Engineers**who are passionate about marrying data with emerging technologies. As a Capital One Senior Lead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Lead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6 years of experience in application development (Internship experience does not apply)
* At least 2 years of experience in big data technologies
* At least 1 year experience with cloud computing (AWS, Microsoft Azure, Google Cloud)
**Preferred Qualifications:**
* Master's Degree
* 9\+ years of experience in application development including Python, SQL, Scala, or Java
* 4\+ years of experience with a public cloud (AWS, Microsoft Azure, Google Cloud)
* 5\+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Lead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Lead Data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Engineers**who are passionate about marrying data with emerging technologies. As a Capital One Senior Lead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Lead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6 years of experience in application development (Internship experience does not apply)
* At least 2 years of experience in big data technologies
* At least 1 year experience with cloud computing (AWS, Microsoft Azure, Google Cloud)
**Preferred Qualifications:**
* Master's Degree
* 9\+ years of experience in application development including Python, SQL, Scala, or Java
* 4\+ years of experience with a public cloud (AWS, Microsoft Azure, Google Cloud)
* 5\+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Lead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229,900\.00 \- 262,400\.00 Annual
Type
Full\-time</t>
        </is>
      </c>
    </row>
    <row r="82">
      <c r="A82" t="inlineStr">
        <is>
          <t>in-fe2ea443ce0cc7ee</t>
        </is>
      </c>
      <c r="B82" t="inlineStr">
        <is>
          <t>Data Engineer II, Ring/Blink Customer Service Engineering and Insights</t>
        </is>
      </c>
      <c r="C82" t="inlineStr">
        <is>
          <t>Amazon.com</t>
        </is>
      </c>
      <c r="D82" t="inlineStr">
        <is>
          <t>indeed</t>
        </is>
      </c>
      <c r="E82" t="inlineStr"/>
      <c r="F82" t="inlineStr"/>
      <c r="G82" t="inlineStr">
        <is>
          <t>Hawthorne, CA, US</t>
        </is>
      </c>
      <c r="H82" s="1" t="n">
        <v>46075</v>
      </c>
      <c r="I82" t="inlineStr">
        <is>
          <t>**DESCRIPTION**
---------------
Role Summary  
We are seeking a Data Engineer to join our Customer Service Engineering and Insights team at Ring \&amp; Blink. This role owns the data platform foundations that enable analytics, AI initiatives, and future data\-driven capabilities across the organization. You will operate and evolve ETL pipelines and AWS data infrastructure, ensuring data is secure, reliable, compliant, and ready for downstream consumption.  
This role is hands\-on and execution\-focused, with strong emphasis on orchestration reliability, and pipeline quality. You will work closely with BI Engineers, Technical Architects, Salesforce System Developers, and platform partners to translate architecture into production\-ready systems.  
The role requires a high degree of ownership and self\-sufficiency. The ideal candidate is comfortable independently exploring existing systems, quickly diagnosing issues, and driving improvements from problem definition through production. You will be expected to move fast in a dynamic environment, proactively identify opportunities to improve platform reliability and maintainability, and remove technical roadblocks to keep delivery moving.  
Role Context  
At the time this role starts, the team will be completing a migration to a new, dedicated Redshift cluster, establishing full ownership of our customer support data platform. Core data models and pipeline designs will largely be defined, and the team will be in the execution and stabilization phase of the migration. The primary focus of this role is to stabilize, harden, and improve the data pipelines and orchestration layer, leading the effort to address accumulated technical debt and evolve the platform toward industry\-standard, maintainable designs that support analytics, AI initiatives, and future data use cases.  
Key job responsibilities  
* Own and operate ETL pipelines and data infrastructure that provide data readiness for analytics, AI initiatives, and other downstream use cases
* Implement, maintain, and own data access and data\-related permissions across AWS accounts, including IAM roles, trust relationships, and permissions for Athena, Redshift, and related services; debug and resolve IAM, Lake Formation, and cross\-account data access issues, and coordinate with partner teams when broader AWS issues impact data pipelines
* Serve as the primary operational owner of the existing Airflow orchestration layer, focusing on execution monitoring, failure triage, alerting, SLA adherence, and pipeline reliability, while enabling BI Engineers to troubleshoot and contribute as needed
* Develop, operate, and support Python\-based ETL jobs, including Airflow\-executed Python tasks and jobs running on EC2 or other managed compute, ensuring reliability, observability, and maintainability through established engineering best practices
* Lead the identification and reduction of technical debt across ETL pipelines and orchestration, including evaluating job dependencies, brittle workflows, and re\-run/backfill patterns, and driving incremental improvements in partnership with the team as the platform stabilizes
* Own data pipeline design considerations related to legal, security, and compliance requirements, including evaluating existing data retention and access\-control implementations and redesigning or refactoring pipeline logic as needed to address gaps and ensure ongoing compliance with approved governance standards
* Partner with BI Engineers to ensure data outputs are consistent, validated, and ready for consumption, without owning business metrics or dashboards
* Create and maintain runbooks, operational documentation, and standards to support long\-term scalability, knowledge transfer, and on\-call readiness
* Proactively identify risks and improvement opportunities, and independently drive scoped initiatives from investigation through production, escalating architectural concerns when appropriate
A day in the life  
You triage failed Airflow pipelines, debug cross\-account IAM and Lake Formation issues, and refactor Python ETL jobs to reduce technical debt. You sync with BI Engineers on data requirements, update runbooks for operational clarity, and review pull requests. You monitor SLAs, ensure compliance with data governance standards, and hand off issues to on\-call with clear context.  
About the team  
The CS Engineering and Insights team powers customer service operations for Blink and Ring, unifying expert Salesforce developers, software engineers, BI engineers, and data scientists. We deliver innovative solutions that enhance customer experience and agent effectiveness through advanced solutions and data\-driven insights. Our culture emphasizes rapid prototyping, creative problem\-solving, and continuous learning through cross\-training. Team members are empowered to think strategically and propose innovative approaches to complex problems.**BASIC QUALIFICATIONS**
------------------------
* Bachelor's degree
* 5\+ years of data engineering experience
* Experience with data modeling, warehousing and building ETL pipelines
* Experience with SQL
* Strong Python experience for ETL development and automation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with Airflow or similar orchestration frameworks
* Experience modernizing pipelines to reduce technical debt and improve reliability
* Exposure to data platforms supporting AI or advanced analytics use cases
* Strong written and verbal communication skills and comfort operating independently in ambiguous problem spaces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Hawthorne \- 132,100\.00 \- 178,800\.00 USD annually</t>
        </is>
      </c>
    </row>
    <row r="83">
      <c r="A83" t="inlineStr">
        <is>
          <t>in-b40463a9a2eeacf3</t>
        </is>
      </c>
      <c r="B83" t="inlineStr">
        <is>
          <t>Data Engineer II , UTR PLanning Tech</t>
        </is>
      </c>
      <c r="C83" t="inlineStr">
        <is>
          <t>Amazon.com</t>
        </is>
      </c>
      <c r="D83" t="inlineStr">
        <is>
          <t>indeed</t>
        </is>
      </c>
      <c r="E83" t="inlineStr"/>
      <c r="F83" t="inlineStr"/>
      <c r="G83" t="inlineStr">
        <is>
          <t>Nashville, TN, US</t>
        </is>
      </c>
      <c r="H83" s="1" t="n">
        <v>46070</v>
      </c>
      <c r="I83"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84">
      <c r="A84" t="inlineStr">
        <is>
          <t>in-e2dd8c3665648d48</t>
        </is>
      </c>
      <c r="B84" t="inlineStr">
        <is>
          <t>Data Engineer II , UTR PLanning Tech</t>
        </is>
      </c>
      <c r="C84" t="inlineStr">
        <is>
          <t>Amazon.com</t>
        </is>
      </c>
      <c r="D84" t="inlineStr">
        <is>
          <t>indeed</t>
        </is>
      </c>
      <c r="E84" t="inlineStr"/>
      <c r="F84" t="inlineStr"/>
      <c r="G84" t="inlineStr">
        <is>
          <t>Austin, TX, US</t>
        </is>
      </c>
      <c r="H84" s="1" t="n">
        <v>46070</v>
      </c>
      <c r="I84"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85">
      <c r="A85" t="inlineStr">
        <is>
          <t>in-1ac30429164596da</t>
        </is>
      </c>
      <c r="B85" t="inlineStr">
        <is>
          <t>Data Engineer II , UTR PLanning Tech</t>
        </is>
      </c>
      <c r="C85" t="inlineStr">
        <is>
          <t>Amazon.com</t>
        </is>
      </c>
      <c r="D85" t="inlineStr">
        <is>
          <t>indeed</t>
        </is>
      </c>
      <c r="E85" t="inlineStr"/>
      <c r="F85" t="inlineStr"/>
      <c r="G85" t="inlineStr">
        <is>
          <t>Bellevue, WA, US</t>
        </is>
      </c>
      <c r="H85" s="1" t="n">
        <v>46070</v>
      </c>
      <c r="I85"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86">
      <c r="A86" t="inlineStr">
        <is>
          <t>in-d8c18064e1cd2330</t>
        </is>
      </c>
      <c r="B86" t="inlineStr">
        <is>
          <t>Data Engineer II, UTR PLanning Tech</t>
        </is>
      </c>
      <c r="C86" t="inlineStr">
        <is>
          <t>Amazon.com</t>
        </is>
      </c>
      <c r="D86" t="inlineStr">
        <is>
          <t>indeed</t>
        </is>
      </c>
      <c r="E86" t="inlineStr"/>
      <c r="F86" t="inlineStr"/>
      <c r="G86" t="inlineStr">
        <is>
          <t>Nashville, TN, US</t>
        </is>
      </c>
      <c r="H86" s="1" t="n">
        <v>46065</v>
      </c>
      <c r="I86"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an L5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87">
      <c r="A87" t="inlineStr">
        <is>
          <t>in-6b147ab574384803</t>
        </is>
      </c>
      <c r="B87" t="inlineStr">
        <is>
          <t>Data Engineer II, UTR PLanning Tech</t>
        </is>
      </c>
      <c r="C87" t="inlineStr">
        <is>
          <t>Amazon.com</t>
        </is>
      </c>
      <c r="D87" t="inlineStr">
        <is>
          <t>indeed</t>
        </is>
      </c>
      <c r="E87" t="inlineStr"/>
      <c r="F87" t="inlineStr"/>
      <c r="G87" t="inlineStr">
        <is>
          <t>Austin, TX, US</t>
        </is>
      </c>
      <c r="H87" s="1" t="n">
        <v>46065</v>
      </c>
      <c r="I87"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an L5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88">
      <c r="A88" t="inlineStr">
        <is>
          <t>in-6653cd958c9234cc</t>
        </is>
      </c>
      <c r="B88" t="inlineStr">
        <is>
          <t>Data Engineer II, UTR PLanning Tech</t>
        </is>
      </c>
      <c r="C88" t="inlineStr">
        <is>
          <t>Amazon.com</t>
        </is>
      </c>
      <c r="D88" t="inlineStr">
        <is>
          <t>indeed</t>
        </is>
      </c>
      <c r="E88" t="inlineStr"/>
      <c r="F88" t="inlineStr"/>
      <c r="G88" t="inlineStr">
        <is>
          <t>Bellevue, WA, US</t>
        </is>
      </c>
      <c r="H88" s="1" t="n">
        <v>46065</v>
      </c>
      <c r="I88"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an L5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89">
      <c r="A89" t="inlineStr">
        <is>
          <t>in-fa5e9797c4a8682d</t>
        </is>
      </c>
      <c r="B89" t="inlineStr">
        <is>
          <t>Data Engineer I, UTR PLanning Tech</t>
        </is>
      </c>
      <c r="C89" t="inlineStr">
        <is>
          <t>Amazon.com</t>
        </is>
      </c>
      <c r="D89" t="inlineStr">
        <is>
          <t>indeed</t>
        </is>
      </c>
      <c r="E89" t="inlineStr"/>
      <c r="F89" t="inlineStr"/>
      <c r="G89" t="inlineStr">
        <is>
          <t>Nashville, TN, US</t>
        </is>
      </c>
      <c r="H89" s="1" t="n">
        <v>46065</v>
      </c>
      <c r="I89"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I to build data pipelines, contribute to these frameworks, and help shape how AI transforms data engineering at Amazon.  
Key job responsibilities  
* Design and implement physical data models and ETL pipelines using AWS services (Redshift, S3, EMR, Glue, Lambda) and Python\-based orchestration (Airflow/MWAA).
* Build configuration\-driven data frameworks that replace repetitive custom code with reusable, declarative patterns for ingestion, transformation, and metric curation.
* Develop and optimize pipelines that ingest from multiple upstream sources, apply quality controls, and produce datasets that scientists and analysts use for labor planning decisions.
* Implement monitoring, alarming, and data quality controls using standardized data contracts. Measure and improve dataset quality.
* Build tooling that enables AI agents to interact with data engineering workflows: generating SQL, validating configurations, and executing pipeline operations through natural language interfaces.
* Collaborate with planning scientists, software engineers, BI engineers, and product managers to translate data requirements into reusable solutions.
* Write secure, testable, maintainable code. Get your data models, pipeline designs, and code reviewed. Document your solutions so others can maintain them.
* Participate in operational excellence practices: on\-call rotations, COE reviews, and pipeline health monitoring.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90">
      <c r="A90" t="inlineStr">
        <is>
          <t>in-dadce8ed353e7229</t>
        </is>
      </c>
      <c r="B90" t="inlineStr">
        <is>
          <t>Data Engineer I, UTR PLanning Tech</t>
        </is>
      </c>
      <c r="C90" t="inlineStr">
        <is>
          <t>Amazon.com</t>
        </is>
      </c>
      <c r="D90" t="inlineStr">
        <is>
          <t>indeed</t>
        </is>
      </c>
      <c r="E90" t="inlineStr"/>
      <c r="F90" t="inlineStr"/>
      <c r="G90" t="inlineStr">
        <is>
          <t>Austin, TX, US</t>
        </is>
      </c>
      <c r="H90" s="1" t="n">
        <v>46065</v>
      </c>
      <c r="I90"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I to build data pipelines, contribute to these frameworks, and help shape how AI transforms data engineering at Amazon.  
Key job responsibilities  
* Design and implement physical data models and ETL pipelines using AWS services (Redshift, S3, EMR, Glue, Lambda) and Python\-based orchestration (Airflow/MWAA).
* Build configuration\-driven data frameworks that replace repetitive custom code with reusable, declarative patterns for ingestion, transformation, and metric curation.
* Develop and optimize pipelines that ingest from multiple upstream sources, apply quality controls, and produce datasets that scientists and analysts use for labor planning decisions.
* Implement monitoring, alarming, and data quality controls using standardized data contracts. Measure and improve dataset quality.
* Build tooling that enables AI agents to interact with data engineering workflows: generating SQL, validating configurations, and executing pipeline operations through natural language interfaces.
* Collaborate with planning scientists, software engineers, BI engineers, and product managers to translate data requirements into reusable solutions.
* Write secure, testable, maintainable code. Get your data models, pipeline designs, and code reviewed. Document your solutions so others can maintain them.
* Participate in operational excellence practices: on\-call rotations, COE reviews, and pipeline health monitoring.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91">
      <c r="A91" t="inlineStr">
        <is>
          <t>in-1416228495a9246c</t>
        </is>
      </c>
      <c r="B91" t="inlineStr">
        <is>
          <t>Data Engineer I, UTR PLanning Tech</t>
        </is>
      </c>
      <c r="C91" t="inlineStr">
        <is>
          <t>Amazon.com</t>
        </is>
      </c>
      <c r="D91" t="inlineStr">
        <is>
          <t>indeed</t>
        </is>
      </c>
      <c r="E91" t="inlineStr"/>
      <c r="F91" t="inlineStr"/>
      <c r="G91" t="inlineStr">
        <is>
          <t>Bellevue, WA, US</t>
        </is>
      </c>
      <c r="H91" s="1" t="n">
        <v>46065</v>
      </c>
      <c r="I91"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I to build data pipelines, contribute to these frameworks, and help shape how AI transforms data engineering at Amazon.  
Key job responsibilities  
* Design and implement physical data models and ETL pipelines using AWS services (Redshift, S3, EMR, Glue, Lambda) and Python\-based orchestration (Airflow/MWAA).
* Build configuration\-driven data frameworks that replace repetitive custom code with reusable, declarative patterns for ingestion, transformation, and metric curation.
* Develop and optimize pipelines that ingest from multiple upstream sources, apply quality controls, and produce datasets that scientists and analysts use for labor planning decisions.
* Implement monitoring, alarming, and data quality controls using standardized data contracts. Measure and improve dataset quality.
* Build tooling that enables AI agents to interact with data engineering workflows: generating SQL, validating configurations, and executing pipeline operations through natural language interfaces.
* Collaborate with planning scientists, software engineers, BI engineers, and product managers to translate data requirements into reusable solutions.
* Write secure, testable, maintainable code. Get your data models, pipeline designs, and code reviewed. Document your solutions so others can maintain them.
* Participate in operational excellence practices: on\-call rotations, COE reviews, and pipeline health monitoring.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92">
      <c r="A92" t="inlineStr">
        <is>
          <t>in-5c7d4f85a8561051</t>
        </is>
      </c>
      <c r="B92" t="inlineStr">
        <is>
          <t>Senior Big Data Engineer, IDEAS - D&amp;A - Revenue</t>
        </is>
      </c>
      <c r="C92" t="inlineStr">
        <is>
          <t>Amazon Web Services</t>
        </is>
      </c>
      <c r="D92" t="inlineStr">
        <is>
          <t>indeed</t>
        </is>
      </c>
      <c r="E92" t="inlineStr"/>
      <c r="F92" t="inlineStr"/>
      <c r="G92" t="inlineStr">
        <is>
          <t>Dallas, TX, US</t>
        </is>
      </c>
      <c r="H92" s="1" t="n">
        <v>46064</v>
      </c>
      <c r="I92" t="inlineStr">
        <is>
          <t>**DESCRIPTION**
---------------
The AWS Sales Marketing Global Services Ops (SMGS Ops) Revenue team publishes mission\-critical Sales Revenue data product including, Unified Estimated Revenue, GAAP Sales Revenue, Quota Sales Retirement, and Planning Revenue that power strategic decision\-making across AWS Finance, Accounting, Sales Operations, Segmentation Planning \&amp; Policy (S\&amp;P), Global Sales Compensation, Field Experience, and Data \&amp; Analytics teams.  
Our platform processes billions of metered usage and billing transactions daily, integrating data from 20\+ sources including Salesforce.com to deliver accurate, timely revenue insights that drive quota setting, sales goal management, forecasting, compensation, and business intelligence. We leverage BigData technologies including Elastic Map Reduce (EMR), Spark, Redshift, and Glue and other AWS services to handle massive data volumes at scale.  
The Opportunity  
We're seeking a passionate Senior Data Engineer to architect and extend our processing framework for next\-generation revenue data products. In this high\-impact role, you'll:  
* Build scalable data pipelines that seamlessly handle exponential data growth and enable rapid development of new revenue products
* Lead AI\-driven automation initiatives to transform revenue processing—from data acquisition and validation to publishing and insights generation—into intelligent, systematic workflows
* Architect solutions that enhance data quality, reduce processing latency, and deliver actionable insights to stakeholders across the organization
This role places you at the forefront of innovation, combining big data engineering with AI/ML to revolutionize how AWS processes and reports revenue at global scale.  
Key job responsibilities  
* Drive technical excellence and organizational growth: Evolve the Revenue technology stack to support AWS's rapid expansion while maintaining compliance with security policies, architectural standards, and operational best practices
* Deliver high\-impact data solutions: Design and build end\-to\-end pipelines that transform raw data from diverse upstream sources into actionable business insights powering quota management, forecasting, and compensation decisions
* Innovate through automation: Develop frameworks, tools, and AI\-driven solutions that eliminate manual processes, reduce operational overhead, and accelerate time\-to\-insight for Revenue customers
* Design scalable data models: Create and maintain dimensional models and data structures that enable self\-service analytics and support evolving reporting requirements across Finance, Sales Operations, and Analytics teams
* Lead and mentor engineering talent: Build and guide a high\-performing team of Data Engineers to deliver cross\-functional solutions, foster technical growth, and establish engineering excellence standards
* Architect and optimize Revenue data infrastructure: Ensure enterprise\-grade security, cost efficiency, and scalability while processing billions of daily transactions across 20\+ data sources
* Partner across the organization: Collaborate with product managers, stakeholders, and customers to translate business requirements into technical solutions and influence the Revenue product roadmap
About the team  
About AWS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**PREFERRED QUALIFICATIONS**
----------------------------
* Experience with big data technologies such as: Hadoop, Hive, Spark, EMR
* Experience operating large data warehouses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\- 154,600\.00 \- 209,100\.00 USD annually</t>
        </is>
      </c>
    </row>
    <row r="93">
      <c r="A93" t="inlineStr">
        <is>
          <t>in-385a59ba61a01921</t>
        </is>
      </c>
      <c r="B93" t="inlineStr">
        <is>
          <t>Data Engineer, AMZL Orbit Data Engineering</t>
        </is>
      </c>
      <c r="C93" t="inlineStr">
        <is>
          <t>Amazon.com</t>
        </is>
      </c>
      <c r="D93" t="inlineStr">
        <is>
          <t>indeed</t>
        </is>
      </c>
      <c r="E93" t="inlineStr"/>
      <c r="F93" t="inlineStr"/>
      <c r="G93" t="inlineStr">
        <is>
          <t>Bellevue, WA, US</t>
        </is>
      </c>
      <c r="H93" s="1" t="n">
        <v>46054</v>
      </c>
      <c r="I93"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94">
      <c r="A94" t="inlineStr">
        <is>
          <t>in-d27a50f552bd28c7</t>
        </is>
      </c>
      <c r="B94" t="inlineStr">
        <is>
          <t>Data Engineer, AMZL Orbit Data Engineering</t>
        </is>
      </c>
      <c r="C94" t="inlineStr">
        <is>
          <t>Amazon.com</t>
        </is>
      </c>
      <c r="D94" t="inlineStr">
        <is>
          <t>indeed</t>
        </is>
      </c>
      <c r="E94" t="inlineStr"/>
      <c r="F94" t="inlineStr"/>
      <c r="G94" t="inlineStr">
        <is>
          <t>Austin, TX, US</t>
        </is>
      </c>
      <c r="H94" s="1" t="n">
        <v>46054</v>
      </c>
      <c r="I94"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95">
      <c r="A95" t="inlineStr">
        <is>
          <t>in-a3bf97d8eb076856</t>
        </is>
      </c>
      <c r="B95" t="inlineStr">
        <is>
          <t>Data Engineer, AMZL Orbit Data Engineering</t>
        </is>
      </c>
      <c r="C95" t="inlineStr">
        <is>
          <t>Amazon.com</t>
        </is>
      </c>
      <c r="D95" t="inlineStr">
        <is>
          <t>indeed</t>
        </is>
      </c>
      <c r="E95" t="inlineStr"/>
      <c r="F95" t="inlineStr"/>
      <c r="G95" t="inlineStr">
        <is>
          <t>Nashville, TN, US</t>
        </is>
      </c>
      <c r="H95" s="1" t="n">
        <v>46054</v>
      </c>
      <c r="I95"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96">
      <c r="A96" t="inlineStr">
        <is>
          <t>in-50b54f150750d2d9</t>
        </is>
      </c>
      <c r="B96" t="inlineStr">
        <is>
          <t>Data Engineer, Denied Party Screening, AWS Compliance &amp; Security Assurance</t>
        </is>
      </c>
      <c r="C96" t="inlineStr">
        <is>
          <t>Amazon.com</t>
        </is>
      </c>
      <c r="D96" t="inlineStr">
        <is>
          <t>indeed</t>
        </is>
      </c>
      <c r="E96" t="inlineStr"/>
      <c r="F96" t="inlineStr"/>
      <c r="G96" t="inlineStr">
        <is>
          <t>Dallas, TX, US</t>
        </is>
      </c>
      <c r="H96" s="1" t="n">
        <v>46029</v>
      </c>
      <c r="I96"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97">
      <c r="A97" t="inlineStr">
        <is>
          <t>in-fead3ef93349b0bc</t>
        </is>
      </c>
      <c r="B97" t="inlineStr">
        <is>
          <t>Data Engineer, Denied Party Screening, AWS Compliance &amp; Security Assurance</t>
        </is>
      </c>
      <c r="C97" t="inlineStr">
        <is>
          <t>Amazon.com</t>
        </is>
      </c>
      <c r="D97" t="inlineStr">
        <is>
          <t>indeed</t>
        </is>
      </c>
      <c r="E97" t="inlineStr"/>
      <c r="F97" t="inlineStr"/>
      <c r="G97" t="inlineStr">
        <is>
          <t>Seattle, WA, US</t>
        </is>
      </c>
      <c r="H97" s="1" t="n">
        <v>46029</v>
      </c>
      <c r="I97"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98">
      <c r="A98" t="inlineStr">
        <is>
          <t>in-d27bba80290f9421</t>
        </is>
      </c>
      <c r="B98" t="inlineStr">
        <is>
          <t>Data Engineer</t>
        </is>
      </c>
      <c r="C98" t="inlineStr">
        <is>
          <t>Amazon.com</t>
        </is>
      </c>
      <c r="D98" t="inlineStr">
        <is>
          <t>indeed</t>
        </is>
      </c>
      <c r="E98" t="inlineStr"/>
      <c r="F98" t="inlineStr"/>
      <c r="G98" t="inlineStr">
        <is>
          <t>Seattle, WA, US</t>
        </is>
      </c>
      <c r="H98" s="1" t="n">
        <v>46001</v>
      </c>
      <c r="I9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\- 152,000\.00 \- 205,600\.00 USD annually  
USA, WA, SEATTLE \- 132,100\.00 \- 178,800\.00 USD annually  
USA, WA, Seattle \- 132,100\.00 \- 178,800\.00 USD annually</t>
        </is>
      </c>
    </row>
    <row r="99">
      <c r="A99" t="inlineStr">
        <is>
          <t>in-3cb905a364c12b8e</t>
        </is>
      </c>
      <c r="B99" t="inlineStr">
        <is>
          <t>Data Engineer</t>
        </is>
      </c>
      <c r="C99" t="inlineStr">
        <is>
          <t>Amazon.com</t>
        </is>
      </c>
      <c r="D99" t="inlineStr">
        <is>
          <t>indeed</t>
        </is>
      </c>
      <c r="E99" t="inlineStr"/>
      <c r="F99" t="inlineStr"/>
      <c r="G99" t="inlineStr">
        <is>
          <t>San Francisco, CA, US</t>
        </is>
      </c>
      <c r="H99" s="1" t="n">
        <v>46001</v>
      </c>
      <c r="I9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\- 152,000\.00 \- 205,600\.00 USD annually  
USA, WA, SEATTLE \- 132,100\.00 \- 178,800\.00 USD annually  
USA, WA, Seattle \- 132,100\.00 \- 178,800\.00 USD annually</t>
        </is>
      </c>
    </row>
    <row r="100">
      <c r="A100" t="inlineStr">
        <is>
          <t>in-1c46f71694eeec95</t>
        </is>
      </c>
      <c r="B100" t="inlineStr">
        <is>
          <t>Senior Lead Data Engineer</t>
        </is>
      </c>
      <c r="C100" t="inlineStr">
        <is>
          <t>Information Technology Senior Management Forum</t>
        </is>
      </c>
      <c r="D100" t="inlineStr">
        <is>
          <t>indeed</t>
        </is>
      </c>
      <c r="E100">
        <f>HYPERLINK("https://www.indeed.com/viewjob?jk=1c46f71694eeec95", "https://www.indeed.com/viewjob?jk=1c46f71694eeec95")</f>
        <v/>
      </c>
      <c r="F100">
        <f>HYPERLINK("https://jobs.itsmfleaders.org/job/3jzpw2/senior-lead-data-engineer/mclean/va", "https://jobs.itsmfleaders.org/job/3jzpw2/senior-lead-data-engineer/mclean/va")</f>
        <v/>
      </c>
      <c r="G100" t="inlineStr">
        <is>
          <t>McLean, VA, US</t>
        </is>
      </c>
      <c r="H100" s="2" t="n">
        <v>46075</v>
      </c>
      <c r="I100" t="inlineStr">
        <is>
          <t>Posted Date
2/23/2026
Description
Senior Lead Data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Engineers**who are passionate about marrying data with emerging technologies. As a Capital One Senior Lead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Lead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6 years of experience in application development (Internship experience does not apply)
* At least 2 years of experience in big data technologies
* At least 1 year experience with cloud computing (AWS, Microsoft Azure, Google Cloud)
**Preferred Qualifications:**
* Master's Degree
* 9\+ years of experience in application development including Python, SQL, Scala, or Java
* 4\+ years of experience with a public cloud (AWS, Microsoft Azure, Google Cloud)
* 5\+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Lead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Lead Data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Engineers**who are passionate about marrying data with emerging technologies. As a Capital One Senior Lead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Lead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6 years of experience in application development (Internship experience does not apply)
* At least 2 years of experience in big data technologies
* At least 1 year experience with cloud computing (AWS, Microsoft Azure, Google Cloud)
**Preferred Qualifications:**
* Master's Degree
* 9\+ years of experience in application development including Python, SQL, Scala, or Java
* 4\+ years of experience with a public cloud (AWS, Microsoft Azure, Google Cloud)
* 5\+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Lead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229,900\.00 \- 262,400\.00 Annual
Type
Full\-time</t>
        </is>
      </c>
    </row>
    <row r="101">
      <c r="A101" t="inlineStr">
        <is>
          <t>in-9ac2d924b0b5879e</t>
        </is>
      </c>
      <c r="B101" t="inlineStr">
        <is>
          <t>Azure Data Engineer-2</t>
        </is>
      </c>
      <c r="C101" t="inlineStr">
        <is>
          <t>Realign</t>
        </is>
      </c>
      <c r="D101" t="inlineStr">
        <is>
          <t>indeed</t>
        </is>
      </c>
      <c r="E101">
        <f>HYPERLINK("https://www.indeed.com/viewjob?jk=9ac2d924b0b5879e", "https://www.indeed.com/viewjob?jk=9ac2d924b0b5879e")</f>
        <v/>
      </c>
      <c r="F101">
        <f>HYPERLINK("https://realign-llc.com/careers/job-details/IT900914AZ-2", "https://realign-llc.com/careers/job-details/IT900914AZ-2")</f>
        <v/>
      </c>
      <c r="G101" t="inlineStr">
        <is>
          <t>Bellevue, WA, US</t>
        </is>
      </c>
      <c r="H101" s="2" t="n">
        <v>46077</v>
      </c>
      <c r="I101" t="inlineStr">
        <is>
          <t>Bellevue, Washington 98004 Posted February 25th, 2026
 Looking for more job opportunities? Click here!
Job Type: Contract
Job Category: IT
Job Description
**Role** : Azure Data Engineer  
**Location** : Bellevue, WA  
Contract **Mandatory Skill Sets:*** Strong experience in Data Engineering , Python, Snowflake, SQL, Azure
* Hands\-on expertise with ETL/data pipelines
* Experience with large\-scale data processing frameworks
* Strong SQL and data modelling knowledge
* Experience working in Agile/Scrum delivery models
* Ability to work onsite and collaborate with cross\-functional teams
* Cloud data platforms (AWS/Azure/GCP)
* Performance optimization and data quality management
* Production support and troubleshooting experience
Required Skills
DEVOPS ENGINEER
 SENIOR EMAIL SECURITY ENGINEER</t>
        </is>
      </c>
    </row>
    <row r="102">
      <c r="A102" t="inlineStr">
        <is>
          <t>in-50332f23365d6c8f</t>
        </is>
      </c>
      <c r="B102" t="inlineStr">
        <is>
          <t>AWS Data Platform Engineer</t>
        </is>
      </c>
      <c r="C102" t="inlineStr">
        <is>
          <t>Concentrix</t>
        </is>
      </c>
      <c r="D102" t="inlineStr">
        <is>
          <t>indeed</t>
        </is>
      </c>
      <c r="E102">
        <f>HYPERLINK("https://www.indeed.com/viewjob?jk=50332f23365d6c8f", "https://www.indeed.com/viewjob?jk=50332f23365d6c8f")</f>
        <v/>
      </c>
      <c r="F102">
        <f>HYPERLINK("https://cnx.wd1.myworkdayjobs.com/external_global/job/USA-Work-at-Home/AWS-Data-Platform-Engineer_R1708660?source=Indeed", "https://cnx.wd1.myworkdayjobs.com/external_global/job/USA-Work-at-Home/AWS-Data-Platform-Engineer_R1708660?source=Indeed")</f>
        <v/>
      </c>
      <c r="G102" t="inlineStr">
        <is>
          <t>VA, US</t>
        </is>
      </c>
      <c r="H102" s="2" t="n">
        <v>46077</v>
      </c>
      <c r="I102" t="inlineStr">
        <is>
          <t>**Title: AWS Data Platform Engineer**
**Location: Remote in USA**
**Key Responsibilities**
Preferred 6\+ years of experience
**AWS Data Lake Architecture \&amp; Setup**
* Design and maintain scalable **AWS Data Lakes** using:
	+ **Amazon S3** for multi\-zone data storage (raw, curated, processed)
	+ **AWS Glue** Jobs, Crawlers, and Data Catalog
	+ **AWS Lake Formation** for centralized governance and security
* Configure Lake Formation capabilities:
	+ Row/column\-level access control
	+ Tag\-based access control (LF\-TBAC)
	+ Governed table permissions
	+ Cross\-account data sharing
* Implement best practices in:
	+ Data partitioning
	+ Schema evolution
	+ Metadata and catalog management
* Build and optimize ingestion and ETL pipelines for batch or near\-real\-time workloads.
**AWS Serverless Development**
* Develop serverless applications using:
	+ **Lambda**
	+ **API Gateway**
	+ **EventBridge**
	+ **SNS/SQS**
	+ **Step Functions**
* Build and tune AWS Glue ETL jobs using Python and PySpark.
* Implement cost\-efficient, highly scalable, event\-driven architectures.
**Monitoring, Logging \&amp; Observability**
* Implement monitoring and alerting using:
	+ **Amazon CloudWatch Logs, Metrics \&amp; Dashboards**
	+ CloudWatch Alarms for proactive incident detection
* Use CloudWatch Log Insights for log analytics and troubleshooting.
* Configure **AWS X\-Ray** for distributed tracing and end\-to\-end visibility.
* Build automated alerts around:
	+ Lambda failures
	+ Glue job errors
	+ Data pipeline SLAs
	+ Performance anomalies
**Data Engineering \&amp; Spark**
* Develop ETL pipelines using **PySpark** on AWS Glue or EMR.
* Optimize Spark workloads for performance, cost, and scaling.
* Troubleshoot distributed data issues and tune job performance.
**Python Development**
* Write clean Python code for Lambda functions, Glue jobs, and automation tools.
* Develop shared internal libraries for ETL, monitoring, and data governance.
* Implement automated CI/CD delivery pipelines.
**DevOps \&amp; Cloud Platform Automation**
* Use Infrastructure\-as\-Code tools including:
	+ **Terraform** (modules, workspaces, state management)
	+ AWS CloudFormation or CDK (optional but beneficial)
* Implement:
	+ Automated provisioning of AWS resources
	+ Version\-controlled, repeatable deployments
	+ Secure IAM roles and resource policies
* Configure monitoring, alerting, logging pipelines, and operational dashboards.
The base salary range for this position is $92,250 \- $131,786,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03/02/2026\.This position is for an existing, immediate vacancy. We are currently seeking to fill this role with an individual who can start as soon as possible.
**\#Concentrix**
**\#Remote**</t>
        </is>
      </c>
    </row>
    <row r="103">
      <c r="A103" t="inlineStr">
        <is>
          <t>in-488784d73124ca5d</t>
        </is>
      </c>
      <c r="B103" t="inlineStr">
        <is>
          <t>AWS Data Platform Engineer</t>
        </is>
      </c>
      <c r="C103" t="inlineStr">
        <is>
          <t>Concentrix</t>
        </is>
      </c>
      <c r="D103" t="inlineStr">
        <is>
          <t>indeed</t>
        </is>
      </c>
      <c r="E103">
        <f>HYPERLINK("https://www.indeed.com/viewjob?jk=488784d73124ca5d", "https://www.indeed.com/viewjob?jk=488784d73124ca5d")</f>
        <v/>
      </c>
      <c r="F103">
        <f>HYPERLINK("https://cnx.wd1.myworkdayjobs.com/external_global/job/USA-Work-at-Home/AWS-Data-Platform-Engineer_R1708660?source=Indeed", "https://cnx.wd1.myworkdayjobs.com/external_global/job/USA-Work-at-Home/AWS-Data-Platform-Engineer_R1708660?source=Indeed")</f>
        <v/>
      </c>
      <c r="G103" t="inlineStr">
        <is>
          <t>WI, US</t>
        </is>
      </c>
      <c r="H103" s="2" t="n">
        <v>46077</v>
      </c>
      <c r="I103" t="inlineStr">
        <is>
          <t>**Title: AWS Data Platform Engineer**
**Location: Remote in USA**
**Key Responsibilities**
Preferred 6\+ years of experience
**AWS Data Lake Architecture \&amp; Setup**
* Design and maintain scalable **AWS Data Lakes** using:
	+ **Amazon S3** for multi\-zone data storage (raw, curated, processed)
	+ **AWS Glue** Jobs, Crawlers, and Data Catalog
	+ **AWS Lake Formation** for centralized governance and security
* Configure Lake Formation capabilities:
	+ Row/column\-level access control
	+ Tag\-based access control (LF\-TBAC)
	+ Governed table permissions
	+ Cross\-account data sharing
* Implement best practices in:
	+ Data partitioning
	+ Schema evolution
	+ Metadata and catalog management
* Build and optimize ingestion and ETL pipelines for batch or near\-real\-time workloads.
**AWS Serverless Development**
* Develop serverless applications using:
	+ **Lambda**
	+ **API Gateway**
	+ **EventBridge**
	+ **SNS/SQS**
	+ **Step Functions**
* Build and tune AWS Glue ETL jobs using Python and PySpark.
* Implement cost\-efficient, highly scalable, event\-driven architectures.
**Monitoring, Logging \&amp; Observability**
* Implement monitoring and alerting using:
	+ **Amazon CloudWatch Logs, Metrics \&amp; Dashboards**
	+ CloudWatch Alarms for proactive incident detection
* Use CloudWatch Log Insights for log analytics and troubleshooting.
* Configure **AWS X\-Ray** for distributed tracing and end\-to\-end visibility.
* Build automated alerts around:
	+ Lambda failures
	+ Glue job errors
	+ Data pipeline SLAs
	+ Performance anomalies
**Data Engineering \&amp; Spark**
* Develop ETL pipelines using **PySpark** on AWS Glue or EMR.
* Optimize Spark workloads for performance, cost, and scaling.
* Troubleshoot distributed data issues and tune job performance.
**Python Development**
* Write clean Python code for Lambda functions, Glue jobs, and automation tools.
* Develop shared internal libraries for ETL, monitoring, and data governance.
* Implement automated CI/CD delivery pipelines.
**DevOps \&amp; Cloud Platform Automation**
* Use Infrastructure\-as\-Code tools including:
	+ **Terraform** (modules, workspaces, state management)
	+ AWS CloudFormation or CDK (optional but beneficial)
* Implement:
	+ Automated provisioning of AWS resources
	+ Version\-controlled, repeatable deployments
	+ Secure IAM roles and resource policies
* Configure monitoring, alerting, logging pipelines, and operational dashboards.
The base salary range for this position is $92,250 \- $131,786,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03/02/2026\.This position is for an existing, immediate vacancy. We are currently seeking to fill this role with an individual who can start as soon as possible.
**\#Concentrix**
**\#Remote**</t>
        </is>
      </c>
    </row>
    <row r="104">
      <c r="A104" t="inlineStr">
        <is>
          <t>in-3a83a03051de71cc</t>
        </is>
      </c>
      <c r="B104" t="inlineStr">
        <is>
          <t>AWS Data Platform Engineer</t>
        </is>
      </c>
      <c r="C104" t="inlineStr">
        <is>
          <t>Concentrix</t>
        </is>
      </c>
      <c r="D104" t="inlineStr">
        <is>
          <t>indeed</t>
        </is>
      </c>
      <c r="E104">
        <f>HYPERLINK("https://www.indeed.com/viewjob?jk=3a83a03051de71cc", "https://www.indeed.com/viewjob?jk=3a83a03051de71cc")</f>
        <v/>
      </c>
      <c r="F104">
        <f>HYPERLINK("https://cnx.wd1.myworkdayjobs.com/external_global/job/USA-Work-at-Home/AWS-Data-Platform-Engineer_R1708660?source=Indeed", "https://cnx.wd1.myworkdayjobs.com/external_global/job/USA-Work-at-Home/AWS-Data-Platform-Engineer_R1708660?source=Indeed")</f>
        <v/>
      </c>
      <c r="G104" t="inlineStr">
        <is>
          <t>WY, US</t>
        </is>
      </c>
      <c r="H104" s="2" t="n">
        <v>46077</v>
      </c>
      <c r="I104" t="inlineStr">
        <is>
          <t>**Title: AWS Data Platform Engineer**
**Location: Remote in USA**
**Key Responsibilities**
Preferred 6\+ years of experience
**AWS Data Lake Architecture \&amp; Setup**
* Design and maintain scalable **AWS Data Lakes** using:
	+ **Amazon S3** for multi\-zone data storage (raw, curated, processed)
	+ **AWS Glue** Jobs, Crawlers, and Data Catalog
	+ **AWS Lake Formation** for centralized governance and security
* Configure Lake Formation capabilities:
	+ Row/column\-level access control
	+ Tag\-based access control (LF\-TBAC)
	+ Governed table permissions
	+ Cross\-account data sharing
* Implement best practices in:
	+ Data partitioning
	+ Schema evolution
	+ Metadata and catalog management
* Build and optimize ingestion and ETL pipelines for batch or near\-real\-time workloads.
**AWS Serverless Development**
* Develop serverless applications using:
	+ **Lambda**
	+ **API Gateway**
	+ **EventBridge**
	+ **SNS/SQS**
	+ **Step Functions**
* Build and tune AWS Glue ETL jobs using Python and PySpark.
* Implement cost\-efficient, highly scalable, event\-driven architectures.
**Monitoring, Logging \&amp; Observability**
* Implement monitoring and alerting using:
	+ **Amazon CloudWatch Logs, Metrics \&amp; Dashboards**
	+ CloudWatch Alarms for proactive incident detection
* Use CloudWatch Log Insights for log analytics and troubleshooting.
* Configure **AWS X\-Ray** for distributed tracing and end\-to\-end visibility.
* Build automated alerts around:
	+ Lambda failures
	+ Glue job errors
	+ Data pipeline SLAs
	+ Performance anomalies
**Data Engineering \&amp; Spark**
* Develop ETL pipelines using **PySpark** on AWS Glue or EMR.
* Optimize Spark workloads for performance, cost, and scaling.
* Troubleshoot distributed data issues and tune job performance.
**Python Development**
* Write clean Python code for Lambda functions, Glue jobs, and automation tools.
* Develop shared internal libraries for ETL, monitoring, and data governance.
* Implement automated CI/CD delivery pipelines.
**DevOps \&amp; Cloud Platform Automation**
* Use Infrastructure\-as\-Code tools including:
	+ **Terraform** (modules, workspaces, state management)
	+ AWS CloudFormation or CDK (optional but beneficial)
* Implement:
	+ Automated provisioning of AWS resources
	+ Version\-controlled, repeatable deployments
	+ Secure IAM roles and resource policies
* Configure monitoring, alerting, logging pipelines, and operational dashboards.
The base salary range for this position is $92,250 \- $131,786,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03/02/2026\.This position is for an existing, immediate vacancy. We are currently seeking to fill this role with an individual who can start as soon as possible.
**\#Concentrix**
**\#Remote**</t>
        </is>
      </c>
    </row>
    <row r="105">
      <c r="A105" t="inlineStr">
        <is>
          <t>in-4cf9f1be1b3cebb3</t>
        </is>
      </c>
      <c r="B105" t="inlineStr">
        <is>
          <t>AWS Data Platform Engineer</t>
        </is>
      </c>
      <c r="C105" t="inlineStr">
        <is>
          <t>Concentrix</t>
        </is>
      </c>
      <c r="D105" t="inlineStr">
        <is>
          <t>indeed</t>
        </is>
      </c>
      <c r="E105">
        <f>HYPERLINK("https://www.indeed.com/viewjob?jk=4cf9f1be1b3cebb3", "https://www.indeed.com/viewjob?jk=4cf9f1be1b3cebb3")</f>
        <v/>
      </c>
      <c r="F105">
        <f>HYPERLINK("https://cnx.wd1.myworkdayjobs.com/external_global/job/USA-Work-at-Home/AWS-Data-Platform-Engineer_R1708660?source=Indeed", "https://cnx.wd1.myworkdayjobs.com/external_global/job/USA-Work-at-Home/AWS-Data-Platform-Engineer_R1708660?source=Indeed")</f>
        <v/>
      </c>
      <c r="G105" t="inlineStr">
        <is>
          <t>VT, US</t>
        </is>
      </c>
      <c r="H105" s="2" t="n">
        <v>46077</v>
      </c>
      <c r="I105" t="inlineStr">
        <is>
          <t>**Title: AWS Data Platform Engineer**
**Location: Remote in USA**
**Key Responsibilities**
Preferred 6\+ years of experience
**AWS Data Lake Architecture \&amp; Setup**
* Design and maintain scalable **AWS Data Lakes** using:
	+ **Amazon S3** for multi\-zone data storage (raw, curated, processed)
	+ **AWS Glue** Jobs, Crawlers, and Data Catalog
	+ **AWS Lake Formation** for centralized governance and security
* Configure Lake Formation capabilities:
	+ Row/column\-level access control
	+ Tag\-based access control (LF\-TBAC)
	+ Governed table permissions
	+ Cross\-account data sharing
* Implement best practices in:
	+ Data partitioning
	+ Schema evolution
	+ Metadata and catalog management
* Build and optimize ingestion and ETL pipelines for batch or near\-real\-time workloads.
**AWS Serverless Development**
* Develop serverless applications using:
	+ **Lambda**
	+ **API Gateway**
	+ **EventBridge**
	+ **SNS/SQS**
	+ **Step Functions**
* Build and tune AWS Glue ETL jobs using Python and PySpark.
* Implement cost\-efficient, highly scalable, event\-driven architectures.
**Monitoring, Logging \&amp; Observability**
* Implement monitoring and alerting using:
	+ **Amazon CloudWatch Logs, Metrics \&amp; Dashboards**
	+ CloudWatch Alarms for proactive incident detection
* Use CloudWatch Log Insights for log analytics and troubleshooting.
* Configure **AWS X\-Ray** for distributed tracing and end\-to\-end visibility.
* Build automated alerts around:
	+ Lambda failures
	+ Glue job errors
	+ Data pipeline SLAs
	+ Performance anomalies
**Data Engineering \&amp; Spark**
* Develop ETL pipelines using **PySpark** on AWS Glue or EMR.
* Optimize Spark workloads for performance, cost, and scaling.
* Troubleshoot distributed data issues and tune job performance.
**Python Development**
* Write clean Python code for Lambda functions, Glue jobs, and automation tools.
* Develop shared internal libraries for ETL, monitoring, and data governance.
* Implement automated CI/CD delivery pipelines.
**DevOps \&amp; Cloud Platform Automation**
* Use Infrastructure\-as\-Code tools including:
	+ **Terraform** (modules, workspaces, state management)
	+ AWS CloudFormation or CDK (optional but beneficial)
* Implement:
	+ Automated provisioning of AWS resources
	+ Version\-controlled, repeatable deployments
	+ Secure IAM roles and resource policies
* Configure monitoring, alerting, logging pipelines, and operational dashboards.
The base salary range for this position is $92,250 \- $131,786,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03/02/2026\.This position is for an existing, immediate vacancy. We are currently seeking to fill this role with an individual who can start as soon as possible.
**\#Concentrix**
**\#Remote**</t>
        </is>
      </c>
    </row>
    <row r="106">
      <c r="A106" t="inlineStr">
        <is>
          <t>in-09088ced465b49f7</t>
        </is>
      </c>
      <c r="B106" t="inlineStr">
        <is>
          <t>AWS Data Platform Engineer</t>
        </is>
      </c>
      <c r="C106" t="inlineStr">
        <is>
          <t>Concentrix</t>
        </is>
      </c>
      <c r="D106" t="inlineStr">
        <is>
          <t>indeed</t>
        </is>
      </c>
      <c r="E106">
        <f>HYPERLINK("https://www.indeed.com/viewjob?jk=09088ced465b49f7", "https://www.indeed.com/viewjob?jk=09088ced465b49f7")</f>
        <v/>
      </c>
      <c r="F106">
        <f>HYPERLINK("https://cnx.wd1.myworkdayjobs.com/external_global/job/USA-Work-at-Home/AWS-Data-Platform-Engineer_R1708660?source=Indeed", "https://cnx.wd1.myworkdayjobs.com/external_global/job/USA-Work-at-Home/AWS-Data-Platform-Engineer_R1708660?source=Indeed")</f>
        <v/>
      </c>
      <c r="G106" t="inlineStr">
        <is>
          <t>PA, US</t>
        </is>
      </c>
      <c r="H106" s="2" t="n">
        <v>46077</v>
      </c>
      <c r="I106" t="inlineStr">
        <is>
          <t>**Title: AWS Data Platform Engineer**
**Location: Remote in USA**
**Key Responsibilities**
Preferred 6\+ years of experience
**AWS Data Lake Architecture \&amp; Setup**
* Design and maintain scalable **AWS Data Lakes** using:
	+ **Amazon S3** for multi\-zone data storage (raw, curated, processed)
	+ **AWS Glue** Jobs, Crawlers, and Data Catalog
	+ **AWS Lake Formation** for centralized governance and security
* Configure Lake Formation capabilities:
	+ Row/column\-level access control
	+ Tag\-based access control (LF\-TBAC)
	+ Governed table permissions
	+ Cross\-account data sharing
* Implement best practices in:
	+ Data partitioning
	+ Schema evolution
	+ Metadata and catalog management
* Build and optimize ingestion and ETL pipelines for batch or near\-real\-time workloads.
**AWS Serverless Development**
* Develop serverless applications using:
	+ **Lambda**
	+ **API Gateway**
	+ **EventBridge**
	+ **SNS/SQS**
	+ **Step Functions**
* Build and tune AWS Glue ETL jobs using Python and PySpark.
* Implement cost\-efficient, highly scalable, event\-driven architectures.
**Monitoring, Logging \&amp; Observability**
* Implement monitoring and alerting using:
	+ **Amazon CloudWatch Logs, Metrics \&amp; Dashboards**
	+ CloudWatch Alarms for proactive incident detection
* Use CloudWatch Log Insights for log analytics and troubleshooting.
* Configure **AWS X\-Ray** for distributed tracing and end\-to\-end visibility.
* Build automated alerts around:
	+ Lambda failures
	+ Glue job errors
	+ Data pipeline SLAs
	+ Performance anomalies
**Data Engineering \&amp; Spark**
* Develop ETL pipelines using **PySpark** on AWS Glue or EMR.
* Optimize Spark workloads for performance, cost, and scaling.
* Troubleshoot distributed data issues and tune job performance.
**Python Development**
* Write clean Python code for Lambda functions, Glue jobs, and automation tools.
* Develop shared internal libraries for ETL, monitoring, and data governance.
* Implement automated CI/CD delivery pipelines.
**DevOps \&amp; Cloud Platform Automation**
* Use Infrastructure\-as\-Code tools including:
	+ **Terraform** (modules, workspaces, state management)
	+ AWS CloudFormation or CDK (optional but beneficial)
* Implement:
	+ Automated provisioning of AWS resources
	+ Version\-controlled, repeatable deployments
	+ Secure IAM roles and resource policies
* Configure monitoring, alerting, logging pipelines, and operational dashboards.
The base salary range for this position is $92,250 \- $131,786,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03/02/2026\.This position is for an existing, immediate vacancy. We are currently seeking to fill this role with an individual who can start as soon as possible.
**\#Concentrix**
**\#Remote**</t>
        </is>
      </c>
    </row>
    <row r="107">
      <c r="A107" t="inlineStr">
        <is>
          <t>in-918a7e3c1ab3b499</t>
        </is>
      </c>
      <c r="B107" t="inlineStr">
        <is>
          <t>AWS Data Platform Engineer</t>
        </is>
      </c>
      <c r="C107" t="inlineStr">
        <is>
          <t>Concentrix</t>
        </is>
      </c>
      <c r="D107" t="inlineStr">
        <is>
          <t>indeed</t>
        </is>
      </c>
      <c r="E107">
        <f>HYPERLINK("https://www.indeed.com/viewjob?jk=918a7e3c1ab3b499", "https://www.indeed.com/viewjob?jk=918a7e3c1ab3b499")</f>
        <v/>
      </c>
      <c r="F107">
        <f>HYPERLINK("https://cnx.wd1.myworkdayjobs.com/external_global/job/USA-Work-at-Home/AWS-Data-Platform-Engineer_R1708660?source=Indeed", "https://cnx.wd1.myworkdayjobs.com/external_global/job/USA-Work-at-Home/AWS-Data-Platform-Engineer_R1708660?source=Indeed")</f>
        <v/>
      </c>
      <c r="G107" t="inlineStr">
        <is>
          <t>CO, US</t>
        </is>
      </c>
      <c r="H107" s="2" t="n">
        <v>46077</v>
      </c>
      <c r="I107" t="inlineStr">
        <is>
          <t>**Title: AWS Data Platform Engineer**
**Location: Remote in USA**
**Key Responsibilities**
Preferred 6\+ years of experience
**AWS Data Lake Architecture \&amp; Setup**
* Design and maintain scalable **AWS Data Lakes** using:
	+ **Amazon S3** for multi\-zone data storage (raw, curated, processed)
	+ **AWS Glue** Jobs, Crawlers, and Data Catalog
	+ **AWS Lake Formation** for centralized governance and security
* Configure Lake Formation capabilities:
	+ Row/column\-level access control
	+ Tag\-based access control (LF\-TBAC)
	+ Governed table permissions
	+ Cross\-account data sharing
* Implement best practices in:
	+ Data partitioning
	+ Schema evolution
	+ Metadata and catalog management
* Build and optimize ingestion and ETL pipelines for batch or near\-real\-time workloads.
**AWS Serverless Development**
* Develop serverless applications using:
	+ **Lambda**
	+ **API Gateway**
	+ **EventBridge**
	+ **SNS/SQS**
	+ **Step Functions**
* Build and tune AWS Glue ETL jobs using Python and PySpark.
* Implement cost\-efficient, highly scalable, event\-driven architectures.
**Monitoring, Logging \&amp; Observability**
* Implement monitoring and alerting using:
	+ **Amazon CloudWatch Logs, Metrics \&amp; Dashboards**
	+ CloudWatch Alarms for proactive incident detection
* Use CloudWatch Log Insights for log analytics and troubleshooting.
* Configure **AWS X\-Ray** for distributed tracing and end\-to\-end visibility.
* Build automated alerts around:
	+ Lambda failures
	+ Glue job errors
	+ Data pipeline SLAs
	+ Performance anomalies
**Data Engineering \&amp; Spark**
* Develop ETL pipelines using **PySpark** on AWS Glue or EMR.
* Optimize Spark workloads for performance, cost, and scaling.
* Troubleshoot distributed data issues and tune job performance.
**Python Development**
* Write clean Python code for Lambda functions, Glue jobs, and automation tools.
* Develop shared internal libraries for ETL, monitoring, and data governance.
* Implement automated CI/CD delivery pipelines.
**DevOps \&amp; Cloud Platform Automation**
* Use Infrastructure\-as\-Code tools including:
	+ **Terraform** (modules, workspaces, state management)
	+ AWS CloudFormation or CDK (optional but beneficial)
* Implement:
	+ Automated provisioning of AWS resources
	+ Version\-controlled, repeatable deployments
	+ Secure IAM roles and resource policies
* Configure monitoring, alerting, logging pipelines, and operational dashboards.
The base salary range for this position is $92,250 \- $131,786,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03/02/2026\.This position is for an existing, immediate vacancy. We are currently seeking to fill this role with an individual who can start as soon as possible.
**\#Concentrix**
**\#Remote**</t>
        </is>
      </c>
    </row>
    <row r="108">
      <c r="A108" t="inlineStr">
        <is>
          <t>in-df850d0800211a6f</t>
        </is>
      </c>
      <c r="B108" t="inlineStr">
        <is>
          <t>AWS Data Platform Engineer</t>
        </is>
      </c>
      <c r="C108" t="inlineStr">
        <is>
          <t>Concentrix</t>
        </is>
      </c>
      <c r="D108" t="inlineStr">
        <is>
          <t>indeed</t>
        </is>
      </c>
      <c r="E108">
        <f>HYPERLINK("https://www.indeed.com/viewjob?jk=df850d0800211a6f", "https://www.indeed.com/viewjob?jk=df850d0800211a6f")</f>
        <v/>
      </c>
      <c r="F108">
        <f>HYPERLINK("https://cnx.wd1.myworkdayjobs.com/external_global/job/USA-Work-at-Home/AWS-Data-Platform-Engineer_R1708660?source=Indeed", "https://cnx.wd1.myworkdayjobs.com/external_global/job/USA-Work-at-Home/AWS-Data-Platform-Engineer_R1708660?source=Indeed")</f>
        <v/>
      </c>
      <c r="G108" t="inlineStr">
        <is>
          <t>OH, US</t>
        </is>
      </c>
      <c r="H108" s="2" t="n">
        <v>46077</v>
      </c>
      <c r="I108" t="inlineStr">
        <is>
          <t>**Title: AWS Data Platform Engineer**
**Location: Remote in USA**
**Key Responsibilities**
Preferred 6\+ years of experience
**AWS Data Lake Architecture \&amp; Setup**
* Design and maintain scalable **AWS Data Lakes** using:
	+ **Amazon S3** for multi\-zone data storage (raw, curated, processed)
	+ **AWS Glue** Jobs, Crawlers, and Data Catalog
	+ **AWS Lake Formation** for centralized governance and security
* Configure Lake Formation capabilities:
	+ Row/column\-level access control
	+ Tag\-based access control (LF\-TBAC)
	+ Governed table permissions
	+ Cross\-account data sharing
* Implement best practices in:
	+ Data partitioning
	+ Schema evolution
	+ Metadata and catalog management
* Build and optimize ingestion and ETL pipelines for batch or near\-real\-time workloads.
**AWS Serverless Development**
* Develop serverless applications using:
	+ **Lambda**
	+ **API Gateway**
	+ **EventBridge**
	+ **SNS/SQS**
	+ **Step Functions**
* Build and tune AWS Glue ETL jobs using Python and PySpark.
* Implement cost\-efficient, highly scalable, event\-driven architectures.
**Monitoring, Logging \&amp; Observability**
* Implement monitoring and alerting using:
	+ **Amazon CloudWatch Logs, Metrics \&amp; Dashboards**
	+ CloudWatch Alarms for proactive incident detection
* Use CloudWatch Log Insights for log analytics and troubleshooting.
* Configure **AWS X\-Ray** for distributed tracing and end\-to\-end visibility.
* Build automated alerts around:
	+ Lambda failures
	+ Glue job errors
	+ Data pipeline SLAs
	+ Performance anomalies
**Data Engineering \&amp; Spark**
* Develop ETL pipelines using **PySpark** on AWS Glue or EMR.
* Optimize Spark workloads for performance, cost, and scaling.
* Troubleshoot distributed data issues and tune job performance.
**Python Development**
* Write clean Python code for Lambda functions, Glue jobs, and automation tools.
* Develop shared internal libraries for ETL, monitoring, and data governance.
* Implement automated CI/CD delivery pipelines.
**DevOps \&amp; Cloud Platform Automation**
* Use Infrastructure\-as\-Code tools including:
	+ **Terraform** (modules, workspaces, state management)
	+ AWS CloudFormation or CDK (optional but beneficial)
* Implement:
	+ Automated provisioning of AWS resources
	+ Version\-controlled, repeatable deployments
	+ Secure IAM roles and resource policies
* Configure monitoring, alerting, logging pipelines, and operational dashboards.
The base salary range for this position is $92,250 \- $131,786,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03/02/2026\.This position is for an existing, immediate vacancy. We are currently seeking to fill this role with an individual who can start as soon as possible.
**\#Concentrix**
**\#Remote**</t>
        </is>
      </c>
    </row>
    <row r="109">
      <c r="A109" t="inlineStr">
        <is>
          <t>in-96f6cf05adf06982</t>
        </is>
      </c>
      <c r="B109" t="inlineStr">
        <is>
          <t>AWS Data Platform Engineer</t>
        </is>
      </c>
      <c r="C109" t="inlineStr">
        <is>
          <t>Concentrix</t>
        </is>
      </c>
      <c r="D109" t="inlineStr">
        <is>
          <t>indeed</t>
        </is>
      </c>
      <c r="E109">
        <f>HYPERLINK("https://www.indeed.com/viewjob?jk=96f6cf05adf06982", "https://www.indeed.com/viewjob?jk=96f6cf05adf06982")</f>
        <v/>
      </c>
      <c r="F109">
        <f>HYPERLINK("https://cnx.wd1.myworkdayjobs.com/external_global/job/USA-Work-at-Home/AWS-Data-Platform-Engineer_R1708660?source=Indeed", "https://cnx.wd1.myworkdayjobs.com/external_global/job/USA-Work-at-Home/AWS-Data-Platform-Engineer_R1708660?source=Indeed")</f>
        <v/>
      </c>
      <c r="G109" t="inlineStr">
        <is>
          <t>MS, US</t>
        </is>
      </c>
      <c r="H109" s="2" t="n">
        <v>46077</v>
      </c>
      <c r="I109" t="inlineStr">
        <is>
          <t>**Title: AWS Data Platform Engineer**
**Location: Remote in USA**
**Key Responsibilities**
Preferred 6\+ years of experience
**AWS Data Lake Architecture \&amp; Setup**
* Design and maintain scalable **AWS Data Lakes** using:
	+ **Amazon S3** for multi\-zone data storage (raw, curated, processed)
	+ **AWS Glue** Jobs, Crawlers, and Data Catalog
	+ **AWS Lake Formation** for centralized governance and security
* Configure Lake Formation capabilities:
	+ Row/column\-level access control
	+ Tag\-based access control (LF\-TBAC)
	+ Governed table permissions
	+ Cross\-account data sharing
* Implement best practices in:
	+ Data partitioning
	+ Schema evolution
	+ Metadata and catalog management
* Build and optimize ingestion and ETL pipelines for batch or near\-real\-time workloads.
**AWS Serverless Development**
* Develop serverless applications using:
	+ **Lambda**
	+ **API Gateway**
	+ **EventBridge**
	+ **SNS/SQS**
	+ **Step Functions**
* Build and tune AWS Glue ETL jobs using Python and PySpark.
* Implement cost\-efficient, highly scalable, event\-driven architectures.
**Monitoring, Logging \&amp; Observability**
* Implement monitoring and alerting using:
	+ **Amazon CloudWatch Logs, Metrics \&amp; Dashboards**
	+ CloudWatch Alarms for proactive incident detection
* Use CloudWatch Log Insights for log analytics and troubleshooting.
* Configure **AWS X\-Ray** for distributed tracing and end\-to\-end visibility.
* Build automated alerts around:
	+ Lambda failures
	+ Glue job errors
	+ Data pipeline SLAs
	+ Performance anomalies
**Data Engineering \&amp; Spark**
* Develop ETL pipelines using **PySpark** on AWS Glue or EMR.
* Optimize Spark workloads for performance, cost, and scaling.
* Troubleshoot distributed data issues and tune job performance.
**Python Development**
* Write clean Python code for Lambda functions, Glue jobs, and automation tools.
* Develop shared internal libraries for ETL, monitoring, and data governance.
* Implement automated CI/CD delivery pipelines.
**DevOps \&amp; Cloud Platform Automation**
* Use Infrastructure\-as\-Code tools including:
	+ **Terraform** (modules, workspaces, state management)
	+ AWS CloudFormation or CDK (optional but beneficial)
* Implement:
	+ Automated provisioning of AWS resources
	+ Version\-controlled, repeatable deployments
	+ Secure IAM roles and resource policies
* Configure monitoring, alerting, logging pipelines, and operational dashboards.
The base salary range for this position is $92,250 \- $131,786,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03/02/2026\.This position is for an existing, immediate vacancy. We are currently seeking to fill this role with an individual who can start as soon as possible.
**\#Concentrix**
**\#Remote**</t>
        </is>
      </c>
    </row>
    <row r="110">
      <c r="A110" t="inlineStr">
        <is>
          <t>in-49351622325c642d</t>
        </is>
      </c>
      <c r="B110" t="inlineStr">
        <is>
          <t>AWS Data Platform Engineer</t>
        </is>
      </c>
      <c r="C110" t="inlineStr">
        <is>
          <t>Concentrix</t>
        </is>
      </c>
      <c r="D110" t="inlineStr">
        <is>
          <t>indeed</t>
        </is>
      </c>
      <c r="E110">
        <f>HYPERLINK("https://www.indeed.com/viewjob?jk=49351622325c642d", "https://www.indeed.com/viewjob?jk=49351622325c642d")</f>
        <v/>
      </c>
      <c r="F110">
        <f>HYPERLINK("https://cnx.wd1.myworkdayjobs.com/external_global/job/USA-Work-at-Home/AWS-Data-Platform-Engineer_R1708660?source=Indeed", "https://cnx.wd1.myworkdayjobs.com/external_global/job/USA-Work-at-Home/AWS-Data-Platform-Engineer_R1708660?source=Indeed")</f>
        <v/>
      </c>
      <c r="G110" t="inlineStr">
        <is>
          <t>NM, US</t>
        </is>
      </c>
      <c r="H110" s="2" t="n">
        <v>46077</v>
      </c>
      <c r="I110" t="inlineStr">
        <is>
          <t>**Title: AWS Data Platform Engineer**
**Location: Remote in USA**
**Key Responsibilities**
Preferred 6\+ years of experience
**AWS Data Lake Architecture \&amp; Setup**
* Design and maintain scalable **AWS Data Lakes** using:
	+ **Amazon S3** for multi\-zone data storage (raw, curated, processed)
	+ **AWS Glue** Jobs, Crawlers, and Data Catalog
	+ **AWS Lake Formation** for centralized governance and security
* Configure Lake Formation capabilities:
	+ Row/column\-level access control
	+ Tag\-based access control (LF\-TBAC)
	+ Governed table permissions
	+ Cross\-account data sharing
* Implement best practices in:
	+ Data partitioning
	+ Schema evolution
	+ Metadata and catalog management
* Build and optimize ingestion and ETL pipelines for batch or near\-real\-time workloads.
**AWS Serverless Development**
* Develop serverless applications using:
	+ **Lambda**
	+ **API Gateway**
	+ **EventBridge**
	+ **SNS/SQS**
	+ **Step Functions**
* Build and tune AWS Glue ETL jobs using Python and PySpark.
* Implement cost\-efficient, highly scalable, event\-driven architectures.
**Monitoring, Logging \&amp; Observability**
* Implement monitoring and alerting using:
	+ **Amazon CloudWatch Logs, Metrics \&amp; Dashboards**
	+ CloudWatch Alarms for proactive incident detection
* Use CloudWatch Log Insights for log analytics and troubleshooting.
* Configure **AWS X\-Ray** for distributed tracing and end\-to\-end visibility.
* Build automated alerts around:
	+ Lambda failures
	+ Glue job errors
	+ Data pipeline SLAs
	+ Performance anomalies
**Data Engineering \&amp; Spark**
* Develop ETL pipelines using **PySpark** on AWS Glue or EMR.
* Optimize Spark workloads for performance, cost, and scaling.
* Troubleshoot distributed data issues and tune job performance.
**Python Development**
* Write clean Python code for Lambda functions, Glue jobs, and automation tools.
* Develop shared internal libraries for ETL, monitoring, and data governance.
* Implement automated CI/CD delivery pipelines.
**DevOps \&amp; Cloud Platform Automation**
* Use Infrastructure\-as\-Code tools including:
	+ **Terraform** (modules, workspaces, state management)
	+ AWS CloudFormation or CDK (optional but beneficial)
* Implement:
	+ Automated provisioning of AWS resources
	+ Version\-controlled, repeatable deployments
	+ Secure IAM roles and resource policies
* Configure monitoring, alerting, logging pipelines, and operational dashboards.
The base salary range for this position is $92,250 \- $131,786,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03/02/2026\.This position is for an existing, immediate vacancy. We are currently seeking to fill this role with an individual who can start as soon as possible.
**\#Concentrix**
**\#Remote**</t>
        </is>
      </c>
    </row>
    <row r="111">
      <c r="A111" t="inlineStr">
        <is>
          <t>in-f5cb630284635d10</t>
        </is>
      </c>
      <c r="B111" t="inlineStr">
        <is>
          <t>AWS Data Platform Engineer</t>
        </is>
      </c>
      <c r="C111" t="inlineStr">
        <is>
          <t>Concentrix</t>
        </is>
      </c>
      <c r="D111" t="inlineStr">
        <is>
          <t>indeed</t>
        </is>
      </c>
      <c r="E111">
        <f>HYPERLINK("https://www.indeed.com/viewjob?jk=f5cb630284635d10", "https://www.indeed.com/viewjob?jk=f5cb630284635d10")</f>
        <v/>
      </c>
      <c r="F111">
        <f>HYPERLINK("https://cnx.wd1.myworkdayjobs.com/external_global/job/USA-Work-at-Home/AWS-Data-Platform-Engineer_R1708660?source=Indeed", "https://cnx.wd1.myworkdayjobs.com/external_global/job/USA-Work-at-Home/AWS-Data-Platform-Engineer_R1708660?source=Indeed")</f>
        <v/>
      </c>
      <c r="G111" t="inlineStr">
        <is>
          <t>TX, US</t>
        </is>
      </c>
      <c r="H111" s="2" t="n">
        <v>46077</v>
      </c>
      <c r="I111" t="inlineStr">
        <is>
          <t>**Title: AWS Data Platform Engineer**
**Location: Remote in USA**
**Key Responsibilities**
Preferred 6\+ years of experience
**AWS Data Lake Architecture \&amp; Setup**
* Design and maintain scalable **AWS Data Lakes** using:
	+ **Amazon S3** for multi\-zone data storage (raw, curated, processed)
	+ **AWS Glue** Jobs, Crawlers, and Data Catalog
	+ **AWS Lake Formation** for centralized governance and security
* Configure Lake Formation capabilities:
	+ Row/column\-level access control
	+ Tag\-based access control (LF\-TBAC)
	+ Governed table permissions
	+ Cross\-account data sharing
* Implement best practices in:
	+ Data partitioning
	+ Schema evolution
	+ Metadata and catalog management
* Build and optimize ingestion and ETL pipelines for batch or near\-real\-time workloads.
**AWS Serverless Development**
* Develop serverless applications using:
	+ **Lambda**
	+ **API Gateway**
	+ **EventBridge**
	+ **SNS/SQS**
	+ **Step Functions**
* Build and tune AWS Glue ETL jobs using Python and PySpark.
* Implement cost\-efficient, highly scalable, event\-driven architectures.
**Monitoring, Logging \&amp; Observability**
* Implement monitoring and alerting using:
	+ **Amazon CloudWatch Logs, Metrics \&amp; Dashboards**
	+ CloudWatch Alarms for proactive incident detection
* Use CloudWatch Log Insights for log analytics and troubleshooting.
* Configure **AWS X\-Ray** for distributed tracing and end\-to\-end visibility.
* Build automated alerts around:
	+ Lambda failures
	+ Glue job errors
	+ Data pipeline SLAs
	+ Performance anomalies
**Data Engineering \&amp; Spark**
* Develop ETL pipelines using **PySpark** on AWS Glue or EMR.
* Optimize Spark workloads for performance, cost, and scaling.
* Troubleshoot distributed data issues and tune job performance.
**Python Development**
* Write clean Python code for Lambda functions, Glue jobs, and automation tools.
* Develop shared internal libraries for ETL, monitoring, and data governance.
* Implement automated CI/CD delivery pipelines.
**DevOps \&amp; Cloud Platform Automation**
* Use Infrastructure\-as\-Code tools including:
	+ **Terraform** (modules, workspaces, state management)
	+ AWS CloudFormation or CDK (optional but beneficial)
* Implement:
	+ Automated provisioning of AWS resources
	+ Version\-controlled, repeatable deployments
	+ Secure IAM roles and resource policies
* Configure monitoring, alerting, logging pipelines, and operational dashboards.
The base salary range for this position is $92,250 \- $131,786,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03/02/2026\.This position is for an existing, immediate vacancy. We are currently seeking to fill this role with an individual who can start as soon as possible.
**\#Concentrix**
**\#Remote**</t>
        </is>
      </c>
    </row>
    <row r="112">
      <c r="A112" t="inlineStr">
        <is>
          <t>in-6a18fe79343696c2</t>
        </is>
      </c>
      <c r="B112" t="inlineStr">
        <is>
          <t>AWS Data Platform Engineer</t>
        </is>
      </c>
      <c r="C112" t="inlineStr">
        <is>
          <t>Concentrix</t>
        </is>
      </c>
      <c r="D112" t="inlineStr">
        <is>
          <t>indeed</t>
        </is>
      </c>
      <c r="E112">
        <f>HYPERLINK("https://www.indeed.com/viewjob?jk=6a18fe79343696c2", "https://www.indeed.com/viewjob?jk=6a18fe79343696c2")</f>
        <v/>
      </c>
      <c r="F112">
        <f>HYPERLINK("https://cnx.wd1.myworkdayjobs.com/external_global/job/USA-Work-at-Home/AWS-Data-Platform-Engineer_R1708660?source=Indeed", "https://cnx.wd1.myworkdayjobs.com/external_global/job/USA-Work-at-Home/AWS-Data-Platform-Engineer_R1708660?source=Indeed")</f>
        <v/>
      </c>
      <c r="G112" t="inlineStr">
        <is>
          <t>NE, US</t>
        </is>
      </c>
      <c r="H112" s="2" t="n">
        <v>46077</v>
      </c>
      <c r="I112" t="inlineStr">
        <is>
          <t>**Title: AWS Data Platform Engineer**
**Location: Remote in USA**
**Key Responsibilities**
Preferred 6\+ years of experience
**AWS Data Lake Architecture \&amp; Setup**
* Design and maintain scalable **AWS Data Lakes** using:
	+ **Amazon S3** for multi\-zone data storage (raw, curated, processed)
	+ **AWS Glue** Jobs, Crawlers, and Data Catalog
	+ **AWS Lake Formation** for centralized governance and security
* Configure Lake Formation capabilities:
	+ Row/column\-level access control
	+ Tag\-based access control (LF\-TBAC)
	+ Governed table permissions
	+ Cross\-account data sharing
* Implement best practices in:
	+ Data partitioning
	+ Schema evolution
	+ Metadata and catalog management
* Build and optimize ingestion and ETL pipelines for batch or near\-real\-time workloads.
**AWS Serverless Development**
* Develop serverless applications using:
	+ **Lambda**
	+ **API Gateway**
	+ **EventBridge**
	+ **SNS/SQS**
	+ **Step Functions**
* Build and tune AWS Glue ETL jobs using Python and PySpark.
* Implement cost\-efficient, highly scalable, event\-driven architectures.
**Monitoring, Logging \&amp; Observability**
* Implement monitoring and alerting using:
	+ **Amazon CloudWatch Logs, Metrics \&amp; Dashboards**
	+ CloudWatch Alarms for proactive incident detection
* Use CloudWatch Log Insights for log analytics and troubleshooting.
* Configure **AWS X\-Ray** for distributed tracing and end\-to\-end visibility.
* Build automated alerts around:
	+ Lambda failures
	+ Glue job errors
	+ Data pipeline SLAs
	+ Performance anomalies
**Data Engineering \&amp; Spark**
* Develop ETL pipelines using **PySpark** on AWS Glue or EMR.
* Optimize Spark workloads for performance, cost, and scaling.
* Troubleshoot distributed data issues and tune job performance.
**Python Development**
* Write clean Python code for Lambda functions, Glue jobs, and automation tools.
* Develop shared internal libraries for ETL, monitoring, and data governance.
* Implement automated CI/CD delivery pipelines.
**DevOps \&amp; Cloud Platform Automation**
* Use Infrastructure\-as\-Code tools including:
	+ **Terraform** (modules, workspaces, state management)
	+ AWS CloudFormation or CDK (optional but beneficial)
* Implement:
	+ Automated provisioning of AWS resources
	+ Version\-controlled, repeatable deployments
	+ Secure IAM roles and resource policies
* Configure monitoring, alerting, logging pipelines, and operational dashboards.
The base salary range for this position is $92,250 \- $131,786,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03/02/2026\.This position is for an existing, immediate vacancy. We are currently seeking to fill this role with an individual who can start as soon as possible.
**\#Concentrix**
**\#Remote**</t>
        </is>
      </c>
    </row>
    <row r="113">
      <c r="A113" t="inlineStr">
        <is>
          <t>in-d01fcf56429b22f3</t>
        </is>
      </c>
      <c r="B113" t="inlineStr">
        <is>
          <t>AWS Data Platform Engineer</t>
        </is>
      </c>
      <c r="C113" t="inlineStr">
        <is>
          <t>Concentrix</t>
        </is>
      </c>
      <c r="D113" t="inlineStr">
        <is>
          <t>indeed</t>
        </is>
      </c>
      <c r="E113">
        <f>HYPERLINK("https://www.indeed.com/viewjob?jk=d01fcf56429b22f3", "https://www.indeed.com/viewjob?jk=d01fcf56429b22f3")</f>
        <v/>
      </c>
      <c r="F113">
        <f>HYPERLINK("https://cnx.wd1.myworkdayjobs.com/external_global/job/USA-Work-at-Home/AWS-Data-Platform-Engineer_R1708660?source=Indeed", "https://cnx.wd1.myworkdayjobs.com/external_global/job/USA-Work-at-Home/AWS-Data-Platform-Engineer_R1708660?source=Indeed")</f>
        <v/>
      </c>
      <c r="G113" t="inlineStr">
        <is>
          <t>WV, US</t>
        </is>
      </c>
      <c r="H113" s="2" t="n">
        <v>46077</v>
      </c>
      <c r="I113" t="inlineStr">
        <is>
          <t>**Title: AWS Data Platform Engineer**
**Location: Remote in USA**
**Key Responsibilities**
Preferred 6\+ years of experience
**AWS Data Lake Architecture \&amp; Setup**
* Design and maintain scalable **AWS Data Lakes** using:
	+ **Amazon S3** for multi\-zone data storage (raw, curated, processed)
	+ **AWS Glue** Jobs, Crawlers, and Data Catalog
	+ **AWS Lake Formation** for centralized governance and security
* Configure Lake Formation capabilities:
	+ Row/column\-level access control
	+ Tag\-based access control (LF\-TBAC)
	+ Governed table permissions
	+ Cross\-account data sharing
* Implement best practices in:
	+ Data partitioning
	+ Schema evolution
	+ Metadata and catalog management
* Build and optimize ingestion and ETL pipelines for batch or near\-real\-time workloads.
**AWS Serverless Development**
* Develop serverless applications using:
	+ **Lambda**
	+ **API Gateway**
	+ **EventBridge**
	+ **SNS/SQS**
	+ **Step Functions**
* Build and tune AWS Glue ETL jobs using Python and PySpark.
* Implement cost\-efficient, highly scalable, event\-driven architectures.
**Monitoring, Logging \&amp; Observability**
* Implement monitoring and alerting using:
	+ **Amazon CloudWatch Logs, Metrics \&amp; Dashboards**
	+ CloudWatch Alarms for proactive incident detection
* Use CloudWatch Log Insights for log analytics and troubleshooting.
* Configure **AWS X\-Ray** for distributed tracing and end\-to\-end visibility.
* Build automated alerts around:
	+ Lambda failures
	+ Glue job errors
	+ Data pipeline SLAs
	+ Performance anomalies
**Data Engineering \&amp; Spark**
* Develop ETL pipelines using **PySpark** on AWS Glue or EMR.
* Optimize Spark workloads for performance, cost, and scaling.
* Troubleshoot distributed data issues and tune job performance.
**Python Development**
* Write clean Python code for Lambda functions, Glue jobs, and automation tools.
* Develop shared internal libraries for ETL, monitoring, and data governance.
* Implement automated CI/CD delivery pipelines.
**DevOps \&amp; Cloud Platform Automation**
* Use Infrastructure\-as\-Code tools including:
	+ **Terraform** (modules, workspaces, state management)
	+ AWS CloudFormation or CDK (optional but beneficial)
* Implement:
	+ Automated provisioning of AWS resources
	+ Version\-controlled, repeatable deployments
	+ Secure IAM roles and resource policies
* Configure monitoring, alerting, logging pipelines, and operational dashboards.
The base salary range for this position is $92,250 \- $131,786,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03/02/2026\.This position is for an existing, immediate vacancy. We are currently seeking to fill this role with an individual who can start as soon as possible.
**\#Concentrix**
**\#Remote**</t>
        </is>
      </c>
    </row>
    <row r="114">
      <c r="A114" t="inlineStr">
        <is>
          <t>in-35d3942f25a95dc7</t>
        </is>
      </c>
      <c r="B114" t="inlineStr">
        <is>
          <t>AWS Data Platform Engineer</t>
        </is>
      </c>
      <c r="C114" t="inlineStr">
        <is>
          <t>Concentrix</t>
        </is>
      </c>
      <c r="D114" t="inlineStr">
        <is>
          <t>indeed</t>
        </is>
      </c>
      <c r="E114">
        <f>HYPERLINK("https://www.indeed.com/viewjob?jk=35d3942f25a95dc7", "https://www.indeed.com/viewjob?jk=35d3942f25a95dc7")</f>
        <v/>
      </c>
      <c r="F114">
        <f>HYPERLINK("https://cnx.wd1.myworkdayjobs.com/external_global/job/USA-Work-at-Home/AWS-Data-Platform-Engineer_R1708660?source=Indeed", "https://cnx.wd1.myworkdayjobs.com/external_global/job/USA-Work-at-Home/AWS-Data-Platform-Engineer_R1708660?source=Indeed")</f>
        <v/>
      </c>
      <c r="G114" t="inlineStr">
        <is>
          <t>SC, US</t>
        </is>
      </c>
      <c r="H114" s="2" t="n">
        <v>46077</v>
      </c>
      <c r="I114" t="inlineStr">
        <is>
          <t>**Title: AWS Data Platform Engineer**
**Location: Remote in USA**
**Key Responsibilities**
Preferred 6\+ years of experience
**AWS Data Lake Architecture \&amp; Setup**
* Design and maintain scalable **AWS Data Lakes** using:
	+ **Amazon S3** for multi\-zone data storage (raw, curated, processed)
	+ **AWS Glue** Jobs, Crawlers, and Data Catalog
	+ **AWS Lake Formation** for centralized governance and security
* Configure Lake Formation capabilities:
	+ Row/column\-level access control
	+ Tag\-based access control (LF\-TBAC)
	+ Governed table permissions
	+ Cross\-account data sharing
* Implement best practices in:
	+ Data partitioning
	+ Schema evolution
	+ Metadata and catalog management
* Build and optimize ingestion and ETL pipelines for batch or near\-real\-time workloads.
**AWS Serverless Development**
* Develop serverless applications using:
	+ **Lambda**
	+ **API Gateway**
	+ **EventBridge**
	+ **SNS/SQS**
	+ **Step Functions**
* Build and tune AWS Glue ETL jobs using Python and PySpark.
* Implement cost\-efficient, highly scalable, event\-driven architectures.
**Monitoring, Logging \&amp; Observability**
* Implement monitoring and alerting using:
	+ **Amazon CloudWatch Logs, Metrics \&amp; Dashboards**
	+ CloudWatch Alarms for proactive incident detection
* Use CloudWatch Log Insights for log analytics and troubleshooting.
* Configure **AWS X\-Ray** for distributed tracing and end\-to\-end visibility.
* Build automated alerts around:
	+ Lambda failures
	+ Glue job errors
	+ Data pipeline SLAs
	+ Performance anomalies
**Data Engineering \&amp; Spark**
* Develop ETL pipelines using **PySpark** on AWS Glue or EMR.
* Optimize Spark workloads for performance, cost, and scaling.
* Troubleshoot distributed data issues and tune job performance.
**Python Development**
* Write clean Python code for Lambda functions, Glue jobs, and automation tools.
* Develop shared internal libraries for ETL, monitoring, and data governance.
* Implement automated CI/CD delivery pipelines.
**DevOps \&amp; Cloud Platform Automation**
* Use Infrastructure\-as\-Code tools including:
	+ **Terraform** (modules, workspaces, state management)
	+ AWS CloudFormation or CDK (optional but beneficial)
* Implement:
	+ Automated provisioning of AWS resources
	+ Version\-controlled, repeatable deployments
	+ Secure IAM roles and resource policies
* Configure monitoring, alerting, logging pipelines, and operational dashboards.
The base salary range for this position is $92,250 \- $131,786,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03/02/2026\.This position is for an existing, immediate vacancy. We are currently seeking to fill this role with an individual who can start as soon as possible.
**\#Concentrix**
**\#Remote**</t>
        </is>
      </c>
    </row>
    <row r="115">
      <c r="A115" t="inlineStr">
        <is>
          <t>in-179f41f660f48774</t>
        </is>
      </c>
      <c r="B115" t="inlineStr">
        <is>
          <t>AWS Data Platform Engineer</t>
        </is>
      </c>
      <c r="C115" t="inlineStr">
        <is>
          <t>Concentrix</t>
        </is>
      </c>
      <c r="D115" t="inlineStr">
        <is>
          <t>indeed</t>
        </is>
      </c>
      <c r="E115">
        <f>HYPERLINK("https://www.indeed.com/viewjob?jk=179f41f660f48774", "https://www.indeed.com/viewjob?jk=179f41f660f48774")</f>
        <v/>
      </c>
      <c r="F115">
        <f>HYPERLINK("https://cnx.wd1.myworkdayjobs.com/external_global/job/USA-Work-at-Home/AWS-Data-Platform-Engineer_R1708660?source=Indeed", "https://cnx.wd1.myworkdayjobs.com/external_global/job/USA-Work-at-Home/AWS-Data-Platform-Engineer_R1708660?source=Indeed")</f>
        <v/>
      </c>
      <c r="G115" t="inlineStr">
        <is>
          <t>TN, US</t>
        </is>
      </c>
      <c r="H115" s="2" t="n">
        <v>46077</v>
      </c>
      <c r="I115" t="inlineStr">
        <is>
          <t>**Title: AWS Data Platform Engineer**
**Location: Remote in USA**
**Key Responsibilities**
Preferred 6\+ years of experience
**AWS Data Lake Architecture \&amp; Setup**
* Design and maintain scalable **AWS Data Lakes** using:
	+ **Amazon S3** for multi\-zone data storage (raw, curated, processed)
	+ **AWS Glue** Jobs, Crawlers, and Data Catalog
	+ **AWS Lake Formation** for centralized governance and security
* Configure Lake Formation capabilities:
	+ Row/column\-level access control
	+ Tag\-based access control (LF\-TBAC)
	+ Governed table permissions
	+ Cross\-account data sharing
* Implement best practices in:
	+ Data partitioning
	+ Schema evolution
	+ Metadata and catalog management
* Build and optimize ingestion and ETL pipelines for batch or near\-real\-time workloads.
**AWS Serverless Development**
* Develop serverless applications using:
	+ **Lambda**
	+ **API Gateway**
	+ **EventBridge**
	+ **SNS/SQS**
	+ **Step Functions**
* Build and tune AWS Glue ETL jobs using Python and PySpark.
* Implement cost\-efficient, highly scalable, event\-driven architectures.
**Monitoring, Logging \&amp; Observability**
* Implement monitoring and alerting using:
	+ **Amazon CloudWatch Logs, Metrics \&amp; Dashboards**
	+ CloudWatch Alarms for proactive incident detection
* Use CloudWatch Log Insights for log analytics and troubleshooting.
* Configure **AWS X\-Ray** for distributed tracing and end\-to\-end visibility.
* Build automated alerts around:
	+ Lambda failures
	+ Glue job errors
	+ Data pipeline SLAs
	+ Performance anomalies
**Data Engineering \&amp; Spark**
* Develop ETL pipelines using **PySpark** on AWS Glue or EMR.
* Optimize Spark workloads for performance, cost, and scaling.
* Troubleshoot distributed data issues and tune job performance.
**Python Development**
* Write clean Python code for Lambda functions, Glue jobs, and automation tools.
* Develop shared internal libraries for ETL, monitoring, and data governance.
* Implement automated CI/CD delivery pipelines.
**DevOps \&amp; Cloud Platform Automation**
* Use Infrastructure\-as\-Code tools including:
	+ **Terraform** (modules, workspaces, state management)
	+ AWS CloudFormation or CDK (optional but beneficial)
* Implement:
	+ Automated provisioning of AWS resources
	+ Version\-controlled, repeatable deployments
	+ Secure IAM roles and resource policies
* Configure monitoring, alerting, logging pipelines, and operational dashboards.
The base salary range for this position is $92,250 \- $131,786,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03/02/2026\.This position is for an existing, immediate vacancy. We are currently seeking to fill this role with an individual who can start as soon as possible.
**\#Concentrix**
**\#Remote**</t>
        </is>
      </c>
    </row>
    <row r="116">
      <c r="A116" t="inlineStr">
        <is>
          <t>in-aa8c99e610dc718a</t>
        </is>
      </c>
      <c r="B116" t="inlineStr">
        <is>
          <t>AWS Data Platform Engineer</t>
        </is>
      </c>
      <c r="C116" t="inlineStr">
        <is>
          <t>Concentrix</t>
        </is>
      </c>
      <c r="D116" t="inlineStr">
        <is>
          <t>indeed</t>
        </is>
      </c>
      <c r="E116">
        <f>HYPERLINK("https://www.indeed.com/viewjob?jk=aa8c99e610dc718a", "https://www.indeed.com/viewjob?jk=aa8c99e610dc718a")</f>
        <v/>
      </c>
      <c r="F116">
        <f>HYPERLINK("https://cnx.wd1.myworkdayjobs.com/external_global/job/USA-Work-at-Home/AWS-Data-Platform-Engineer_R1708660?source=Indeed", "https://cnx.wd1.myworkdayjobs.com/external_global/job/USA-Work-at-Home/AWS-Data-Platform-Engineer_R1708660?source=Indeed")</f>
        <v/>
      </c>
      <c r="G116" t="inlineStr">
        <is>
          <t>ID, US</t>
        </is>
      </c>
      <c r="H116" s="2" t="n">
        <v>46077</v>
      </c>
      <c r="I116" t="inlineStr">
        <is>
          <t>**Title: AWS Data Platform Engineer**
**Location: Remote in USA**
**Key Responsibilities**
Preferred 6\+ years of experience
**AWS Data Lake Architecture \&amp; Setup**
* Design and maintain scalable **AWS Data Lakes** using:
	+ **Amazon S3** for multi\-zone data storage (raw, curated, processed)
	+ **AWS Glue** Jobs, Crawlers, and Data Catalog
	+ **AWS Lake Formation** for centralized governance and security
* Configure Lake Formation capabilities:
	+ Row/column\-level access control
	+ Tag\-based access control (LF\-TBAC)
	+ Governed table permissions
	+ Cross\-account data sharing
* Implement best practices in:
	+ Data partitioning
	+ Schema evolution
	+ Metadata and catalog management
* Build and optimize ingestion and ETL pipelines for batch or near\-real\-time workloads.
**AWS Serverless Development**
* Develop serverless applications using:
	+ **Lambda**
	+ **API Gateway**
	+ **EventBridge**
	+ **SNS/SQS**
	+ **Step Functions**
* Build and tune AWS Glue ETL jobs using Python and PySpark.
* Implement cost\-efficient, highly scalable, event\-driven architectures.
**Monitoring, Logging \&amp; Observability**
* Implement monitoring and alerting using:
	+ **Amazon CloudWatch Logs, Metrics \&amp; Dashboards**
	+ CloudWatch Alarms for proactive incident detection
* Use CloudWatch Log Insights for log analytics and troubleshooting.
* Configure **AWS X\-Ray** for distributed tracing and end\-to\-end visibility.
* Build automated alerts around:
	+ Lambda failures
	+ Glue job errors
	+ Data pipeline SLAs
	+ Performance anomalies
**Data Engineering \&amp; Spark**
* Develop ETL pipelines using **PySpark** on AWS Glue or EMR.
* Optimize Spark workloads for performance, cost, and scaling.
* Troubleshoot distributed data issues and tune job performance.
**Python Development**
* Write clean Python code for Lambda functions, Glue jobs, and automation tools.
* Develop shared internal libraries for ETL, monitoring, and data governance.
* Implement automated CI/CD delivery pipelines.
**DevOps \&amp; Cloud Platform Automation**
* Use Infrastructure\-as\-Code tools including:
	+ **Terraform** (modules, workspaces, state management)
	+ AWS CloudFormation or CDK (optional but beneficial)
* Implement:
	+ Automated provisioning of AWS resources
	+ Version\-controlled, repeatable deployments
	+ Secure IAM roles and resource policies
* Configure monitoring, alerting, logging pipelines, and operational dashboards.
The base salary range for this position is $92,250 \- $131,786,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03/02/2026\.This position is for an existing, immediate vacancy. We are currently seeking to fill this role with an individual who can start as soon as possible.
**\#Concentrix**
**\#Remote**</t>
        </is>
      </c>
    </row>
    <row r="117">
      <c r="A117" t="inlineStr">
        <is>
          <t>in-fe48df16882c48ff</t>
        </is>
      </c>
      <c r="B117" t="inlineStr">
        <is>
          <t>AWS Data Platform Engineer</t>
        </is>
      </c>
      <c r="C117" t="inlineStr">
        <is>
          <t>Concentrix</t>
        </is>
      </c>
      <c r="D117" t="inlineStr">
        <is>
          <t>indeed</t>
        </is>
      </c>
      <c r="E117">
        <f>HYPERLINK("https://www.indeed.com/viewjob?jk=fe48df16882c48ff", "https://www.indeed.com/viewjob?jk=fe48df16882c48ff")</f>
        <v/>
      </c>
      <c r="F117">
        <f>HYPERLINK("https://cnx.wd1.myworkdayjobs.com/external_global/job/USA-Work-at-Home/AWS-Data-Platform-Engineer_R1708660?source=Indeed", "https://cnx.wd1.myworkdayjobs.com/external_global/job/USA-Work-at-Home/AWS-Data-Platform-Engineer_R1708660?source=Indeed")</f>
        <v/>
      </c>
      <c r="G117" t="inlineStr">
        <is>
          <t>MI, US</t>
        </is>
      </c>
      <c r="H117" s="2" t="n">
        <v>46077</v>
      </c>
      <c r="I117" t="inlineStr">
        <is>
          <t>**Title: AWS Data Platform Engineer**
**Location: Remote in USA**
**Key Responsibilities**
Preferred 6\+ years of experience
**AWS Data Lake Architecture \&amp; Setup**
* Design and maintain scalable **AWS Data Lakes** using:
	+ **Amazon S3** for multi\-zone data storage (raw, curated, processed)
	+ **AWS Glue** Jobs, Crawlers, and Data Catalog
	+ **AWS Lake Formation** for centralized governance and security
* Configure Lake Formation capabilities:
	+ Row/column\-level access control
	+ Tag\-based access control (LF\-TBAC)
	+ Governed table permissions
	+ Cross\-account data sharing
* Implement best practices in:
	+ Data partitioning
	+ Schema evolution
	+ Metadata and catalog management
* Build and optimize ingestion and ETL pipelines for batch or near\-real\-time workloads.
**AWS Serverless Development**
* Develop serverless applications using:
	+ **Lambda**
	+ **API Gateway**
	+ **EventBridge**
	+ **SNS/SQS**
	+ **Step Functions**
* Build and tune AWS Glue ETL jobs using Python and PySpark.
* Implement cost\-efficient, highly scalable, event\-driven architectures.
**Monitoring, Logging \&amp; Observability**
* Implement monitoring and alerting using:
	+ **Amazon CloudWatch Logs, Metrics \&amp; Dashboards**
	+ CloudWatch Alarms for proactive incident detection
* Use CloudWatch Log Insights for log analytics and troubleshooting.
* Configure **AWS X\-Ray** for distributed tracing and end\-to\-end visibility.
* Build automated alerts around:
	+ Lambda failures
	+ Glue job errors
	+ Data pipeline SLAs
	+ Performance anomalies
**Data Engineering \&amp; Spark**
* Develop ETL pipelines using **PySpark** on AWS Glue or EMR.
* Optimize Spark workloads for performance, cost, and scaling.
* Troubleshoot distributed data issues and tune job performance.
**Python Development**
* Write clean Python code for Lambda functions, Glue jobs, and automation tools.
* Develop shared internal libraries for ETL, monitoring, and data governance.
* Implement automated CI/CD delivery pipelines.
**DevOps \&amp; Cloud Platform Automation**
* Use Infrastructure\-as\-Code tools including:
	+ **Terraform** (modules, workspaces, state management)
	+ AWS CloudFormation or CDK (optional but beneficial)
* Implement:
	+ Automated provisioning of AWS resources
	+ Version\-controlled, repeatable deployments
	+ Secure IAM roles and resource policies
* Configure monitoring, alerting, logging pipelines, and operational dashboards.
The base salary range for this position is $92,250 \- $131,786,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03/02/2026\.This position is for an existing, immediate vacancy. We are currently seeking to fill this role with an individual who can start as soon as possible.
**\#Concentrix**
**\#Remote**</t>
        </is>
      </c>
    </row>
    <row r="118">
      <c r="A118" t="inlineStr">
        <is>
          <t>in-48ab104d579f6157</t>
        </is>
      </c>
      <c r="B118" t="inlineStr">
        <is>
          <t>AWS Data Platform Engineer</t>
        </is>
      </c>
      <c r="C118" t="inlineStr">
        <is>
          <t>Concentrix</t>
        </is>
      </c>
      <c r="D118" t="inlineStr">
        <is>
          <t>indeed</t>
        </is>
      </c>
      <c r="E118">
        <f>HYPERLINK("https://www.indeed.com/viewjob?jk=48ab104d579f6157", "https://www.indeed.com/viewjob?jk=48ab104d579f6157")</f>
        <v/>
      </c>
      <c r="F118">
        <f>HYPERLINK("https://cnx.wd1.myworkdayjobs.com/external_global/job/USA-Work-at-Home/AWS-Data-Platform-Engineer_R1708660?source=Indeed", "https://cnx.wd1.myworkdayjobs.com/external_global/job/USA-Work-at-Home/AWS-Data-Platform-Engineer_R1708660?source=Indeed")</f>
        <v/>
      </c>
      <c r="G118" t="inlineStr">
        <is>
          <t>UT, US</t>
        </is>
      </c>
      <c r="H118" s="2" t="n">
        <v>46077</v>
      </c>
      <c r="I118" t="inlineStr">
        <is>
          <t>**Title: AWS Data Platform Engineer**
**Location: Remote in USA**
**Key Responsibilities**
Preferred 6\+ years of experience
**AWS Data Lake Architecture \&amp; Setup**
* Design and maintain scalable **AWS Data Lakes** using:
	+ **Amazon S3** for multi\-zone data storage (raw, curated, processed)
	+ **AWS Glue** Jobs, Crawlers, and Data Catalog
	+ **AWS Lake Formation** for centralized governance and security
* Configure Lake Formation capabilities:
	+ Row/column\-level access control
	+ Tag\-based access control (LF\-TBAC)
	+ Governed table permissions
	+ Cross\-account data sharing
* Implement best practices in:
	+ Data partitioning
	+ Schema evolution
	+ Metadata and catalog management
* Build and optimize ingestion and ETL pipelines for batch or near\-real\-time workloads.
**AWS Serverless Development**
* Develop serverless applications using:
	+ **Lambda**
	+ **API Gateway**
	+ **EventBridge**
	+ **SNS/SQS**
	+ **Step Functions**
* Build and tune AWS Glue ETL jobs using Python and PySpark.
* Implement cost\-efficient, highly scalable, event\-driven architectures.
**Monitoring, Logging \&amp; Observability**
* Implement monitoring and alerting using:
	+ **Amazon CloudWatch Logs, Metrics \&amp; Dashboards**
	+ CloudWatch Alarms for proactive incident detection
* Use CloudWatch Log Insights for log analytics and troubleshooting.
* Configure **AWS X\-Ray** for distributed tracing and end\-to\-end visibility.
* Build automated alerts around:
	+ Lambda failures
	+ Glue job errors
	+ Data pipeline SLAs
	+ Performance anomalies
**Data Engineering \&amp; Spark**
* Develop ETL pipelines using **PySpark** on AWS Glue or EMR.
* Optimize Spark workloads for performance, cost, and scaling.
* Troubleshoot distributed data issues and tune job performance.
**Python Development**
* Write clean Python code for Lambda functions, Glue jobs, and automation tools.
* Develop shared internal libraries for ETL, monitoring, and data governance.
* Implement automated CI/CD delivery pipelines.
**DevOps \&amp; Cloud Platform Automation**
* Use Infrastructure\-as\-Code tools including:
	+ **Terraform** (modules, workspaces, state management)
	+ AWS CloudFormation or CDK (optional but beneficial)
* Implement:
	+ Automated provisioning of AWS resources
	+ Version\-controlled, repeatable deployments
	+ Secure IAM roles and resource policies
* Configure monitoring, alerting, logging pipelines, and operational dashboards.
The base salary range for this position is $92,250 \- $131,786,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03/02/2026\.This position is for an existing, immediate vacancy. We are currently seeking to fill this role with an individual who can start as soon as possible.
**\#Concentrix**
**\#Remote**</t>
        </is>
      </c>
    </row>
    <row r="119">
      <c r="A119" t="inlineStr">
        <is>
          <t>in-9eb69f10163f7e52</t>
        </is>
      </c>
      <c r="B119" t="inlineStr">
        <is>
          <t>AWS Data Platform Engineer</t>
        </is>
      </c>
      <c r="C119" t="inlineStr">
        <is>
          <t>Concentrix</t>
        </is>
      </c>
      <c r="D119" t="inlineStr">
        <is>
          <t>indeed</t>
        </is>
      </c>
      <c r="E119">
        <f>HYPERLINK("https://www.indeed.com/viewjob?jk=9eb69f10163f7e52", "https://www.indeed.com/viewjob?jk=9eb69f10163f7e52")</f>
        <v/>
      </c>
      <c r="F119">
        <f>HYPERLINK("https://cnx.wd1.myworkdayjobs.com/external_global/job/USA-Work-at-Home/AWS-Data-Platform-Engineer_R1708660?source=Indeed", "https://cnx.wd1.myworkdayjobs.com/external_global/job/USA-Work-at-Home/AWS-Data-Platform-Engineer_R1708660?source=Indeed")</f>
        <v/>
      </c>
      <c r="G119" t="inlineStr">
        <is>
          <t>RI, US</t>
        </is>
      </c>
      <c r="H119" s="2" t="n">
        <v>46077</v>
      </c>
      <c r="I119" t="inlineStr">
        <is>
          <t>**Title: AWS Data Platform Engineer**
**Location: Remote in USA**
**Key Responsibilities**
Preferred 6\+ years of experience
**AWS Data Lake Architecture \&amp; Setup**
* Design and maintain scalable **AWS Data Lakes** using:
	+ **Amazon S3** for multi\-zone data storage (raw, curated, processed)
	+ **AWS Glue** Jobs, Crawlers, and Data Catalog
	+ **AWS Lake Formation** for centralized governance and security
* Configure Lake Formation capabilities:
	+ Row/column\-level access control
	+ Tag\-based access control (LF\-TBAC)
	+ Governed table permissions
	+ Cross\-account data sharing
* Implement best practices in:
	+ Data partitioning
	+ Schema evolution
	+ Metadata and catalog management
* Build and optimize ingestion and ETL pipelines for batch or near\-real\-time workloads.
**AWS Serverless Development**
* Develop serverless applications using:
	+ **Lambda**
	+ **API Gateway**
	+ **EventBridge**
	+ **SNS/SQS**
	+ **Step Functions**
* Build and tune AWS Glue ETL jobs using Python and PySpark.
* Implement cost\-efficient, highly scalable, event\-driven architectures.
**Monitoring, Logging \&amp; Observability**
* Implement monitoring and alerting using:
	+ **Amazon CloudWatch Logs, Metrics \&amp; Dashboards**
	+ CloudWatch Alarms for proactive incident detection
* Use CloudWatch Log Insights for log analytics and troubleshooting.
* Configure **AWS X\-Ray** for distributed tracing and end\-to\-end visibility.
* Build automated alerts around:
	+ Lambda failures
	+ Glue job errors
	+ Data pipeline SLAs
	+ Performance anomalies
**Data Engineering \&amp; Spark**
* Develop ETL pipelines using **PySpark** on AWS Glue or EMR.
* Optimize Spark workloads for performance, cost, and scaling.
* Troubleshoot distributed data issues and tune job performance.
**Python Development**
* Write clean Python code for Lambda functions, Glue jobs, and automation tools.
* Develop shared internal libraries for ETL, monitoring, and data governance.
* Implement automated CI/CD delivery pipelines.
**DevOps \&amp; Cloud Platform Automation**
* Use Infrastructure\-as\-Code tools including:
	+ **Terraform** (modules, workspaces, state management)
	+ AWS CloudFormation or CDK (optional but beneficial)
* Implement:
	+ Automated provisioning of AWS resources
	+ Version\-controlled, repeatable deployments
	+ Secure IAM roles and resource policies
* Configure monitoring, alerting, logging pipelines, and operational dashboards.
The base salary range for this position is $92,250 \- $131,786,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03/02/2026\.This position is for an existing, immediate vacancy. We are currently seeking to fill this role with an individual who can start as soon as possible.
**\#Concentrix**
**\#Remote**</t>
        </is>
      </c>
    </row>
    <row r="120">
      <c r="A120" t="inlineStr">
        <is>
          <t>in-ff48f763950a943a</t>
        </is>
      </c>
      <c r="B120" t="inlineStr">
        <is>
          <t>AWS Data Platform Engineer</t>
        </is>
      </c>
      <c r="C120" t="inlineStr">
        <is>
          <t>Concentrix</t>
        </is>
      </c>
      <c r="D120" t="inlineStr">
        <is>
          <t>indeed</t>
        </is>
      </c>
      <c r="E120">
        <f>HYPERLINK("https://www.indeed.com/viewjob?jk=ff48f763950a943a", "https://www.indeed.com/viewjob?jk=ff48f763950a943a")</f>
        <v/>
      </c>
      <c r="F120">
        <f>HYPERLINK("https://cnx.wd1.myworkdayjobs.com/external_global/job/USA-Work-at-Home/AWS-Data-Platform-Engineer_R1708660?source=Indeed", "https://cnx.wd1.myworkdayjobs.com/external_global/job/USA-Work-at-Home/AWS-Data-Platform-Engineer_R1708660?source=Indeed")</f>
        <v/>
      </c>
      <c r="G120" t="inlineStr">
        <is>
          <t>ND, US</t>
        </is>
      </c>
      <c r="H120" s="2" t="n">
        <v>46077</v>
      </c>
      <c r="I120" t="inlineStr">
        <is>
          <t>**Title: AWS Data Platform Engineer**
**Location: Remote in USA**
**Key Responsibilities**
Preferred 6\+ years of experience
**AWS Data Lake Architecture \&amp; Setup**
* Design and maintain scalable **AWS Data Lakes** using:
	+ **Amazon S3** for multi\-zone data storage (raw, curated, processed)
	+ **AWS Glue** Jobs, Crawlers, and Data Catalog
	+ **AWS Lake Formation** for centralized governance and security
* Configure Lake Formation capabilities:
	+ Row/column\-level access control
	+ Tag\-based access control (LF\-TBAC)
	+ Governed table permissions
	+ Cross\-account data sharing
* Implement best practices in:
	+ Data partitioning
	+ Schema evolution
	+ Metadata and catalog management
* Build and optimize ingestion and ETL pipelines for batch or near\-real\-time workloads.
**AWS Serverless Development**
* Develop serverless applications using:
	+ **Lambda**
	+ **API Gateway**
	+ **EventBridge**
	+ **SNS/SQS**
	+ **Step Functions**
* Build and tune AWS Glue ETL jobs using Python and PySpark.
* Implement cost\-efficient, highly scalable, event\-driven architectures.
**Monitoring, Logging \&amp; Observability**
* Implement monitoring and alerting using:
	+ **Amazon CloudWatch Logs, Metrics \&amp; Dashboards**
	+ CloudWatch Alarms for proactive incident detection
* Use CloudWatch Log Insights for log analytics and troubleshooting.
* Configure **AWS X\-Ray** for distributed tracing and end\-to\-end visibility.
* Build automated alerts around:
	+ Lambda failures
	+ Glue job errors
	+ Data pipeline SLAs
	+ Performance anomalies
**Data Engineering \&amp; Spark**
* Develop ETL pipelines using **PySpark** on AWS Glue or EMR.
* Optimize Spark workloads for performance, cost, and scaling.
* Troubleshoot distributed data issues and tune job performance.
**Python Development**
* Write clean Python code for Lambda functions, Glue jobs, and automation tools.
* Develop shared internal libraries for ETL, monitoring, and data governance.
* Implement automated CI/CD delivery pipelines.
**DevOps \&amp; Cloud Platform Automation**
* Use Infrastructure\-as\-Code tools including:
	+ **Terraform** (modules, workspaces, state management)
	+ AWS CloudFormation or CDK (optional but beneficial)
* Implement:
	+ Automated provisioning of AWS resources
	+ Version\-controlled, repeatable deployments
	+ Secure IAM roles and resource policies
* Configure monitoring, alerting, logging pipelines, and operational dashboards.
The base salary range for this position is $92,250 \- $131,786,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03/02/2026\.This position is for an existing, immediate vacancy. We are currently seeking to fill this role with an individual who can start as soon as possible.
**\#Concentrix**
**\#Remote**</t>
        </is>
      </c>
    </row>
    <row r="121">
      <c r="A121" t="inlineStr">
        <is>
          <t>in-41daa222a6c0eb65</t>
        </is>
      </c>
      <c r="B121" t="inlineStr">
        <is>
          <t>AWS Data Platform Engineer</t>
        </is>
      </c>
      <c r="C121" t="inlineStr">
        <is>
          <t>Concentrix</t>
        </is>
      </c>
      <c r="D121" t="inlineStr">
        <is>
          <t>indeed</t>
        </is>
      </c>
      <c r="E121">
        <f>HYPERLINK("https://www.indeed.com/viewjob?jk=41daa222a6c0eb65", "https://www.indeed.com/viewjob?jk=41daa222a6c0eb65")</f>
        <v/>
      </c>
      <c r="F121">
        <f>HYPERLINK("https://cnx.wd1.myworkdayjobs.com/external_global/job/USA-Work-at-Home/AWS-Data-Platform-Engineer_R1708660?source=Indeed", "https://cnx.wd1.myworkdayjobs.com/external_global/job/USA-Work-at-Home/AWS-Data-Platform-Engineer_R1708660?source=Indeed")</f>
        <v/>
      </c>
      <c r="G121" t="inlineStr">
        <is>
          <t>OK, US</t>
        </is>
      </c>
      <c r="H121" s="2" t="n">
        <v>46077</v>
      </c>
      <c r="I121" t="inlineStr">
        <is>
          <t>**Title: AWS Data Platform Engineer**
**Location: Remote in USA**
**Key Responsibilities**
Preferred 6\+ years of experience
**AWS Data Lake Architecture \&amp; Setup**
* Design and maintain scalable **AWS Data Lakes** using:
	+ **Amazon S3** for multi\-zone data storage (raw, curated, processed)
	+ **AWS Glue** Jobs, Crawlers, and Data Catalog
	+ **AWS Lake Formation** for centralized governance and security
* Configure Lake Formation capabilities:
	+ Row/column\-level access control
	+ Tag\-based access control (LF\-TBAC)
	+ Governed table permissions
	+ Cross\-account data sharing
* Implement best practices in:
	+ Data partitioning
	+ Schema evolution
	+ Metadata and catalog management
* Build and optimize ingestion and ETL pipelines for batch or near\-real\-time workloads.
**AWS Serverless Development**
* Develop serverless applications using:
	+ **Lambda**
	+ **API Gateway**
	+ **EventBridge**
	+ **SNS/SQS**
	+ **Step Functions**
* Build and tune AWS Glue ETL jobs using Python and PySpark.
* Implement cost\-efficient, highly scalable, event\-driven architectures.
**Monitoring, Logging \&amp; Observability**
* Implement monitoring and alerting using:
	+ **Amazon CloudWatch Logs, Metrics \&amp; Dashboards**
	+ CloudWatch Alarms for proactive incident detection
* Use CloudWatch Log Insights for log analytics and troubleshooting.
* Configure **AWS X\-Ray** for distributed tracing and end\-to\-end visibility.
* Build automated alerts around:
	+ Lambda failures
	+ Glue job errors
	+ Data pipeline SLAs
	+ Performance anomalies
**Data Engineering \&amp; Spark**
* Develop ETL pipelines using **PySpark** on AWS Glue or EMR.
* Optimize Spark workloads for performance, cost, and scaling.
* Troubleshoot distributed data issues and tune job performance.
**Python Development**
* Write clean Python code for Lambda functions, Glue jobs, and automation tools.
* Develop shared internal libraries for ETL, monitoring, and data governance.
* Implement automated CI/CD delivery pipelines.
**DevOps \&amp; Cloud Platform Automation**
* Use Infrastructure\-as\-Code tools including:
	+ **Terraform** (modules, workspaces, state management)
	+ AWS CloudFormation or CDK (optional but beneficial)
* Implement:
	+ Automated provisioning of AWS resources
	+ Version\-controlled, repeatable deployments
	+ Secure IAM roles and resource policies
* Configure monitoring, alerting, logging pipelines, and operational dashboards.
The base salary range for this position is $92,250 \- $131,786,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03/02/2026\.This position is for an existing, immediate vacancy. We are currently seeking to fill this role with an individual who can start as soon as possible.
**\#Concentrix**
**\#Remote**</t>
        </is>
      </c>
    </row>
    <row r="122">
      <c r="A122" t="inlineStr">
        <is>
          <t>in-b513eec114560369</t>
        </is>
      </c>
      <c r="B122" t="inlineStr">
        <is>
          <t>AWS Data Platform Engineer</t>
        </is>
      </c>
      <c r="C122" t="inlineStr">
        <is>
          <t>Concentrix</t>
        </is>
      </c>
      <c r="D122" t="inlineStr">
        <is>
          <t>indeed</t>
        </is>
      </c>
      <c r="E122">
        <f>HYPERLINK("https://www.indeed.com/viewjob?jk=b513eec114560369", "https://www.indeed.com/viewjob?jk=b513eec114560369")</f>
        <v/>
      </c>
      <c r="F122">
        <f>HYPERLINK("https://cnx.wd1.myworkdayjobs.com/external_global/job/USA-Work-at-Home/AWS-Data-Platform-Engineer_R1708660?source=Indeed", "https://cnx.wd1.myworkdayjobs.com/external_global/job/USA-Work-at-Home/AWS-Data-Platform-Engineer_R1708660?source=Indeed")</f>
        <v/>
      </c>
      <c r="G122" t="inlineStr">
        <is>
          <t>NV, US</t>
        </is>
      </c>
      <c r="H122" s="2" t="n">
        <v>46077</v>
      </c>
      <c r="I122" t="inlineStr">
        <is>
          <t>**Title: AWS Data Platform Engineer**
**Location: Remote in USA**
**Key Responsibilities**
Preferred 6\+ years of experience
**AWS Data Lake Architecture \&amp; Setup**
* Design and maintain scalable **AWS Data Lakes** using:
	+ **Amazon S3** for multi\-zone data storage (raw, curated, processed)
	+ **AWS Glue** Jobs, Crawlers, and Data Catalog
	+ **AWS Lake Formation** for centralized governance and security
* Configure Lake Formation capabilities:
	+ Row/column\-level access control
	+ Tag\-based access control (LF\-TBAC)
	+ Governed table permissions
	+ Cross\-account data sharing
* Implement best practices in:
	+ Data partitioning
	+ Schema evolution
	+ Metadata and catalog management
* Build and optimize ingestion and ETL pipelines for batch or near\-real\-time workloads.
**AWS Serverless Development**
* Develop serverless applications using:
	+ **Lambda**
	+ **API Gateway**
	+ **EventBridge**
	+ **SNS/SQS**
	+ **Step Functions**
* Build and tune AWS Glue ETL jobs using Python and PySpark.
* Implement cost\-efficient, highly scalable, event\-driven architectures.
**Monitoring, Logging \&amp; Observability**
* Implement monitoring and alerting using:
	+ **Amazon CloudWatch Logs, Metrics \&amp; Dashboards**
	+ CloudWatch Alarms for proactive incident detection
* Use CloudWatch Log Insights for log analytics and troubleshooting.
* Configure **AWS X\-Ray** for distributed tracing and end\-to\-end visibility.
* Build automated alerts around:
	+ Lambda failures
	+ Glue job errors
	+ Data pipeline SLAs
	+ Performance anomalies
**Data Engineering \&amp; Spark**
* Develop ETL pipelines using **PySpark** on AWS Glue or EMR.
* Optimize Spark workloads for performance, cost, and scaling.
* Troubleshoot distributed data issues and tune job performance.
**Python Development**
* Write clean Python code for Lambda functions, Glue jobs, and automation tools.
* Develop shared internal libraries for ETL, monitoring, and data governance.
* Implement automated CI/CD delivery pipelines.
**DevOps \&amp; Cloud Platform Automation**
* Use Infrastructure\-as\-Code tools including:
	+ **Terraform** (modules, workspaces, state management)
	+ AWS CloudFormation or CDK (optional but beneficial)
* Implement:
	+ Automated provisioning of AWS resources
	+ Version\-controlled, repeatable deployments
	+ Secure IAM roles and resource policies
* Configure monitoring, alerting, logging pipelines, and operational dashboards.
The base salary range for this position is $92,250 \- $131,786,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03/02/2026\.This position is for an existing, immediate vacancy. We are currently seeking to fill this role with an individual who can start as soon as possible.
**\#Concentrix**
**\#Remote**</t>
        </is>
      </c>
    </row>
    <row r="123">
      <c r="A123" t="inlineStr">
        <is>
          <t>in-2f1fc91c2f3af434</t>
        </is>
      </c>
      <c r="B123" t="inlineStr">
        <is>
          <t>AWS Data Platform Engineer</t>
        </is>
      </c>
      <c r="C123" t="inlineStr">
        <is>
          <t>Concentrix</t>
        </is>
      </c>
      <c r="D123" t="inlineStr">
        <is>
          <t>indeed</t>
        </is>
      </c>
      <c r="E123">
        <f>HYPERLINK("https://www.indeed.com/viewjob?jk=2f1fc91c2f3af434", "https://www.indeed.com/viewjob?jk=2f1fc91c2f3af434")</f>
        <v/>
      </c>
      <c r="F123">
        <f>HYPERLINK("https://cnx.wd1.myworkdayjobs.com/external_global/job/USA-Work-at-Home/AWS-Data-Platform-Engineer_R1708660?source=Indeed", "https://cnx.wd1.myworkdayjobs.com/external_global/job/USA-Work-at-Home/AWS-Data-Platform-Engineer_R1708660?source=Indeed")</f>
        <v/>
      </c>
      <c r="G123" t="inlineStr">
        <is>
          <t>LA, US</t>
        </is>
      </c>
      <c r="H123" s="2" t="n">
        <v>46077</v>
      </c>
      <c r="I123" t="inlineStr">
        <is>
          <t>**Title: AWS Data Platform Engineer**
**Location: Remote in USA**
**Key Responsibilities**
Preferred 6\+ years of experience
**AWS Data Lake Architecture \&amp; Setup**
* Design and maintain scalable **AWS Data Lakes** using:
	+ **Amazon S3** for multi\-zone data storage (raw, curated, processed)
	+ **AWS Glue** Jobs, Crawlers, and Data Catalog
	+ **AWS Lake Formation** for centralized governance and security
* Configure Lake Formation capabilities:
	+ Row/column\-level access control
	+ Tag\-based access control (LF\-TBAC)
	+ Governed table permissions
	+ Cross\-account data sharing
* Implement best practices in:
	+ Data partitioning
	+ Schema evolution
	+ Metadata and catalog management
* Build and optimize ingestion and ETL pipelines for batch or near\-real\-time workloads.
**AWS Serverless Development**
* Develop serverless applications using:
	+ **Lambda**
	+ **API Gateway**
	+ **EventBridge**
	+ **SNS/SQS**
	+ **Step Functions**
* Build and tune AWS Glue ETL jobs using Python and PySpark.
* Implement cost\-efficient, highly scalable, event\-driven architectures.
**Monitoring, Logging \&amp; Observability**
* Implement monitoring and alerting using:
	+ **Amazon CloudWatch Logs, Metrics \&amp; Dashboards**
	+ CloudWatch Alarms for proactive incident detection
* Use CloudWatch Log Insights for log analytics and troubleshooting.
* Configure **AWS X\-Ray** for distributed tracing and end\-to\-end visibility.
* Build automated alerts around:
	+ Lambda failures
	+ Glue job errors
	+ Data pipeline SLAs
	+ Performance anomalies
**Data Engineering \&amp; Spark**
* Develop ETL pipelines using **PySpark** on AWS Glue or EMR.
* Optimize Spark workloads for performance, cost, and scaling.
* Troubleshoot distributed data issues and tune job performance.
**Python Development**
* Write clean Python code for Lambda functions, Glue jobs, and automation tools.
* Develop shared internal libraries for ETL, monitoring, and data governance.
* Implement automated CI/CD delivery pipelines.
**DevOps \&amp; Cloud Platform Automation**
* Use Infrastructure\-as\-Code tools including:
	+ **Terraform** (modules, workspaces, state management)
	+ AWS CloudFormation or CDK (optional but beneficial)
* Implement:
	+ Automated provisioning of AWS resources
	+ Version\-controlled, repeatable deployments
	+ Secure IAM roles and resource policies
* Configure monitoring, alerting, logging pipelines, and operational dashboards.
The base salary range for this position is $92,250 \- $131,786,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03/02/2026\.This position is for an existing, immediate vacancy. We are currently seeking to fill this role with an individual who can start as soon as possible.
**\#Concentrix**
**\#Remote**</t>
        </is>
      </c>
    </row>
    <row r="124">
      <c r="A124" t="inlineStr">
        <is>
          <t>in-9dd42a0e9f6369fb</t>
        </is>
      </c>
      <c r="B124" t="inlineStr">
        <is>
          <t>AWS Data Platform Engineer</t>
        </is>
      </c>
      <c r="C124" t="inlineStr">
        <is>
          <t>Concentrix</t>
        </is>
      </c>
      <c r="D124" t="inlineStr">
        <is>
          <t>indeed</t>
        </is>
      </c>
      <c r="E124">
        <f>HYPERLINK("https://www.indeed.com/viewjob?jk=9dd42a0e9f6369fb", "https://www.indeed.com/viewjob?jk=9dd42a0e9f6369fb")</f>
        <v/>
      </c>
      <c r="F124">
        <f>HYPERLINK("https://cnx.wd1.myworkdayjobs.com/external_global/job/USA-Work-at-Home/AWS-Data-Platform-Engineer_R1708660?source=Indeed", "https://cnx.wd1.myworkdayjobs.com/external_global/job/USA-Work-at-Home/AWS-Data-Platform-Engineer_R1708660?source=Indeed")</f>
        <v/>
      </c>
      <c r="G124" t="inlineStr">
        <is>
          <t>SD, US</t>
        </is>
      </c>
      <c r="H124" s="2" t="n">
        <v>46077</v>
      </c>
      <c r="I124" t="inlineStr">
        <is>
          <t>**Title: AWS Data Platform Engineer**
**Location: Remote in USA**
**Key Responsibilities**
Preferred 6\+ years of experience
**AWS Data Lake Architecture \&amp; Setup**
* Design and maintain scalable **AWS Data Lakes** using:
	+ **Amazon S3** for multi\-zone data storage (raw, curated, processed)
	+ **AWS Glue** Jobs, Crawlers, and Data Catalog
	+ **AWS Lake Formation** for centralized governance and security
* Configure Lake Formation capabilities:
	+ Row/column\-level access control
	+ Tag\-based access control (LF\-TBAC)
	+ Governed table permissions
	+ Cross\-account data sharing
* Implement best practices in:
	+ Data partitioning
	+ Schema evolution
	+ Metadata and catalog management
* Build and optimize ingestion and ETL pipelines for batch or near\-real\-time workloads.
**AWS Serverless Development**
* Develop serverless applications using:
	+ **Lambda**
	+ **API Gateway**
	+ **EventBridge**
	+ **SNS/SQS**
	+ **Step Functions**
* Build and tune AWS Glue ETL jobs using Python and PySpark.
* Implement cost\-efficient, highly scalable, event\-driven architectures.
**Monitoring, Logging \&amp; Observability**
* Implement monitoring and alerting using:
	+ **Amazon CloudWatch Logs, Metrics \&amp; Dashboards**
	+ CloudWatch Alarms for proactive incident detection
* Use CloudWatch Log Insights for log analytics and troubleshooting.
* Configure **AWS X\-Ray** for distributed tracing and end\-to\-end visibility.
* Build automated alerts around:
	+ Lambda failures
	+ Glue job errors
	+ Data pipeline SLAs
	+ Performance anomalies
**Data Engineering \&amp; Spark**
* Develop ETL pipelines using **PySpark** on AWS Glue or EMR.
* Optimize Spark workloads for performance, cost, and scaling.
* Troubleshoot distributed data issues and tune job performance.
**Python Development**
* Write clean Python code for Lambda functions, Glue jobs, and automation tools.
* Develop shared internal libraries for ETL, monitoring, and data governance.
* Implement automated CI/CD delivery pipelines.
**DevOps \&amp; Cloud Platform Automation**
* Use Infrastructure\-as\-Code tools including:
	+ **Terraform** (modules, workspaces, state management)
	+ AWS CloudFormation or CDK (optional but beneficial)
* Implement:
	+ Automated provisioning of AWS resources
	+ Version\-controlled, repeatable deployments
	+ Secure IAM roles and resource policies
* Configure monitoring, alerting, logging pipelines, and operational dashboards.
The base salary range for this position is $92,250 \- $131,786,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03/02/2026\.This position is for an existing, immediate vacancy. We are currently seeking to fill this role with an individual who can start as soon as possible.
**\#Concentrix**
**\#Remote**</t>
        </is>
      </c>
    </row>
    <row r="125">
      <c r="A125" t="inlineStr">
        <is>
          <t>in-e2ce8108c4c6139a</t>
        </is>
      </c>
      <c r="B125" t="inlineStr">
        <is>
          <t>AWS Data Platform Engineer</t>
        </is>
      </c>
      <c r="C125" t="inlineStr">
        <is>
          <t>Concentrix</t>
        </is>
      </c>
      <c r="D125" t="inlineStr">
        <is>
          <t>indeed</t>
        </is>
      </c>
      <c r="E125">
        <f>HYPERLINK("https://www.indeed.com/viewjob?jk=e2ce8108c4c6139a", "https://www.indeed.com/viewjob?jk=e2ce8108c4c6139a")</f>
        <v/>
      </c>
      <c r="F125">
        <f>HYPERLINK("https://cnx.wd1.myworkdayjobs.com/external_global/job/USA-Work-at-Home/AWS-Data-Platform-Engineer_R1708660?source=Indeed", "https://cnx.wd1.myworkdayjobs.com/external_global/job/USA-Work-at-Home/AWS-Data-Platform-Engineer_R1708660?source=Indeed")</f>
        <v/>
      </c>
      <c r="G125" t="inlineStr">
        <is>
          <t>MO, US</t>
        </is>
      </c>
      <c r="H125" s="2" t="n">
        <v>46077</v>
      </c>
      <c r="I125" t="inlineStr">
        <is>
          <t>**Title: AWS Data Platform Engineer**
**Location: Remote in USA**
**Key Responsibilities**
Preferred 6\+ years of experience
**AWS Data Lake Architecture \&amp; Setup**
* Design and maintain scalable **AWS Data Lakes** using:
	+ **Amazon S3** for multi\-zone data storage (raw, curated, processed)
	+ **AWS Glue** Jobs, Crawlers, and Data Catalog
	+ **AWS Lake Formation** for centralized governance and security
* Configure Lake Formation capabilities:
	+ Row/column\-level access control
	+ Tag\-based access control (LF\-TBAC)
	+ Governed table permissions
	+ Cross\-account data sharing
* Implement best practices in:
	+ Data partitioning
	+ Schema evolution
	+ Metadata and catalog management
* Build and optimize ingestion and ETL pipelines for batch or near\-real\-time workloads.
**AWS Serverless Development**
* Develop serverless applications using:
	+ **Lambda**
	+ **API Gateway**
	+ **EventBridge**
	+ **SNS/SQS**
	+ **Step Functions**
* Build and tune AWS Glue ETL jobs using Python and PySpark.
* Implement cost\-efficient, highly scalable, event\-driven architectures.
**Monitoring, Logging \&amp; Observability**
* Implement monitoring and alerting using:
	+ **Amazon CloudWatch Logs, Metrics \&amp; Dashboards**
	+ CloudWatch Alarms for proactive incident detection
* Use CloudWatch Log Insights for log analytics and troubleshooting.
* Configure **AWS X\-Ray** for distributed tracing and end\-to\-end visibility.
* Build automated alerts around:
	+ Lambda failures
	+ Glue job errors
	+ Data pipeline SLAs
	+ Performance anomalies
**Data Engineering \&amp; Spark**
* Develop ETL pipelines using **PySpark** on AWS Glue or EMR.
* Optimize Spark workloads for performance, cost, and scaling.
* Troubleshoot distributed data issues and tune job performance.
**Python Development**
* Write clean Python code for Lambda functions, Glue jobs, and automation tools.
* Develop shared internal libraries for ETL, monitoring, and data governance.
* Implement automated CI/CD delivery pipelines.
**DevOps \&amp; Cloud Platform Automation**
* Use Infrastructure\-as\-Code tools including:
	+ **Terraform** (modules, workspaces, state management)
	+ AWS CloudFormation or CDK (optional but beneficial)
* Implement:
	+ Automated provisioning of AWS resources
	+ Version\-controlled, repeatable deployments
	+ Secure IAM roles and resource policies
* Configure monitoring, alerting, logging pipelines, and operational dashboards.
The base salary range for this position is $92,250 \- $131,786,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03/02/2026\.This position is for an existing, immediate vacancy. We are currently seeking to fill this role with an individual who can start as soon as possible.
**\#Concentrix**
**\#Remote**</t>
        </is>
      </c>
    </row>
    <row r="126">
      <c r="A126" t="inlineStr">
        <is>
          <t>in-8bb1399157ed987a</t>
        </is>
      </c>
      <c r="B126" t="inlineStr">
        <is>
          <t>AWS Data Platform Engineer</t>
        </is>
      </c>
      <c r="C126" t="inlineStr">
        <is>
          <t>Concentrix</t>
        </is>
      </c>
      <c r="D126" t="inlineStr">
        <is>
          <t>indeed</t>
        </is>
      </c>
      <c r="E126">
        <f>HYPERLINK("https://www.indeed.com/viewjob?jk=8bb1399157ed987a", "https://www.indeed.com/viewjob?jk=8bb1399157ed987a")</f>
        <v/>
      </c>
      <c r="F126">
        <f>HYPERLINK("https://cnx.wd1.myworkdayjobs.com/external_global/job/USA-Work-at-Home/AWS-Data-Platform-Engineer_R1708660?source=Indeed", "https://cnx.wd1.myworkdayjobs.com/external_global/job/USA-Work-at-Home/AWS-Data-Platform-Engineer_R1708660?source=Indeed")</f>
        <v/>
      </c>
      <c r="G126" t="inlineStr">
        <is>
          <t>NC, US</t>
        </is>
      </c>
      <c r="H126" s="2" t="n">
        <v>46077</v>
      </c>
      <c r="I126" t="inlineStr">
        <is>
          <t>**Title: AWS Data Platform Engineer**
**Location: Remote in USA**
**Key Responsibilities**
Preferred 6\+ years of experience
**AWS Data Lake Architecture \&amp; Setup**
* Design and maintain scalable **AWS Data Lakes** using:
	+ **Amazon S3** for multi\-zone data storage (raw, curated, processed)
	+ **AWS Glue** Jobs, Crawlers, and Data Catalog
	+ **AWS Lake Formation** for centralized governance and security
* Configure Lake Formation capabilities:
	+ Row/column\-level access control
	+ Tag\-based access control (LF\-TBAC)
	+ Governed table permissions
	+ Cross\-account data sharing
* Implement best practices in:
	+ Data partitioning
	+ Schema evolution
	+ Metadata and catalog management
* Build and optimize ingestion and ETL pipelines for batch or near\-real\-time workloads.
**AWS Serverless Development**
* Develop serverless applications using:
	+ **Lambda**
	+ **API Gateway**
	+ **EventBridge**
	+ **SNS/SQS**
	+ **Step Functions**
* Build and tune AWS Glue ETL jobs using Python and PySpark.
* Implement cost\-efficient, highly scalable, event\-driven architectures.
**Monitoring, Logging \&amp; Observability**
* Implement monitoring and alerting using:
	+ **Amazon CloudWatch Logs, Metrics \&amp; Dashboards**
	+ CloudWatch Alarms for proactive incident detection
* Use CloudWatch Log Insights for log analytics and troubleshooting.
* Configure **AWS X\-Ray** for distributed tracing and end\-to\-end visibility.
* Build automated alerts around:
	+ Lambda failures
	+ Glue job errors
	+ Data pipeline SLAs
	+ Performance anomalies
**Data Engineering \&amp; Spark**
* Develop ETL pipelines using **PySpark** on AWS Glue or EMR.
* Optimize Spark workloads for performance, cost, and scaling.
* Troubleshoot distributed data issues and tune job performance.
**Python Development**
* Write clean Python code for Lambda functions, Glue jobs, and automation tools.
* Develop shared internal libraries for ETL, monitoring, and data governance.
* Implement automated CI/CD delivery pipelines.
**DevOps \&amp; Cloud Platform Automation**
* Use Infrastructure\-as\-Code tools including:
	+ **Terraform** (modules, workspaces, state management)
	+ AWS CloudFormation or CDK (optional but beneficial)
* Implement:
	+ Automated provisioning of AWS resources
	+ Version\-controlled, repeatable deployments
	+ Secure IAM roles and resource policies
* Configure monitoring, alerting, logging pipelines, and operational dashboards.
The base salary range for this position is $92,250 \- $131,786,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03/02/2026\.This position is for an existing, immediate vacancy. We are currently seeking to fill this role with an individual who can start as soon as possible.
**\#Concentrix**
**\#Remote**</t>
        </is>
      </c>
    </row>
    <row r="127">
      <c r="A127" t="inlineStr">
        <is>
          <t>in-aa27179e71f1d215</t>
        </is>
      </c>
      <c r="B127" t="inlineStr">
        <is>
          <t>AWS Data Platform Engineer</t>
        </is>
      </c>
      <c r="C127" t="inlineStr">
        <is>
          <t>Concentrix</t>
        </is>
      </c>
      <c r="D127" t="inlineStr">
        <is>
          <t>indeed</t>
        </is>
      </c>
      <c r="E127">
        <f>HYPERLINK("https://www.indeed.com/viewjob?jk=aa27179e71f1d215", "https://www.indeed.com/viewjob?jk=aa27179e71f1d215")</f>
        <v/>
      </c>
      <c r="F127">
        <f>HYPERLINK("https://cnx.wd1.myworkdayjobs.com/external_global/job/USA-Work-at-Home/AWS-Data-Platform-Engineer_R1708660?source=Indeed", "https://cnx.wd1.myworkdayjobs.com/external_global/job/USA-Work-at-Home/AWS-Data-Platform-Engineer_R1708660?source=Indeed")</f>
        <v/>
      </c>
      <c r="G127" t="inlineStr">
        <is>
          <t>MN, US</t>
        </is>
      </c>
      <c r="H127" s="2" t="n">
        <v>46077</v>
      </c>
      <c r="I127" t="inlineStr">
        <is>
          <t>**Title: AWS Data Platform Engineer**
**Location: Remote in USA**
**Key Responsibilities**
Preferred 6\+ years of experience
**AWS Data Lake Architecture \&amp; Setup**
* Design and maintain scalable **AWS Data Lakes** using:
	+ **Amazon S3** for multi\-zone data storage (raw, curated, processed)
	+ **AWS Glue** Jobs, Crawlers, and Data Catalog
	+ **AWS Lake Formation** for centralized governance and security
* Configure Lake Formation capabilities:
	+ Row/column\-level access control
	+ Tag\-based access control (LF\-TBAC)
	+ Governed table permissions
	+ Cross\-account data sharing
* Implement best practices in:
	+ Data partitioning
	+ Schema evolution
	+ Metadata and catalog management
* Build and optimize ingestion and ETL pipelines for batch or near\-real\-time workloads.
**AWS Serverless Development**
* Develop serverless applications using:
	+ **Lambda**
	+ **API Gateway**
	+ **EventBridge**
	+ **SNS/SQS**
	+ **Step Functions**
* Build and tune AWS Glue ETL jobs using Python and PySpark.
* Implement cost\-efficient, highly scalable, event\-driven architectures.
**Monitoring, Logging \&amp; Observability**
* Implement monitoring and alerting using:
	+ **Amazon CloudWatch Logs, Metrics \&amp; Dashboards**
	+ CloudWatch Alarms for proactive incident detection
* Use CloudWatch Log Insights for log analytics and troubleshooting.
* Configure **AWS X\-Ray** for distributed tracing and end\-to\-end visibility.
* Build automated alerts around:
	+ Lambda failures
	+ Glue job errors
	+ Data pipeline SLAs
	+ Performance anomalies
**Data Engineering \&amp; Spark**
* Develop ETL pipelines using **PySpark** on AWS Glue or EMR.
* Optimize Spark workloads for performance, cost, and scaling.
* Troubleshoot distributed data issues and tune job performance.
**Python Development**
* Write clean Python code for Lambda functions, Glue jobs, and automation tools.
* Develop shared internal libraries for ETL, monitoring, and data governance.
* Implement automated CI/CD delivery pipelines.
**DevOps \&amp; Cloud Platform Automation**
* Use Infrastructure\-as\-Code tools including:
	+ **Terraform** (modules, workspaces, state management)
	+ AWS CloudFormation or CDK (optional but beneficial)
* Implement:
	+ Automated provisioning of AWS resources
	+ Version\-controlled, repeatable deployments
	+ Secure IAM roles and resource policies
* Configure monitoring, alerting, logging pipelines, and operational dashboards.
The base salary range for this position is $92,250 \- $131,786,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03/02/2026\.This position is for an existing, immediate vacancy. We are currently seeking to fill this role with an individual who can start as soon as possible.
**\#Concentrix**
**\#Remote**</t>
        </is>
      </c>
    </row>
    <row r="128">
      <c r="A128" t="inlineStr">
        <is>
          <t>in-487287ab40eadad6</t>
        </is>
      </c>
      <c r="B128" t="inlineStr">
        <is>
          <t>AWS Data Platform Engineer</t>
        </is>
      </c>
      <c r="C128" t="inlineStr">
        <is>
          <t>Concentrix</t>
        </is>
      </c>
      <c r="D128" t="inlineStr">
        <is>
          <t>indeed</t>
        </is>
      </c>
      <c r="E128">
        <f>HYPERLINK("https://www.indeed.com/viewjob?jk=487287ab40eadad6", "https://www.indeed.com/viewjob?jk=487287ab40eadad6")</f>
        <v/>
      </c>
      <c r="F128">
        <f>HYPERLINK("https://cnx.wd1.myworkdayjobs.com/external_global/job/USA-Work-at-Home/AWS-Data-Platform-Engineer_R1708660?source=Indeed", "https://cnx.wd1.myworkdayjobs.com/external_global/job/USA-Work-at-Home/AWS-Data-Platform-Engineer_R1708660?source=Indeed")</f>
        <v/>
      </c>
      <c r="G128" t="inlineStr">
        <is>
          <t>ME, US</t>
        </is>
      </c>
      <c r="H128" s="2" t="n">
        <v>46077</v>
      </c>
      <c r="I128" t="inlineStr">
        <is>
          <t>**Title: AWS Data Platform Engineer**
**Location: Remote in USA**
**Key Responsibilities**
Preferred 6\+ years of experience
**AWS Data Lake Architecture \&amp; Setup**
* Design and maintain scalable **AWS Data Lakes** using:
	+ **Amazon S3** for multi\-zone data storage (raw, curated, processed)
	+ **AWS Glue** Jobs, Crawlers, and Data Catalog
	+ **AWS Lake Formation** for centralized governance and security
* Configure Lake Formation capabilities:
	+ Row/column\-level access control
	+ Tag\-based access control (LF\-TBAC)
	+ Governed table permissions
	+ Cross\-account data sharing
* Implement best practices in:
	+ Data partitioning
	+ Schema evolution
	+ Metadata and catalog management
* Build and optimize ingestion and ETL pipelines for batch or near\-real\-time workloads.
**AWS Serverless Development**
* Develop serverless applications using:
	+ **Lambda**
	+ **API Gateway**
	+ **EventBridge**
	+ **SNS/SQS**
	+ **Step Functions**
* Build and tune AWS Glue ETL jobs using Python and PySpark.
* Implement cost\-efficient, highly scalable, event\-driven architectures.
**Monitoring, Logging \&amp; Observability**
* Implement monitoring and alerting using:
	+ **Amazon CloudWatch Logs, Metrics \&amp; Dashboards**
	+ CloudWatch Alarms for proactive incident detection
* Use CloudWatch Log Insights for log analytics and troubleshooting.
* Configure **AWS X\-Ray** for distributed tracing and end\-to\-end visibility.
* Build automated alerts around:
	+ Lambda failures
	+ Glue job errors
	+ Data pipeline SLAs
	+ Performance anomalies
**Data Engineering \&amp; Spark**
* Develop ETL pipelines using **PySpark** on AWS Glue or EMR.
* Optimize Spark workloads for performance, cost, and scaling.
* Troubleshoot distributed data issues and tune job performance.
**Python Development**
* Write clean Python code for Lambda functions, Glue jobs, and automation tools.
* Develop shared internal libraries for ETL, monitoring, and data governance.
* Implement automated CI/CD delivery pipelines.
**DevOps \&amp; Cloud Platform Automation**
* Use Infrastructure\-as\-Code tools including:
	+ **Terraform** (modules, workspaces, state management)
	+ AWS CloudFormation or CDK (optional but beneficial)
* Implement:
	+ Automated provisioning of AWS resources
	+ Version\-controlled, repeatable deployments
	+ Secure IAM roles and resource policies
* Configure monitoring, alerting, logging pipelines, and operational dashboards.
The base salary range for this position is $92,250 \- $131,786,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03/02/2026\.This position is for an existing, immediate vacancy. We are currently seeking to fill this role with an individual who can start as soon as possible.
**\#Concentrix**
**\#Remote**</t>
        </is>
      </c>
    </row>
    <row r="129">
      <c r="A129" t="inlineStr">
        <is>
          <t>in-f6a4b18b4f729cc5</t>
        </is>
      </c>
      <c r="B129" t="inlineStr">
        <is>
          <t>AWS Data Platform Engineer</t>
        </is>
      </c>
      <c r="C129" t="inlineStr">
        <is>
          <t>Concentrix</t>
        </is>
      </c>
      <c r="D129" t="inlineStr">
        <is>
          <t>indeed</t>
        </is>
      </c>
      <c r="E129">
        <f>HYPERLINK("https://www.indeed.com/viewjob?jk=f6a4b18b4f729cc5", "https://www.indeed.com/viewjob?jk=f6a4b18b4f729cc5")</f>
        <v/>
      </c>
      <c r="F129">
        <f>HYPERLINK("https://cnx.wd1.myworkdayjobs.com/external_global/job/USA-Work-at-Home/AWS-Data-Platform-Engineer_R1708660?source=Indeed", "https://cnx.wd1.myworkdayjobs.com/external_global/job/USA-Work-at-Home/AWS-Data-Platform-Engineer_R1708660?source=Indeed")</f>
        <v/>
      </c>
      <c r="G129" t="inlineStr">
        <is>
          <t>AZ, US</t>
        </is>
      </c>
      <c r="H129" s="2" t="n">
        <v>46077</v>
      </c>
      <c r="I129" t="inlineStr">
        <is>
          <t>**Title: AWS Data Platform Engineer**
**Location: Remote in USA**
**Key Responsibilities**
Preferred 6\+ years of experience
**AWS Data Lake Architecture \&amp; Setup**
* Design and maintain scalable **AWS Data Lakes** using:
	+ **Amazon S3** for multi\-zone data storage (raw, curated, processed)
	+ **AWS Glue** Jobs, Crawlers, and Data Catalog
	+ **AWS Lake Formation** for centralized governance and security
* Configure Lake Formation capabilities:
	+ Row/column\-level access control
	+ Tag\-based access control (LF\-TBAC)
	+ Governed table permissions
	+ Cross\-account data sharing
* Implement best practices in:
	+ Data partitioning
	+ Schema evolution
	+ Metadata and catalog management
* Build and optimize ingestion and ETL pipelines for batch or near\-real\-time workloads.
**AWS Serverless Development**
* Develop serverless applications using:
	+ **Lambda**
	+ **API Gateway**
	+ **EventBridge**
	+ **SNS/SQS**
	+ **Step Functions**
* Build and tune AWS Glue ETL jobs using Python and PySpark.
* Implement cost\-efficient, highly scalable, event\-driven architectures.
**Monitoring, Logging \&amp; Observability**
* Implement monitoring and alerting using:
	+ **Amazon CloudWatch Logs, Metrics \&amp; Dashboards**
	+ CloudWatch Alarms for proactive incident detection
* Use CloudWatch Log Insights for log analytics and troubleshooting.
* Configure **AWS X\-Ray** for distributed tracing and end\-to\-end visibility.
* Build automated alerts around:
	+ Lambda failures
	+ Glue job errors
	+ Data pipeline SLAs
	+ Performance anomalies
**Data Engineering \&amp; Spark**
* Develop ETL pipelines using **PySpark** on AWS Glue or EMR.
* Optimize Spark workloads for performance, cost, and scaling.
* Troubleshoot distributed data issues and tune job performance.
**Python Development**
* Write clean Python code for Lambda functions, Glue jobs, and automation tools.
* Develop shared internal libraries for ETL, monitoring, and data governance.
* Implement automated CI/CD delivery pipelines.
**DevOps \&amp; Cloud Platform Automation**
* Use Infrastructure\-as\-Code tools including:
	+ **Terraform** (modules, workspaces, state management)
	+ AWS CloudFormation or CDK (optional but beneficial)
* Implement:
	+ Automated provisioning of AWS resources
	+ Version\-controlled, repeatable deployments
	+ Secure IAM roles and resource policies
* Configure monitoring, alerting, logging pipelines, and operational dashboards.
The base salary range for this position is $92,250 \- $131,786,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03/02/2026\.This position is for an existing, immediate vacancy. We are currently seeking to fill this role with an individual who can start as soon as possible.
**\#Concentrix**
**\#Remote**</t>
        </is>
      </c>
    </row>
    <row r="130">
      <c r="A130" t="inlineStr">
        <is>
          <t>in-5156ae4f3304f436</t>
        </is>
      </c>
      <c r="B130" t="inlineStr">
        <is>
          <t>AWS Data Platform Engineer</t>
        </is>
      </c>
      <c r="C130" t="inlineStr">
        <is>
          <t>Concentrix</t>
        </is>
      </c>
      <c r="D130" t="inlineStr">
        <is>
          <t>indeed</t>
        </is>
      </c>
      <c r="E130">
        <f>HYPERLINK("https://www.indeed.com/viewjob?jk=5156ae4f3304f436", "https://www.indeed.com/viewjob?jk=5156ae4f3304f436")</f>
        <v/>
      </c>
      <c r="F130">
        <f>HYPERLINK("https://cnx.wd1.myworkdayjobs.com/external_global/job/USA-Work-at-Home/AWS-Data-Platform-Engineer_R1708660?source=Indeed", "https://cnx.wd1.myworkdayjobs.com/external_global/job/USA-Work-at-Home/AWS-Data-Platform-Engineer_R1708660?source=Indeed")</f>
        <v/>
      </c>
      <c r="G130" t="inlineStr">
        <is>
          <t>KY, US</t>
        </is>
      </c>
      <c r="H130" s="2" t="n">
        <v>46077</v>
      </c>
      <c r="I130" t="inlineStr">
        <is>
          <t>**Title: AWS Data Platform Engineer**
**Location: Remote in USA**
**Key Responsibilities**
Preferred 6\+ years of experience
**AWS Data Lake Architecture \&amp; Setup**
* Design and maintain scalable **AWS Data Lakes** using:
	+ **Amazon S3** for multi\-zone data storage (raw, curated, processed)
	+ **AWS Glue** Jobs, Crawlers, and Data Catalog
	+ **AWS Lake Formation** for centralized governance and security
* Configure Lake Formation capabilities:
	+ Row/column\-level access control
	+ Tag\-based access control (LF\-TBAC)
	+ Governed table permissions
	+ Cross\-account data sharing
* Implement best practices in:
	+ Data partitioning
	+ Schema evolution
	+ Metadata and catalog management
* Build and optimize ingestion and ETL pipelines for batch or near\-real\-time workloads.
**AWS Serverless Development**
* Develop serverless applications using:
	+ **Lambda**
	+ **API Gateway**
	+ **EventBridge**
	+ **SNS/SQS**
	+ **Step Functions**
* Build and tune AWS Glue ETL jobs using Python and PySpark.
* Implement cost\-efficient, highly scalable, event\-driven architectures.
**Monitoring, Logging \&amp; Observability**
* Implement monitoring and alerting using:
	+ **Amazon CloudWatch Logs, Metrics \&amp; Dashboards**
	+ CloudWatch Alarms for proactive incident detection
* Use CloudWatch Log Insights for log analytics and troubleshooting.
* Configure **AWS X\-Ray** for distributed tracing and end\-to\-end visibility.
* Build automated alerts around:
	+ Lambda failures
	+ Glue job errors
	+ Data pipeline SLAs
	+ Performance anomalies
**Data Engineering \&amp; Spark**
* Develop ETL pipelines using **PySpark** on AWS Glue or EMR.
* Optimize Spark workloads for performance, cost, and scaling.
* Troubleshoot distributed data issues and tune job performance.
**Python Development**
* Write clean Python code for Lambda functions, Glue jobs, and automation tools.
* Develop shared internal libraries for ETL, monitoring, and data governance.
* Implement automated CI/CD delivery pipelines.
**DevOps \&amp; Cloud Platform Automation**
* Use Infrastructure\-as\-Code tools including:
	+ **Terraform** (modules, workspaces, state management)
	+ AWS CloudFormation or CDK (optional but beneficial)
* Implement:
	+ Automated provisioning of AWS resources
	+ Version\-controlled, repeatable deployments
	+ Secure IAM roles and resource policies
* Configure monitoring, alerting, logging pipelines, and operational dashboards.
The base salary range for this position is $92,250 \- $131,786,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03/02/2026\.This position is for an existing, immediate vacancy. We are currently seeking to fill this role with an individual who can start as soon as possible.
**\#Concentrix**
**\#Remote**</t>
        </is>
      </c>
    </row>
    <row r="131">
      <c r="A131" t="inlineStr">
        <is>
          <t>in-a1291f0caedc31ca</t>
        </is>
      </c>
      <c r="B131" t="inlineStr">
        <is>
          <t>AWS Data Platform Engineer</t>
        </is>
      </c>
      <c r="C131" t="inlineStr">
        <is>
          <t>Concentrix</t>
        </is>
      </c>
      <c r="D131" t="inlineStr">
        <is>
          <t>indeed</t>
        </is>
      </c>
      <c r="E131">
        <f>HYPERLINK("https://www.indeed.com/viewjob?jk=a1291f0caedc31ca", "https://www.indeed.com/viewjob?jk=a1291f0caedc31ca")</f>
        <v/>
      </c>
      <c r="F131">
        <f>HYPERLINK("https://cnx.wd1.myworkdayjobs.com/external_global/job/USA-Work-at-Home/AWS-Data-Platform-Engineer_R1708660?source=Indeed", "https://cnx.wd1.myworkdayjobs.com/external_global/job/USA-Work-at-Home/AWS-Data-Platform-Engineer_R1708660?source=Indeed")</f>
        <v/>
      </c>
      <c r="G131" t="inlineStr">
        <is>
          <t>IN, US</t>
        </is>
      </c>
      <c r="H131" s="2" t="n">
        <v>46077</v>
      </c>
      <c r="I131" t="inlineStr">
        <is>
          <t>**Title: AWS Data Platform Engineer**
**Location: Remote in USA**
**Key Responsibilities**
Preferred 6\+ years of experience
**AWS Data Lake Architecture \&amp; Setup**
* Design and maintain scalable **AWS Data Lakes** using:
	+ **Amazon S3** for multi\-zone data storage (raw, curated, processed)
	+ **AWS Glue** Jobs, Crawlers, and Data Catalog
	+ **AWS Lake Formation** for centralized governance and security
* Configure Lake Formation capabilities:
	+ Row/column\-level access control
	+ Tag\-based access control (LF\-TBAC)
	+ Governed table permissions
	+ Cross\-account data sharing
* Implement best practices in:
	+ Data partitioning
	+ Schema evolution
	+ Metadata and catalog management
* Build and optimize ingestion and ETL pipelines for batch or near\-real\-time workloads.
**AWS Serverless Development**
* Develop serverless applications using:
	+ **Lambda**
	+ **API Gateway**
	+ **EventBridge**
	+ **SNS/SQS**
	+ **Step Functions**
* Build and tune AWS Glue ETL jobs using Python and PySpark.
* Implement cost\-efficient, highly scalable, event\-driven architectures.
**Monitoring, Logging \&amp; Observability**
* Implement monitoring and alerting using:
	+ **Amazon CloudWatch Logs, Metrics \&amp; Dashboards**
	+ CloudWatch Alarms for proactive incident detection
* Use CloudWatch Log Insights for log analytics and troubleshooting.
* Configure **AWS X\-Ray** for distributed tracing and end\-to\-end visibility.
* Build automated alerts around:
	+ Lambda failures
	+ Glue job errors
	+ Data pipeline SLAs
	+ Performance anomalies
**Data Engineering \&amp; Spark**
* Develop ETL pipelines using **PySpark** on AWS Glue or EMR.
* Optimize Spark workloads for performance, cost, and scaling.
* Troubleshoot distributed data issues and tune job performance.
**Python Development**
* Write clean Python code for Lambda functions, Glue jobs, and automation tools.
* Develop shared internal libraries for ETL, monitoring, and data governance.
* Implement automated CI/CD delivery pipelines.
**DevOps \&amp; Cloud Platform Automation**
* Use Infrastructure\-as\-Code tools including:
	+ **Terraform** (modules, workspaces, state management)
	+ AWS CloudFormation or CDK (optional but beneficial)
* Implement:
	+ Automated provisioning of AWS resources
	+ Version\-controlled, repeatable deployments
	+ Secure IAM roles and resource policies
* Configure monitoring, alerting, logging pipelines, and operational dashboards.
The base salary range for this position is $92,250 \- $131,786,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03/02/2026\.This position is for an existing, immediate vacancy. We are currently seeking to fill this role with an individual who can start as soon as possible.
**\#Concentrix**
**\#Remote**</t>
        </is>
      </c>
    </row>
    <row r="132">
      <c r="A132" t="inlineStr">
        <is>
          <t>in-6c38f857835e4e55</t>
        </is>
      </c>
      <c r="B132" t="inlineStr">
        <is>
          <t>AWS Data Platform Engineer</t>
        </is>
      </c>
      <c r="C132" t="inlineStr">
        <is>
          <t>Concentrix</t>
        </is>
      </c>
      <c r="D132" t="inlineStr">
        <is>
          <t>indeed</t>
        </is>
      </c>
      <c r="E132">
        <f>HYPERLINK("https://www.indeed.com/viewjob?jk=6c38f857835e4e55", "https://www.indeed.com/viewjob?jk=6c38f857835e4e55")</f>
        <v/>
      </c>
      <c r="F132">
        <f>HYPERLINK("https://cnx.wd1.myworkdayjobs.com/external_global/job/USA-Work-at-Home/AWS-Data-Platform-Engineer_R1708660?source=Indeed", "https://cnx.wd1.myworkdayjobs.com/external_global/job/USA-Work-at-Home/AWS-Data-Platform-Engineer_R1708660?source=Indeed")</f>
        <v/>
      </c>
      <c r="G132" t="inlineStr">
        <is>
          <t>KS, US</t>
        </is>
      </c>
      <c r="H132" s="2" t="n">
        <v>46077</v>
      </c>
      <c r="I132" t="inlineStr">
        <is>
          <t>**Title: AWS Data Platform Engineer**
**Location: Remote in USA**
**Key Responsibilities**
Preferred 6\+ years of experience
**AWS Data Lake Architecture \&amp; Setup**
* Design and maintain scalable **AWS Data Lakes** using:
	+ **Amazon S3** for multi\-zone data storage (raw, curated, processed)
	+ **AWS Glue** Jobs, Crawlers, and Data Catalog
	+ **AWS Lake Formation** for centralized governance and security
* Configure Lake Formation capabilities:
	+ Row/column\-level access control
	+ Tag\-based access control (LF\-TBAC)
	+ Governed table permissions
	+ Cross\-account data sharing
* Implement best practices in:
	+ Data partitioning
	+ Schema evolution
	+ Metadata and catalog management
* Build and optimize ingestion and ETL pipelines for batch or near\-real\-time workloads.
**AWS Serverless Development**
* Develop serverless applications using:
	+ **Lambda**
	+ **API Gateway**
	+ **EventBridge**
	+ **SNS/SQS**
	+ **Step Functions**
* Build and tune AWS Glue ETL jobs using Python and PySpark.
* Implement cost\-efficient, highly scalable, event\-driven architectures.
**Monitoring, Logging \&amp; Observability**
* Implement monitoring and alerting using:
	+ **Amazon CloudWatch Logs, Metrics \&amp; Dashboards**
	+ CloudWatch Alarms for proactive incident detection
* Use CloudWatch Log Insights for log analytics and troubleshooting.
* Configure **AWS X\-Ray** for distributed tracing and end\-to\-end visibility.
* Build automated alerts around:
	+ Lambda failures
	+ Glue job errors
	+ Data pipeline SLAs
	+ Performance anomalies
**Data Engineering \&amp; Spark**
* Develop ETL pipelines using **PySpark** on AWS Glue or EMR.
* Optimize Spark workloads for performance, cost, and scaling.
* Troubleshoot distributed data issues and tune job performance.
**Python Development**
* Write clean Python code for Lambda functions, Glue jobs, and automation tools.
* Develop shared internal libraries for ETL, monitoring, and data governance.
* Implement automated CI/CD delivery pipelines.
**DevOps \&amp; Cloud Platform Automation**
* Use Infrastructure\-as\-Code tools including:
	+ **Terraform** (modules, workspaces, state management)
	+ AWS CloudFormation or CDK (optional but beneficial)
* Implement:
	+ Automated provisioning of AWS resources
	+ Version\-controlled, repeatable deployments
	+ Secure IAM roles and resource policies
* Configure monitoring, alerting, logging pipelines, and operational dashboards.
The base salary range for this position is $92,250 \- $131,786,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03/02/2026\.This position is for an existing, immediate vacancy. We are currently seeking to fill this role with an individual who can start as soon as possible.
**\#Concentrix**
**\#Remote**</t>
        </is>
      </c>
    </row>
    <row r="133">
      <c r="A133" t="inlineStr">
        <is>
          <t>in-05bf91f82d524c1b</t>
        </is>
      </c>
      <c r="B133" t="inlineStr">
        <is>
          <t>AWS Data Platform Engineer</t>
        </is>
      </c>
      <c r="C133" t="inlineStr">
        <is>
          <t>Concentrix</t>
        </is>
      </c>
      <c r="D133" t="inlineStr">
        <is>
          <t>indeed</t>
        </is>
      </c>
      <c r="E133">
        <f>HYPERLINK("https://www.indeed.com/viewjob?jk=05bf91f82d524c1b", "https://www.indeed.com/viewjob?jk=05bf91f82d524c1b")</f>
        <v/>
      </c>
      <c r="F133">
        <f>HYPERLINK("https://cnx.wd1.myworkdayjobs.com/external_global/job/USA-Work-at-Home/AWS-Data-Platform-Engineer_R1708660?source=Indeed", "https://cnx.wd1.myworkdayjobs.com/external_global/job/USA-Work-at-Home/AWS-Data-Platform-Engineer_R1708660?source=Indeed")</f>
        <v/>
      </c>
      <c r="G133" t="inlineStr">
        <is>
          <t>AL, US</t>
        </is>
      </c>
      <c r="H133" s="2" t="n">
        <v>46077</v>
      </c>
      <c r="I133" t="inlineStr">
        <is>
          <t>**Title: AWS Data Platform Engineer**
**Location: Remote in USA**
**Key Responsibilities**
Preferred 6\+ years of experience
**AWS Data Lake Architecture \&amp; Setup**
* Design and maintain scalable **AWS Data Lakes** using:
	+ **Amazon S3** for multi\-zone data storage (raw, curated, processed)
	+ **AWS Glue** Jobs, Crawlers, and Data Catalog
	+ **AWS Lake Formation** for centralized governance and security
* Configure Lake Formation capabilities:
	+ Row/column\-level access control
	+ Tag\-based access control (LF\-TBAC)
	+ Governed table permissions
	+ Cross\-account data sharing
* Implement best practices in:
	+ Data partitioning
	+ Schema evolution
	+ Metadata and catalog management
* Build and optimize ingestion and ETL pipelines for batch or near\-real\-time workloads.
**AWS Serverless Development**
* Develop serverless applications using:
	+ **Lambda**
	+ **API Gateway**
	+ **EventBridge**
	+ **SNS/SQS**
	+ **Step Functions**
* Build and tune AWS Glue ETL jobs using Python and PySpark.
* Implement cost\-efficient, highly scalable, event\-driven architectures.
**Monitoring, Logging \&amp; Observability**
* Implement monitoring and alerting using:
	+ **Amazon CloudWatch Logs, Metrics \&amp; Dashboards**
	+ CloudWatch Alarms for proactive incident detection
* Use CloudWatch Log Insights for log analytics and troubleshooting.
* Configure **AWS X\-Ray** for distributed tracing and end\-to\-end visibility.
* Build automated alerts around:
	+ Lambda failures
	+ Glue job errors
	+ Data pipeline SLAs
	+ Performance anomalies
**Data Engineering \&amp; Spark**
* Develop ETL pipelines using **PySpark** on AWS Glue or EMR.
* Optimize Spark workloads for performance, cost, and scaling.
* Troubleshoot distributed data issues and tune job performance.
**Python Development**
* Write clean Python code for Lambda functions, Glue jobs, and automation tools.
* Develop shared internal libraries for ETL, monitoring, and data governance.
* Implement automated CI/CD delivery pipelines.
**DevOps \&amp; Cloud Platform Automation**
* Use Infrastructure\-as\-Code tools including:
	+ **Terraform** (modules, workspaces, state management)
	+ AWS CloudFormation or CDK (optional but beneficial)
* Implement:
	+ Automated provisioning of AWS resources
	+ Version\-controlled, repeatable deployments
	+ Secure IAM roles and resource policies
* Configure monitoring, alerting, logging pipelines, and operational dashboards.
The base salary range for this position is $92,250 \- $131,786,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03/02/2026\.This position is for an existing, immediate vacancy. We are currently seeking to fill this role with an individual who can start as soon as possible.
**\#Concentrix**
**\#Remote**</t>
        </is>
      </c>
    </row>
    <row r="134">
      <c r="A134" t="inlineStr">
        <is>
          <t>in-2f7a7b948aeaf749</t>
        </is>
      </c>
      <c r="B134" t="inlineStr">
        <is>
          <t>AWS Data Platform Engineer</t>
        </is>
      </c>
      <c r="C134" t="inlineStr">
        <is>
          <t>Concentrix</t>
        </is>
      </c>
      <c r="D134" t="inlineStr">
        <is>
          <t>indeed</t>
        </is>
      </c>
      <c r="E134">
        <f>HYPERLINK("https://www.indeed.com/viewjob?jk=2f7a7b948aeaf749", "https://www.indeed.com/viewjob?jk=2f7a7b948aeaf749")</f>
        <v/>
      </c>
      <c r="F134">
        <f>HYPERLINK("https://cnx.wd1.myworkdayjobs.com/external_global/job/USA-Work-at-Home/AWS-Data-Platform-Engineer_R1708660?source=Indeed", "https://cnx.wd1.myworkdayjobs.com/external_global/job/USA-Work-at-Home/AWS-Data-Platform-Engineer_R1708660?source=Indeed")</f>
        <v/>
      </c>
      <c r="G134" t="inlineStr">
        <is>
          <t>AR, US</t>
        </is>
      </c>
      <c r="H134" s="2" t="n">
        <v>46077</v>
      </c>
      <c r="I134" t="inlineStr">
        <is>
          <t>**Title: AWS Data Platform Engineer**
**Location: Remote in USA**
**Key Responsibilities**
Preferred 6\+ years of experience
**AWS Data Lake Architecture \&amp; Setup**
* Design and maintain scalable **AWS Data Lakes** using:
	+ **Amazon S3** for multi\-zone data storage (raw, curated, processed)
	+ **AWS Glue** Jobs, Crawlers, and Data Catalog
	+ **AWS Lake Formation** for centralized governance and security
* Configure Lake Formation capabilities:
	+ Row/column\-level access control
	+ Tag\-based access control (LF\-TBAC)
	+ Governed table permissions
	+ Cross\-account data sharing
* Implement best practices in:
	+ Data partitioning
	+ Schema evolution
	+ Metadata and catalog management
* Build and optimize ingestion and ETL pipelines for batch or near\-real\-time workloads.
**AWS Serverless Development**
* Develop serverless applications using:
	+ **Lambda**
	+ **API Gateway**
	+ **EventBridge**
	+ **SNS/SQS**
	+ **Step Functions**
* Build and tune AWS Glue ETL jobs using Python and PySpark.
* Implement cost\-efficient, highly scalable, event\-driven architectures.
**Monitoring, Logging \&amp; Observability**
* Implement monitoring and alerting using:
	+ **Amazon CloudWatch Logs, Metrics \&amp; Dashboards**
	+ CloudWatch Alarms for proactive incident detection
* Use CloudWatch Log Insights for log analytics and troubleshooting.
* Configure **AWS X\-Ray** for distributed tracing and end\-to\-end visibility.
* Build automated alerts around:
	+ Lambda failures
	+ Glue job errors
	+ Data pipeline SLAs
	+ Performance anomalies
**Data Engineering \&amp; Spark**
* Develop ETL pipelines using **PySpark** on AWS Glue or EMR.
* Optimize Spark workloads for performance, cost, and scaling.
* Troubleshoot distributed data issues and tune job performance.
**Python Development**
* Write clean Python code for Lambda functions, Glue jobs, and automation tools.
* Develop shared internal libraries for ETL, monitoring, and data governance.
* Implement automated CI/CD delivery pipelines.
**DevOps \&amp; Cloud Platform Automation**
* Use Infrastructure\-as\-Code tools including:
	+ **Terraform** (modules, workspaces, state management)
	+ AWS CloudFormation or CDK (optional but beneficial)
* Implement:
	+ Automated provisioning of AWS resources
	+ Version\-controlled, repeatable deployments
	+ Secure IAM roles and resource policies
* Configure monitoring, alerting, logging pipelines, and operational dashboards.
The base salary range for this position is $92,250 \- $131,786,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03/02/2026\.This position is for an existing, immediate vacancy. We are currently seeking to fill this role with an individual who can start as soon as possible.
**\#Concentrix**
**\#Remote**</t>
        </is>
      </c>
    </row>
    <row r="135">
      <c r="A135" t="inlineStr">
        <is>
          <t>in-dfa6956cd2874889</t>
        </is>
      </c>
      <c r="B135" t="inlineStr">
        <is>
          <t>AWS Data Platform Engineer</t>
        </is>
      </c>
      <c r="C135" t="inlineStr">
        <is>
          <t>Concentrix</t>
        </is>
      </c>
      <c r="D135" t="inlineStr">
        <is>
          <t>indeed</t>
        </is>
      </c>
      <c r="E135">
        <f>HYPERLINK("https://www.indeed.com/viewjob?jk=dfa6956cd2874889", "https://www.indeed.com/viewjob?jk=dfa6956cd2874889")</f>
        <v/>
      </c>
      <c r="F135">
        <f>HYPERLINK("https://cnx.wd1.myworkdayjobs.com/external_global/job/USA-Work-at-Home/AWS-Data-Platform-Engineer_R1708660?source=Indeed", "https://cnx.wd1.myworkdayjobs.com/external_global/job/USA-Work-at-Home/AWS-Data-Platform-Engineer_R1708660?source=Indeed")</f>
        <v/>
      </c>
      <c r="G135" t="inlineStr">
        <is>
          <t>FL, US</t>
        </is>
      </c>
      <c r="H135" s="2" t="n">
        <v>46077</v>
      </c>
      <c r="I135" t="inlineStr">
        <is>
          <t>**Title: AWS Data Platform Engineer**
**Location: Remote in USA**
**Key Responsibilities**
Preferred 6\+ years of experience
**AWS Data Lake Architecture \&amp; Setup**
* Design and maintain scalable **AWS Data Lakes** using:
	+ **Amazon S3** for multi\-zone data storage (raw, curated, processed)
	+ **AWS Glue** Jobs, Crawlers, and Data Catalog
	+ **AWS Lake Formation** for centralized governance and security
* Configure Lake Formation capabilities:
	+ Row/column\-level access control
	+ Tag\-based access control (LF\-TBAC)
	+ Governed table permissions
	+ Cross\-account data sharing
* Implement best practices in:
	+ Data partitioning
	+ Schema evolution
	+ Metadata and catalog management
* Build and optimize ingestion and ETL pipelines for batch or near\-real\-time workloads.
**AWS Serverless Development**
* Develop serverless applications using:
	+ **Lambda**
	+ **API Gateway**
	+ **EventBridge**
	+ **SNS/SQS**
	+ **Step Functions**
* Build and tune AWS Glue ETL jobs using Python and PySpark.
* Implement cost\-efficient, highly scalable, event\-driven architectures.
**Monitoring, Logging \&amp; Observability**
* Implement monitoring and alerting using:
	+ **Amazon CloudWatch Logs, Metrics \&amp; Dashboards**
	+ CloudWatch Alarms for proactive incident detection
* Use CloudWatch Log Insights for log analytics and troubleshooting.
* Configure **AWS X\-Ray** for distributed tracing and end\-to\-end visibility.
* Build automated alerts around:
	+ Lambda failures
	+ Glue job errors
	+ Data pipeline SLAs
	+ Performance anomalies
**Data Engineering \&amp; Spark**
* Develop ETL pipelines using **PySpark** on AWS Glue or EMR.
* Optimize Spark workloads for performance, cost, and scaling.
* Troubleshoot distributed data issues and tune job performance.
**Python Development**
* Write clean Python code for Lambda functions, Glue jobs, and automation tools.
* Develop shared internal libraries for ETL, monitoring, and data governance.
* Implement automated CI/CD delivery pipelines.
**DevOps \&amp; Cloud Platform Automation**
* Use Infrastructure\-as\-Code tools including:
	+ **Terraform** (modules, workspaces, state management)
	+ AWS CloudFormation or CDK (optional but beneficial)
* Implement:
	+ Automated provisioning of AWS resources
	+ Version\-controlled, repeatable deployments
	+ Secure IAM roles and resource policies
* Configure monitoring, alerting, logging pipelines, and operational dashboards.
The base salary range for this position is $92,250 \- $131,786,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03/02/2026\.This position is for an existing, immediate vacancy. We are currently seeking to fill this role with an individual who can start as soon as possible.
**\#Concentrix**
**\#Remote**</t>
        </is>
      </c>
    </row>
    <row r="136">
      <c r="A136" t="inlineStr">
        <is>
          <t>in-57ced1716ea9d344</t>
        </is>
      </c>
      <c r="B136" t="inlineStr">
        <is>
          <t>AWS Data Platform Engineer</t>
        </is>
      </c>
      <c r="C136" t="inlineStr">
        <is>
          <t>Concentrix</t>
        </is>
      </c>
      <c r="D136" t="inlineStr">
        <is>
          <t>indeed</t>
        </is>
      </c>
      <c r="E136">
        <f>HYPERLINK("https://www.indeed.com/viewjob?jk=57ced1716ea9d344", "https://www.indeed.com/viewjob?jk=57ced1716ea9d344")</f>
        <v/>
      </c>
      <c r="F136">
        <f>HYPERLINK("https://cnx.wd1.myworkdayjobs.com/external_global/job/USA-Work-at-Home/AWS-Data-Platform-Engineer_R1708660?source=Indeed", "https://cnx.wd1.myworkdayjobs.com/external_global/job/USA-Work-at-Home/AWS-Data-Platform-Engineer_R1708660?source=Indeed")</f>
        <v/>
      </c>
      <c r="G136" t="inlineStr">
        <is>
          <t>IA, US</t>
        </is>
      </c>
      <c r="H136" s="2" t="n">
        <v>46077</v>
      </c>
      <c r="I136" t="inlineStr">
        <is>
          <t>**Title: AWS Data Platform Engineer**
**Location: Remote in USA**
**Key Responsibilities**
Preferred 6\+ years of experience
**AWS Data Lake Architecture \&amp; Setup**
* Design and maintain scalable **AWS Data Lakes** using:
	+ **Amazon S3** for multi\-zone data storage (raw, curated, processed)
	+ **AWS Glue** Jobs, Crawlers, and Data Catalog
	+ **AWS Lake Formation** for centralized governance and security
* Configure Lake Formation capabilities:
	+ Row/column\-level access control
	+ Tag\-based access control (LF\-TBAC)
	+ Governed table permissions
	+ Cross\-account data sharing
* Implement best practices in:
	+ Data partitioning
	+ Schema evolution
	+ Metadata and catalog management
* Build and optimize ingestion and ETL pipelines for batch or near\-real\-time workloads.
**AWS Serverless Development**
* Develop serverless applications using:
	+ **Lambda**
	+ **API Gateway**
	+ **EventBridge**
	+ **SNS/SQS**
	+ **Step Functions**
* Build and tune AWS Glue ETL jobs using Python and PySpark.
* Implement cost\-efficient, highly scalable, event\-driven architectures.
**Monitoring, Logging \&amp; Observability**
* Implement monitoring and alerting using:
	+ **Amazon CloudWatch Logs, Metrics \&amp; Dashboards**
	+ CloudWatch Alarms for proactive incident detection
* Use CloudWatch Log Insights for log analytics and troubleshooting.
* Configure **AWS X\-Ray** for distributed tracing and end\-to\-end visibility.
* Build automated alerts around:
	+ Lambda failures
	+ Glue job errors
	+ Data pipeline SLAs
	+ Performance anomalies
**Data Engineering \&amp; Spark**
* Develop ETL pipelines using **PySpark** on AWS Glue or EMR.
* Optimize Spark workloads for performance, cost, and scaling.
* Troubleshoot distributed data issues and tune job performance.
**Python Development**
* Write clean Python code for Lambda functions, Glue jobs, and automation tools.
* Develop shared internal libraries for ETL, monitoring, and data governance.
* Implement automated CI/CD delivery pipelines.
**DevOps \&amp; Cloud Platform Automation**
* Use Infrastructure\-as\-Code tools including:
	+ **Terraform** (modules, workspaces, state management)
	+ AWS CloudFormation or CDK (optional but beneficial)
* Implement:
	+ Automated provisioning of AWS resources
	+ Version\-controlled, repeatable deployments
	+ Secure IAM roles and resource policies
* Configure monitoring, alerting, logging pipelines, and operational dashboards.
The base salary range for this position is $92,250 \- $131,786,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03/02/2026\.This position is for an existing, immediate vacancy. We are currently seeking to fill this role with an individual who can start as soon as possible.
**\#Concentrix**
**\#Remote**</t>
        </is>
      </c>
    </row>
    <row r="137">
      <c r="A137" t="inlineStr">
        <is>
          <t>in-ae6072c3cca7eb88</t>
        </is>
      </c>
      <c r="B137" t="inlineStr">
        <is>
          <t>AWS Data Platform Engineer</t>
        </is>
      </c>
      <c r="C137" t="inlineStr">
        <is>
          <t>Concentrix</t>
        </is>
      </c>
      <c r="D137" t="inlineStr">
        <is>
          <t>indeed</t>
        </is>
      </c>
      <c r="E137">
        <f>HYPERLINK("https://www.indeed.com/viewjob?jk=ae6072c3cca7eb88", "https://www.indeed.com/viewjob?jk=ae6072c3cca7eb88")</f>
        <v/>
      </c>
      <c r="F137">
        <f>HYPERLINK("https://cnx.wd1.myworkdayjobs.com/external_global/job/USA-Work-at-Home/AWS-Data-Platform-Engineer_R1708660?source=Indeed", "https://cnx.wd1.myworkdayjobs.com/external_global/job/USA-Work-at-Home/AWS-Data-Platform-Engineer_R1708660?source=Indeed")</f>
        <v/>
      </c>
      <c r="G137" t="inlineStr">
        <is>
          <t>GA, US</t>
        </is>
      </c>
      <c r="H137" s="2" t="n">
        <v>46077</v>
      </c>
      <c r="I137" t="inlineStr">
        <is>
          <t>**Title: AWS Data Platform Engineer**
**Location: Remote in USA**
**Key Responsibilities**
Preferred 6\+ years of experience
**AWS Data Lake Architecture \&amp; Setup**
* Design and maintain scalable **AWS Data Lakes** using:
	+ **Amazon S3** for multi\-zone data storage (raw, curated, processed)
	+ **AWS Glue** Jobs, Crawlers, and Data Catalog
	+ **AWS Lake Formation** for centralized governance and security
* Configure Lake Formation capabilities:
	+ Row/column\-level access control
	+ Tag\-based access control (LF\-TBAC)
	+ Governed table permissions
	+ Cross\-account data sharing
* Implement best practices in:
	+ Data partitioning
	+ Schema evolution
	+ Metadata and catalog management
* Build and optimize ingestion and ETL pipelines for batch or near\-real\-time workloads.
**AWS Serverless Development**
* Develop serverless applications using:
	+ **Lambda**
	+ **API Gateway**
	+ **EventBridge**
	+ **SNS/SQS**
	+ **Step Functions**
* Build and tune AWS Glue ETL jobs using Python and PySpark.
* Implement cost\-efficient, highly scalable, event\-driven architectures.
**Monitoring, Logging \&amp; Observability**
* Implement monitoring and alerting using:
	+ **Amazon CloudWatch Logs, Metrics \&amp; Dashboards**
	+ CloudWatch Alarms for proactive incident detection
* Use CloudWatch Log Insights for log analytics and troubleshooting.
* Configure **AWS X\-Ray** for distributed tracing and end\-to\-end visibility.
* Build automated alerts around:
	+ Lambda failures
	+ Glue job errors
	+ Data pipeline SLAs
	+ Performance anomalies
**Data Engineering \&amp; Spark**
* Develop ETL pipelines using **PySpark** on AWS Glue or EMR.
* Optimize Spark workloads for performance, cost, and scaling.
* Troubleshoot distributed data issues and tune job performance.
**Python Development**
* Write clean Python code for Lambda functions, Glue jobs, and automation tools.
* Develop shared internal libraries for ETL, monitoring, and data governance.
* Implement automated CI/CD delivery pipelines.
**DevOps \&amp; Cloud Platform Automation**
* Use Infrastructure\-as\-Code tools including:
	+ **Terraform** (modules, workspaces, state management)
	+ AWS CloudFormation or CDK (optional but beneficial)
* Implement:
	+ Automated provisioning of AWS resources
	+ Version\-controlled, repeatable deployments
	+ Secure IAM roles and resource policies
* Configure monitoring, alerting, logging pipelines, and operational dashboards.
The base salary range for this position is $92,250 \- $131,786,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03/02/2026\.This position is for an existing, immediate vacancy. We are currently seeking to fill this role with an individual who can start as soon as possible.
**\#Concentrix**
**\#Remote**</t>
        </is>
      </c>
    </row>
    <row r="138">
      <c r="A138" t="inlineStr">
        <is>
          <t>in-15009ccaaf26a63b</t>
        </is>
      </c>
      <c r="B138" t="inlineStr">
        <is>
          <t>Oracle Golden Gate Administrator / Data Engineer-1</t>
        </is>
      </c>
      <c r="C138" t="inlineStr">
        <is>
          <t>Realign</t>
        </is>
      </c>
      <c r="D138" t="inlineStr">
        <is>
          <t>indeed</t>
        </is>
      </c>
      <c r="E138">
        <f>HYPERLINK("https://www.indeed.com/viewjob?jk=15009ccaaf26a63b", "https://www.indeed.com/viewjob?jk=15009ccaaf26a63b")</f>
        <v/>
      </c>
      <c r="F138">
        <f>HYPERLINK("https://realign-llc.com/careers/job-details/IT900946OR-1", "https://realign-llc.com/careers/job-details/IT900946OR-1")</f>
        <v/>
      </c>
      <c r="G138" t="inlineStr">
        <is>
          <t>Seattle, WA, US</t>
        </is>
      </c>
      <c r="H138" s="2" t="n">
        <v>46077</v>
      </c>
      <c r="I138" t="inlineStr">
        <is>
          <t>Seattle, Washington 98039 Posted February 25th, 2026
 Looking for more job opportunities? Click here!
Job Type: Full Time
Job Category: IT
Job Description
**Role:** Oracle Golden Gate Administrator / Data Engineer**Location:** Seattle, WA  
**FTE**  
Job Description
Must Have Technical/Functional Skills
Oracle Golden Gate Classic architecture(text based) and administration – Mandatory* Oracle Golden Gate New architecture(GUI based) \- Plus
* Data extract/transfer experience from Non\-Oracle Databases
(Teradata, Amazon S3,SQL. Azure, GCP etc.)* HVR(High Value Replicator),FiveTran product administration and Data Engineering – is a Plus
* Linux skill, PL/SQL , Jenkins job execution \&amp; Java awareness
* Familiarity with couple of database systems
 **Responsibilities*** Extract data and data replication in Oracle GG product
* Building and maintaining ETL pipelines with Oracle Goldengate ( HVR also is a plus)
* System administration and Tuning
* Daily Systems Monitoring
* Patching and software upgrades for product and servers
* Break fix all production issues
* Incident management and service requests
* Upgrades/migrations/customizations
* On\-call Support
Required Skills
DEVOPS ENGINEER
 SENIOR EMAIL SECURITY ENGINEER</t>
        </is>
      </c>
    </row>
    <row r="139">
      <c r="A139" t="inlineStr">
        <is>
          <t>in-603edc80dcbc0729</t>
        </is>
      </c>
      <c r="B139" t="inlineStr">
        <is>
          <t>RF Data Engineer</t>
        </is>
      </c>
      <c r="C139" t="inlineStr">
        <is>
          <t>Parsons</t>
        </is>
      </c>
      <c r="D139" t="inlineStr">
        <is>
          <t>indeed</t>
        </is>
      </c>
      <c r="E139">
        <f>HYPERLINK("https://www.indeed.com/viewjob?jk=603edc80dcbc0729", "https://www.indeed.com/viewjob?jk=603edc80dcbc0729")</f>
        <v/>
      </c>
      <c r="F139">
        <f>HYPERLINK("https://jobs.parsons.com/jobs/rf-data-engineer-virtual-r-177894-jobs--information-technology--", "https://jobs.parsons.com/jobs/rf-data-engineer-virtual-r-177894-jobs--information-technology--")</f>
        <v/>
      </c>
      <c r="G139" t="inlineStr">
        <is>
          <t>Remote, US</t>
        </is>
      </c>
      <c r="H139" s="2" t="n">
        <v>46076</v>
      </c>
      <c r="I139"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seeking an RF Data Engineer with specialized expertise in DoD spectrum management, regulatory compliance, and data engineering to support our cutting\-edge **Drone Armor** counter\-unmanned aerial systems (C\-UAS) program. This critical role requires extensive experience in military spectrum certification processes combined with advanced data science capabilities to ensure Done Armor systems operate effectively within complex electromagnetic environments while maintaining regulatory compliance.
**What You'll Be Doing:**
**RF Spectrum Analysis \&amp; Management**
* Analyze RF spectrum data to identify and characterize drone communication signatures and control frequencies
* Develop and maintain spectrum certification documentation supporting Drone Armor system deployments
* Coordinate frequency assignments and deconfliction efforts with military and civilian spectrum management authorities
* Generate technical documentation including DD Form 1494 for Drone Armor RF operations
* Conduct electromagnetic interference (EMI) and electromagnetic compatibility (EMC) analysis for C\-UAS operations
**Data Engineering \&amp; Analytics**
* Design and implement data pipelines for real\-time RF signal collection, processing, and analysis from Drone Armor sensors
* Develop machine learning models to improve drone detection accuracy and reduce false alarm rates
* Create data visualization dashboards for operational monitoring and system performance assessment
* Apply advanced analytics to RF spectrum data to identify emerging drone threats and communication protocols
* Implement cloud\-based data architectures for scalable storage and processing of RF sensor data
**System Integration \&amp; Testing**
* Support field testing and evaluation of Drone Armor systems in operational environments
* Perform frequency\-dependent analysis to assess system effectiveness across various RF bands
* Collaborate with software development teams to integrate RF data processing algorithms
* Utilize spectrum databases (Spectrum XXI, JSDR, EL\-CID) to support deployment planning
* Conduct Spectrum Supportability Risk Assessments (SSRAs) for Drone Armor acquisitions
**Technical Documentation \&amp; Coordination**
* Prepare technical reports documenting RF performance, spectrum utilization, and system capabilities
* Support Host Nation Coordination activities for international Drone Armor deployments
* Assist with Equipment Spectrum Certification processes per AR 5\-12 and DoD 5000\.1
* Maintain awareness of evolving drone technologies and RF communication standards
**What Required Skills You'll Bring:**
**Education**
* Master’s degree in computer science, electronics engineering OR other engineering or technical discipline is required with 10 yrs of experience OR 10 years of relevant RF/data engineering experience may be substituted for education
**Experience**
* Minimum ten (10\) years of experience with Department of Defense (DoD) spectrum management policy, certification, and documentation
* Minimum eight (8\) years of experience in generating DD Form 1494 and reviewing detailed spectrum certification documents
* Minimum four (4\) years of experience with data engineering, data analytics, or software development
**Technical Competencies**
* Proficiency in programming languages such as Python, MATLAB, R, or similar for data analysis
* Experience with RF measurement equipment and spectrum analyzers
* Knowledge of wireless communication protocols and RF propagation principles
* Familiarity with DoD spectrum management policies and procedures
* Understanding of data engineering principles including ETL processes, data modeling, and database management
* Experience with cloud technology platforms (AWS, Azure, Google Cloud) and their application to data engineering workflows
* Understanding of data mesh architectures and data tagging methodologoies
* Familiarity with electronic phenomena principles as they relate to RF systems and spectrum management
**Security \&amp; Citizenship**
* Must be a US Citizen
* **SECRET** security clearance is required
**What Desired Skills You'll Bring:**
**Advanced Education \&amp; Certifications**
* PhD in Electrical Engineering, Computer Science, Data Science, or related discipline
* Professional certifications in data science, cloud computing (AWS/Azure/GCP), or RF engineering
**Specialized Experience**
* Experience with counter\-drone technologies, electronic warfare, or signals intelligence (SIGINT)
* Knowledge of commercial and military drone RF signatures and communication protocols
* Experience with machine learning/AI applications for RF signal classification
* Familiarity with software\-defined radio (SDR) platforms and development
* Knowledge of NTIA Redbook, ITU regulations, and CJCSM 3320\.01
**Advanced Technical Skills**
* Experience with big data technologies (Hadoop, Spark, Kafka) for RF data processing
* Proficiency in cloud platforms (AWS, Azure, Google Cloud) for data engineering workflows
* Experience with data mesh architectures and modern data governance practices
* Knowledge of containerization (Docker, Kubernetes) and DevOps practices
* Experience with real\-time data streaming and edge computing applications
* Familiarity with digital signal processing (DSP) techniques and algorithms
* Experience with software coding for data interoperability between DoD spectrum management systems
**Database \&amp; Tools Experience**
* Experience accessing spectrum databases: Spectrum XXI, HNSWDO, JSDR, Stepstone, EL\-CID
* Proficiency with data visualization tools (Tableau, Power BI, Grafana)
* Experience with version control systems (Git) and collaborative development environments
**Analytical Capabilities**
* Experience performing Frequency Dependent Rejection and Frequency Distance Separation Analysis
* Knowledge of statistical analysis and hypothesis testing methodologies
* Experience with electromagnetic modeling and simulation tools
**Work Location:**
**Remote with ability and willingness to travel to Aberdeen Proving Ground, MD** (with potential travel to test sites and additional customer locations)
**Security Clearance Requirement:**
An active Secret security clearance is required for this position.
This position is part of our Federal Solutions team.
The Federal Solutions segment delivers resources to our US government customers that ensure the success of missions around the globe. Our intelligent employees drive the state of the art as they provide services and solutions in the areas of defense, security, intelligence, infrastructure, and environmental. We promote a culture of excellence and close\-knit teams that take pride in delivering, protecting, and sustaining our nation's most critical assets, from Earth to cyberspace. Throughout the company, our people are anticipating what’s next to deliver the solutions our customers need now.
Salary Range: $112,200\.00 \- $196,400\.00
We value our employees and want our employees to take care of their overall wellbeing, which is why we offer best\-in\-class benefits such as medical, dental, vision, paid time off, Employee Stock Ownership Plan (ESOP), 401(k), life insurance, flexible work schedules, and holidays to fit your busy lifestyle!
This position will be posted for a minimum of 3 days and will continue to be posted for an average of 30 days until a qualified applicant is selected or the position has been cancelled.
Parsons is an equal opportunity employer, and all qualified applicants will receive consideration for employment without regard to race, color, religion, sex, national origin, disability, veteran status or any other protected status.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
COMPETITIVE BENEFIT OFFERINGS  
Financial Wellness  
We care about your financial wellbeing. Parsons offers competitive pay and retirement plans to help you build wealth for the future while giving you the flexibility to diversify your investments.
Work Life Harmony  
Balance in life is important and time away from the office is imperative to allow you to refresh and focus your attention on the things that matter to you. Parsons supports your time away by providing paid time off and paid flexible holidays.
Career Development  
We are committed to fostering the personal and professional growth of our employees. Develop and advance yourself though our comprehensive training, educational and mentorship programs.  
Veteran Support  
We provide Industry leading benefits to support veterans and active\-duty members to provide security for you and your family by offering robust leave and benefits; including paid active\-duty military leave and paid time off when transitioning back to civilian life.
Mind \&amp; Body  
At Parsons we inspire healthier habits, heathier minds, and a healthier you through our wellness program. Participate in our weekly Meditation Mondays and Wellness Wednesdays. Wellness, at Parsons, is more than just your annual checkup.
Health  
Health is not a one size fits all. At Parsons, we offer a robust Employee Assistance Program as well as comprehensive medical, dental and vision plans through large, national carriers with the choice of regional PPO, HDHP, or HMO networks.</t>
        </is>
      </c>
    </row>
    <row r="140">
      <c r="A140" t="inlineStr">
        <is>
          <t>in-2ba4d3f3dd72a9a1</t>
        </is>
      </c>
      <c r="B140" t="inlineStr">
        <is>
          <t>Principal Graph Analytics Engineer</t>
        </is>
      </c>
      <c r="C140" t="inlineStr">
        <is>
          <t>General Motors (GM)</t>
        </is>
      </c>
      <c r="D140" t="inlineStr">
        <is>
          <t>indeed</t>
        </is>
      </c>
      <c r="E140">
        <f>HYPERLINK("https://www.indeed.com/viewjob?jk=2ba4d3f3dd72a9a1", "https://www.indeed.com/viewjob?jk=2ba4d3f3dd72a9a1")</f>
        <v/>
      </c>
      <c r="F140">
        <f>HYPERLINK("https://generalmotors.wd5.myworkdayjobs.com/en-US/Careers_GM/job/Milford-Michigan-United-States-of-America/Principal-Graph-Analytics-Engineer_JR-202603713", "https://generalmotors.wd5.myworkdayjobs.com/en-US/Careers_GM/job/Milford-Michigan-United-States-of-America/Principal-Graph-Analytics-Engineer_JR-202603713")</f>
        <v/>
      </c>
      <c r="G140" t="inlineStr">
        <is>
          <t>Milford, MI, US</t>
        </is>
      </c>
      <c r="H140" s="2" t="n">
        <v>46076</v>
      </c>
      <c r="I140" t="inlineStr">
        <is>
          <t>**Job Description**
**Work Classification:**
**Hybrid:** This means the successful candidate is expected to report to their primary location (Milford, MI) three times per week, at minimum, or other frequency dictated by the business.
**The Role:**
We are seeking a Principal Engineer with deep expertise in Graph Theory to lead the design of advanced algorithms and data structures for complex, large\-scale systems within the Vehicle Systems \&amp; Embedded Engineering (VSEE) organization, supporting our transition to a next\-generation Software Defined Vehicle (SDV) architecture. This role is ideal for a hands\-on technical leader with a PhD in Mathematics, Computer Science, or related field with a strong research record in graph theory and a track record of successfully applying that work to real\-world engineering problems.
You will be the principal technical authority for how we model, analyze, and exploit large\-scale vehicle, network, and backend graphs, guiding top\-level architectural decisions that shape how the broader technical community applies graph\-based analysis to solve difficult SDV engineering challenges.
You will shape technical strategy, mentor senior engineers, and partner with cross\-functional stakeholders to deliver high\-impact solutions grounded in rigorous mathematics. This is not a pure research role; success requires translating advanced theoretical work into scalable, maintainable production systems and influencing how multiple teams adopt and apply these methods. While not expected to be the primary implementer for all systems, you will remain technically hands\-on through prototyping, reviews, and critical\-path contributions.
**In the context of SDV, example problem spaces include:**
* Analyzing software, service, and configuration dependency graphs to understand impact, risk, blast radius, and safe rollout strategies (including OTA updates)
* Optimizing compute, network, and storage placement and performing fault and safety analysis using graph\-based representations of in\-vehicle and offboard systems
* Building and querying graph\-based knowledge and lifecycle models that connect requirements, architecture, implementation, verification, and fleet data for SDV
**What You'll Do:**
-------------------
* **Set graph\-based technical direction** : Own the graph\-theoretic architecture and strategy for SDV\-relevant systems and platforms, including standards for correctness, scalability, and reliability.
* **Apply advanced graph theory to SDV problems:** Formulate key SDV challenges such as graph\-based modeling or combinatorial optimization problems and drive advanced graph\-based algorithms (including for NP\-hard classes) from prototype to production.
* **Design and review graph\-based systems:** Lead end\-to\-end designs that use graph\-based models across data, compute, and APIs, partnering with platform and infrastructure teams to ensure workloads are efficient, observable, and resilient.
* **Elevate the graph\-based technical community:** Mentor senior and staff engineers, align cross\-functional teams on problem framing and solution approaches, and provide internal and external thought leadership (design reviews, talks, publications).
**Your Skills \&amp; Abilities (Required Qualifications):**
* Master's in Mathematics, Computer Science, Operations Research, or a closely related field, with a strong focus on graph theory.
* 8\+ years of post\-education experience in algorithm design and large\-scale systems, with a proven track record of applying graph\-theoretic concepts to real engineering problems and taking models from prototype to production.
* Deep expertise in graph\-based algorithms and optimization, including:
	+ Core graph\-based algorithms (e.g., paths, flows, connectivity, matchings, spanning trees, graph search, spectral methods).
	+ Network and combinatorial optimization, with practical approaches to NP\-complete and NP\-hard problems (e.g., relaxations, approximation algorithms, heuristics).
	+ Analysis of algorithms: time/space complexity and probabilistic/approximation analysis.
* Strong software engineering skills:
	+ Proficiency in at least one systems or production language (e.g., C\+\+, Rust, Java, Go) and one high\-level language (e.g., Python).
	+ Experience with data structures, distributed systems concepts, and performance optimization.
* Demonstrated ability to:
	+ Lead multi\-team, multi\-quarter initiatives as the primary technical owner.
	+ Communicate complex mathematical ideas clearly to both technical and non\-technical stakeholders.
	+ Make pragmatic trade\-offs between theoretical optimality and engineering constraints.
**What Can Give You A Competitive Edge** ( **Preferred Qualifications):**
* PhD in Mathematics, Computer Science, Operations Research, or a closely related field, with a strong focus on graph theory.
* 10\+ years of post\-education experience in algorithm design and large\-scale systems, with a proven track record of applying graph\-theoretic concepts to real engineering problems and taking models from prototype to production.
* Experience building or working with graph databases, graph processing frameworks, or large\-scale graph analytics platforms.
* Contributions to peer\-reviewed publications in graph theory, algorithms, or related areas.
* Experience in one or more domains where graphs are central, such as:
	+ Routing, logistics, and network design
	+ Recommender systems and knowledge graphs
	+ Dependency analysis and configuration management
	+ Reliability, resilience, or fault propagation in complex networks
* Prior experience as a Principal / Staff / Distinguished Engineer or equivalent, with:
	+ A track record of raising the technical bar across teams.
	+ Experience mentoring PhD\-level talent and senior engineers.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**Relocation:**
This job may be eligible for relocation benefits.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141">
      <c r="A141" t="inlineStr">
        <is>
          <t>in-2b595faffecb0515</t>
        </is>
      </c>
      <c r="B141" t="inlineStr">
        <is>
          <t>RWD Data Engineer</t>
        </is>
      </c>
      <c r="C141" t="inlineStr">
        <is>
          <t>Parexel</t>
        </is>
      </c>
      <c r="D141" t="inlineStr">
        <is>
          <t>indeed</t>
        </is>
      </c>
      <c r="E141">
        <f>HYPERLINK("https://www.indeed.com/viewjob?jk=2b595faffecb0515", "https://www.indeed.com/viewjob?jk=2b595faffecb0515")</f>
        <v/>
      </c>
      <c r="F141">
        <f>HYPERLINK("https://jobs.parexel.com/job/-/-/877/92070009872", "https://jobs.parexel.com/job/-/-/877/92070009872")</f>
        <v/>
      </c>
      <c r="G141" t="inlineStr">
        <is>
          <t>Washington, DC, US</t>
        </is>
      </c>
      <c r="H141" s="2" t="n">
        <v>46076</v>
      </c>
      <c r="I141" t="inlineStr">
        <is>
          <t>**Parexel is hiring a remote based RWD Data Engineer.**
If you are passionate about transforming complex healthcare data into meaningful, high\-quality insights, join us as an RWD Data Engineer, where you’ll play a critical role in shaping how real\-world data is ingested, standardized, and delivered across our organization.
In this role, you’ll work hands‑on with diverse data sources—from healthcare claims to EMR and registry databases—ensuring accuracy, consistency, and usability. You’ll collaborate closely with cross‑functional partners to gather requirements, design technical specifications, and build robust data pipelines that empower statistical programmers, analysts, and data scientists to do their best work.
**What you will do:**
* Support project teams in the design, development, and delivery of RWD solutions across multiple databases.
* Manage the inflow of diverse healthcare data sources and ensure data quality.
* Develop technical specifications and transform data into a common data model.
* Publish validated datasets for enterprise\-wide use.
* Provide reports, presentations, and technical explanations to epidemiologists, analysts, and programmers.
* Communicate with data vendors and ensure accountability for data quality.
* Help ensure quality standards and evaluate new methodologies.
* Perform SQL querying, transformation, and quality control.
* Apply SAS, Python, and programming tools to support analytical workflows.
* Work with real\-world healthcare datasets (Optum, PharMetrics, Flatiron, registry data).
* Support OMOP data model conversions.
* Leverage AI tools such as Databricks Genie and MS Copilot.
* Work independently or as part of a team.
**Basic Qualifications:**
* Bachelor’s degree in Data Engineering, Computer Science, Statistics, Mathematics, or related field.
* 1–2 years of SAS statistical programming experience.
* 5 years of Python programming experience.
* Experience with SQL querying and data transformation.
* Experience with real\-world healthcare data (Optum, PharMetrics, Flatiron, Registry databases).
* Experience with OMOP specifications and conversions.
* Experience communicating with data vendors.
* Proficiency leveraging AI tools (Databricks Genie, MS Copilot).
* Ability to work independently and collaboratively.
* Self\-starter with strong time management.
**Preferred Qualifications:**
* Master’s degree in a related field.
* Experience with Databricks (Spark SQL, Python, R).
* Experience with Spotfire or Power BI.
* Pharmaceutical industry experience.
\#LI\-REMOTE</t>
        </is>
      </c>
    </row>
    <row r="142">
      <c r="A142" t="inlineStr">
        <is>
          <t>in-1ff21e0f44745194</t>
        </is>
      </c>
      <c r="B142" t="inlineStr">
        <is>
          <t>Data Engineer</t>
        </is>
      </c>
      <c r="C142" t="inlineStr">
        <is>
          <t>Flywheel Energy</t>
        </is>
      </c>
      <c r="D142" t="inlineStr">
        <is>
          <t>indeed</t>
        </is>
      </c>
      <c r="E142">
        <f>HYPERLINK("https://www.indeed.com/viewjob?jk=1ff21e0f44745194", "https://www.indeed.com/viewjob?jk=1ff21e0f44745194")</f>
        <v/>
      </c>
      <c r="F142">
        <f>HYPERLINK("https://www.paycomonline.net/v4/ats/web.php/jobs/ViewJobDetails?job=427848&amp;clientkey=3E64D01D9950E486D4A0FE9C96454C82&amp;source=Indeed", "https://www.paycomonline.net/v4/ats/web.php/jobs/ViewJobDetails?job=427848&amp;clientkey=3E64D01D9950E486D4A0FE9C96454C82&amp;source=Indeed")</f>
        <v/>
      </c>
      <c r="G142" t="inlineStr">
        <is>
          <t>Oklahoma City, OK, US</t>
        </is>
      </c>
      <c r="H142" s="2" t="n">
        <v>46076</v>
      </c>
      <c r="I142" t="inlineStr">
        <is>
          <t>Job Summary
-----------
The Network Engineer (Database\-focused) is responsible for designing, developing, and optimizing enterprise database systems across SQL Server, Azure SQL, and hybrid cloud environments. This role leads database development initiatives, implements secure and efficient migration strategies, and supports both relational and non\-relational data platforms. The engineer provides advanced Tier 2/3 troubleshooting for performance and operational issues, ensuring high availability, regulatory compliance, and data protection. Additionally, this position collaborates with cross‑functional teams to integrate databases with applications, support ETL workflows, and enable scalable cloud\-based solutions. The role also includes performance monitoring, capacity planning, disaster recovery preparation, and maintaining comprehensive documentation to support reliable and resilient data operations.
Key Responsibilities
--------------------
* Database Development: Develop and performance optimize databases on SQL Server and Azure SQL platforms, and automate daily tasks using T\-SQL and similar administrative tools (SSIS, Python)
* Database Migration: Develop and apply migration strategies between Azure and on\-prem systems to maintain data platform operations.
* Database Design and Implementation: Design, deploy, and manage relational and non\-relational databases, including schema development, indexing, and partitioning to support enterprise applications.
* Troubleshooting and Support: Diagnose and resolve database issues, such as performance bottlenecks, errors, or failures, providing Tier 2/3 support for data\-related incidents.
* Security and Compliance: Implement and enforce database security policies, including user access controls, encryption, auditing, and adherence to regulations (e.g., PCI\-DSS) to safeguard sensitive data. (Working with DBAs and IT)
* Performance Monitoring: Monitor database performance using tools like SQL Server Management Studio, Oracle Enterprise Manager, or Prometheus, identifying and optimizing slow queries or resource usage.
* Collaboration: Work with developers, analysts, and IT teams to integrate databases with applications, support ETL processes, and enable cloud\-based data solutions.
* Documentation: Create and maintain detailed database documentation, including ER diagrams, data dictionaries, and recovery procedures.
* Capacity Planning: Evaluate current and projected data storage needs, recommending scaling solutions or migrations to accommodate business expansion.
* Disaster Recovery: Develop, test, and maintain Fabric database replication and copy jobs. Work with DBAs to test failover, and disaster recovery strategies to ensure minimal downtime and data loss.
Required Qualifications
-----------------------
* Experience: 2\-6 years of hands\-on experience in ETL and ELT frameworks.
* Education: Associate’s degree in Computer Science, Information Technology, Database Management, **or equivalent experience**
* Hands\-on experience with database troubleshooting, query optimization, and performance tuning
* Willingness to perform occasional after\-hours critical support and maintenance, depending on business needs
* Strong problem\-solving and analytical skills
* Excellent communication and teamwork abilities
* Ability to manage multiple priorities in a fast\-paced environment
Preferred Qualifications
------------------------
* Hands\-on experience with SQL Server database technologies, Microsoft Fabric, and Python Scala Notebooks
* 2\-5 years of experience in the oil and gas or energy industry
* Oracle Certified Professional (OCP), Microsoft Certified: Azure Database Administrator Associate, or similar certifications
* Strong knowledge of database concepts (e.g., ACID properties, normalization, replication, sharding).
* Experience with cloud databases (e.g., AWS RDS, Azure SQL Database, Google Cloud SQL) and big data tools (e.g., Hadoop, Spark).
* Knowledge of cybersecurity and data protection best practices (Microsoft Entra and other IAM tools)
* Familiarity with database monitoring tools and ETL frameworks (SSIS)
* Understanding of data warehousing, BI tools (e.g., Tableau, Power BI), and automation scripting (e.g., SQL, Python, Bash, SSRS, KQL, Graph API).</t>
        </is>
      </c>
    </row>
    <row r="143">
      <c r="A143" t="inlineStr">
        <is>
          <t>in-58a1672c8342f581</t>
        </is>
      </c>
      <c r="B143" t="inlineStr">
        <is>
          <t>Data engineer</t>
        </is>
      </c>
      <c r="C143" t="inlineStr">
        <is>
          <t>Stacklogy</t>
        </is>
      </c>
      <c r="D143" t="inlineStr">
        <is>
          <t>indeed</t>
        </is>
      </c>
      <c r="E143">
        <f>HYPERLINK("https://www.indeed.com/viewjob?jk=58a1672c8342f581", "https://www.indeed.com/viewjob?jk=58a1672c8342f581")</f>
        <v/>
      </c>
      <c r="F143">
        <f>HYPERLINK("https://stacklogy.com/career/", "https://stacklogy.com/career/")</f>
        <v/>
      </c>
      <c r="G143" t="inlineStr">
        <is>
          <t>US</t>
        </is>
      </c>
      <c r="H143" s="2" t="n">
        <v>46076</v>
      </c>
      <c r="I143" t="inlineStr">
        <is>
          <t>**Qualification:**  
Master's Degree in Statistical Analytics, Data Science, or Bachelor's Degree in computer science engineering will be considered with at least three \- five years of applicable work experience
**Preferred Proficiency:**  
* Web development experience (AngularJS, D3\).
* Experience in a statistical programming language like R or Python; applied machine learning techniques including dimensionality reduction strategies, supervised/unsupervised classification and natural language processing frameworks.
* Experience in at least one data visualization tools (e.g. Tableau, QlikView) and data warehousing tools (e.g. Informatica) is preferred
**Huge Advantage:**  
* Building and scaling Machine Learning frameworks
* Hadoop (Hive, Spark, UDF's)
**Definite Plus:**  
* Web development experience (AngularJS, D3\).
**Experience:**  
* 5\+ years of relevant experience in one of the following areas: Data engineering, database engineering, business intelligence or business analytics.
* 5\+ years of hands\-on experience in writing complex, highly\-optimized SQL queries across large data sets.
* 2\+ years of experience in scripting languages like Python etc.
If you qualify for this position, please send your resume at hr@stacklogy.com Please bookmark this page to know more about job openings at Stacklogy.</t>
        </is>
      </c>
    </row>
    <row r="144">
      <c r="A144" t="inlineStr">
        <is>
          <t>in-4d736aba4e41448a</t>
        </is>
      </c>
      <c r="B144" t="inlineStr">
        <is>
          <t>Data and Analytics Engineer 2</t>
        </is>
      </c>
      <c r="C144" t="inlineStr">
        <is>
          <t>First National Bank</t>
        </is>
      </c>
      <c r="D144" t="inlineStr">
        <is>
          <t>indeed</t>
        </is>
      </c>
      <c r="E144">
        <f>HYPERLINK("https://www.indeed.com/viewjob?jk=4d736aba4e41448a", "https://www.indeed.com/viewjob?jk=4d736aba4e41448a")</f>
        <v/>
      </c>
      <c r="F144">
        <f>HYPERLINK("https://fnbcorp.wd501.myworkdayjobs.com/en-US/FNBCORP/job/Pittsburgh-PA/Data-and-Analytics-Engineer-2_2026-00386", "https://fnbcorp.wd501.myworkdayjobs.com/en-US/FNBCORP/job/Pittsburgh-PA/Data-and-Analytics-Engineer-2_2026-00386")</f>
        <v/>
      </c>
      <c r="G144" t="inlineStr">
        <is>
          <t>Pittsburgh, PA, US</t>
        </is>
      </c>
      <c r="H144" s="2" t="n">
        <v>46076</v>
      </c>
      <c r="I144" t="inlineStr">
        <is>
          <t>**Primary Office Location:**
----------------------------
626 Washington Place. Pittsburgh, Pennsylvania. 15219\.
**Join our team. Make a difference \- for us and for your future.**
-------------------------------------------------------------------
**It is strongly preferred for candidates for this role to have the following skills:**
* **Strong proficiency in SSIS and data modeling** , including designing, building, and optimizing ETL workflows and relational data structures.
* **Experience with the Medallion data model pattern** (Bronze/Silver/Gold architecture) and applying it to support scalable, governed data pipelines.
**\*\*Please note: this on\-site position is based at our Financial Center in Pittsburgh, PA. Candidates must be local, or willing to relocate to the area.**
**FNB will not provide sponsorship for employment\-based visas for this position; only candidates who are legally authorized to work in the U.S. will be considered.\*\***
**Position Title:** Data and Analytics Engineer 2
**Business Unit:** Technology
**Reports to:** Manager of Data and Analytics Engineering
**Position Overview:**
This position is primarily responsible for providing comprehensive data and analytics support for all business units across the corporation and works on low to medium complex and cross\-functional data centric solutions, works on multiple projects as a team member, works with BI and Data Analysts to understand customer need. The incumbent collects, analyzes and shares data to help business teams drive improvement in key business metrics, customer experience and business results and has a moderate impact on operations, resources and the corporation's reputation.
**Primary Responsibilities:**
Works with Business Information and Data Analysts to understand customer needs. Collects, analyzes and shares data to help business teams drive improvement in key business metrics, customer experience and business results. Utilizes database and web application technologies to develop and evaluate innovative business intelligence tools and automated reports.
Develops and tests analytical solutions such as databases, queries, views, reports and dashboards. Assists in data conversions, imports and exports of data within and between internal and external software systems. Documents new and existing models, solutions and implementations.
Designs and builds reporting and analysis tools that help streamline the business and makes reporting, analyzing, planning and forecasting more efficient. Supports and assists with the integration of analytical platforms with enterprise systems and applications. Troubleshoots analytics tools, systems, and software. Tracks performance and production issues.
May assist in performance tuning of analytics applications. Escalates production issues as appropriate. Ensures the collected data is within required quality standards. May maintain the quality of Metadata Repository by adding, modifying and deleting data.
Adheres to process, policies and standards. Keeps customers informed about business intelligence tool problems and resolutions. Tracks and reports on issues and enhancement requests for the business in a timely manner.
Performs regular assignments using own judgment and following the corporation's data policy, while keeping supervisor informed as necessary. Receives general guidance on new projects as to methods, procedures and desired end results. Uses discretion to make decisions within the scope of their responsibilities. Complex assignments are usually reviewed upon completion.
Performs other related duties and projects as assigned.
All employees have the responsibility and the accountability to serve as risk managers for their businesses by understanding, reporting, responding to, managing and monitoring the risk they encounter daily as required by F.N.B. Corporation’s risk management program.
F.N.B. Corporation is committed to achieving superior levels of compliance by adhering to regulatory laws and guidelines. Compliance with regulatory laws and company procedures is a required component of all position descriptions.
**Minimum Level of Education Required to Perform the Primary Responsibilities of this Position:**
BA or BS  
**Minimum \# of Years of Job Related Experience Required to Perform the Primary Responsibilities of this Position:**
3  
**Skills Required to Perform the Primary Responsibilities of this Position:**
Excellent customer service skills
Ability to use general office equipment
Ability to work and multi\-task in a fast paced environment
Excellent organizational, analytical and interpersonal skills
Detail\-oriented
Minimum of 3 years of related technical experience
Minimum of 3 years of experience supporting a major Business Intelligence/Data Warehousing system
Expert skills in data analysis and data mining  
**Licensures/Certifications Required to Perform the Primary Responsibilities of this Position:**
N/A  
**Physical Requirements or Work Conditions Beyond Traditional Office Work:**
N/A  
**Equal Employment Opportunity (EEO):**
It is the policy of F.N.B. Corporation (FNB) and its affiliates not to discriminate against any employee or applicant for employment because of age, race, color, religion, sex, national origin, disability, veteran status or any other category protected by law. It is also the policy of FNB and its affiliates to employ and advance in employment all persons regardless of their status as individuals with disabilities or veterans, and to base all employment decisions only on valid job requirements. FNB provides all applicants and employees a discrimination and harassment free workplace.</t>
        </is>
      </c>
    </row>
    <row r="145">
      <c r="A145" t="inlineStr">
        <is>
          <t>in-e257d3470494c120</t>
        </is>
      </c>
      <c r="B145" t="inlineStr">
        <is>
          <t>Senior Principal Data Engineer</t>
        </is>
      </c>
      <c r="C145" t="inlineStr">
        <is>
          <t>Amtrak</t>
        </is>
      </c>
      <c r="D145" t="inlineStr">
        <is>
          <t>indeed</t>
        </is>
      </c>
      <c r="E145">
        <f>HYPERLINK("https://www.indeed.com/viewjob?jk=e257d3470494c120", "https://www.indeed.com/viewjob?jk=e257d3470494c120")</f>
        <v/>
      </c>
      <c r="F145">
        <f>HYPERLINK("https://careers.amtrak.com/job/Washington-Senior-Principal-Data-Engineer-Dist/1367613200/?feedId=75300&amp;utm_source=Indeed&amp;utm_campaign=Amtrak_Indeed", "https://careers.amtrak.com/job/Washington-Senior-Principal-Data-Engineer-Dist/1367613200/?feedId=75300&amp;utm_source=Indeed&amp;utm_campaign=Amtrak_Indeed")</f>
        <v/>
      </c>
      <c r="G145" t="inlineStr">
        <is>
          <t>Washington, DC, US</t>
        </is>
      </c>
      <c r="H145" s="2" t="n">
        <v>46076</v>
      </c>
      <c r="I145" t="inlineStr">
        <is>
          <t>**Your success is a train ride away!**
As we move America’s workforce toward the future, Amtrak connects businesses and communities across the country. We employ more than 20,000 diverse, energetic professionals in a variety of career fields throughout the United States. The safety of our passengers, our employees, the public and our operating environment is our priority, and the success of our railroad is due to our employees.
 **Are you ready to join our team?**
Our values of ‘Do the Right Thing, Excel Together and Put Customers First’ are at the heart of what matters most to us, and our Core Capabilities, ‘Building Trust, Accountability, Effective Communication, Customer Focus, and Proactive Safety \&amp; Security’ are what every employee needs to know and do to be most impactful at Amtrak. By living the Amtrak values, focusing on our capabilities, and actively embracing and fostering diverse ideas, backgrounds, and perspectives, together we will honor our past and make Amtrak a company of the future.
COMPANY: National Railroad Passenger Corporation (Amtrak)  
TITLE: Senior Principal Data Engineer  
LOCATION: Washington, D.C.
DUTIES: Lead the technological advancement and architecture of data\-driven solutions across multiple departments including Operations, Finance, Safety, Marketing, and IT. Spearhead the design, development, and delivery of end\-to\-end solutions on contemporary technology platforms. Oversee designing data ingestion, transfer, and consumption processes that are cost\-effective and performance efficient. Act as a Subject Matter Expert (SME) for key and critical source systems to offer essential guidance and mentorship to the Development, Testing, Implementation, and Support teams. Adapt and enhance solutions to meet evolving requirements, ensuring alignment with business objectives.
REQUIREMENTS: Bachelor's degree or equivalent in Computer Science, Computer Information Systems, or a related field followed by seven (7\) years of progressive, post\-baccalaureate experience as a Senior Principal Data Engineer or any occupation related to Software Development. Must also have seven (7\) years of experience: (1\) Building solutions using the following technologies: Informatica Data Quality, Informatica MDM, Erwin, and Informatica Power Center; (2\) Administering applications in UNIX, LINUX, and Windows environments; (3\) Writing and executing scripts in Perl; (4\) Implementing solutions on AWS leveraging identity resolutions, data lake, metadata, and data governance; (5\) Performing data migrations, cleansing, integration, and normalization for data warehouses; (6\) Creating customized Master Data Management (MDM) and IDD solutions. All experience may be acquired concurrently. Remote work permitted in accordance with company policy. All positions require pre\-employment background check verification and a pre\-employment drug screen.
SALARY: $175,427 to $215,100 per year
CONTACT: To apply,https://bit.ly/4cS8dSO Please reference Job Code: 7705232\.
**Requisition ID:**166139  
**Posting Location(s):**District of Columbia
**Job Family/Function:**Information Technology  
**Relocation Offered:**No  
**Travel Requirements:**Up to 25%
**You power our progress through your performance.**
We want your work at Amtrak to be more than a job. We want your career at Amtrak to be a fulfilling experience where you find challenging work, rewarding opportunities, respect among colleagues, and attractive compensation. Amtrak maintains a culture that values high performance and recognizes individual employee contributions.
Amtrak is committed to a safe workplace free of drugs and alcohol. All Amtrak positions requires a pre\-employment background check that includes prior employment verification, a criminal history check and a pre\-employment drug screen.
Candidates who test positive for marijuana will be disqualified, regardless of any state or local statute, ordinance, regulation, or other law that legalizes or decriminalizes the use or possession of marijuana, whether for medical, recreational, or other use. Amtrak's pre\-employment drug testing program is administered in accordance with DOT regulations and applicable law.  
In accordance with DOT regulations (49 CFR § 40\.25\), Amtrak is required to obtain prior drug and alcohol testing records for applicants/employees intending to perform safety\-sensitive duties for covered Department of Transportation positions. If an applicant/employee refuses to provide written consent for Amtrak to obtain these records, the individual will not be permitted to perform safety\-sensitive functions.
In accordance with federal law governing security checks of covered individuals for providers of public transportation (Title 6 U.S.C. §1143\), Amtrak is required to screen applicants for any permanent or interim disqualifying criminal offenses.
Amtrak is an equal opportunity employer and all qualified applicants will receive consideration for employment without regard to race/color, to include traits historically associated with race, including but not limited to, hair texture and hairstyles such as braids, locks and twists, religion, sex (including pregnancy, childbirth and related conditions, such as lactation), national origin/ethnicity, disability (intellectual, mental and physical), veteran status, marital status, ancestry, sexual orientation, gender identity and gender expression, genetic information, citizenship or any other personal characteristics protected by law..</t>
        </is>
      </c>
    </row>
    <row r="146">
      <c r="A146" t="inlineStr">
        <is>
          <t>in-56f9c6d0f9fe42b9</t>
        </is>
      </c>
      <c r="B146" t="inlineStr">
        <is>
          <t>Senior Data Engineer / Architect(Informatica -CAI and CDI Developer ) Remote</t>
        </is>
      </c>
      <c r="C146" t="inlineStr">
        <is>
          <t>Cognizant Technology Solutions</t>
        </is>
      </c>
      <c r="D146" t="inlineStr">
        <is>
          <t>indeed</t>
        </is>
      </c>
      <c r="E146">
        <f>HYPERLINK("https://www.indeed.com/viewjob?jk=56f9c6d0f9fe42b9", "https://www.indeed.com/viewjob?jk=56f9c6d0f9fe42b9")</f>
        <v/>
      </c>
      <c r="F146">
        <f>HYPERLINK("https://click.appcast.io/t/zA24JtHD_tQgqfI1kZojoU_G7YhxVytsIQEdSgS6C7A=", "https://click.appcast.io/t/zA24JtHD_tQgqfI1kZojoU_G7YhxVytsIQEdSgS6C7A=")</f>
        <v/>
      </c>
      <c r="G146" t="inlineStr">
        <is>
          <t>Cincinnati, OH, US</t>
        </is>
      </c>
      <c r="H146" s="2" t="n">
        <v>46076</v>
      </c>
      <c r="I146" t="inlineStr">
        <is>
          <t>**Description \- External**
**We are Cognizant AIA \- Artificial Intelligence and Analytics !!**
**About AI \&amp; Analytics:** Artificial intelligence (AI) and the data it collects and analyzes will soon sit at the core of all intelligent, human\-centric businesses. By decoding customer needs, preferences, and behaviors, our clients can understand exactly what services, products, and experiences their consumers need. Within AI \&amp; Analytics, we work to design the future—a future in which trial\-and\-error business decisions have been replaced by informed choices and data\-supported strategies! By applying AI and data science, we help leading companies to prototype, refine, validate, and scale their AI and analytics products and delivery models! Cognizant’s AIA practice takes insights that are buried in data and provide businesses with a clear way to transform how they source, interpret, and consume their information. Our clients need flexible data structures and a streamlined data architecture that quickly turns data resources into informative, meaningful intelligence.
**Job Summary**
We are seeking a skilled Informatica CAI and CDI Developer with strong experience in the telematics and connected vehicle domain. The role focuses on designing and implementing real time integrations and data pipelines that ingest, process, and distribute high volume vehicle and IoT data across cloud and enterprise ecosystems.
**Responsibilities**
* Design and develop real time and event driven integrations using Informatica CAI
* Build synchronous and asynchronous integration processes using CAI Process Designer
* Develop and expose REST SOAP APIs for connected vehicle and enterprise integrations
* Configure and manage connectors, adapters, and Secure Agents
* Implement error handling, retries, logging, and exception frameworks
* Monitor and troubleshoot integrations using CAI Application Integration Console
* Design and develop batch and incremental data pipelines using Informatica CDI
* Ingest, transform, and load large volumes of vehicle telemetry, sensor, and diagnostic data
* Optimize mappings for performance, scalability, and reliability
* Implement data validation, data quality checks, and reconciliation logic
* Support data delivery to data lakes, warehouses, and analytics platforms
* Work with telematics data such as GPS location data Vehicle health and diagnostics Driver behavior and trip data Sensor and event data
* Must Haves:
	+ Mid\-level Informatica and IICS development experience
	+ CAI \- Cloud Application Integration experience (including APIs)
	+ Snowflake Cloud DW experience
	+ Able to code and process large volume of raw data in SQL
	+ Skill debugging/troubleshooting/RCA
	+ Agile and DevOps experience and best practices \- automating processes, test cases, ticketing
	+ Solid communication skills \- this person must be a doer with the ability to multi\-task, move quickly, remain engaged with team, and be reliable throughout the day
* *Nice\-to\-haves:*
* P\&amp;C Insurance domain expertise
* Telematics and connected vehicle domain
* Top Responsibilities:
* Coding / Writing complex queries in SQL
* Configuring ingestion pipelines using EDP Ingestion Framework, Informatica, and UC4
* Understands and shares development agile / DevOps best practices in terms of managing code, test cases, development stories assigned.
Data Engineering activities: data pipeline creation, ETL, application integration, etc.
\#LI\-KN1
Salary and Other Compensation:
Applications will be accepted until February 29th 2026\. The annual salary for this position is between $120\- $130K depending on experience and other qualifications of the successful candidate.
Please note, this role is not able to offer visa transfer or sponsorship now or in the future.
This position is also eligible for Cognizant’s discretionary annual incentive program, based on performance and subject to the terms of Cognizant’s applicable plans.
Benefits: Cognizant offers the following benefits for this position, subject to applicable eligibility requirements:· Medical/Dental/Vision/Life Insurance· Paid holidays plus Paid Time Off· 401(k) plan and contributions· Long\-term/Short\-term Disability· Paid Parental Leave· Employee Stock Purchase Plan
Disclaimer: The salary, other compensation, and benefits information is accurate as of the date of this posting. Cognizant reserves the right to modify this information at any time, subject to applicable law.</t>
        </is>
      </c>
    </row>
    <row r="147">
      <c r="A147" t="inlineStr">
        <is>
          <t>in-92ebeb9e75e44d14</t>
        </is>
      </c>
      <c r="B147" t="inlineStr">
        <is>
          <t>Senior Data Engineer, Business Operations</t>
        </is>
      </c>
      <c r="C147" t="inlineStr">
        <is>
          <t>SK Life Science Inc.</t>
        </is>
      </c>
      <c r="D147" t="inlineStr">
        <is>
          <t>indeed</t>
        </is>
      </c>
      <c r="E147">
        <f>HYPERLINK("https://www.indeed.com/viewjob?jk=92ebeb9e75e44d14", "https://www.indeed.com/viewjob?jk=92ebeb9e75e44d14")</f>
        <v/>
      </c>
      <c r="F147">
        <f>HYPERLINK("https://careers-sklifescienceinc.icims.com/jobs/1946/job?utm_source=indeed_integration&amp;iis=Job%20Board&amp;iisn=Indeed&amp;indeed-apply-token=73a2d2b2a8d6d5c0a62696875eaebd669103652d3f0c2cd5445d3e66b1592b0f", "https://careers-sklifescienceinc.icims.com/jobs/1946/job?utm_source=indeed_integration&amp;iis=Job%20Board&amp;iisn=Indeed&amp;indeed-apply-token=73a2d2b2a8d6d5c0a62696875eaebd669103652d3f0c2cd5445d3e66b1592b0f")</f>
        <v/>
      </c>
      <c r="G147" t="inlineStr">
        <is>
          <t>Paramus, NJ, US</t>
        </is>
      </c>
      <c r="H147" s="2" t="n">
        <v>46076</v>
      </c>
      <c r="I147" t="inlineStr">
        <is>
          <t>Overview:
The Senior Data Engineer, Biz Ops will play a critical role in architecting the data infrastructure powering our AI\-driven business operations platform. This role is responsible for analyzing the current database environment, redesigning it for AI\-native use cases, and establishing the foundational data architecture for our end\-to\-end decision\-intelligence platform\-driven business operations platform. This role is responsible for analyzing the current database environment, redesigning it for AI\-native use cases, and establishing the foundational data architecture for our end\-to\-end decision\-intelligence platform.‑driven business operations platform. This role is responsible for analyzing the current database environment, redesigning it for AI‑native use cases, and establishing the foundational data architecture for our end‑to‑end decision‑intelligence platform.
You will design scalable data ecosystems—including Data Lakes, Data Pipelines, and semantic modeling layers—using modern engineering standards (dbt, orchestration frameworks, CI/CD). Working closely with commercial and business operations experts, you will dissect existing workflows and reimagine them as AI\-ready, streamlined processes in collaboration with AI Scientists and AI Engineers\-ready, streamlined processes in collaboration with AI Scientists and AI Engineers.‑ready, streamlined processes in collaboration with AI Scientists and AI Engineers.
You will translate ambiguous operational and business challenges into clean, reliable, ontology\-aligned data models that enable forecasting, planning, and optimization across the value chain, beginning with supply chain operations. This is a high\-impact senior role for someone who thrives in owning a data ecosystem end\-to\-end and building AI\-centric data infrastructure from the ground up\-aligned data models that enable forecasting, planning, and optimization across the value chain, beginning with supply chain operations. This is a high\-impact senior role for someone who thrives in owning a data ecosystem end\-to\-end and building AI\-centric data infrastructure from the ground up.‑aligned data models that enable forecasting, planning, and optimization across the value chain, beginning with supply chain operations. This is a high‑impact senior role for someone who thrives in owning a data ecosystem end‑to‑end and building AI‑centric data infrastructure from the ground up.
Responsibilities:
* Analyze existing databases and redesign them for AI/ML readiness, including ontology‑driven and semantic data modeling.
* Architect and implement centralized Data Lake and scalable, robust data pipelines supporting operational workflows and AI‑driven decision processes.
* Build and maintain high‑quality data transformations using dbt and enforce software engineering best practices across the data stack.
* Design feature‑ready data models to support AI/ML use cases such as forecasting, classification, and optimization.
* Develop secure and reliable data ingestion frameworks (batch and streaming) with strong observability and performance controls.
* Partner with Commercial, Marketing, and AI teams to translate business problems into data requirements, semantic models, and scalable pipelines.
* Implement data quality, lineage, and governance practices aligned with enterprise standards.
* Lead technical direction on modern data stack architecture and continuously improve scalability, efficiency, and maintainability.
* Contribute to an agile, experimentation‑driven culture, balancing rapid PoC execution with long‑term architectural integrity.
Qualifications:
* **Education**: Bachelor’s degree or higher in Computer Science, Engineering, or related field.
* **Experience**: 5\+ years of hands\-on experience in Data Engineering or technical Analytics Engineering, with deep experience building data lakes and orchestrating complex pipelines.
* **Skills**:
* + Strong programming proficiency in Python and PySpark for large‑scale distributed data processing, data manipulation, automation, and pipeline development.
* Expert‑level SQL for data modeling, complex transformations, and performance optimization.
* Experience with modern data lake table formats such as Apache Iceberg.
* Familiarity with Medallion Data Architecture (Bronze/Silver/Gold) for scalable and governed data processing.
* Hands‑on experience with modern transformation frameworks (e.g., dbt) and orchestration tools (e.g., Airflow or Python\-based schedulers).
* Knowledge of core AWS or Azure data services and data observability practices.
* Experience optimizing data models for BI and visualization tools (e.g., Tableau).
* Ability to define business metrics and derive semantic meaning from operational KPIs.
 **Strongly Preferred*** Master’s degree or higher in a quantitative or technical field.
* Experience working with ML pipelines (e.g., MLflow, Feature Stores) and collaborating with AI Scientists/Engineers.
* Knowledge of ontology‑based modeling, semantic layers, and modern data architectures (e.g., Data Mesh, Data Fabric).
* Experience with Graph Databases (e.g., Neo4j) for semantic modeling, ontology alignment, or operational knowledge graphs.
* Domain experience in Supply Chain Management (SCM), BizOps, RevOps, or Commercial Operations.
* Experience in regulated industries (e.g., biopharma, healthcare, finance).
* Experience in a BizOps or highly cross‑functional technical role.
* Hands‑on experience with Snowflake architecture.
 **Who Thrives in This Role**
* Someone who enjoys owning a data ecosystem end‑to‑end and building from zero to one.
* A strategic thinker who balances strong technical depth with understanding of real business context.
* An engineer who thrives in close collaboration with Commercial and AI teams to define how data powers decisions.
* A builder comfortable operating in a fast‑paced, startup‑like environment where innovation and speed matter.
* An “Agile Operator” who can rapidly prototype for PoCs while architecting for long‑term scalability and reliability.</t>
        </is>
      </c>
    </row>
    <row r="148">
      <c r="A148" t="inlineStr">
        <is>
          <t>in-a354ac69a534497f</t>
        </is>
      </c>
      <c r="B148" t="inlineStr">
        <is>
          <t>Insurance Analyst / Analytics Engineer</t>
        </is>
      </c>
      <c r="C148" t="inlineStr">
        <is>
          <t>Harbor Health</t>
        </is>
      </c>
      <c r="D148" t="inlineStr">
        <is>
          <t>indeed</t>
        </is>
      </c>
      <c r="E148">
        <f>HYPERLINK("https://www.indeed.com/viewjob?jk=a354ac69a534497f", "https://www.indeed.com/viewjob?jk=a354ac69a534497f")</f>
        <v/>
      </c>
      <c r="F148">
        <f>HYPERLINK("https://harborhealth.applytojob.com/apply/RjwvdbcRu1/Insurance-Analyst-Analytics-Engineer?source=INDE&amp;~", "https://harborhealth.applytojob.com/apply/RjwvdbcRu1/Insurance-Analyst-Analytics-Engineer?source=INDE&amp;~")</f>
        <v/>
      </c>
      <c r="G148" t="inlineStr">
        <is>
          <t>TX, US</t>
        </is>
      </c>
      <c r="H148" s="2" t="n">
        <v>46076</v>
      </c>
      <c r="I148" t="inlineStr">
        <is>
          <t>COMPANY OVERVIEW  
Harbor Health is on a mission to disrupt the outdated US healthcare system. Leveraging a revolutionary payvidor model, we are creating an entirely new approach to care\-one that delivers improved quality, reduced cost, greater access, and an exceptional experience. Our vision is supported by intelligent, anticipatory clinical systems and aligned benefits that place the member at the center. If you're inspired by the opportunity to rebuild healthcare from the ground up with cutting\-edge technology and a member\-focused mindset, we want to hear from you!  
POSITION OVERVIEW  
We're seeking an Insurance Analyst / Analytics Engineer to drive actionable intelligence across our integrated insurance operations. This will include work across clinical management revenue operations, risk adjustment, utilization management, pharmacy, and member retention. This is a high\-visibility, high\-impact role at the intersection of payor economics, population health, and data\-driven operations. You will also collaborate to enhance our data infrastructure \&amp; operations to improve the usability of our data assets. You will closely work with teams across the organization, including Product, Data, Engineering, and Operations. This role combines analytical thinking with hands\-on data execution to support Harbor Health's mission of transforming healthcare in Texas.
POSITION DUTIES \&amp; RESPONSIBILITIES
**General Responsibilities**
* Build and maintain the semantic layer/metrics; define KPI logic and reusable models that power dashboards and self\-serve reporting.
* Translate business questions into performant SQL and polished dashboards in our BI tool (Omni); ship clean, drill\-friendly reports.
* Collaborate with stakeholders to customize reporting and data workflows.
* Help implement and monitor ETL/ELT to land and transform data from databases, files, and APIs.
* Manage schema changes and migrations with version control and backward\-compatible rollouts.
* Develop and deploy forecasting models (e.g., regression, time\-series) to power forecasting reports and alerts.
* Collaborate with data engineering team to support on business logic as part of typical build processes.
**Representative Analytics**
* Own monthly KPI reporting revenue operations including net premium PMPM, retro eligibility adjustments, grace\-period exposure PMPM.
* Monitor enrollment integrity and subsidy reconciliation, flagging financial exposure from ineligible members, retro adjustments, or APTC grace\-period risk.
* Build and maintain financial models that incorporate leading indicators (auth data, ADT feeds, pharmacy claims) into forward\-looking cost projections.
* Produce and maintain core utilization metrics: PCP visits/1,000, specialist visits/1,000, ER visits/1,000, avoidable ER rate, readmission rate, LOS, and LOC.
* Develop leading indicator dashboards using pre\-claims data source (e.g., ADT feeds, authorization data, eligibility checks Athena, Zus, and pharmacy\-claims).
* identify and continuously monitor high\-cost claimants using a multi\-signal approach; paid and inventory claims, auth data, ADT, pharmacy, and EMR data.
DESIRED PROFESSIONAL SKILLS \&amp; EXPERIENCE
* 3\-6 years of experience in healthcare analytics within a managed care, health plan, or payvidor environment.
* Deep familiarity with payor data structures: claims, eligibility/834 transactions, authorization data, ADT feeds, and risk adjustment data.
* Strong SQL proficiency; experience querying data warehouses such as Snowflake.
* Demonstrated ability to build and maintain PMPM\-based reporting, utilization analytics, and population health dashboards.
* Understanding of ACA\-specific constructs: APTC grace periods, CSR tiers, risk adjustment under the V28 model.
* Ability to translate complex analytics into clear, actionable narratives for operational and executive audiences.
* Experience with data visualization tools such as Omni, Looker, PowerBI, etc.
* Familiarity with EMR data (Athena preferred) and multi\-system data integration across clinical and financial sources.
* Experience building ETL/ELT and data processing pipelines using dbt. Familiarity with data orchestration tools such as Airflow or Dagster are a plus.
* Hands\-on experience with relational databases and data warehouses.
* Understanding of data modeling principles (star/snowflake schema, normalization/denormalization).
* Familiarity, excitement and comfort working in the HealthTech industry; strong plus if already familiar with key healthcare data concepts.
* Interest and understanding in Harbor Health's "payvidor" business model, and the enormous impacts it will have on the American healthcare system.
WHAT WE OFFER
* Transformational impact: Be at the forefront of reimagining healthcare operations and payment models.
* Leadership and Ownership: Shape operational strategies in a dynamic, fast\-paced environment with high autonomy.
* Collaborative Culture: Join a team that values innovation, integrity, and collective success.
* Competitive Compensation \&amp; Benefits: We reward top talent with robust pay, benefits, and growth opportunities.
* Remote Flexibility: Work from anywhere while staying closely connected to a mission\-driven team.
* Inclusive Environment: We celebrate diverse perspectives and are committed to creating an equitable workplace.
Harbor Health is an Equal Opportunity Employer. We do not discriminate on the basis of race, color, religion, sex, sexual orientation, gender identity, national origin, age, disability, veteran status, or any other characteristic protected by law. We are committed to creating an inclusive environment for all clinicians and teammates and actively encourage applications from people of all backgrounds.
RjwvdbcRu1</t>
        </is>
      </c>
    </row>
    <row r="149">
      <c r="A149" t="inlineStr">
        <is>
          <t>in-1fe7366cb944d55d</t>
        </is>
      </c>
      <c r="B149" t="inlineStr">
        <is>
          <t>Data Engineer</t>
        </is>
      </c>
      <c r="C149" t="inlineStr">
        <is>
          <t>Associa</t>
        </is>
      </c>
      <c r="D149" t="inlineStr">
        <is>
          <t>indeed</t>
        </is>
      </c>
      <c r="E149">
        <f>HYPERLINK("https://www.indeed.com/viewjob?jk=1fe7366cb944d55d", "https://www.indeed.com/viewjob?jk=1fe7366cb944d55d")</f>
        <v/>
      </c>
      <c r="F149">
        <f>HYPERLINK("https://recruiting.adp.com/srccsh/public/RTI.home?r=5001180870506&amp;c=2174407&amp;d=AssociaCareers&amp;rb=INDEED&amp;idUnique=5001180870506", "https://recruiting.adp.com/srccsh/public/RTI.home?r=5001180870506&amp;c=2174407&amp;d=AssociaCareers&amp;rb=INDEED&amp;idUnique=5001180870506")</f>
        <v/>
      </c>
      <c r="G149" t="inlineStr">
        <is>
          <t>Richardson, TX, US</t>
        </is>
      </c>
      <c r="H149" s="2" t="n">
        <v>46076</v>
      </c>
      <c r="I149" t="inlineStr">
        <is>
          <t>We are seeking an experienced Data Engineer to join our team and lead data migration efforts through the development and optimization of our data platform. This role is critical to designing and executing dynamic, scalable data extraction and ingestion pipelines, implementing robust ingestion frameworks, and enabling analytics and data science initiatives across the organization. The candidate must have expert, hands\-on experience in Python, Databricks, SQL, and a proven track record of designing and implementing enterprise\-grade data ingestion solutions. M**ust be local to the Dallas/Ft Worth area \- will require some onsite presence at our Richardson, TX location.**
**What You'll Do**
------------------
* Design, build, and maintain scalable data pipelines and ETL/ELT workflows using Python and SQL
* Architect and implement data ingestion patterns for batch, streaming, and hybrid workloads
* Develop and optimize solutions on Databricks big data platforms, leveraging Delta Lake, Spark, and related technologies
* Establish and enforce data quality standards, monitoring, and alerting across the data platform
* Collaborate with data scientists, analysts, and business stakeholders to understand data requirements and deliver reliable data products
* Define and implement medallion architecture (Bronze/Silver/Gold) patterns for data transformation and governance
* Mentor junior engineers and contribute to engineering best practices and documentation
Requirements:
**Required Qualifications**
---------------------------
Only candidates with the following skills \&amp; experience should be considered.
### **Required Technical Skills**
* **Big Data Platforms:** Direct, hands\-on experience building and operating Databricks\-based data platforms, including Unity Catalog, Delta Lake, Delta Live Tables (DLT), Workflows, and Apache Spark.
* **Python:** Strong to Expert proficiency required, Deep understanding of Python for data engineering (PySpark, pandas, or equivalent), data validation in pipelines (e.g. Pydantic, Great Expectations, or equivalent), and production\-grade coding practices
* **SQL:** Advanced SQL skills needed , including experience with relational data modeling, complex analytical queries (joins, window functions, CTEs), and performance tuning in analytical data platforms (e.g., Spark SQL, T‑SQL, or similar).
* **Platform Architecture \&amp; ETL:** Required hands\-on experience designing and operating end‑to‑end ETL pipelines on an enterprise lakehouse platform, including:
	+ Building production\-grade pipelines for large\-scale transformations with integrated quality enforcement using PySpark and pandas.
	+ Implementing batch and/or streaming ingestion using API, file based, Change Data Capture (CDC) patterns.
	+ Ability to apply structured data modeling principles to canonical and enriched datasets within a medallion architecture
	+ Ability to apply analytics\-oriented data modeling principles to data products within a medallion architecture
	+ Adhering to data governance practices, including data quality, lineage and auditability, and access control.
	+ Monitoring, optimizing, and troubleshooting production data pipelines for performance and reliability.
### **Required Experience**
* **Data Engineering Tenure**: 5\+ years of professional experience in data engineering role. Multi\-year track record of delivering production data pipelines at scale required
* **Software Engineering Practices:**Experience developing and operating production data systems using modern software engineering and SDLC practices.
### **Required Soft Skills**
* Strong, proactive communication skills are a must\-have for this position
* Ability to demonstrate technical functionality to both technical and non\-technical audiences
* Ownership of work and solution mindset are vital foundations of our work culture
### **Preferred Qualifications \&amp; Experience**
Any of the following qualifications are preferred:
* Databricks certifications (Data Engineer Associate/Professional)
* Experience with cloud platforms (AWS or Azure) and their native data services
* Experience with CI/CD for data pipelines and infrastructure\-as\-code practices preferred
* Familiarity with orchestration tools (Airflow, Prefect, Databricks Workflows)
* Experience with data migration projects or multi\-source integration scenarios
* Knowledge of real\-time streaming technologies (Kafka, Event Hubs, Kinesis)
* Background in SaaS, ERP, or property management software domains</t>
        </is>
      </c>
    </row>
    <row r="150">
      <c r="A150" t="inlineStr">
        <is>
          <t>in-29ff7e541da6ff4a</t>
        </is>
      </c>
      <c r="B150" t="inlineStr">
        <is>
          <t>Data Engineer Senior</t>
        </is>
      </c>
      <c r="C150" t="inlineStr">
        <is>
          <t>Huntington Bank</t>
        </is>
      </c>
      <c r="D150" t="inlineStr">
        <is>
          <t>indeed</t>
        </is>
      </c>
      <c r="E150">
        <f>HYPERLINK("https://www.indeed.com/viewjob?jk=29ff7e541da6ff4a", "https://www.indeed.com/viewjob?jk=29ff7e541da6ff4a")</f>
        <v/>
      </c>
      <c r="F150">
        <f>HYPERLINK("https://huntington-careers.com/search/jobdetails/data-engineer-senior/5ef0cee6-1a47-4735-b009-b560cdc9ab07?utm_campaign=indeed_organic&amp;utm_source=indeed&amp;utm_medium=organic_job_board", "https://huntington-careers.com/search/jobdetails/data-engineer-senior/5ef0cee6-1a47-4735-b009-b560cdc9ab07?utm_campaign=indeed_organic&amp;utm_source=indeed&amp;utm_medium=organic_job_board")</f>
        <v/>
      </c>
      <c r="G150" t="inlineStr">
        <is>
          <t>Columbus, OH, US</t>
        </is>
      </c>
      <c r="H150" s="2" t="n">
        <v>46076</v>
      </c>
      <c r="I150" t="inlineStr">
        <is>
          <t>**Description**
===============
**Summary:**
Our Enterprise Data Engineering department is growing, and we're looking for an outstanding Senior Data Engineer to join our team. The Senior Data Engineer will play a pivotal role in building and operationalizing the minimally inclusive data necessary for the enterprise data and analytics initiatives following industry standard practices and tools. Our goal is to be the Best performing Regional Bank in America, and we need data and analytics to meet that goal.
The Data Engineer Senior plays a pivotal role in building and operationalizing the minimally inclusive data necessary for the enterprise data and analytics initiatives following industry standard practices and tools. Data Engineers will also test for data quality to ensure Huntington’s data conforms to business rules and is accurate, complete, consistent, and uniform. This role’s primarily focuses on building, managing and optimizing data pipelines and then moving these data pipelines effectively into production for key data and analytics consumers like business/data analysts, data scientists or any persona that needs curated data for data and analytics use cases across the enterprise.
**Duties and Responsibilities:**
* Architecting, creating and maintaining data pipelines.
* Assist with renovating the data management infrastructure to drive automation in data integration and management.
* Work in partnership with data science teams and with business analysts in refining their data requirements for various data and analytics initiatives and their data consumption requirements.
* Train counterparts across the organization in data pipelining and preparation techniques, which make it easier for them to integrate and consume the data they need for their own use cases.
* Work with data governance teams and participate in vetting and promoting content created in the business and by data scientists to the curated data catalog for governed reuse.
* Demonstrated ability to communicate complex results to technical and non\-technical audiences.
* Demonstrated ability to work effectively in teams as well as independently across multiple tasks while meeting aggressive timelines.
* Strategic, intellectually curious thinker with focus on outcomes.
* Professional image with the ability to form relationships across functions.
* Performs other duties as assigned.
**Basic Qualifications:**
* Bachelor's Degree in computer science, statistics or related field, or equivalent related work experience.
* 4\+ years of related experience in data management disciplines including data integration, data modeling, optimization and data quality, and/or other areas directly relevant to data engineering responsibilities and tasks.
* 4\+ years of experience working in cross\-functional teams and collaborating with business stakeholders in support of a departmental and/or multi\-departmental data management and analytics initiative, experience with data preparation tools and database programming languages.
**Preferred Qualifications:**
* Experience building modular, reusable ETL frameworks, focusing on scalability and maintenance.
* Strong experience with data engineering tooling (e.g., Glue, Lambda, Athena, AWS)
* Strong knowledge of BI software tools (e.g., QuickSight, Tableau, etc)
* Experience with workflow orchestration tools \- like Apache Airflow \- to schedule, monitor and manage data pipelines.
* Strong experience with advanced analytics tools
* Hands on data testing experience
* Hands on experience or exposure to Oracle Database.
* Strong experience with open\-source and commercial data science platforms
* Familiarity with Agile methodology practices.
* Strong experience with various Data Management architectures and processes.
* Strong ability to design, build and manage data pipelines for data
* Strong experience in working with large, heterogeneous datasets in building and optimizing data pipelines, pipeline architectures and integrated datasets
* Demonstrated success in working with large, heterogeneous datasets to extract business value
* Strong experience in working with DevOps capabilities like version control, automated builds, testing and release management capabilities
* Demonstrated ability to communicate complex results to technical and non\-technical audiences
* Demonstrated ability to work effectively in teams as well as independently across multiple tasks while meeting aggressive timelines
* Strategic, intellectually curious thinker with focus on outcomes
* Professional image with the ability to form relationships across functions
* Willingness and ability to learn new technologies on the job
* Financial Services background is preferred, or interest in learning.
 **Exempt Status: (Yes** \= not eligible for overtime pay) (**No** \= eligible for overtime pay)
Yes**Workplace Type:**
Office
Our Approach to **Office** Workplace Type
Certain positions outside our branch network may be eligible for a flexible work arrangement. We’re combining the best of both worlds: in\-office and work from home. Our approach enables our teams to deepen connections, maintain a strong community, and do their best work. Remote roles will also have the opportunity to come together in our offices for moments that matter. Specific work arrangements will be provided by the hiring team.
Huntington will not sponsor applicants for this position for immigration benefits, including but not limited to assisting with obtaining work permission for F\-1 students, H\-1B professionals, O\-1 workers, TN workers, E\-3 workers, among other immigration statuses. Applicants must be currently authorized to work in the United States on a full\-time basis.
Huntington is an Equal Opportunity Employer.
Tobacco\-Free Hiring Practice: Visit Huntington's Career Web Site for more details.
**Note to Agency Recruiters:** Huntington will not pay a fee for any placement resulting from the receipt of an unsolicited resume. All unsolicited resumes sent to any Huntington colleagues, directly or indirectly, will be considered Huntington property. Recruiting agencies must have a valid, written and fully executed Master Service Agreement and Statement of Work for consideration.</t>
        </is>
      </c>
    </row>
    <row r="151">
      <c r="A151" t="inlineStr">
        <is>
          <t>in-90b9bf7f8529c676</t>
        </is>
      </c>
      <c r="B151" t="inlineStr">
        <is>
          <t>Data Engineer Senior</t>
        </is>
      </c>
      <c r="C151" t="inlineStr">
        <is>
          <t>Huntington Bank</t>
        </is>
      </c>
      <c r="D151" t="inlineStr">
        <is>
          <t>indeed</t>
        </is>
      </c>
      <c r="E151">
        <f>HYPERLINK("https://www.indeed.com/viewjob?jk=90b9bf7f8529c676", "https://www.indeed.com/viewjob?jk=90b9bf7f8529c676")</f>
        <v/>
      </c>
      <c r="F151">
        <f>HYPERLINK("https://huntington-careers.com/search/jobdetails/data-engineer-senior/5ef0cee6-1a47-4735-b009-b560cdc9ab07?utm_campaign=indeed_organic&amp;utm_source=indeed&amp;utm_medium=organic_job_board", "https://huntington-careers.com/search/jobdetails/data-engineer-senior/5ef0cee6-1a47-4735-b009-b560cdc9ab07?utm_campaign=indeed_organic&amp;utm_source=indeed&amp;utm_medium=organic_job_board")</f>
        <v/>
      </c>
      <c r="G151" t="inlineStr">
        <is>
          <t>Dallas, TX, US</t>
        </is>
      </c>
      <c r="H151" s="2" t="n">
        <v>46076</v>
      </c>
      <c r="I151" t="inlineStr">
        <is>
          <t>**Description**
===============
**Summary:**
Our Enterprise Data Engineering department is growing, and we're looking for an outstanding Senior Data Engineer to join our team. The Senior Data Engineer will play a pivotal role in building and operationalizing the minimally inclusive data necessary for the enterprise data and analytics initiatives following industry standard practices and tools. Our goal is to be the Best performing Regional Bank in America, and we need data and analytics to meet that goal.
The Data Engineer Senior plays a pivotal role in building and operationalizing the minimally inclusive data necessary for the enterprise data and analytics initiatives following industry standard practices and tools. Data Engineers will also test for data quality to ensure Huntington’s data conforms to business rules and is accurate, complete, consistent, and uniform. This role’s primarily focuses on building, managing and optimizing data pipelines and then moving these data pipelines effectively into production for key data and analytics consumers like business/data analysts, data scientists or any persona that needs curated data for data and analytics use cases across the enterprise.
**Duties and Responsibilities:**
* Architecting, creating and maintaining data pipelines.
* Assist with renovating the data management infrastructure to drive automation in data integration and management.
* Work in partnership with data science teams and with business analysts in refining their data requirements for various data and analytics initiatives and their data consumption requirements.
* Train counterparts across the organization in data pipelining and preparation techniques, which make it easier for them to integrate and consume the data they need for their own use cases.
* Work with data governance teams and participate in vetting and promoting content created in the business and by data scientists to the curated data catalog for governed reuse.
* Demonstrated ability to communicate complex results to technical and non\-technical audiences.
* Demonstrated ability to work effectively in teams as well as independently across multiple tasks while meeting aggressive timelines.
* Strategic, intellectually curious thinker with focus on outcomes.
* Professional image with the ability to form relationships across functions.
* Performs other duties as assigned.
**Basic Qualifications:**
* Bachelor's Degree in computer science, statistics or related field, or equivalent related work experience.
* 4\+ years of related experience in data management disciplines including data integration, data modeling, optimization and data quality, and/or other areas directly relevant to data engineering responsibilities and tasks.
* 4\+ years of experience working in cross\-functional teams and collaborating with business stakeholders in support of a departmental and/or multi\-departmental data management and analytics initiative, experience with data preparation tools and database programming languages.
**Preferred Qualifications:**
* Experience building modular, reusable ETL frameworks, focusing on scalability and maintenance.
* Strong experience with data engineering tooling (e.g., Glue, Lambda, Athena, AWS)
* Strong knowledge of BI software tools (e.g., QuickSight, Tableau, etc)
* Experience with workflow orchestration tools \- like Apache Airflow \- to schedule, monitor and manage data pipelines.
* Strong experience with advanced analytics tools
* Hands on data testing experience
* Hands on experience or exposure to Oracle Database.
* Strong experience with open\-source and commercial data science platforms
* Familiarity with Agile methodology practices.
* Strong experience with various Data Management architectures and processes.
* Strong ability to design, build and manage data pipelines for data
* Strong experience in working with large, heterogeneous datasets in building and optimizing data pipelines, pipeline architectures and integrated datasets
* Demonstrated success in working with large, heterogeneous datasets to extract business value
* Strong experience in working with DevOps capabilities like version control, automated builds, testing and release management capabilities
* Demonstrated ability to communicate complex results to technical and non\-technical audiences
* Demonstrated ability to work effectively in teams as well as independently across multiple tasks while meeting aggressive timelines
* Strategic, intellectually curious thinker with focus on outcomes
* Professional image with the ability to form relationships across functions
* Willingness and ability to learn new technologies on the job
* Financial Services background is preferred, or interest in learning.
 **Exempt Status: (Yes** \= not eligible for overtime pay) (**No** \= eligible for overtime pay)
Yes**Workplace Type:**
Office
Our Approach to **Office** Workplace Type
Certain positions outside our branch network may be eligible for a flexible work arrangement. We’re combining the best of both worlds: in\-office and work from home. Our approach enables our teams to deepen connections, maintain a strong community, and do their best work. Remote roles will also have the opportunity to come together in our offices for moments that matter. Specific work arrangements will be provided by the hiring team.
Huntington will not sponsor applicants for this position for immigration benefits, including but not limited to assisting with obtaining work permission for F\-1 students, H\-1B professionals, O\-1 workers, TN workers, E\-3 workers, among other immigration statuses. Applicants must be currently authorized to work in the United States on a full\-time basis.
Huntington is an Equal Opportunity Employer.
Tobacco\-Free Hiring Practice: Visit Huntington's Career Web Site for more details.
**Note to Agency Recruiters:** Huntington will not pay a fee for any placement resulting from the receipt of an unsolicited resume. All unsolicited resumes sent to any Huntington colleagues, directly or indirectly, will be considered Huntington property. Recruiting agencies must have a valid, written and fully executed Master Service Agreement and Statement of Work for consideration.</t>
        </is>
      </c>
    </row>
    <row r="152">
      <c r="A152" t="inlineStr">
        <is>
          <t>in-e3517357605b9f8e</t>
        </is>
      </c>
      <c r="B152" t="inlineStr">
        <is>
          <t>Senior Data Engineer – AxiomSL Development</t>
        </is>
      </c>
      <c r="C152" t="inlineStr">
        <is>
          <t>TECHSTRA SOLUTIONS</t>
        </is>
      </c>
      <c r="D152" t="inlineStr">
        <is>
          <t>indeed</t>
        </is>
      </c>
      <c r="E152">
        <f>HYPERLINK("https://www.indeed.com/viewjob?jk=e3517357605b9f8e", "https://www.indeed.com/viewjob?jk=e3517357605b9f8e")</f>
        <v/>
      </c>
      <c r="F152">
        <f>HYPERLINK("https://techstrasolutions.applytojob.com/apply/qw9oC0zAe8/Senior-Data-Engineer-AxiomSL-Development?source=INDE&amp;~", "https://techstrasolutions.applytojob.com/apply/qw9oC0zAe8/Senior-Data-Engineer-AxiomSL-Development?source=INDE&amp;~")</f>
        <v/>
      </c>
      <c r="G152" t="inlineStr">
        <is>
          <t>Dallas, TX, US</t>
        </is>
      </c>
      <c r="H152" s="2" t="n">
        <v>46076</v>
      </c>
      <c r="I152" t="inlineStr">
        <is>
          <t>**Role Overview**  
The Senior Data Engineer with deep expertise in AxiomSL is to support regulatory reporting initiatives within a complex banking and financial services environment. This role is responsible for designing, developing, and maintaining AxiomSL data sources, components, and regulatory reports while ensuring data integrity, traceability, and compliance with federal regulatory requirements. The ideal candidate combines strong AxiomSL platform experience with advanced SQL, data modeling proficiency, and the ability to troubleshoot large\-scale data integration challenges across disparate source systems.  
**Key Responsibilities**  
 AxiomSL Development \&amp; Platform Management* Design, develop, enhance, and upgrade AxiomSL data sources, portfolios, aggregates, and report templates.
* Configure and maintain AxiomSL components, data models, and calculation logic to meet regulatory requirements.
* Support AxiomSL platform upgrades, patching, and environment migrations.
* Implement automation strategies for report generation, validation, and reconciliation processes.
Regulatory Reporting Delivery* Develop and maintain regulatory reports including FRY\-9C, FFIEC 101, 14M, and 14Q.
* Translate regulatory requirements into technical specifications and AxiomSL data mappings.
* Partner with Regulatory Reporting, Finance, and Risk teams to validate calculations and reporting outputs.
* Support internal and external audits with clear data lineage, controls documentation, and traceability.
Data Engineering \&amp; Integration* Design and maintain scalable data pipelines feeding AxiomSL from core banking, risk, and finance systems.
* Perform advanced SQL development for data transformation, aggregation, and validation.
* Troubleshoot and resolve data quality issues across upstream and downstream systems.
* Implement reconciliation controls to ensure accuracy, completeness, and timeliness of reported data.
* Develop robust data models aligned to regulatory reporting and risk aggregation standards.
Data Governance \&amp; Quality* Enforce data governance standards including lineage documentation, metadata management, and control frameworks.
* Conduct root cause analysis for data anomalies and reporting discrepancies.
* Collaborate with enterprise data management teams to improve data quality and consistency.
* Establish monitoring and automation mechanisms to proactively identify reporting issues.
Production Support \&amp; Continuous Improvement* Provide L2/L3 production support for AxiomSL regulatory reporting cycles.
* Participate in month\-end, quarter\-end, and regulatory submission processes.
* Identify opportunities for performance optimization and process automation.
* Contribute to documentation, knowledge transfer, and platform stability initiatives.
**Required Qualifications/****Skills*** 5\+ years of experience in data engineering within banking or financial services
* 3\+ years of hands\-on AxiomSL development experience
* Strong experience developing regulatory reports (FRY\-9C, FFIEC 101, 14M/Q)
* Advanced SQL expertise (complex joins, CTEs, performance tuning, data transformations)
* Strong understanding of data modeling principles (dimensional and relational models)
* Experience integrating multiple source systems into regulatory reporting platforms
* Proven ability to troubleshoot complex data quality and reconciliation issues
* Experience working in controlled, audit\-sensitive regulatory environments
**Preferred Qualifications*** Experience supporting Federal Reserve or OCC regulatory submissions
* Familiarity with BCBS 239 principles and regulatory data aggregation standards
* Experience with automation tools or scripting (Python, shell scripting, workflow orchestration tools)
* Knowledge of enterprise ETL tools and data warehousing platforms
* Experience with cloud\-based data platforms (AWS, Azure, or GCP)
* Familiarity with Agile delivery methodologies
**Locations:** Pittsburgh, PA  
**About Techstra Solutions**  
Techstra Solutions is a certified woman\-owned (WBENC) management consulting firm specializing in strategy, technology, and implementation services for large organizations undergoing digital and talent transformation. Our experienced team partners with clients to co\-create innovative solutions in applications, data, AI, and automation that accelerate measurable, sustainable change. From advisory consulting through technical execution, we are dedicated to driving world\-class business solutions that fit your strategic requirements and deliver results. For more information: www.techstrasolutions.com**Equal Employment Opportunity Statement**
Techstra Solutions is an equal opportunity employer. The Company makes its decisions on merit, and its policy of equal opportunity prohibits discrimination in all phases of the employment process, including, but not limited to, recruitment, hiring, promotion, selection, transfer, demotion, layoff, termination, compensation, benefits, and other terms and conditions of employment. The policy of equal opportunity applies without regard to race, color, creed, religion, gender,, sexual orientation, gender identification, pregnancy, marital status, national origin, ancestry, age, disability that can reasonably be accommodated without undue hardship, military status, veteran status, genetic predisposition or carrier status, alienage or citizenship, domestic partnership status, arrest or conviction record, status as a victim of domestic violence, or any other protected categories under federal, state, or local law. The Company also prohibits discrimination or harassment based upon the perception that a person has, or is associated with a person who has, any of these characteristics.
qw9oC0zAe8</t>
        </is>
      </c>
    </row>
    <row r="153">
      <c r="A153" t="inlineStr">
        <is>
          <t>in-24876c58f01971fd</t>
        </is>
      </c>
      <c r="B153" t="inlineStr">
        <is>
          <t>Data Engineer</t>
        </is>
      </c>
      <c r="C153" t="inlineStr">
        <is>
          <t>INTEGRITYOne Partners, Inc.</t>
        </is>
      </c>
      <c r="D153" t="inlineStr">
        <is>
          <t>indeed</t>
        </is>
      </c>
      <c r="E153">
        <f>HYPERLINK("https://www.indeed.com/viewjob?jk=24876c58f01971fd", "https://www.indeed.com/viewjob?jk=24876c58f01971fd")</f>
        <v/>
      </c>
      <c r="F153">
        <f>HYPERLINK("https://integrityonepartners.applytojob.com/apply/2725290f7b464207615151425e064760045d2e1e62217122353e74300271345d20112e/Data-Engineer?sid=MJKPIvp2Pacpo2uP1hqV3k9dpp5xWAniaRa&amp;source=INDE&amp;~", "https://integrityonepartners.applytojob.com/apply/2725290f7b464207615151425e064760045d2e1e62217122353e74300271345d20112e/Data-Engineer?sid=MJKPIvp2Pacpo2uP1hqV3k9dpp5xWAniaRa&amp;source=INDE&amp;~")</f>
        <v/>
      </c>
      <c r="G153" t="inlineStr">
        <is>
          <t>Crystal City, VA, US</t>
        </is>
      </c>
      <c r="H153" s="2" t="n">
        <v>46076</v>
      </c>
      <c r="I153" t="inlineStr">
        <is>
          <t>INTEGRITYOne Partners  
Data Engineer – Mid\-Level  
Location – Hybrid – 1\-2 days per week on\-site in Crystal City, VA**The Role**
============
As a mid\-level Data Engineer, you'll be at the forefront of delivering software solutions that directly impact our clients' law enforcement mission. You'll work with dedicated team members and clients to solve complex technical problems and develop systems that keep our country safe and secure.**About Us**
============
INTEGRITYOne Partners specializes in IT modernization and business transformation for Federal clients. We tackle big problems with missions that positively impact our country's health, safety, and security. Our team of dedicated consultants and technologists thrives on learning new technologies, frameworks, and methodologies. With decades of experience, we pride ourselves on building outstanding and sustainable software products and systems.**Ideal Candidate Profile**
===========================
* Demonstrates intellectual curiosity and a passion for continuous learning
* Thrives in a collaborative, fast\-paced environment
* Shows adaptability and resilience in the face of complex challenges
* Exhibits strong problem\-solving skills and attention to detail
* Possesses excellent communication and interpersonal skills
**Technical Skills Required**
=============================
* Python
* Java
* Microservices (REST/SOAP/GraphQL)
* JSON and JSON format mediation techniques
* AWS Managed Services for back\-end infrastructure (S3, RDS, EC2, Lambda)
* High\-volume ETL solutions
* LINUX (RHEL preferred), shell scripting
* Relational database knowledge in Oracle or Postgres, Strong SQL Knowledge
* DevSecOps tools and techniques (Jenkins, Ansible, Terraform, Vault)
**Key Responsibilities**
========================
* Collaborate with cross\-functional teams to deliver results over 2\-week sprints
* Gather requirements, design, implement, and test software and systems
* Develop scalable, high\-performance, and highly available applications and systems components
* Diagnose and resolve complex system issues
* Communicate effectively with clients, team members, and other development teams
* Respond to client requirements in tight timeframes, demonstrating flexibility in work location and hours
**Requirements**
================
* US Citizenship (ability to obtain and maintain a DHS 6C Public Trust clearance)
* Bachelor's degree or higher (computer science background recommended but not required with suitable experience)
* Ability to work on\-site in Crystal City, Virginia, 1\-2 days per week
**Experience**
==============
* 4\-6 years of experience in Agile software development
* Proven track record in designing and developing scalable applications
* Experience working in government or high\-security environments is a plus
**Career Development**
======================
At INTEGRITYOne Partners, we reward hard work and outstanding results. We offer:* Mentorship programs
* Ongoing training and certification opportunities
* Clear path for advancement within the organization
* Exposure to cutting\-edge technologies and high\-impact projects
* Competitive raises, bonuses, and promotions
**Ready to Make a Difference?**
===============================
If you're passionate about technology, driven by innovation, and want to contribute to national security, we want to hear from you. Apply now and join our team of dedicated professionals shaping the future of federal IT solutions.**Interviewing Tips**
=====================
From researching to preparing for your interview and putting your best foot forward, we want you to be prepared and confident as you explore opportunities with INTEGRITYOne Partners. Check out interviewing tips from our recruiters.  
At INTEGRITYOne Partners, we have high standards for the members of our team \- and when our people meet these standards, the personal and professional rewards are plentiful. We help INTEGRITYOne Partners’ employees grow in their careers by gaining enhanced Federal knowledge and experience, sought\-after skills, greater discipline and drive, and targeted education and training
INTEGRITYOne Partners is an equal opportunity employer Minorities / Females / Veterans / Disabilities. All qualified applicants will be considered without regard to race, ethnicity, color, national origin, religion, sexual orientation, gender identity, veteran status, or status as a qualified individual with a disability or any other personal characteristic protected by law.
LZ2UUNZFc5</t>
        </is>
      </c>
    </row>
    <row r="154">
      <c r="A154" t="inlineStr">
        <is>
          <t>in-95a6decb50e7bc6c</t>
        </is>
      </c>
      <c r="B154" t="inlineStr">
        <is>
          <t>Senior Data Engineer (Must be a U.S. Citizen)</t>
        </is>
      </c>
      <c r="C154" t="inlineStr">
        <is>
          <t>PBG</t>
        </is>
      </c>
      <c r="D154" t="inlineStr">
        <is>
          <t>indeed</t>
        </is>
      </c>
      <c r="E154">
        <f>HYPERLINK("https://www.indeed.com/viewjob?jk=95a6decb50e7bc6c", "https://www.indeed.com/viewjob?jk=95a6decb50e7bc6c")</f>
        <v/>
      </c>
      <c r="F154">
        <f>HYPERLINK("https://grnh.se/jsiuuf6n6us", "https://grnh.se/jsiuuf6n6us")</f>
        <v/>
      </c>
      <c r="G154" t="inlineStr">
        <is>
          <t>Washington, DC, US</t>
        </is>
      </c>
      <c r="H154" s="2" t="n">
        <v>46076</v>
      </c>
      <c r="I154" t="inlineStr">
        <is>
          <t>PBG delivers mission\-focused solutions that eliminate inefficiency and power transformation for federal agencies requiring agility, security, and impact.
**Senior Data Engineer**
========================
**Location**: Washington, DC (Hybrid, with on\-site presence as required by the client)
**Contract**: IT Management and Governance Support Services (ITMGSS) Blanket Order Agreement (BOA), Task Order 1: Business Process Improvement (BPI) Support Services
**Clearance/Screening Requirements:** Candidates must be US Citizens and able to successfully undergo a background investigation.
**Position Summary:**
---------------------
PBG's McLean, VA office is seeking a skilled and forward\-thinking Data Engineer to join a critical Task Order focused on Business Process Improvement (BPI) for the Board of Governors of the Federal Reserve System (Board). As a vital member of a dedicated Agile sprint team, this individual will design, build, and maintain the data infrastructure essential for transforming the Board's economic and policy analysis capabilities. The Data Engineer will be responsible for creating robust data pipelines, transformations, and workflows, working side\-by\-side with Business Process Analysts to map current\-state data flows and design modernized, target\-state architectures. This role requires a strong technical foundation in data engineering, experience in data\-intensive regulatory or financial environments, and the ability to help guide modernization efforts away from legacy systems.
**Key Responsibilities:**
The Data Engineer shall be responsible for the following (subject to evolving needs):
* Design, build, and maintain robust and scalable data pipelines, ETL/ELT processes, and complex data workflows to support economic analysis.
* Collaborate directly with business process analysts and architects to analyze current\-state data flows and contribute to the design of target\-state data architectures.
* Act as a technical subject matter expert for data engineering, actively supporting data modernization and migration initiatives away from legacy systems.
* Create and maintain technical documentation for data flows, dependencies, and processes to support business analysis and ensure architectural alignment.
* Implement solutions that adhere to best practices in data governance, data quality, metadata management, and access control.
**Minimum Qualifications:**
---------------------------
* A Bachelor's degree (BS/BA) in computer science, information systems, engineering, or a related technical field from an accredited institution.
* A minimum of 8 years of professional experience, with at least 3\+ years leading in data engineering, data integration, or a related technical field.
* Demonstrated experience designing, developing data pipelines, data transformations, and data workflows.
* Experience working with relational and/or non\-relational databases and data storage technologies.
* Ability to document data flows, data dependencies, and technical processes in support of business process analysis.
* Experience supporting data\-intensive, analytical, research, financial, or regulatory environments.
* Experience using ETL/ELT framework and proficiency in programming language used for building pipelines (e.g., Python, R, SQL, Perl, Scala, etc.).
* Familiarity with data governance, data quality, metadata, and access control considerations.
* Experience working alongside business process analysts or enterprise architect to document current\-state and target\-state data architectures/processes.
* Ability to support modernization or migration efforts from legacy data environments.
* Experience working in agile, hybrid, or iterative delivery environments, including collaboration with cross\-functional teams and incremental solution delivery.
* Strong analytical and problem\-solving skills.
**Highly Valued Qualifications:**
---------------------------------
* Experience supporting data pipelines used for modeling, forecasting, or analytical workloads.
* Demonstrated experience in analyzing interdependencies across data pipelines, repositories, analytical models, and workflows.
* Familiar with cloud\-based data platforms and services (AWS preferred) and modern data engineering tools.
* Familiar with programming languages used for data analytics (e.g., R, SAS, Stata, etc.).
* Familiar with data pipeline and orchestration tools (e.g., Databricks, Apache Airflow, AWS Glue, Informatica, etc.).
* Experience working in environments with federated ownership models and complex governance structures.
 **\#WHYPBG**
We have successfully built a company culture based on our single most important asset \- our employees. At PBG we are passionate about employee engagement and make it our business to provide our employees a range of challenging and rewarding opportunities that align with business strategy, promote team work and inspire innovation. A job is where you are spending most of your day, so PBG believes in making it a fun, collaborative and productive environment. We want our employees to have the opportunity to grow and be part of a company that is making a lasting contribution to our customers.
**Benefits:**
* 401K Retirement Plan
* Medical Plan options with significant financial investments from PBG
* Prescription benefit plan
* Dental and Vision coverage
* Employee Assistance Program
* Short term / Long\-term disability
* Supplemental group life and AD\&amp;D options
* Yearly Bonuses
* Generous Paid Time Off / Paid Holidays
* Career/Professional Development Program
* Spot Bonus Program
**Equal Employment Opportunity Statement:**
PBG is an equal opportunity employer and makes all employment decisions based on job\-related qualifications, skills, experience, and business needs. We do not discriminate against any applicant or employee based on legally protected characteristics, including but not limited to race, color, religion, sex, national origin, age, disability, genetic information, or veteran status, in accordance with applicable federal, state, and local laws. PBG complies with all laws regarding non\-discrimination in employment in every location in which the company operates
**Disclaimer:**
This job description reflects management's assignment of essential job functions but is not intended to be a comprehensive list of all activities, duties and responsibilities required by the job incumbent. Nothing in the herein restricts management's right to assign or reassign duties and responsibilities to this job at any time.  
This document does not create an employment contract, implied or otherwise, other than an "at will" relationship.</t>
        </is>
      </c>
    </row>
    <row r="155">
      <c r="A155" t="inlineStr">
        <is>
          <t>in-b3e5e0e8fb1f2fdf</t>
        </is>
      </c>
      <c r="B155" t="inlineStr">
        <is>
          <t>Data Engineer III</t>
        </is>
      </c>
      <c r="C155" t="inlineStr">
        <is>
          <t>JPMorganChase</t>
        </is>
      </c>
      <c r="D155" t="inlineStr">
        <is>
          <t>indeed</t>
        </is>
      </c>
      <c r="E155">
        <f>HYPERLINK("https://www.indeed.com/viewjob?jk=b3e5e0e8fb1f2fdf", "https://www.indeed.com/viewjob?jk=b3e5e0e8fb1f2fdf")</f>
        <v/>
      </c>
      <c r="F155">
        <f>HYPERLINK("https://JPMorganChase.contacthr.com/151179124", "https://JPMorganChase.contacthr.com/151179124")</f>
        <v/>
      </c>
      <c r="G155" t="inlineStr">
        <is>
          <t>Columbus, OH, US</t>
        </is>
      </c>
      <c r="H155" s="2" t="n">
        <v>46076</v>
      </c>
      <c r="I155" t="inlineStr">
        <is>
          <t>**JOB DESCRIPTION**  
This is your chance to change the path of your career and work at one of the world's leading financial institutions.
As a Python/Java Software Engineer III at JPMorgan Chase within the Consumer \&amp; Community Banking/Data Products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Demonstrate python development experience, including modular coding, creating reusable classes, logging, and testing
* Understand PySpark or distributed data processing frameworks
* Exhibit Proficiency in writing DBT macros, jinja templates, seeds, and custom test cases
* Have Experience with Airflow on MWAA, Astronomer or Kubernetes
* Show Proficiency with Glue jobs, Athena, Cloud watch, and Lambda
* Working knowledge of Terraform for infrastructure automation
* Apply Understanding of Iceberg, Hudi or Delta Lake and their role in data\-lake architecture.
* Possess Ability to query and manage open\-table format datasets.
* Designing and optimizing ETL/ELT pipelines.
* Demonstrate Knowledge of snowflake streams, tasks, roles, and warehouses.
* Utilize Experience with version control like GIT, testing frameworks, and code reviews
**Required qualifications, capabilities, and skills**
* Formal training or certification on software engineering concepts and 3\+ years of applied experience
* Proficiency in Python/Java technology
* Hands\-on practical experience in system design, application development, testing, and operational stability
* Proficient in coding in one or more languages such as Python/Java
* Experience in building solutions using cloud technologies like AWS
* Exposure to message streaming technologies such KAFKA/FLINK
* Experience in developing, debugging, and maintaining code in a large corporate environment with one or more modern programming languages and database querying languages.
* Overall knowledge of the Software Development Life Cycle
* Solid understanding of agile methodologies such as CI/CD, Application Resiliency, and Security
* Demonstrated knowledge of software applications and technical processes within a technical discipline (e.g., cloud, artificial intelligence, machine learning, mobile, etc.)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156">
      <c r="A156" t="inlineStr">
        <is>
          <t>in-9a0eee0454930a97</t>
        </is>
      </c>
      <c r="B156" t="inlineStr">
        <is>
          <t>Data Engineer, Data and Science</t>
        </is>
      </c>
      <c r="C156" t="inlineStr">
        <is>
          <t>Aircall</t>
        </is>
      </c>
      <c r="D156" t="inlineStr">
        <is>
          <t>indeed</t>
        </is>
      </c>
      <c r="E156">
        <f>HYPERLINK("https://www.indeed.com/viewjob?jk=9a0eee0454930a97", "https://www.indeed.com/viewjob?jk=9a0eee0454930a97")</f>
        <v/>
      </c>
      <c r="F156">
        <f>HYPERLINK("https://jobs.lever.co/aircall/d83dbd40-991d-46d9-b1cf-021d9091fe6c", "https://jobs.lever.co/aircall/d83dbd40-991d-46d9-b1cf-021d9091fe6c")</f>
        <v/>
      </c>
      <c r="G156" t="inlineStr">
        <is>
          <t>Seattle, WA, US</t>
        </is>
      </c>
      <c r="H156" s="2" t="n">
        <v>46076</v>
      </c>
      <c r="I156" t="inlineStr">
        <is>
          <t>**Seattle Office /** **San Francisco Office****Engineering – 13008 \- Data /****Permanent Full Time Employee /****Hybrid**
Aircall is a unicorn, AI\-powered customer communications platform used by 22,000\+ companies worldwide to drive revenue, resolve issues faster, and scale customer\-facing teams. We’re redefining customer communications by bringing voice, SMS, WhatsApp, and AI together into one seamless workspace.  
Our momentum comes from a simple idea: help teams work smarter, not harder. Aircall’s AI Voice Agent automates routine calls, AI Assist streamlines post\-call work, and AI Assist Pro delivers real\-time guidance so people can do their best work. The result is higher revenue, faster resolutions, and teams that scale with confidence.  
Aircall is headquartered in Paris, our European HQ, with a strong North American presence anchored in Seattle, our North American HQ, and teams across Madrid, London, Berlin, San Francisco, New York City, Sydney, and Mexico City. We’ve built a product customers love and a business that’s scaling quickly, backed by world\-class investors and driven by rapid AI innovation across multiple product lines.
At Aircall, you’ll join a company in motion. We’re ambitious, product\-driven, and execution\-focused, with visible impact, fast decisions, and real growth. **How we work at Aircall:** We’re customer\-obsessed, data\-driven, and focused on delivering meaningful outcomes. We value ownership, continuous learning, and thoughtful speed. If you thrive in a collaborative, fast\-moving environment where trust and impact matter, you’ll feel at home here. **About the role**The Data Engineering team at Aircall works on providing high\-quality, reliable, and actionable data. As an AI\-first data team, we are currently in a pivotal transition to build a robust semantic layer that will power our AI\-first data platform, enabling analytics at speed and democratizing intelligent insights across the company. Some of the key problems we are currently solving include taking charge of data reliability, integrating new sources for raw data ingestion, and building sophisticated data models to power real\-time dashboards and predictive analytics.  
In this role, you will be instrumental in building new datasets for high\-impact use cases such as churn prediction and feature adoption, while owning the end\-to\-end reliability and scalability of our data pipelines. You will work closely with Product and GTM business teams, sitting at the heart of a larger data organization alongside Data Science, Analytics, and Applied Scientists to bridge the gap between raw data and AI\-driven decision\-making.+ Design, build and maintain core data infrastructure pieces that allow Aircall to support our many data use cases.
+ Enhance the data stack, lineage monitoring and alerting to prevent incidents and improve data quality.
+ Implement best practices for data management, storage and security to ensure data integrity and compliance with regulations.
+ Own the core company data pipeline, responsible for converting business needs to efficient \&amp; reliable data pipelines.
+ Participate in code reviews to ensure code quality and share knowledge.
+ Lead efforts to evaluate and integrate new technologies and tools to enhance our data infrastructure.
+ Define and manage evolving data models and data schemas. Manage SLA for data sets that power our company metrics.
+ Collaborate with applied scientists, data scientists, analysts and other business stakeholders to drive efficiencies for their work, supporting complex data processing, storage and orchestration
### **A little more about you:**
+ Bachelor's degree or higher in Computer Science, Engineering, or a related field.
+ 3\+ years of experience in data engineering, with a strong focus on designing and building data pipelines and infrastructure.
+ Proficient in SQL and Python, with the ability to translate complexity into efficient code.
+ Experience with data workflow development and management tools (dbt, Airflow).
+ Solid understanding of distributed computing principles and experience with cloud\-based data platforms such as AWS, GCP, or Azure.
+ Strong analytical and problem\-solving skills, with the ability to effectively troubleshoot complex data issues.Excellent communication and collaboration skills, with the ability to work effectively in a cross\-functional team environment.
+ Prior experience designing **AI\-ready data semantic layer** is a major plus, specifically for enabling low\-latency, high\-fidelity analytics at scale.
+ Experience with data tooling, data governance, business intelligence and data privacy is a plus.
$154,000 \- $186,000 a year
This is not including equity and other benefits. The actual salary offered will carefully consider a wide range of factors, including your skills, qualifications, and experience.
Why join us?  
 Key moment to join Aircall in terms of growth and opportunities* ️ Our people matter, work\-life balance is important at Aircall
 Fast\-learning environment, entrepreneurial and strong team spirit
 45\+ Nationalities: cosmopolite \&amp; multi\-cultural mindset
 Competitive salary package \&amp; equity
 Medical, dental, and vision insurance is 100% covered
 401k plan with company matching!
✈️ Unlimited PTO — take the time you need to come to work feeling great!* ️ Wellness, internet, and childcare reimbursements
 Generous parental leave policy  
DE\&amp;I Statement:
At Aircall, we believe diversity, equity and inclusion – irrespective of origins, identity, background and orientations – are core to our journey.  
We pride ourselves on promoting active inclusion within our business to foster a strong sense of belonging for all. We’re working to create a place filled with diverse people who can enrich and learn from one another. We’re committed to ensuring that everyone not only has a seat at the table but is valued and respected at it by providing equal opportunities to develop and thrive.  
We will constantly challenge ourselves to make sure that we live up to our ambitions around diversity, equity and inclusion, and keep this conversation open. Above all else, we understand and acknowledge that we have work to do and much to learn.  
Want to know more about candidate privacy? Find our Candidate Privacy Notice here.*We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57">
      <c r="A157" t="inlineStr">
        <is>
          <t>in-c2475c3b210a4903</t>
        </is>
      </c>
      <c r="B157" t="inlineStr">
        <is>
          <t>Data Engineer</t>
        </is>
      </c>
      <c r="C157" t="inlineStr">
        <is>
          <t>Booz Allen Hamilton</t>
        </is>
      </c>
      <c r="D157" t="inlineStr">
        <is>
          <t>indeed</t>
        </is>
      </c>
      <c r="E157">
        <f>HYPERLINK("https://www.indeed.com/viewjob?jk=c2475c3b210a4903", "https://www.indeed.com/viewjob?jk=c2475c3b210a4903")</f>
        <v/>
      </c>
      <c r="F157">
        <f>HYPERLINK("https://careers.boozallen.com/careers/JobDetail?jobId=121098", "https://careers.boozallen.com/careers/JobDetail?jobId=121098")</f>
        <v/>
      </c>
      <c r="G157" t="inlineStr">
        <is>
          <t>San Diego, CA, US</t>
        </is>
      </c>
      <c r="H157" s="2" t="n">
        <v>46076</v>
      </c>
      <c r="I157" t="inlineStr">
        <is>
          <t>Data Engineer**The Opportunity:**
Ever\-expanding technology like IoT, machine learning, and artificial intelligence means that there’s more structured and unstructured data available today than ever before. As a data engineer, you know that organizing data can yield pivotal insights when it’s gathered from disparate sources. We need an experienced data engineer like you to help our clients find answers in their data to impact important missions.
As a Data Engineer, you will be at the forefront of unlocking the potential within vast datasets. You will be responsible for designing, building, and maintaining the scalable data pipelines and infrastructure necessary to support our advanced analytics, machine learning, and artificial intelligence initiatives. Your work will involve everything from data extraction and transformation to loading and modeling, ensuring that data is ready for analysis and use in cutting\-edge applications. You will collaborate with data scientists, AI/ML engineers, and solutions architects to solve complex problems and deliver data\-driven solutions for our clients.
You will design, construct, install, test, and maintain highly scalable data management systems and robust data pipelines. In supporting this effort, you will perform comprehensive data cleaning, anomaly detection, and preparation to ensure data quality and integrity. You will collaborate with mission partners to prepare, format, and tag existing documentation and data to be used by an internal generative AI tool. You will integrate new data sources and manage data flows across various systems. You will assist with the implementation of enterprise IT systems, applications, and infrastructure, ensuring security and compliance. You will work with database management systems, knowledge graphs, ontologies, and vector databases. You will support the operationalization of models through enterprise DataOps, DevSecOps, and MLOps processes.
Work with us to use data for good.
Join us. The world can’t wait.
**You Have:**
* 3\+ years of experience in Data Engineering, Data Science, or Software Engineering
* Experience with Palantir products such as AIP, Gotham, and Foundry
* Experience with database management, data modeling, data cleaning, and both structured and unstructured data
* Experience in programming with languages such as Python, R, Java, or C\+\+
* Experience with SQL and procedural SQL languages, such as PL/SQL or pgSQL
* Knowledge of cloud services, including AWS, Azure, or Google Cloud
* TS/SCI clearance
* Bachelor’s degree in Computer Science, Computer Engineering, or Data Science
**Nice If You Have:**
* Experience with big data technologies, such as HDFS, Accumulo, Hive, Kafka, and Spark
* Experience with data engineering and data science tools, including Databricks, ElasticSearch, Apache NiFi, or StreamSets
* Experience implementing AI/ML solutions and deploying models, including LLMs, locally or via cloud technologies
* Knowledge of enterprise CI/CD practices and tools, such as Git, Jenkins, and Docker
* Knowledge of federal information security policies, standards, and risk management processes
* Master’s degree in a relevant technical field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58">
      <c r="A158" t="inlineStr">
        <is>
          <t>in-4ca9dff46f08d4f4</t>
        </is>
      </c>
      <c r="B158" t="inlineStr">
        <is>
          <t>Enterprise Cybersecurity Data Engineer and Business Intelligence Developer</t>
        </is>
      </c>
      <c r="C158" t="inlineStr">
        <is>
          <t>Booz Allen Hamilton</t>
        </is>
      </c>
      <c r="D158" t="inlineStr">
        <is>
          <t>indeed</t>
        </is>
      </c>
      <c r="E158">
        <f>HYPERLINK("https://www.indeed.com/viewjob?jk=4ca9dff46f08d4f4", "https://www.indeed.com/viewjob?jk=4ca9dff46f08d4f4")</f>
        <v/>
      </c>
      <c r="F158">
        <f>HYPERLINK("https://careers.boozallen.com/careers/JobDetail?jobId=121064", "https://careers.boozallen.com/careers/JobDetail?jobId=121064")</f>
        <v/>
      </c>
      <c r="G158" t="inlineStr">
        <is>
          <t>McLean, VA, US</t>
        </is>
      </c>
      <c r="H158" s="2" t="n">
        <v>46076</v>
      </c>
      <c r="I158" t="inlineStr">
        <is>
          <t>Enterprise Cybersecurity Data Engineer and Business Intelligence Developer**The Opportunity:**
As an Enterprise Cybersecurity Data Engineer and Business Intelligence (BI) Developer, you will apply expertise in business intelligence to wrangle data and develop custom visualizations in Power BI. You will engage with stakeholders to comprehend client challenges, prototype new ideas and technologies, and help create solutions that drive data\-driven decision making. You will ensure the quality delivery of software through thorough testing, data validation, and reviews. You will apply leading\-edge principles, theories, and concepts, and contribute to the development of new principles and concepts. You will work on unusually complex problems and provide highly innovative solutions. Due to the nature of work performed within this facility, U.S. citizenship is required.
**How You’ll Contribute:**
As a Cybersecurity Data Engineer and Business Intelligence Developer on our team, you’ll:
* Develop and maintain 20\+ Power BI dashboards, 10\+ audiences and 2 Power BI applications across 4 Power BI workspaces
* Document data transformations, dashboards, and automated metrics in a team Confluence page
* Extract, transform, and load data from various data sources using Python or SQL
* Apply consulting skills and AI expertise by gathering technical requirements, distilling the requirements into tasks, delivering to the customer, and iterating on the dashboards
* Grow your communication and technical skills by merging advising and technology to create automated and efficient solutions
**You Have:**
* 5\+ years of experience using business intelligence or data visualization tools to aggregate and analyze data collected from various sources, such as Power BI
* 5\+ years of experience using advanced analytical methods, storytelling methods, and data visualization tools to develop data\-driven narratives
* 3\+ years of experience working with SQL or Python languages
* Knowledge of front\-end design and data visualization techniques and UI/UX methodologies and best practices
* Ability to simplify complex concepts and distill information into coherent and compelling narratives, making it accessible to a broad audience
* Ability to collaborate with business analysts or users to clarify requirements and work closely with different business groups to comprehend and respond to their reporting and dashboard needs
* Ability to demonstrate clean coding habits, including ensuring quality
* Ability to work independently and collaboratively in a team environment
* Ability to be self\-motivated and pay strict attention to detail
* HS diploma or GED
**Nice If You Have:**
* 5\+ years of experience in cybersecurity, information technology, or data science in a professional work environment
* Experience in User Experience (UX) and design
* Experience with analytics and data science techniques, including natural language processing, random forest, clustering, optimization, and linear programming
* Knowledge of experimental research methodologies
* Possession of strong analytical, problem\-solving, and critical thinking skills
* Possession of strong written and verbal communication skills, including presenting complex information in a clear and concise manner
* Bachelor’s degree in Cybersecurity, Data Science, Information Technology, Mathematics, or a related field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59">
      <c r="A159" t="inlineStr">
        <is>
          <t>in-4d47293536b45cfc</t>
        </is>
      </c>
      <c r="B159" t="inlineStr">
        <is>
          <t>Health Services Data Engineer</t>
        </is>
      </c>
      <c r="C159" t="inlineStr">
        <is>
          <t>Booz Allen Hamilton</t>
        </is>
      </c>
      <c r="D159" t="inlineStr">
        <is>
          <t>indeed</t>
        </is>
      </c>
      <c r="E159">
        <f>HYPERLINK("https://www.indeed.com/viewjob?jk=4d47293536b45cfc", "https://www.indeed.com/viewjob?jk=4d47293536b45cfc")</f>
        <v/>
      </c>
      <c r="F159">
        <f>HYPERLINK("https://careers.boozallen.com/careers/JobDetail?jobId=121057", "https://careers.boozallen.com/careers/JobDetail?jobId=121057")</f>
        <v/>
      </c>
      <c r="G159" t="inlineStr">
        <is>
          <t>McLean, VA, US</t>
        </is>
      </c>
      <c r="H159" s="2" t="n">
        <v>46076</v>
      </c>
      <c r="I159" t="inlineStr">
        <is>
          <t>Health Services Data Engineer**The Opportunity:**
Ever\-expanding technology like IoT, machine learning, and artificial intelligence means that there’s more structured and unstructured data available today than ever before. As a data engineer, you know that organizing data can yield pivotal insights when it’s gathered from disparate sources. We need an experienced data professional like you to help our clients find answers in their data to impact important missions—from fraud detection to cancer research to national intelligence.
As a Data Engineer at Booz Allen, you’ll use your expertise to help build advanced technology solutions and lead data engineering activities on some of the most mission\-driven projects in the industry. You’ll guide data engineering activities by overseeing the development and deployment of pipelines that organize and make disparate data meaningful.
Here, you’ll serve as a technical lead on analytic tasks in the federal health space. You’ll use your expertise to conduct analytic and engineering work as an individual contributor, organize analytic work for small\- to medium\-sized tasks and teams, help teams solve complex coding or analytic issues, and mentor junior analysts and engineers. Support the development and maintenance of scalable data pipelines that supply data in forms needed for business analysis. Identify opportunities to leverage leading\-edge analytic and engineering principles, theories, and concepts solutions to help clients solve new and existing problems. Collaborate with various team members, including quantitative and qualitative analysts, policy experts, developers, communications specialists, and project managers.
Work with us to use data for good. Here, we focus on growing as a team to make the best solutions for our customers, so you’ll have resources for mentoring and learning new skills and tools. Join our team as we transform healthcare capabilities with cloud technology, enabling data science and advanced analytics applications, artificial intelligence and machine learning, and automation.
Join us. The world can’t wait.
**You Have:**
* 6\+ years of experience performing data management with health data in SQL and Python, including using Databricks or Snowflake and big data tools or frameworks, such as Spark
* Experience analyzing health insurance claims data in the Chronic Conditions Warehouse (CCW), Integrated Data Repository (IDR), or Centralized Data Repository (CDR)
* Experience with data validation, cleansing, and enrichment techniques to improve the accuracy and completeness of data
* Experience designing, implementing, and optimizing end\-to\-end data pipelines for ingesting, processing, and transforming large volumes of data
* Experience designing and developing ETL workflows using tools, such as Apache Spark or AWS Glue, and monitoring and troubleshooting ETL processes to identify and resolve issues in a timely manner
* Knowledge of healthcare data such as Provider Enrollment, Chain, and Ownership System (PECOS), Master Beneficiary Summary File (MBSF), Standard Analytic Files (SAF), or Prescription Drug Event (PDE) data
* Ability to design and maintain data models, schemas, and database structures to support operations and to build and maintain data integrations with internal and external data sources and APIs
* Ability to communicate and clearly explain complex methodologies, and present findings and recommendations to both technical and non\-technical audiences
* Ability to obtain and maintain a Public Trust or Suitability/Fitness determination based on client requirements
* Bachelor’s degree in an Epidemiology, Economics, Statistics, or Computer Science field
**Nice If You Have:**
* Experience with the federal procurement and proposal process
* Experience managing tasks for others
* Experience with Agile engineering practices
* Knowledge of quantitative methods for the detection of fraud, improper payments, or other payment anomalies
* Knowledge of healthcare pay\-for\-performance based payment adjustments
* Knowledge of quality measure calculation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60">
      <c r="A160" t="inlineStr">
        <is>
          <t>in-635921f4402acdff</t>
        </is>
      </c>
      <c r="B160" t="inlineStr">
        <is>
          <t>Data Engineer</t>
        </is>
      </c>
      <c r="C160" t="inlineStr">
        <is>
          <t>University of Maryland Global Campus</t>
        </is>
      </c>
      <c r="D160" t="inlineStr">
        <is>
          <t>indeed</t>
        </is>
      </c>
      <c r="E160">
        <f>HYPERLINK("https://www.indeed.com/viewjob?jk=635921f4402acdff", "https://www.indeed.com/viewjob?jk=635921f4402acdff")</f>
        <v/>
      </c>
      <c r="F160">
        <f>HYPERLINK("https://careers.umgc.edu/job/data-engineer-it-and-project-management-adelphi-md-10025042/", "https://careers.umgc.edu/job/data-engineer-it-and-project-management-adelphi-md-10025042/")</f>
        <v/>
      </c>
      <c r="G160" t="inlineStr">
        <is>
          <t>Adelphi, MD, US</t>
        </is>
      </c>
      <c r="H160" s="2" t="n">
        <v>46076</v>
      </c>
      <c r="I160" t="inlineStr">
        <is>
          <t>Job Ref:
10025042
Location:
Adelphi, MD
Category:
IT and Project Management
Type:
Full time
Data Engineer
Data StrategyUS Exempt RegularFull timeStateside Exempt 4\.2**Data Engineer**
**Data Strategy**
**Full\-time, Exempt Regular, Pay Grade 4\.2**
**Location: Hybrid**
A skilled, hands\-on Data Engineer responsible for designing, building, deploying, and operating enterprise data ingestion, transformation, and delivery pipelines within a Databricks Lakehouse environment. The role focuses on data integration and interoperability, enabling secure and reliable access to curated datasets for analytics, applications, and machine learning use cases.
**Duties and Responsibilities:**
* Design, build, test, and operate scalable batch and streaming data ingestion and transformation pipelines using Databricks, Apache Spark, Delta Lake, Python, and SQL.
* Implement data integration workflows that ingest and process data from diverse internal and external sources, including databases, files, REST APIs, and streaming platforms, in alignment with established architectural standards.
* Develop, maintain, and document curated datasets and data products that support analytics, reporting, and downstream application and machine learning use cases.
* Package, version, and deploy data pipelines using Databricks Asset Bundles, adhering to established CI/CD processes and environment promotion practices (development, test, production).
* Apply data quality validation, monitoring, and observability controls to ensure data accuracy, pipeline reliability, and compliance with defined service\-level objectives.
* Implement and maintain access controls, authentication, and authorization using Unity Catalog in accordance with enterprise data governance and security requirements.
* Monitor pipeline performance and resource utilization, perform routine tuning, and support incident resolution and root\-cause analysis for production data workflows.
* Collaborate with platform, analytics, and governance teams to clarify data requirements, resolve integration issues, and support data consumers.
**Competencies****:**
* Technical execution and problem solving
* Attention to detail and data quality
* Collaboration within cross\-functional teams
* Accountability for operational stability
**Skills****:**
* Databricks, Apache Spark, Delta Lake
* SQL and Python
* Batch and streaming ingestion patterns
* Federated data access and APIs
* Unity Catalog and governance
**Education \&amp; Experience Requirements**
Education:
* Bachelor's degree in Computer Science, Information Systems, or a related field.
Experience:
* 5\+ years of hands\-on data engineering experience supporting production data pipelines.
**Preferred Experience Requirements**
Education:
* Master's degree preferred.
Experience:
* Large\-scale governed data environments.
Certifications:
* Databricks certifications preferred.
All submissions should include a cover letter and resume.
**The University of Maryland Global Campus (UMGC) is an equal opportunity employer and complies with all applicable federal and state laws regarding nondiscrimination. UMGC is committed to a policy of equal opportunity for all persons and does not discriminate on the basis of race, color, national origin, age, marital status, sex, sexual orientation, gender identity, gender expression, disability, religion, ancestry, political affiliation or veteran status in employment, educational programs and activities, and admissions.**
**Workplace Accommodations:**
The University of Maryland Global Campus Global Campus (UMGC) is committed to creating and maintaining a welcoming and inclusive working environment for people of all abilities. UMGC is dedicated to the principle that no qualified individual with a disability shall, based on disability, be excluded from participation in or be denied the benefits of the services, programs, or activities of the University, or be subjected to discrimination. For information about UMGC's Reasonable Workplace Accommodation Policy or to request an accommodation, applicants/candidates can contact Employee Accommodations via email at employee\-accommodations@umgc.edu.
**Benefits Package Highlights:**
* **Generous Time Off:** Enjoy 22 days of paid vacation, 15 days of sick leave, 3 personal days, and 16 paid holidays (17 during general election years). **For part\-time employees, time off rates will be prorated based on the number of hours worked.**
* **Comprehensive Health Coverage:** Access to health care, medical with vision, dental, and prescription plans for both individuals and families, effective from the 1st of the month following your hire date.
* **Insurance Options:** Term Life Insurance, Accidental Death and Dismemberment Insurance, and Long\-Term Disability (LTD) Insurance. **Part\-time employees working less than 0\.5 FTE are not eligible for LTD.**
* **Flexible Spending Accounts:** Available for medical and dependent care expenses.
* **Retirement Plans:** Choose between the Optional Retirement Program (ORP) or the Maryland State Retirement and Pension System (MSRPS).
* **Supplemental Retirement Plans:** include 401(k), 403(b), 457(b), and various Roth options. The university does not provide matching funds.
* **Tuition Remission:** Immediate availability for Regular Exempt Staff. Spouses and dependent children are eligible for undergraduate tuition remission after two years of service. **NOTE: For part\-time employees (at least 50 percent of the time), tuition remission benefits are prorated.**
**Hiring Range:**
$112,000\.00 \- $127,000\.00</t>
        </is>
      </c>
    </row>
    <row r="161">
      <c r="A161" t="inlineStr">
        <is>
          <t>in-a25ec63d2a45d72c</t>
        </is>
      </c>
      <c r="B161" t="inlineStr">
        <is>
          <t>AIML Services- Data Platform Engineer</t>
        </is>
      </c>
      <c r="C161" t="inlineStr">
        <is>
          <t>GSK</t>
        </is>
      </c>
      <c r="D161" t="inlineStr">
        <is>
          <t>indeed</t>
        </is>
      </c>
      <c r="E161">
        <f>HYPERLINK("https://www.indeed.com/viewjob?jk=a25ec63d2a45d72c", "https://www.indeed.com/viewjob?jk=a25ec63d2a45d72c")</f>
        <v/>
      </c>
      <c r="F161">
        <f>HYPERLINK("https://jobs.gsk.com/jobs/435650?lang=en-us&amp;source=Indeed", "https://jobs.gsk.com/jobs/435650?lang=en-us&amp;source=Indeed")</f>
        <v/>
      </c>
      <c r="G161" t="inlineStr">
        <is>
          <t>San Francisco, CA, US</t>
        </is>
      </c>
      <c r="H161" s="2" t="n">
        <v>46076</v>
      </c>
      <c r="I161" t="inlineStr">
        <is>
          <t>**Site Name:** South San Francisco 611 Gateway Blvd, Cambridge 300 Technology Square, Seattle Sixth Ave  
**Posted Date:** Feb 24 2026  
At GSK we see a world in which advanced applications of Machine Learning and AI will allow us to develop transformational medicines using the power of genetics, functional genomics, and machine learning. AI will also play a role in how we diagnose and use medicines to enable everyone to do more feel better and live longer. It is an ambitious vision that will require the development of products at the cutting edge of Machine Learning and AI.
We're looking for a highly skilled individual contributor who can consistently take a poorly defined business or technical problem, work it to a well\-defined problem/specification, and execute on it at a high level. They have a strong focus on metrics, both in the domains of system health/performance and the impact of their work. They are a model for the team on best practices for software development in general (and their specialization in particular), including code quality, documentation, DevOps practices, and testing, and coaching/mentorship. They ensure the robustness of our services and serve as an escalation point in the operation of existing services, pipelines, and workflows.
This individual should be deeply familiar with the tools of their specialization and of their customers and engaged with the open\-source community surrounding them – potentially, even to the level of contributing pull requests.
**Key****Responsibilities**:
* Lead the design, development, and implementation of data frameworks, pipelines and services to support data operations for machine learning engineering teams.
* Collaborate with cross\-functional teams to identify requirements and provide technical guidance. Integrate APIs with systems and platforms for seamless data exchange and enhanced system functionality.
* Produce well\-engineered software, including appropriate automated test suites, technical documentation, and necessary operations.
* Boldly explore the bleeding edge of GenAI/agentic tools and frameworks to maximize gains while minimizing failures.
* Ensure consistent application of platform abstractions to ensure quality and consistency with respect to logging and lineage.
* Consult, educate, and coach/mentor on developer best practices and production standards, participate in code reviews and design sessions.
* Adhere to QMS framework and CI/CD best practices and helps to guide improvements to them that improve ways of working.
* Stay up\-to\-date on emerging technologies, trends, and best practices. Identify areas for improvement across the stack.
The AI/ML team is built on the principles of ownership, accountability, continuous development, and collaboration. We hire for the long term, and we're motivated to make this a great place to work. Our leaders will be committed to your career and development from day one.
**Why you?**
============
**Basic Qualifications:**
* Bachelor's or graduate degree in Computer Science, focused on software or data engineering, high\-performance computing, or machine learning or 5\+ years of industry experience in software/data/machine learning engineering.
* 2\+ years of industry experience in software engineering.
* Experience in Python.
* Experience in applying CI/CD implementations using git and a common CI/CD stack (e.g. Jenkins, CircleCI, GitLab, Azure DevOps)
* Experience in API design principles, protocols, and tools (REST, GraphQL, Swagger, etc.)
* Experience in data system/ETL design principles, protocols, and tools (REST, GraphQL, Swagger, etc.)
* Experience developing infrastructure using Cloud services in GCP or similar cloud environment.
* Experience working with Docker and Kubernetes, or closely related containerization and cluster computing frameworks.
**Preferred Qualifications:**
* Candidates with explicit experience working on machine learning orchestration in cloud or HPC environments (using MLFlow, Kubeflow, or similar) will be highly competitive.
* Technical leadership and experience leading development projects and/or teams is desirable but not required. Bonus points for demonstrated experience leading efforts in large programs involving multiple cross\-functional teams/stakeholders.
* Experience upholding software/production best practices, as well as mentorship/coaching is strongly preferred. A willingness and demonstrated ability in these domains are sufficient.
* Experience with event\-driven architectures and implementing event hooks/triggers in API systems. Familiarity with webhooks, message queues, and pub/sub systems. Ability to design API integrations that enable real\-time data updates and notifications.
* Competitive candidates will be agile\-minded, demonstrating clear proficiency in iterative software development and prototyping.
* Candidates who’ve worked on Search products, vector databases, knowledge graphs, or other production AI/ML products—particularly with agentic interfaces and integrations—will be highly competitive.
\#LI\-GSK
* If you are based in Cambridge, MA; Waltham, MA; Rockville, MD; or San Francisco, CA, the annual base salary for new hires in this position ranges $136,125 to $226,875\.
The US salary ranges take into account a number of factors including work location within the US market, the candidate’s skills, experience, education level and the market rate for the role. In addition, this position offers an annual bonus and eligibility to participate in our share based long term incentive program which is dependent on the level of the role. Available benefits include health care and other insurance benefits (for employee and family), retirement benefits, paid holidays, vacation, and paid caregiver/parental and medical leave.  
If salary ranges are not displayed in the job posting for a specific country, the relevant compensation will be discussed during the recruitment process.
Please visit GSK US Benefits Summary to learn more about the comprehensive benefits program GSK offers US employees.
**Why GSK?**
**Uniting science, technology and talent to get ahead of disease together.**
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 to impact health at scale.
People and patients around the world count on the medicines and vaccines we make, so we’re committed to creating an environment where our people can thrive and focus on what matters most. Our culture of being ambitious for patients, accountable for impact and doing the right thing is the foundation for how, together, we deliver for patients, shareholders and our people.
Should you require any adjustments to our process to assist you in demonstrating your strengths and capabilities contact us at HR.AmericasSC\-CS@gsk.com where you can also request a call.
Please note should your inquiry not relate to adjustments, we will not be able to support you through these channels. However, we have created a Recruitment FAQ guide. Click the link where you will find answers to multiple questions we receive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https://openpaymentsdata.cms.gov/</t>
        </is>
      </c>
    </row>
    <row r="162">
      <c r="A162" t="inlineStr">
        <is>
          <t>in-41cbea8637a10d68</t>
        </is>
      </c>
      <c r="B162" t="inlineStr">
        <is>
          <t>AIML Services- Data Platform Engineer</t>
        </is>
      </c>
      <c r="C162" t="inlineStr">
        <is>
          <t>GSK</t>
        </is>
      </c>
      <c r="D162" t="inlineStr">
        <is>
          <t>indeed</t>
        </is>
      </c>
      <c r="E162">
        <f>HYPERLINK("https://www.indeed.com/viewjob?jk=41cbea8637a10d68", "https://www.indeed.com/viewjob?jk=41cbea8637a10d68")</f>
        <v/>
      </c>
      <c r="F162">
        <f>HYPERLINK("https://jobs.gsk.com/jobs/435650?lang=en-us&amp;source=Indeed", "https://jobs.gsk.com/jobs/435650?lang=en-us&amp;source=Indeed")</f>
        <v/>
      </c>
      <c r="G162" t="inlineStr">
        <is>
          <t>Seattle, WA, US</t>
        </is>
      </c>
      <c r="H162" s="2" t="n">
        <v>46076</v>
      </c>
      <c r="I162" t="inlineStr">
        <is>
          <t>**Site Name:** South San Francisco 611 Gateway Blvd, Cambridge 300 Technology Square, Seattle Sixth Ave  
**Posted Date:** Feb 24 2026  
At GSK we see a world in which advanced applications of Machine Learning and AI will allow us to develop transformational medicines using the power of genetics, functional genomics, and machine learning. AI will also play a role in how we diagnose and use medicines to enable everyone to do more feel better and live longer. It is an ambitious vision that will require the development of products at the cutting edge of Machine Learning and AI.
We're looking for a highly skilled individual contributor who can consistently take a poorly defined business or technical problem, work it to a well\-defined problem/specification, and execute on it at a high level. They have a strong focus on metrics, both in the domains of system health/performance and the impact of their work. They are a model for the team on best practices for software development in general (and their specialization in particular), including code quality, documentation, DevOps practices, and testing, and coaching/mentorship. They ensure the robustness of our services and serve as an escalation point in the operation of existing services, pipelines, and workflows.
This individual should be deeply familiar with the tools of their specialization and of their customers and engaged with the open\-source community surrounding them – potentially, even to the level of contributing pull requests.
**Key****Responsibilities**:
* Lead the design, development, and implementation of data frameworks, pipelines and services to support data operations for machine learning engineering teams.
* Collaborate with cross\-functional teams to identify requirements and provide technical guidance. Integrate APIs with systems and platforms for seamless data exchange and enhanced system functionality.
* Produce well\-engineered software, including appropriate automated test suites, technical documentation, and necessary operations.
* Boldly explore the bleeding edge of GenAI/agentic tools and frameworks to maximize gains while minimizing failures.
* Ensure consistent application of platform abstractions to ensure quality and consistency with respect to logging and lineage.
* Consult, educate, and coach/mentor on developer best practices and production standards, participate in code reviews and design sessions.
* Adhere to QMS framework and CI/CD best practices and helps to guide improvements to them that improve ways of working.
* Stay up\-to\-date on emerging technologies, trends, and best practices. Identify areas for improvement across the stack.
The AI/ML team is built on the principles of ownership, accountability, continuous development, and collaboration. We hire for the long term, and we're motivated to make this a great place to work. Our leaders will be committed to your career and development from day one.
**Why you?**
============
**Basic Qualifications:**
* Bachelor's or graduate degree in Computer Science, focused on software or data engineering, high\-performance computing, or machine learning or 5\+ years of industry experience in software/data/machine learning engineering.
* 2\+ years of industry experience in software engineering.
* Experience in Python.
* Experience in applying CI/CD implementations using git and a common CI/CD stack (e.g. Jenkins, CircleCI, GitLab, Azure DevOps)
* Experience in API design principles, protocols, and tools (REST, GraphQL, Swagger, etc.)
* Experience in data system/ETL design principles, protocols, and tools (REST, GraphQL, Swagger, etc.)
* Experience developing infrastructure using Cloud services in GCP or similar cloud environment.
* Experience working with Docker and Kubernetes, or closely related containerization and cluster computing frameworks.
**Preferred Qualifications:**
* Candidates with explicit experience working on machine learning orchestration in cloud or HPC environments (using MLFlow, Kubeflow, or similar) will be highly competitive.
* Technical leadership and experience leading development projects and/or teams is desirable but not required. Bonus points for demonstrated experience leading efforts in large programs involving multiple cross\-functional teams/stakeholders.
* Experience upholding software/production best practices, as well as mentorship/coaching is strongly preferred. A willingness and demonstrated ability in these domains are sufficient.
* Experience with event\-driven architectures and implementing event hooks/triggers in API systems. Familiarity with webhooks, message queues, and pub/sub systems. Ability to design API integrations that enable real\-time data updates and notifications.
* Competitive candidates will be agile\-minded, demonstrating clear proficiency in iterative software development and prototyping.
* Candidates who’ve worked on Search products, vector databases, knowledge graphs, or other production AI/ML products—particularly with agentic interfaces and integrations—will be highly competitive.
\#LI\-GSK
* If you are based in Cambridge, MA; Waltham, MA; Rockville, MD; or San Francisco, CA, the annual base salary for new hires in this position ranges $136,125 to $226,875\.
The US salary ranges take into account a number of factors including work location within the US market, the candidate’s skills, experience, education level and the market rate for the role. In addition, this position offers an annual bonus and eligibility to participate in our share based long term incentive program which is dependent on the level of the role. Available benefits include health care and other insurance benefits (for employee and family), retirement benefits, paid holidays, vacation, and paid caregiver/parental and medical leave.  
If salary ranges are not displayed in the job posting for a specific country, the relevant compensation will be discussed during the recruitment process.
Please visit GSK US Benefits Summary to learn more about the comprehensive benefits program GSK offers US employees.
**Why GSK?**
**Uniting science, technology and talent to get ahead of disease together.**
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 to impact health at scale.
People and patients around the world count on the medicines and vaccines we make, so we’re committed to creating an environment where our people can thrive and focus on what matters most. Our culture of being ambitious for patients, accountable for impact and doing the right thing is the foundation for how, together, we deliver for patients, shareholders and our people.
Should you require any adjustments to our process to assist you in demonstrating your strengths and capabilities contact us at HR.AmericasSC\-CS@gsk.com where you can also request a call.
Please note should your inquiry not relate to adjustments, we will not be able to support you through these channels. However, we have created a Recruitment FAQ guide. Click the link where you will find answers to multiple questions we receive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https://openpaymentsdata.cms.gov/</t>
        </is>
      </c>
    </row>
    <row r="163">
      <c r="A163" t="inlineStr">
        <is>
          <t>in-94ad64f2466c8d7d</t>
        </is>
      </c>
      <c r="B163" t="inlineStr">
        <is>
          <t>AIML Services- Data Platform Engineer</t>
        </is>
      </c>
      <c r="C163" t="inlineStr">
        <is>
          <t>GSK</t>
        </is>
      </c>
      <c r="D163" t="inlineStr">
        <is>
          <t>indeed</t>
        </is>
      </c>
      <c r="E163">
        <f>HYPERLINK("https://www.indeed.com/viewjob?jk=94ad64f2466c8d7d", "https://www.indeed.com/viewjob?jk=94ad64f2466c8d7d")</f>
        <v/>
      </c>
      <c r="F163">
        <f>HYPERLINK("https://jobs.gsk.com/jobs/435650?lang=en-us&amp;source=Indeed", "https://jobs.gsk.com/jobs/435650?lang=en-us&amp;source=Indeed")</f>
        <v/>
      </c>
      <c r="G163" t="inlineStr">
        <is>
          <t>Cambridge, MA, US</t>
        </is>
      </c>
      <c r="H163" s="2" t="n">
        <v>46076</v>
      </c>
      <c r="I163" t="inlineStr">
        <is>
          <t>**Site Name:** South San Francisco 611 Gateway Blvd, Cambridge 300 Technology Square, Seattle Sixth Ave  
**Posted Date:** Feb 24 2026  
At GSK we see a world in which advanced applications of Machine Learning and AI will allow us to develop transformational medicines using the power of genetics, functional genomics, and machine learning. AI will also play a role in how we diagnose and use medicines to enable everyone to do more feel better and live longer. It is an ambitious vision that will require the development of products at the cutting edge of Machine Learning and AI.
We're looking for a highly skilled individual contributor who can consistently take a poorly defined business or technical problem, work it to a well\-defined problem/specification, and execute on it at a high level. They have a strong focus on metrics, both in the domains of system health/performance and the impact of their work. They are a model for the team on best practices for software development in general (and their specialization in particular), including code quality, documentation, DevOps practices, and testing, and coaching/mentorship. They ensure the robustness of our services and serve as an escalation point in the operation of existing services, pipelines, and workflows.
This individual should be deeply familiar with the tools of their specialization and of their customers and engaged with the open\-source community surrounding them – potentially, even to the level of contributing pull requests.
**Key****Responsibilities**:
* Lead the design, development, and implementation of data frameworks, pipelines and services to support data operations for machine learning engineering teams.
* Collaborate with cross\-functional teams to identify requirements and provide technical guidance. Integrate APIs with systems and platforms for seamless data exchange and enhanced system functionality.
* Produce well\-engineered software, including appropriate automated test suites, technical documentation, and necessary operations.
* Boldly explore the bleeding edge of GenAI/agentic tools and frameworks to maximize gains while minimizing failures.
* Ensure consistent application of platform abstractions to ensure quality and consistency with respect to logging and lineage.
* Consult, educate, and coach/mentor on developer best practices and production standards, participate in code reviews and design sessions.
* Adhere to QMS framework and CI/CD best practices and helps to guide improvements to them that improve ways of working.
* Stay up\-to\-date on emerging technologies, trends, and best practices. Identify areas for improvement across the stack.
The AI/ML team is built on the principles of ownership, accountability, continuous development, and collaboration. We hire for the long term, and we're motivated to make this a great place to work. Our leaders will be committed to your career and development from day one.
**Why you?**
============
**Basic Qualifications:**
* Bachelor's or graduate degree in Computer Science, focused on software or data engineering, high\-performance computing, or machine learning or 5\+ years of industry experience in software/data/machine learning engineering.
* 2\+ years of industry experience in software engineering.
* Experience in Python.
* Experience in applying CI/CD implementations using git and a common CI/CD stack (e.g. Jenkins, CircleCI, GitLab, Azure DevOps)
* Experience in API design principles, protocols, and tools (REST, GraphQL, Swagger, etc.)
* Experience in data system/ETL design principles, protocols, and tools (REST, GraphQL, Swagger, etc.)
* Experience developing infrastructure using Cloud services in GCP or similar cloud environment.
* Experience working with Docker and Kubernetes, or closely related containerization and cluster computing frameworks.
**Preferred Qualifications:**
* Candidates with explicit experience working on machine learning orchestration in cloud or HPC environments (using MLFlow, Kubeflow, or similar) will be highly competitive.
* Technical leadership and experience leading development projects and/or teams is desirable but not required. Bonus points for demonstrated experience leading efforts in large programs involving multiple cross\-functional teams/stakeholders.
* Experience upholding software/production best practices, as well as mentorship/coaching is strongly preferred. A willingness and demonstrated ability in these domains are sufficient.
* Experience with event\-driven architectures and implementing event hooks/triggers in API systems. Familiarity with webhooks, message queues, and pub/sub systems. Ability to design API integrations that enable real\-time data updates and notifications.
* Competitive candidates will be agile\-minded, demonstrating clear proficiency in iterative software development and prototyping.
* Candidates who’ve worked on Search products, vector databases, knowledge graphs, or other production AI/ML products—particularly with agentic interfaces and integrations—will be highly competitive.
\#LI\-GSK
* If you are based in Cambridge, MA; Waltham, MA; Rockville, MD; or San Francisco, CA, the annual base salary for new hires in this position ranges $136,125 to $226,875\.
The US salary ranges take into account a number of factors including work location within the US market, the candidate’s skills, experience, education level and the market rate for the role. In addition, this position offers an annual bonus and eligibility to participate in our share based long term incentive program which is dependent on the level of the role. Available benefits include health care and other insurance benefits (for employee and family), retirement benefits, paid holidays, vacation, and paid caregiver/parental and medical leave.  
If salary ranges are not displayed in the job posting for a specific country, the relevant compensation will be discussed during the recruitment process.
Please visit GSK US Benefits Summary to learn more about the comprehensive benefits program GSK offers US employees.
**Why GSK?**
**Uniting science, technology and talent to get ahead of disease together.**
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 to impact health at scale.
People and patients around the world count on the medicines and vaccines we make, so we’re committed to creating an environment where our people can thrive and focus on what matters most. Our culture of being ambitious for patients, accountable for impact and doing the right thing is the foundation for how, together, we deliver for patients, shareholders and our people.
Should you require any adjustments to our process to assist you in demonstrating your strengths and capabilities contact us at HR.AmericasSC\-CS@gsk.com where you can also request a call.
Please note should your inquiry not relate to adjustments, we will not be able to support you through these channels. However, we have created a Recruitment FAQ guide. Click the link where you will find answers to multiple questions we receive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https://openpaymentsdata.cms.gov/</t>
        </is>
      </c>
    </row>
    <row r="164">
      <c r="A164" t="inlineStr">
        <is>
          <t>in-4d1820f8d0d8314d</t>
        </is>
      </c>
      <c r="B164" t="inlineStr">
        <is>
          <t>Data Engineer - Remote</t>
        </is>
      </c>
      <c r="C164" t="inlineStr">
        <is>
          <t>Ocean Blue Solutions</t>
        </is>
      </c>
      <c r="D164" t="inlineStr">
        <is>
          <t>indeed</t>
        </is>
      </c>
      <c r="E164">
        <f>HYPERLINK("https://www.indeed.com/viewjob?jk=4d1820f8d0d8314d", "https://www.indeed.com/viewjob?jk=4d1820f8d0d8314d")</f>
        <v/>
      </c>
      <c r="F164">
        <f>HYPERLINK("https://www.oceanbluecorp.com/jobs/Data%20Engineer%20-%20Remote/1356", "https://www.oceanbluecorp.com/jobs/Data%20Engineer%20-%20Remote/1356")</f>
        <v/>
      </c>
      <c r="G164" t="inlineStr">
        <is>
          <t>Columbus, OH, US</t>
        </is>
      </c>
      <c r="H164" s="2" t="n">
        <v>46076</v>
      </c>
      <c r="I164" t="inlineStr">
        <is>
          <t>**Data Engineer \- Remote** *3 hours ago* 
*columbus,ohio*
**Data Engineer**
Location: Remote
Job Description **Overview:**
We are seeking a highly skilled and motivated Data Engineer to join our innovative team. As a Data Engineer, you will be responsible for designing, building, and maintaining scalable data pipelines and infrastructure to support our data\-driven initiatives. You will collaborate closely with cross\-functional teams to ensure the availability, reliability, and performance of our data systems and solutions. **Responsibilities**
Data Pipeline Development  
* Design, implement, and optimize end\-to\-end data pipelines for ingesting,
* processing, and transforming large volumes of structured and unstructured data.
* Develop robust ETL (Extract, Transform, Load) processes to integrate data from
* diverse sources into our data ecosystem.
* Implement data validation and quality checks to ensure accuracy and consistency.
Data Modeling and Architecture* Design and maintain data models, schemas, and database structures to support analytical and operational use cases.
* Optimize data storage and retrieval mechanisms for performance and scalability.
* Evaluate and implement data storage solutions, including relational databases, NoSQL databases, data lakes, and cloud storage services.
Data Integration and API Development* Build and maintain integrations with internal and external data sources and APIs.
* Implement RESTful APIs and web services for data access and consumption.
* Ensure compatibility and interoperability between different systems and platforms.
Data Infrastructure Management* Configure and manage data infrastructure components, including databases, data warehouses, data lakes, and distributed computing frameworks.
* Monitor system performance, troubleshoot issues, and implement optimizations to enhance reliability and efficiency.
* Implement data security controls and access management policies to protect sensitive information.
Collaboration and Documentation* Collaborate with data scientists, analysts, and other stakeholders to understand data requirements and deliver tailored solutions.
* Document technical designs, workflows, and best practices to facilitate knowledge sharing and maintain system documentation.
* Provide technical guidance and support to team members and stakeholders as needed.
* Collaborate with analysts and platform teams; participate in reviews, sprints, POCs, and reusable frameworks
Requirements:* Bachelor’s or master’s degree in computer science, Information Systems or related fields
* Proven experience in data engineering, software development, or related roles.
* Proficiency in programming languages commonly used in data engineering (e.g., Python, PySpark,Java, Scala, etc.).
* Strong knowledge of database systems, data modeling techniques, and SQL proficiency (e.g., Snowflake, MS Fabric, SQL Server, Oracle, Azure SQL).
* Proficiency with ETL tools commonly used in data engineering (e.g., Informatica, Databricks, Azure Data Factory).
* Experience with dashboard and reporting tools (e.g., Tableau, Power BI, Looker, etc.).
* Experience with big data technologies and frameworks (e.g., Hadoop, Spark, Kafka, etc.).
* Familiarity with cloud platforms and services (e.g., AWS, Azure, Google Cloud Platform, etc.).
* Excellent problem\-solving skills and attention to detail.
* Effective communication and collaboration skills in a team\-oriented environment.
* Ability to adapt to evolving technologies and business requirements.
 **Equal Opportunity Employer:** Race, Color, Religion, Sex, Sexual Orientation, Gender Identity, National Origin, Age, Genetic Information, Disability, Protected Veteran Status, or any other legally protected group status.</t>
        </is>
      </c>
    </row>
    <row r="165">
      <c r="A165" t="inlineStr">
        <is>
          <t>in-fe2ea443ce0cc7ee</t>
        </is>
      </c>
      <c r="B165" t="inlineStr">
        <is>
          <t>Data Engineer II, Ring/Blink Customer Service Engineering and Insights</t>
        </is>
      </c>
      <c r="C165" t="inlineStr">
        <is>
          <t>Amazon.com</t>
        </is>
      </c>
      <c r="D165" t="inlineStr">
        <is>
          <t>indeed</t>
        </is>
      </c>
      <c r="E165">
        <f>HYPERLINK("https://www.indeed.com/viewjob?jk=fe2ea443ce0cc7ee", "https://www.indeed.com/viewjob?jk=fe2ea443ce0cc7ee")</f>
        <v/>
      </c>
      <c r="F165">
        <f>HYPERLINK("https://www.amazon.jobs/jobs/3188513/data-engineer-ii-ringblink-customer-service-engineering-and-insights?cmpid=DA_INAD200785B", "https://www.amazon.jobs/jobs/3188513/data-engineer-ii-ringblink-customer-service-engineering-and-insights?cmpid=DA_INAD200785B")</f>
        <v/>
      </c>
      <c r="G165" t="inlineStr">
        <is>
          <t>Hawthorne, CA, US</t>
        </is>
      </c>
      <c r="H165" s="2" t="n">
        <v>46075</v>
      </c>
      <c r="I165" t="inlineStr">
        <is>
          <t>**DESCRIPTION**
---------------
Role Summary  
We are seeking a Data Engineer to join our Customer Service Engineering and Insights team at Ring \&amp; Blink. This role owns the data platform foundations that enable analytics, AI initiatives, and future data\-driven capabilities across the organization. You will operate and evolve ETL pipelines and AWS data infrastructure, ensuring data is secure, reliable, compliant, and ready for downstream consumption.  
This role is hands\-on and execution\-focused, with strong emphasis on orchestration reliability, and pipeline quality. You will work closely with BI Engineers, Technical Architects, Salesforce System Developers, and platform partners to translate architecture into production\-ready systems.  
The role requires a high degree of ownership and self\-sufficiency. The ideal candidate is comfortable independently exploring existing systems, quickly diagnosing issues, and driving improvements from problem definition through production. You will be expected to move fast in a dynamic environment, proactively identify opportunities to improve platform reliability and maintainability, and remove technical roadblocks to keep delivery moving.  
Role Context  
At the time this role starts, the team will be completing a migration to a new, dedicated Redshift cluster, establishing full ownership of our customer support data platform. Core data models and pipeline designs will largely be defined, and the team will be in the execution and stabilization phase of the migration. The primary focus of this role is to stabilize, harden, and improve the data pipelines and orchestration layer, leading the effort to address accumulated technical debt and evolve the platform toward industry\-standard, maintainable designs that support analytics, AI initiatives, and future data use cases.  
Key job responsibilities  
* Own and operate ETL pipelines and data infrastructure that provide data readiness for analytics, AI initiatives, and other downstream use cases
* Implement, maintain, and own data access and data\-related permissions across AWS accounts, including IAM roles, trust relationships, and permissions for Athena, Redshift, and related services; debug and resolve IAM, Lake Formation, and cross\-account data access issues, and coordinate with partner teams when broader AWS issues impact data pipelines
* Serve as the primary operational owner of the existing Airflow orchestration layer, focusing on execution monitoring, failure triage, alerting, SLA adherence, and pipeline reliability, while enabling BI Engineers to troubleshoot and contribute as needed
* Develop, operate, and support Python\-based ETL jobs, including Airflow\-executed Python tasks and jobs running on EC2 or other managed compute, ensuring reliability, observability, and maintainability through established engineering best practices
* Lead the identification and reduction of technical debt across ETL pipelines and orchestration, including evaluating job dependencies, brittle workflows, and re\-run/backfill patterns, and driving incremental improvements in partnership with the team as the platform stabilizes
* Own data pipeline design considerations related to legal, security, and compliance requirements, including evaluating existing data retention and access\-control implementations and redesigning or refactoring pipeline logic as needed to address gaps and ensure ongoing compliance with approved governance standards
* Partner with BI Engineers to ensure data outputs are consistent, validated, and ready for consumption, without owning business metrics or dashboards
* Create and maintain runbooks, operational documentation, and standards to support long\-term scalability, knowledge transfer, and on\-call readiness
* Proactively identify risks and improvement opportunities, and independently drive scoped initiatives from investigation through production, escalating architectural concerns when appropriate
A day in the life  
You triage failed Airflow pipelines, debug cross\-account IAM and Lake Formation issues, and refactor Python ETL jobs to reduce technical debt. You sync with BI Engineers on data requirements, update runbooks for operational clarity, and review pull requests. You monitor SLAs, ensure compliance with data governance standards, and hand off issues to on\-call with clear context.  
About the team  
The CS Engineering and Insights team powers customer service operations for Blink and Ring, unifying expert Salesforce developers, software engineers, BI engineers, and data scientists. We deliver innovative solutions that enhance customer experience and agent effectiveness through advanced solutions and data\-driven insights. Our culture emphasizes rapid prototyping, creative problem\-solving, and continuous learning through cross\-training. Team members are empowered to think strategically and propose innovative approaches to complex problems.**BASIC QUALIFICATIONS**
------------------------
* Bachelor's degree
* 5\+ years of data engineering experience
* Experience with data modeling, warehousing and building ETL pipelines
* Experience with SQL
* Strong Python experience for ETL development and automation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with Airflow or similar orchestration frameworks
* Experience modernizing pipelines to reduce technical debt and improve reliability
* Exposure to data platforms supporting AI or advanced analytics use cases
* Strong written and verbal communication skills and comfort operating independently in ambiguous problem spaces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Hawthorne \- 132,100\.00 \- 178,800\.00 USD annually</t>
        </is>
      </c>
    </row>
    <row r="166">
      <c r="A166" t="inlineStr">
        <is>
          <t>in-b40463a9a2eeacf3</t>
        </is>
      </c>
      <c r="B166" t="inlineStr">
        <is>
          <t>Data Engineer II , UTR PLanning Tech</t>
        </is>
      </c>
      <c r="C166" t="inlineStr">
        <is>
          <t>Amazon.com</t>
        </is>
      </c>
      <c r="D166" t="inlineStr">
        <is>
          <t>indeed</t>
        </is>
      </c>
      <c r="E166">
        <f>HYPERLINK("https://www.indeed.com/viewjob?jk=b40463a9a2eeacf3", "https://www.indeed.com/viewjob?jk=b40463a9a2eeacf3")</f>
        <v/>
      </c>
      <c r="F166">
        <f>HYPERLINK("https://www.amazon.jobs/jobs/3186425/data-engineer-ii--utr-planning-tech?cmpid=DA_INAD200785B", "https://www.amazon.jobs/jobs/3186425/data-engineer-ii--utr-planning-tech?cmpid=DA_INAD200785B")</f>
        <v/>
      </c>
      <c r="G166" t="inlineStr">
        <is>
          <t>Nashville, TN, US</t>
        </is>
      </c>
      <c r="H166" s="2" t="n">
        <v>46070</v>
      </c>
      <c r="I166"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167">
      <c r="A167" t="inlineStr">
        <is>
          <t>in-e2dd8c3665648d48</t>
        </is>
      </c>
      <c r="B167" t="inlineStr">
        <is>
          <t>Data Engineer II , UTR PLanning Tech</t>
        </is>
      </c>
      <c r="C167" t="inlineStr">
        <is>
          <t>Amazon.com</t>
        </is>
      </c>
      <c r="D167" t="inlineStr">
        <is>
          <t>indeed</t>
        </is>
      </c>
      <c r="E167">
        <f>HYPERLINK("https://www.indeed.com/viewjob?jk=e2dd8c3665648d48", "https://www.indeed.com/viewjob?jk=e2dd8c3665648d48")</f>
        <v/>
      </c>
      <c r="F167">
        <f>HYPERLINK("https://www.amazon.jobs/jobs/3186425/data-engineer-ii--utr-planning-tech?cmpid=DA_INAD200785B", "https://www.amazon.jobs/jobs/3186425/data-engineer-ii--utr-planning-tech?cmpid=DA_INAD200785B")</f>
        <v/>
      </c>
      <c r="G167" t="inlineStr">
        <is>
          <t>Austin, TX, US</t>
        </is>
      </c>
      <c r="H167" s="2" t="n">
        <v>46070</v>
      </c>
      <c r="I167"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168">
      <c r="A168" t="inlineStr">
        <is>
          <t>in-1ac30429164596da</t>
        </is>
      </c>
      <c r="B168" t="inlineStr">
        <is>
          <t>Data Engineer II , UTR PLanning Tech</t>
        </is>
      </c>
      <c r="C168" t="inlineStr">
        <is>
          <t>Amazon.com</t>
        </is>
      </c>
      <c r="D168" t="inlineStr">
        <is>
          <t>indeed</t>
        </is>
      </c>
      <c r="E168">
        <f>HYPERLINK("https://www.indeed.com/viewjob?jk=1ac30429164596da", "https://www.indeed.com/viewjob?jk=1ac30429164596da")</f>
        <v/>
      </c>
      <c r="F168">
        <f>HYPERLINK("https://www.amazon.jobs/jobs/3186425/data-engineer-ii--utr-planning-tech?cmpid=DA_INAD200785B", "https://www.amazon.jobs/jobs/3186425/data-engineer-ii--utr-planning-tech?cmpid=DA_INAD200785B")</f>
        <v/>
      </c>
      <c r="G168" t="inlineStr">
        <is>
          <t>Bellevue, WA, US</t>
        </is>
      </c>
      <c r="H168" s="2" t="n">
        <v>46070</v>
      </c>
      <c r="I168"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169">
      <c r="A169" t="inlineStr">
        <is>
          <t>in-d8c18064e1cd2330</t>
        </is>
      </c>
      <c r="B169" t="inlineStr">
        <is>
          <t>Data Engineer II, UTR PLanning Tech</t>
        </is>
      </c>
      <c r="C169" t="inlineStr">
        <is>
          <t>Amazon.com</t>
        </is>
      </c>
      <c r="D169" t="inlineStr">
        <is>
          <t>indeed</t>
        </is>
      </c>
      <c r="E169">
        <f>HYPERLINK("https://www.indeed.com/viewjob?jk=d8c18064e1cd2330", "https://www.indeed.com/viewjob?jk=d8c18064e1cd2330")</f>
        <v/>
      </c>
      <c r="F169">
        <f>HYPERLINK("https://www.amazon.jobs/jobs/3186428/data-engineer-ii-utr-planning-tech?cmpid=DA_INAD200785B", "https://www.amazon.jobs/jobs/3186428/data-engineer-ii-utr-planning-tech?cmpid=DA_INAD200785B")</f>
        <v/>
      </c>
      <c r="G169" t="inlineStr">
        <is>
          <t>Nashville, TN, US</t>
        </is>
      </c>
      <c r="H169" s="2" t="n">
        <v>46065</v>
      </c>
      <c r="I169"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an L5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170">
      <c r="A170" t="inlineStr">
        <is>
          <t>in-6b147ab574384803</t>
        </is>
      </c>
      <c r="B170" t="inlineStr">
        <is>
          <t>Data Engineer II, UTR PLanning Tech</t>
        </is>
      </c>
      <c r="C170" t="inlineStr">
        <is>
          <t>Amazon.com</t>
        </is>
      </c>
      <c r="D170" t="inlineStr">
        <is>
          <t>indeed</t>
        </is>
      </c>
      <c r="E170">
        <f>HYPERLINK("https://www.indeed.com/viewjob?jk=6b147ab574384803", "https://www.indeed.com/viewjob?jk=6b147ab574384803")</f>
        <v/>
      </c>
      <c r="F170">
        <f>HYPERLINK("https://www.amazon.jobs/jobs/3186428/data-engineer-ii-utr-planning-tech?cmpid=DA_INAD200785B", "https://www.amazon.jobs/jobs/3186428/data-engineer-ii-utr-planning-tech?cmpid=DA_INAD200785B")</f>
        <v/>
      </c>
      <c r="G170" t="inlineStr">
        <is>
          <t>Austin, TX, US</t>
        </is>
      </c>
      <c r="H170" s="2" t="n">
        <v>46065</v>
      </c>
      <c r="I170"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an L5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171">
      <c r="A171" t="inlineStr">
        <is>
          <t>in-6653cd958c9234cc</t>
        </is>
      </c>
      <c r="B171" t="inlineStr">
        <is>
          <t>Data Engineer II, UTR PLanning Tech</t>
        </is>
      </c>
      <c r="C171" t="inlineStr">
        <is>
          <t>Amazon.com</t>
        </is>
      </c>
      <c r="D171" t="inlineStr">
        <is>
          <t>indeed</t>
        </is>
      </c>
      <c r="E171">
        <f>HYPERLINK("https://www.indeed.com/viewjob?jk=6653cd958c9234cc", "https://www.indeed.com/viewjob?jk=6653cd958c9234cc")</f>
        <v/>
      </c>
      <c r="F171">
        <f>HYPERLINK("https://www.amazon.jobs/jobs/3186428/data-engineer-ii-utr-planning-tech?cmpid=DA_INAD200785B", "https://www.amazon.jobs/jobs/3186428/data-engineer-ii-utr-planning-tech?cmpid=DA_INAD200785B")</f>
        <v/>
      </c>
      <c r="G171" t="inlineStr">
        <is>
          <t>Bellevue, WA, US</t>
        </is>
      </c>
      <c r="H171" s="2" t="n">
        <v>46065</v>
      </c>
      <c r="I171"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an L5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172">
      <c r="A172" t="inlineStr">
        <is>
          <t>in-fa5e9797c4a8682d</t>
        </is>
      </c>
      <c r="B172" t="inlineStr">
        <is>
          <t>Data Engineer I, UTR PLanning Tech</t>
        </is>
      </c>
      <c r="C172" t="inlineStr">
        <is>
          <t>Amazon.com</t>
        </is>
      </c>
      <c r="D172" t="inlineStr">
        <is>
          <t>indeed</t>
        </is>
      </c>
      <c r="E172">
        <f>HYPERLINK("https://www.indeed.com/viewjob?jk=fa5e9797c4a8682d", "https://www.indeed.com/viewjob?jk=fa5e9797c4a8682d")</f>
        <v/>
      </c>
      <c r="F172">
        <f>HYPERLINK("https://www.amazon.jobs/jobs/3186421/data-engineer-i-utr-planning-tech?cmpid=DA_INAD200785B", "https://www.amazon.jobs/jobs/3186421/data-engineer-i-utr-planning-tech?cmpid=DA_INAD200785B")</f>
        <v/>
      </c>
      <c r="G172" t="inlineStr">
        <is>
          <t>Nashville, TN, US</t>
        </is>
      </c>
      <c r="H172" s="2" t="n">
        <v>46065</v>
      </c>
      <c r="I172"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I to build data pipelines, contribute to these frameworks, and help shape how AI transforms data engineering at Amazon.  
Key job responsibilities  
* Design and implement physical data models and ETL pipelines using AWS services (Redshift, S3, EMR, Glue, Lambda) and Python\-based orchestration (Airflow/MWAA).
* Build configuration\-driven data frameworks that replace repetitive custom code with reusable, declarative patterns for ingestion, transformation, and metric curation.
* Develop and optimize pipelines that ingest from multiple upstream sources, apply quality controls, and produce datasets that scientists and analysts use for labor planning decisions.
* Implement monitoring, alarming, and data quality controls using standardized data contracts. Measure and improve dataset quality.
* Build tooling that enables AI agents to interact with data engineering workflows: generating SQL, validating configurations, and executing pipeline operations through natural language interfaces.
* Collaborate with planning scientists, software engineers, BI engineers, and product managers to translate data requirements into reusable solutions.
* Write secure, testable, maintainable code. Get your data models, pipeline designs, and code reviewed. Document your solutions so others can maintain them.
* Participate in operational excellence practices: on\-call rotations, COE reviews, and pipeline health monitoring.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173">
      <c r="A173" t="inlineStr">
        <is>
          <t>in-dadce8ed353e7229</t>
        </is>
      </c>
      <c r="B173" t="inlineStr">
        <is>
          <t>Data Engineer I, UTR PLanning Tech</t>
        </is>
      </c>
      <c r="C173" t="inlineStr">
        <is>
          <t>Amazon.com</t>
        </is>
      </c>
      <c r="D173" t="inlineStr">
        <is>
          <t>indeed</t>
        </is>
      </c>
      <c r="E173">
        <f>HYPERLINK("https://www.indeed.com/viewjob?jk=dadce8ed353e7229", "https://www.indeed.com/viewjob?jk=dadce8ed353e7229")</f>
        <v/>
      </c>
      <c r="F173">
        <f>HYPERLINK("https://www.amazon.jobs/jobs/3186421/data-engineer-i-utr-planning-tech?cmpid=DA_INAD200785B", "https://www.amazon.jobs/jobs/3186421/data-engineer-i-utr-planning-tech?cmpid=DA_INAD200785B")</f>
        <v/>
      </c>
      <c r="G173" t="inlineStr">
        <is>
          <t>Austin, TX, US</t>
        </is>
      </c>
      <c r="H173" s="2" t="n">
        <v>46065</v>
      </c>
      <c r="I173"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I to build data pipelines, contribute to these frameworks, and help shape how AI transforms data engineering at Amazon.  
Key job responsibilities  
* Design and implement physical data models and ETL pipelines using AWS services (Redshift, S3, EMR, Glue, Lambda) and Python\-based orchestration (Airflow/MWAA).
* Build configuration\-driven data frameworks that replace repetitive custom code with reusable, declarative patterns for ingestion, transformation, and metric curation.
* Develop and optimize pipelines that ingest from multiple upstream sources, apply quality controls, and produce datasets that scientists and analysts use for labor planning decisions.
* Implement monitoring, alarming, and data quality controls using standardized data contracts. Measure and improve dataset quality.
* Build tooling that enables AI agents to interact with data engineering workflows: generating SQL, validating configurations, and executing pipeline operations through natural language interfaces.
* Collaborate with planning scientists, software engineers, BI engineers, and product managers to translate data requirements into reusable solutions.
* Write secure, testable, maintainable code. Get your data models, pipeline designs, and code reviewed. Document your solutions so others can maintain them.
* Participate in operational excellence practices: on\-call rotations, COE reviews, and pipeline health monitoring.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174">
      <c r="A174" t="inlineStr">
        <is>
          <t>in-1416228495a9246c</t>
        </is>
      </c>
      <c r="B174" t="inlineStr">
        <is>
          <t>Data Engineer I, UTR PLanning Tech</t>
        </is>
      </c>
      <c r="C174" t="inlineStr">
        <is>
          <t>Amazon.com</t>
        </is>
      </c>
      <c r="D174" t="inlineStr">
        <is>
          <t>indeed</t>
        </is>
      </c>
      <c r="E174">
        <f>HYPERLINK("https://www.indeed.com/viewjob?jk=1416228495a9246c", "https://www.indeed.com/viewjob?jk=1416228495a9246c")</f>
        <v/>
      </c>
      <c r="F174">
        <f>HYPERLINK("https://www.amazon.jobs/jobs/3186421/data-engineer-i-utr-planning-tech?cmpid=DA_INAD200785B", "https://www.amazon.jobs/jobs/3186421/data-engineer-i-utr-planning-tech?cmpid=DA_INAD200785B")</f>
        <v/>
      </c>
      <c r="G174" t="inlineStr">
        <is>
          <t>Bellevue, WA, US</t>
        </is>
      </c>
      <c r="H174" s="2" t="n">
        <v>46065</v>
      </c>
      <c r="I174"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I to build data pipelines, contribute to these frameworks, and help shape how AI transforms data engineering at Amazon.  
Key job responsibilities  
* Design and implement physical data models and ETL pipelines using AWS services (Redshift, S3, EMR, Glue, Lambda) and Python\-based orchestration (Airflow/MWAA).
* Build configuration\-driven data frameworks that replace repetitive custom code with reusable, declarative patterns for ingestion, transformation, and metric curation.
* Develop and optimize pipelines that ingest from multiple upstream sources, apply quality controls, and produce datasets that scientists and analysts use for labor planning decisions.
* Implement monitoring, alarming, and data quality controls using standardized data contracts. Measure and improve dataset quality.
* Build tooling that enables AI agents to interact with data engineering workflows: generating SQL, validating configurations, and executing pipeline operations through natural language interfaces.
* Collaborate with planning scientists, software engineers, BI engineers, and product managers to translate data requirements into reusable solutions.
* Write secure, testable, maintainable code. Get your data models, pipeline designs, and code reviewed. Document your solutions so others can maintain them.
* Participate in operational excellence practices: on\-call rotations, COE reviews, and pipeline health monitoring.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175">
      <c r="A175" t="inlineStr">
        <is>
          <t>in-5c7d4f85a8561051</t>
        </is>
      </c>
      <c r="B175" t="inlineStr">
        <is>
          <t>Senior Big Data Engineer, IDEAS - D&amp;A - Revenue</t>
        </is>
      </c>
      <c r="C175" t="inlineStr">
        <is>
          <t>Amazon Web Services</t>
        </is>
      </c>
      <c r="D175" t="inlineStr">
        <is>
          <t>indeed</t>
        </is>
      </c>
      <c r="E175">
        <f>HYPERLINK("https://www.indeed.com/viewjob?jk=5c7d4f85a8561051", "https://www.indeed.com/viewjob?jk=5c7d4f85a8561051")</f>
        <v/>
      </c>
      <c r="F175">
        <f>HYPERLINK("https://www.amazon.jobs/jobs/3188105/senior-big-data-engineer-ideas--da--revenue?cmpid=DA_INAD200785B", "https://www.amazon.jobs/jobs/3188105/senior-big-data-engineer-ideas--da--revenue?cmpid=DA_INAD200785B")</f>
        <v/>
      </c>
      <c r="G175" t="inlineStr">
        <is>
          <t>Dallas, TX, US</t>
        </is>
      </c>
      <c r="H175" s="2" t="n">
        <v>46064</v>
      </c>
      <c r="I175" t="inlineStr">
        <is>
          <t>**DESCRIPTION**
---------------
The AWS Sales Marketing Global Services Ops (SMGS Ops) Revenue team publishes mission\-critical Sales Revenue data product including, Unified Estimated Revenue, GAAP Sales Revenue, Quota Sales Retirement, and Planning Revenue that power strategic decision\-making across AWS Finance, Accounting, Sales Operations, Segmentation Planning \&amp; Policy (S\&amp;P), Global Sales Compensation, Field Experience, and Data \&amp; Analytics teams.  
Our platform processes billions of metered usage and billing transactions daily, integrating data from 20\+ sources including Salesforce.com to deliver accurate, timely revenue insights that drive quota setting, sales goal management, forecasting, compensation, and business intelligence. We leverage BigData technologies including Elastic Map Reduce (EMR), Spark, Redshift, and Glue and other AWS services to handle massive data volumes at scale.  
The Opportunity  
We're seeking a passionate Senior Data Engineer to architect and extend our processing framework for next\-generation revenue data products. In this high\-impact role, you'll:  
* Build scalable data pipelines that seamlessly handle exponential data growth and enable rapid development of new revenue products
* Lead AI\-driven automation initiatives to transform revenue processing—from data acquisition and validation to publishing and insights generation—into intelligent, systematic workflows
* Architect solutions that enhance data quality, reduce processing latency, and deliver actionable insights to stakeholders across the organization
This role places you at the forefront of innovation, combining big data engineering with AI/ML to revolutionize how AWS processes and reports revenue at global scale.  
Key job responsibilities  
* Drive technical excellence and organizational growth: Evolve the Revenue technology stack to support AWS's rapid expansion while maintaining compliance with security policies, architectural standards, and operational best practices
* Deliver high\-impact data solutions: Design and build end\-to\-end pipelines that transform raw data from diverse upstream sources into actionable business insights powering quota management, forecasting, and compensation decisions
* Innovate through automation: Develop frameworks, tools, and AI\-driven solutions that eliminate manual processes, reduce operational overhead, and accelerate time\-to\-insight for Revenue customers
* Design scalable data models: Create and maintain dimensional models and data structures that enable self\-service analytics and support evolving reporting requirements across Finance, Sales Operations, and Analytics teams
* Lead and mentor engineering talent: Build and guide a high\-performing team of Data Engineers to deliver cross\-functional solutions, foster technical growth, and establish engineering excellence standards
* Architect and optimize Revenue data infrastructure: Ensure enterprise\-grade security, cost efficiency, and scalability while processing billions of daily transactions across 20\+ data sources
* Partner across the organization: Collaborate with product managers, stakeholders, and customers to translate business requirements into technical solutions and influence the Revenue product roadmap
About the team  
About AWS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**PREFERRED QUALIFICATIONS**
----------------------------
* Experience with big data technologies such as: Hadoop, Hive, Spark, EMR
* Experience operating large data warehouses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\- 154,600\.00 \- 209,100\.00 USD annually</t>
        </is>
      </c>
    </row>
    <row r="176">
      <c r="A176" t="inlineStr">
        <is>
          <t>in-385a59ba61a01921</t>
        </is>
      </c>
      <c r="B176" t="inlineStr">
        <is>
          <t>Data Engineer, AMZL Orbit Data Engineering</t>
        </is>
      </c>
      <c r="C176" t="inlineStr">
        <is>
          <t>Amazon.com</t>
        </is>
      </c>
      <c r="D176" t="inlineStr">
        <is>
          <t>indeed</t>
        </is>
      </c>
      <c r="E176">
        <f>HYPERLINK("https://www.indeed.com/viewjob?jk=385a59ba61a01921", "https://www.indeed.com/viewjob?jk=385a59ba61a01921")</f>
        <v/>
      </c>
      <c r="F176">
        <f>HYPERLINK("https://www.amazon.jobs/jobs/3184381/data-engineer-amzl-orbit-data-engineering?cmpid=DA_INAD200785B", "https://www.amazon.jobs/jobs/3184381/data-engineer-amzl-orbit-data-engineering?cmpid=DA_INAD200785B")</f>
        <v/>
      </c>
      <c r="G176" t="inlineStr">
        <is>
          <t>Bellevue, WA, US</t>
        </is>
      </c>
      <c r="H176" s="2" t="n">
        <v>46054</v>
      </c>
      <c r="I176"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177">
      <c r="A177" t="inlineStr">
        <is>
          <t>in-d27a50f552bd28c7</t>
        </is>
      </c>
      <c r="B177" t="inlineStr">
        <is>
          <t>Data Engineer, AMZL Orbit Data Engineering</t>
        </is>
      </c>
      <c r="C177" t="inlineStr">
        <is>
          <t>Amazon.com</t>
        </is>
      </c>
      <c r="D177" t="inlineStr">
        <is>
          <t>indeed</t>
        </is>
      </c>
      <c r="E177">
        <f>HYPERLINK("https://www.indeed.com/viewjob?jk=d27a50f552bd28c7", "https://www.indeed.com/viewjob?jk=d27a50f552bd28c7")</f>
        <v/>
      </c>
      <c r="F177">
        <f>HYPERLINK("https://www.amazon.jobs/jobs/3184381/data-engineer-amzl-orbit-data-engineering?cmpid=DA_INAD200785B", "https://www.amazon.jobs/jobs/3184381/data-engineer-amzl-orbit-data-engineering?cmpid=DA_INAD200785B")</f>
        <v/>
      </c>
      <c r="G177" t="inlineStr">
        <is>
          <t>Austin, TX, US</t>
        </is>
      </c>
      <c r="H177" s="2" t="n">
        <v>46054</v>
      </c>
      <c r="I177"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178">
      <c r="A178" t="inlineStr">
        <is>
          <t>in-a3bf97d8eb076856</t>
        </is>
      </c>
      <c r="B178" t="inlineStr">
        <is>
          <t>Data Engineer, AMZL Orbit Data Engineering</t>
        </is>
      </c>
      <c r="C178" t="inlineStr">
        <is>
          <t>Amazon.com</t>
        </is>
      </c>
      <c r="D178" t="inlineStr">
        <is>
          <t>indeed</t>
        </is>
      </c>
      <c r="E178">
        <f>HYPERLINK("https://www.indeed.com/viewjob?jk=a3bf97d8eb076856", "https://www.indeed.com/viewjob?jk=a3bf97d8eb076856")</f>
        <v/>
      </c>
      <c r="F178">
        <f>HYPERLINK("https://www.amazon.jobs/jobs/3184381/data-engineer-amzl-orbit-data-engineering?cmpid=DA_INAD200785B", "https://www.amazon.jobs/jobs/3184381/data-engineer-amzl-orbit-data-engineering?cmpid=DA_INAD200785B")</f>
        <v/>
      </c>
      <c r="G178" t="inlineStr">
        <is>
          <t>Nashville, TN, US</t>
        </is>
      </c>
      <c r="H178" s="2" t="n">
        <v>46054</v>
      </c>
      <c r="I178"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179">
      <c r="A179" t="inlineStr">
        <is>
          <t>in-50b54f150750d2d9</t>
        </is>
      </c>
      <c r="B179" t="inlineStr">
        <is>
          <t>Data Engineer, Denied Party Screening, AWS Compliance &amp; Security Assurance</t>
        </is>
      </c>
      <c r="C179" t="inlineStr">
        <is>
          <t>Amazon.com</t>
        </is>
      </c>
      <c r="D179" t="inlineStr">
        <is>
          <t>indeed</t>
        </is>
      </c>
      <c r="E179">
        <f>HYPERLINK("https://www.indeed.com/viewjob?jk=50b54f150750d2d9", "https://www.indeed.com/viewjob?jk=50b54f150750d2d9")</f>
        <v/>
      </c>
      <c r="F179">
        <f>HYPERLINK("https://www.amazon.jobs/jobs/3160403/data-engineer-denied-party-screening-aws-compliance--security-assurance?cmpid=DA_INAD200785B", "https://www.amazon.jobs/jobs/3160403/data-engineer-denied-party-screening-aws-compliance--security-assurance?cmpid=DA_INAD200785B")</f>
        <v/>
      </c>
      <c r="G179" t="inlineStr">
        <is>
          <t>Dallas, TX, US</t>
        </is>
      </c>
      <c r="H179" s="2" t="n">
        <v>46029</v>
      </c>
      <c r="I179"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180">
      <c r="A180" t="inlineStr">
        <is>
          <t>in-fead3ef93349b0bc</t>
        </is>
      </c>
      <c r="B180" t="inlineStr">
        <is>
          <t>Data Engineer, Denied Party Screening, AWS Compliance &amp; Security Assurance</t>
        </is>
      </c>
      <c r="C180" t="inlineStr">
        <is>
          <t>Amazon.com</t>
        </is>
      </c>
      <c r="D180" t="inlineStr">
        <is>
          <t>indeed</t>
        </is>
      </c>
      <c r="E180">
        <f>HYPERLINK("https://www.indeed.com/viewjob?jk=fead3ef93349b0bc", "https://www.indeed.com/viewjob?jk=fead3ef93349b0bc")</f>
        <v/>
      </c>
      <c r="F180">
        <f>HYPERLINK("https://www.amazon.jobs/jobs/3160403/data-engineer-denied-party-screening-aws-compliance--security-assurance?cmpid=DA_INAD200785B", "https://www.amazon.jobs/jobs/3160403/data-engineer-denied-party-screening-aws-compliance--security-assurance?cmpid=DA_INAD200785B")</f>
        <v/>
      </c>
      <c r="G180" t="inlineStr">
        <is>
          <t>Seattle, WA, US</t>
        </is>
      </c>
      <c r="H180" s="2" t="n">
        <v>46029</v>
      </c>
      <c r="I180"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181">
      <c r="A181" t="inlineStr">
        <is>
          <t>in-d27bba80290f9421</t>
        </is>
      </c>
      <c r="B181" t="inlineStr">
        <is>
          <t>Data Engineer</t>
        </is>
      </c>
      <c r="C181" t="inlineStr">
        <is>
          <t>Amazon.com</t>
        </is>
      </c>
      <c r="D181" t="inlineStr">
        <is>
          <t>indeed</t>
        </is>
      </c>
      <c r="E181">
        <f>HYPERLINK("https://www.indeed.com/viewjob?jk=d27bba80290f9421", "https://www.indeed.com/viewjob?jk=d27bba80290f9421")</f>
        <v/>
      </c>
      <c r="F181">
        <f>HYPERLINK("https://www.amazon.jobs/jobs/3141339/data-engineer?cmpid=DA_INAD200785B", "https://www.amazon.jobs/jobs/3141339/data-engineer?cmpid=DA_INAD200785B")</f>
        <v/>
      </c>
      <c r="G181" t="inlineStr">
        <is>
          <t>Seattle, WA, US</t>
        </is>
      </c>
      <c r="H181" s="2" t="n">
        <v>46001</v>
      </c>
      <c r="I18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\- 152,000\.00 \- 205,600\.00 USD annually  
USA, WA, SEATTLE \- 132,100\.00 \- 178,800\.00 USD annually  
USA, WA, Seattle \- 132,100\.00 \- 178,800\.00 USD annually</t>
        </is>
      </c>
    </row>
    <row r="182">
      <c r="A182" t="inlineStr">
        <is>
          <t>in-3cb905a364c12b8e</t>
        </is>
      </c>
      <c r="B182" t="inlineStr">
        <is>
          <t>Data Engineer</t>
        </is>
      </c>
      <c r="C182" t="inlineStr">
        <is>
          <t>Amazon.com</t>
        </is>
      </c>
      <c r="D182" t="inlineStr">
        <is>
          <t>indeed</t>
        </is>
      </c>
      <c r="E182">
        <f>HYPERLINK("https://www.indeed.com/viewjob?jk=3cb905a364c12b8e", "https://www.indeed.com/viewjob?jk=3cb905a364c12b8e")</f>
        <v/>
      </c>
      <c r="F182">
        <f>HYPERLINK("https://www.amazon.jobs/jobs/3141339/data-engineer?cmpid=DA_INAD200785B", "https://www.amazon.jobs/jobs/3141339/data-engineer?cmpid=DA_INAD200785B")</f>
        <v/>
      </c>
      <c r="G182" t="inlineStr">
        <is>
          <t>San Francisco, CA, US</t>
        </is>
      </c>
      <c r="H182" s="2" t="n">
        <v>46001</v>
      </c>
      <c r="I18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\- 152,000\.00 \- 205,600\.00 USD annually  
USA, WA, SEATTLE \- 132,100\.00 \- 178,800\.00 USD annually  
USA, WA, Seattle \- 132,100\.00 \- 178,800\.00 USD annually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7"/>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li-4352596299</t>
        </is>
      </c>
      <c r="B2" t="inlineStr">
        <is>
          <t>Data Engineer (L4) - Revenue Growth</t>
        </is>
      </c>
      <c r="C2" t="inlineStr">
        <is>
          <t>Netflix</t>
        </is>
      </c>
      <c r="D2" t="inlineStr">
        <is>
          <t>linkedin</t>
        </is>
      </c>
      <c r="E2" t="inlineStr"/>
      <c r="F2" t="inlineStr"/>
      <c r="G2" t="inlineStr">
        <is>
          <t>Los Gatos, CA</t>
        </is>
      </c>
      <c r="H2" t="inlineStr"/>
      <c r="I2"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**About The Role**
 The Membership \&amp; Finance Data Engineering team is at the heart of Netflix's financial and member data ecosystem. We build foundational datasets and data products that power critical business operations, financial reporting, and strategic analytics. As Netflix expands its business with new initiatives like Ads, Live events, and Bundles, the need for robust, scalable, and insightful revenue data has never been greater.
 The Revenue Growth Data Engineering team is part of the Membership and Finance Data Engineering team. It is the engine that powers insights into Netflix's financial growth. It optimizes all data related to incoming revenue streams, including subject areas such as billing, invoicing, revenue, tax, and member engagement and retention. This team’s work is foundational for financial assurance, forecasting, experimentation, and strategic decision\-making, which directly impact Netflix's growth trajectory.
 We are seeking a Data Engineer to join our Revenue Growth Data Engineering team at Netflix. In this role, you will design, build, and maintain scalable and reliable data pipelines and data products that power insights into revenue growth and member retention analysis, while contributing to foundational datasets and metrics critical to Netflix’s financial and business reporting.
 Your work will directly influence how financial and growth data is produced, trusted, and consumed by teams across Finance, Product, and Analytics. You will help ensure that our data is accurate, performant, intuitive, and easy to use, enabling better decisions and deeper insights into Netflix's growth drivers.
**Location** 
 : Los Gatos, CA preferred, but open to Remote
**What You’ll Do**
* Design, build, and maintain scalable and resilient data pipelines using Spark, Presto, and SQL, with a focus on revenue and member retention data.
* Develop high\-quality ETL workflows to ingest, transform, and aggregate data from multiple upstream sources.
* Partner closely with data analysts, finance partners, and product teams to understand business needs and deliver reliable, well\-modeled data products.
* Design and evolve data models that accurately represent financial entities, member behavior, and key growth metrics.
* Champion data quality and trust by implementing checks, validations, and monitoring to ensure accuracy and consistency in financial data.
* Monitor, troubleshoot, and optimize data workflows to improve performance, reliability, and maintainability.
* Contribute to improving our data engineering best practices, tooling, and documentation as the platform evolves.
**Who We’re Looking For**
* 3–4\+ years of experience building and maintaining data pipelines in a production environment.
* Hands\-on experience with distributed data processing technologies such as Spark and query engines like Presto.
* You strive to write elegant code, and you're comfortable with picking up new technologies
* Strong proficiency in at least one major programming language (e.g. Java, Scala, Python) and comfortable working with advanced SQL.
* Solid understanding of ETL design, data modeling, and data architecture fundamentals.
* Strong data intuition where you naturally question data, understand edge cases, and care about usability and correctness.
* A passion for data trustworthiness and building systems that produce accurate, consistent, and transparent financial data.
* Ability to collaborate effectively with cross\-functional partners and communicate technical concepts clearly.
* A mindset of ownership, curiosity, and continuous learning.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row>
    <row r="3">
      <c r="A3" t="inlineStr">
        <is>
          <t>li-4321300211</t>
        </is>
      </c>
      <c r="B3" t="inlineStr">
        <is>
          <t>Sr/Staff Data Engineer (Remote - US)</t>
        </is>
      </c>
      <c r="C3" t="inlineStr">
        <is>
          <t>BNSF Railway</t>
        </is>
      </c>
      <c r="D3" t="inlineStr">
        <is>
          <t>linkedin</t>
        </is>
      </c>
      <c r="E3" t="inlineStr"/>
      <c r="F3" t="inlineStr"/>
      <c r="G3" t="inlineStr"/>
      <c r="H3" t="inlineStr"/>
      <c r="I3" t="inlineStr">
        <is>
          <t>**be part of a team that values safety, inclusion, and excellence**
 we are one of the largest U.S. railroads transporting the nation’s freight across 28 western states and 3 Canadian provinces. as a member of our team, you will play a role in supporting the movement of essential products and materials that help feed, clothe, supply, and power communities throughout America and the world.
**bnsf \| tech:** 
 innovating and transforming the future of freight rail
**bnsf \| tech** 
 is the technology division making BNSF the preeminent freight and mobility company in north america.
**are you ready to drive change?**
 if you are passionate about making a difference and eager to advance your career in a dynamic and supportive environment, we want you on our team! join us in reshaping the future of freight rail and discover a fulfilling career where your contributions matter.
 we are committed to a culture where all employees are included, belong, and have equal opportunity to achieve their full potential. Come make a difference with us!
**Learn More About BNSF And Our Benefits**
**Job Location:** 
 Remote US
**Anticipated Start Date:** 
 01/01/2026
 The US base salary range for this full\-time position is provided below:
**Salary Range:** 
 $165,000\-$300,000
 The range represents the amount bnsf \| tech reasonably expects to pay for the position based on the level, scope, and responsibilities of the role.  Individual compensation and level of position offered is determined by the hiring location and additional factors including but not limited to job\-related skills, experience, and relevant education or training. In addition to base pay and bonus eligibility, BNSF offers a comprehensive benefits package.
**This is a full\-time remote** 
 position. Employees may work from anywhere within the contiguous 48 states of the United States
**Travel is up to 20%.** 
 Employees will be required to occasionally travel to our corporate headquarters in Fort Worth, TX for in person meetings. Travel expenses for business needs will be covered by BNSF
 This position is open to candidates who are currently authorized to work in the United States. We are also open to sponsoring H\-1B transfers, TN nonimmigrant status, and STEM OPT candidates with at least 2 years of remaining eligibility.
 Apply early as this job may be removed or filled prior to the closing date, which is approximately seven (7\) days after the posting date.
**data \&amp; ai:** 
 lead our charge into the future as an ai company by transforming our data assets into a real time enterprise.
**Key Responsibilities May Include**
**Design and implement** 
 data streaming solutions to process real\-time data efficiently.
**Develop and maintain** 
 robust data pipelines for both real time and batch processing including data extraction, transformation and ETL processes to ensure seamless data flow across systems.
**Create and manage** 
 large scale data warehouses to ensure efficient data access and retrieval in support of business intelligence and analytics needs.
**Develop** 
 certified datasets by integrating data from diverse data sources to ensure data accuracy, consistency and reliability.
**Collaborate** 
 with data scientists, analysts, and other stakeholders to understand data requirements and deliver effective data solutions.
**Optimize** 
 data workflows, monitor data pipelines and troubleshoot issues to ensure high performance, reliable and scalable data flows.
**Ensure** 
 data security and compliance with industry standards and regulations.
**Stay current** 
 with industry trends and advancements in data engineering, data science and machine learning
**Write** 
 efficient and well documented code ensuring unit tests documentation for all data solutions.
**Implement** 
 data engineering solutions into data platforms or production systems by leading the solution design, development, testing, and monitoring
*The duties and responsibilities in this posting are representative categories to be used in deciding whether to apply for this position. This is not an exhaustive list of the position’s duties.*
 At BNSF Railway, we encourage individuals from all backgrounds to apply, showcasing their skills, experiences and development. We provide resources and tools to help you reach your full potential, fostering a supportive and inclusive environment.
**Basic Qualifications**
* Minimum 6 years experience in software engineering, data engineering, database management or relevant experience
* Proficiency in programming languages such as Python, SQL, Java
* Strong understanding of data warehousing concepts including dimensional modeling and star schema.
* Experience with ETL processes and tools including cloud based solutions
* Familiarity with database management systems (e.g., SQL, NoSQL) and modern lakehouse technologies (eg. Apache Iceberg, Delta Lake, Apache Trino)
* Experience with data streaming technologies (e.g., Apache Kafka, AWS Kinesis, Apache Flink and Apache Spark)
* Experience in data engineering, with a focus on data streaming, data pipelines, data orchestration tools, datamart creation, and certified datasets
* Experience in DevSecOps standards, source control systems and tools like Jenkins, GitHub
* Excellent problem\-solving skills and attention to detail
* Strong communication and collaboration skills
* Intellectual curiosity and ability to thrive in a team environment that is constantly changing
* Demonstrated ability to learn new technical concepts and to adapt to new technologies quickly
* Ability to communicate in a clear, concise, professional oral or written manner, to be understood by technical and non\-technical colleagues
**Preferred Qualifications**
* Bachelor's degree or higher in Computer Science, Information Technology or a related field
* Prior experience with Data Engineering tools and architectures
* Experience in Rail, Shipping, Airline, Logistics, Warehousing, Supply Chain, or other Transportation industries or experience in a High\-Tech industry
* Experience working in an Agile environment (Scrum, Kanban, SAFe)
* Experience with cloud platforms
* Proficiency in using Jupyter for collaborative data analysis
* Experience with open\-source technologies and tools
* Have knowledge of geospatial data transformation and spatial libraries
**At BNSF, you will have access to a comprehensive and competitive benefits package including:**
* An industry\-leading 401(k) and renowned Railroad Retirement program.
* A range of robust health care options for you and your dependents (including domestic partners), including medical, dental, vision, telemedicine, mental health, cancer support, and high\-quality care network options.
* Health care spending accounts (HSA) with employer contributions, as well as life and disability insurance, provided at no cost.
* Family benefits including parental, pediatric and family building support, adoption and surrogacy reimbursement, and dependent care spending account (with employer match).
* Access to discounts on travel, gym memberships, counseling services and wellness support.
* Annual bonus (Incentive Compensation Program)
* Generous leave / time off policies.
* For more information, visit Benefits.
 Please be aware of potential fraud that can occur when searching for new career opportunities. Please review our FAQ for more information and awareness.
 All positions require pre\-employment background verification.
 BNSF Railway is an Equal Opportunity Employer, all qualified applicants receive consideration for employment without regard to race, color, religion, sex, sexual orientation, gender identity, national origin, disability or protected veteran status.</t>
        </is>
      </c>
    </row>
    <row r="4">
      <c r="A4" t="inlineStr">
        <is>
          <t>li-4313805450</t>
        </is>
      </c>
      <c r="B4" t="inlineStr">
        <is>
          <t>Analytics Engineer</t>
        </is>
      </c>
      <c r="C4" t="inlineStr">
        <is>
          <t>OpenAI</t>
        </is>
      </c>
      <c r="D4" t="inlineStr">
        <is>
          <t>linkedin</t>
        </is>
      </c>
      <c r="E4" t="inlineStr"/>
      <c r="F4" t="inlineStr"/>
      <c r="G4" t="inlineStr">
        <is>
          <t>San Francisco, CA</t>
        </is>
      </c>
      <c r="H4" t="inlineStr"/>
      <c r="I4" t="inlineStr">
        <is>
          <t>**About The Role**
 As an early member of our Data team within the Go\-To\-Market (GTM) organization, you will play a pivotal role in building a data\-centric culture, enhancing decision\-making processes, and driving strategic initiatives through analytics. This role involves a variety of projects aimed at developing canonical data sources and dashboards that enable the business to derive trustworthy, actionable insights. Most importantly, you should expect to be a core member of the GTM team, helping to bring our technology to a wide range of customers and supporting our self serve and sales led motions.
 This role is based in San Francisco, CA. We use a hybrid work model of 3 days in the office per week and offer relocation assistance to new employees.
**In This Role, You Will**
* Embed with the GTM team as a trusted partner, identifying high\-impact analytics problems and pioneering data\-driven solutions.
* Establish a data\-driven culture by driving the definition, tracking, and operationalizing of metrics
* Manage cross\-functional data projects about revenue, pricing, sales, product, marketing, growth, and other topics core to the business.
* Create scalable pipelines for data collection, cleaning, and analysis from multiple sources, and manage the lifecycle of metrics and models from prototyping to production.
* Develop and refine tools such as dashboards and reports that empower the team to extract and analyze data independently.
* Conduct analyses to uncover insights and inform key decisions.
* Use presentations, memos, and tools to communicate complex data insights clearly and persuasively across the organization.
**You Might Thrive In This Role If You Are/have**
* Over 10 years of experience in a relevant Data role within dynamic, outcome\-driven organizations.
* Highly skilled in SQL, with extensive experience extracting large datasets and designing ETL workflows.
* Proficient in quantitative programming languages, Python preferred.
* Experienced in using business intelligence tools, such as Tableau and Looker, to communicate insights and enable self\-serve.
* Familiar with advanced custom visualizations, such as streamlit and plotly dash.
* Adept at crafting clear data stories using decks, memos, and dashboards to drive decision\-making at every level.
* Best\-in\-class attention to detail and unwavering commitment to accuracy.
* Demonstrated ability to build effective partnerships across diverse teams and influence decision making with data.
* Proven track record of delivering significant business impact, with a solid track record in Sales, Marketing, Finance, Growth, Support, or other GTM\-related areas preferred.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$234K \- $335K</t>
        </is>
      </c>
    </row>
    <row r="5">
      <c r="A5" t="inlineStr">
        <is>
          <t>li-4357373812</t>
        </is>
      </c>
      <c r="B5" t="inlineStr">
        <is>
          <t>Data Analytics Engineer Co-op</t>
        </is>
      </c>
      <c r="C5" t="inlineStr">
        <is>
          <t>Bose Corporation</t>
        </is>
      </c>
      <c r="D5" t="inlineStr">
        <is>
          <t>linkedin</t>
        </is>
      </c>
      <c r="E5" t="inlineStr"/>
      <c r="F5" t="inlineStr"/>
      <c r="G5" t="inlineStr">
        <is>
          <t>Framingham, MA</t>
        </is>
      </c>
      <c r="H5" t="inlineStr"/>
      <c r="I5" t="inlineStr">
        <is>
          <t>At Bose Corporation, we believe sound is the most powerful force on earth — and for over 60 years, we have been a company built on innovation, excellence, and independence. Privately owned, fiercely customer\-focused, and driven by our values, we continue to lead industries and transform lives through sound.
 Today, Bose Corporation is entering an exciting new era. Across multiple global Business Units and Global Functions, we are shaping the future of audio technology, automotive, luxury, and premium experiences. We invite you to join us in this transformation.
**Job Description**
**About the Role:**
 We are looking for a
 **Data Analytics Engineering Co\-op** 
 to join our
 **Data and Analytics Center of Excellence (D\&amp;A CoE)** 
 . This role provides an exciting opportunity to gain hands\-on experience in the data and analytics engineering work that drives a multi\-billion dollar business like Bose. You will work alongside experienced professionals to develop and support data\-driven solutions that enhance business strategies and improve customer experiences.
 As a
 **Data Analytics Engineering Co\-op** 
 , you will assist in transforming raw, diverse datasets into meaningful insights. This includes data pipeline development and modeling work that supports business analysts as well as data scientists who are creating AI solutions. Applications include marketing, engineering, product development, supply chain, and finance. You will work with a modern technology stack, including AWS and Snowflake, and write code using engineering best practices. This role is ideal for someone who is eager to learn, detail\-oriented, and passionate about leveraging data to drive decision\-making. Quality data models are the foundation of what we do in the D\&amp;A CoE, from executive level reporting to AI models that optimize our business.
**Key Responsibilities**
* Assist in the development and maintenance of business\-critical data pipelines, typically built in SQL and Python
* Support the design and implementation of logical and physical data models to enhance data accessibility.
* Conduct data wrangling and preprocessing to clean and structure datasets for analysis.
* Help build and maintain semantic layers to enable dashboard development and data science work.
* Contribute to new tools and techniques that make data analytics engineering more efficient and effective.
* Work with cross\-functional teams to understand business requirements and translate them into data solutions.
* Assist in creating dashboards and reports that provide actionable insights for business teams.
* Learn and apply best practices for data governance, security, and quality assurance.
**Must Be**
* Fully available July 13\- December 2026
* Currently enrolled in university
* Willing to relocate on your own to Framingham, MA
 At Bose, you're inspired to be and do your best and are rewarded for your unique talents! Our compensation is thoughtfully tailored to your skills, experience, education, and location, and goes beyond base salary. The hiring range for this position in the primary work location of Framingham, Massachusetts is: $29\.00\-$37\.25 per hour.The hiring range for other Bose work locations may vary. In addition to competitive base pay we offer rewards including bonus programs, comprehensive health and welfare benefits, a 401(k) plan, plus exclusive perks designed to support your wellbeing, and a generous employee discount where you can immerse yourself in our products and experiences. We are a proudly independent company—driven by purpose, guided by our values, and united by a belief in the power of sound. As the world leader in audio experiences, we’re creating what’s next—pushing boundaries and delivering transformative sound experiences for people everywhere. Join us and make your next career move a mic\-drop. Let’s Make Waves.
 ‎
 Bose is an equal opportunity employer. We evaluate qualified applicants without regard to race, color, religion, sex, sexual orientation, gender identity, genetic information, national origin, age, disability, veteran status, or any other legally protected characteristics. The EEOC’s “Know Your Rights: Workplace discrimination is illegal” Poster is available here: https://www.eeoc.gov/sites/default/files/2023\-06/22\-088\_EEOC\_KnowYourRights6\.12ScreenRdr.pdf. Bose is committed to providing reasonable accommodations to individuals with disabilities. If you require reasonable accommodation in completing this application, interviewing, completing any pre\-employment testing, or otherwise participating in the employee selection process, please direct your inquiries to applicant\_disability\_accommodationrequest@bose.com. Please include "Application Accommodation Request" in the subject of the email.
 ‎
 Our goal is to create an atmosphere where every candidate feels supported and empowered in the interviewing process. Diversity and inclusion are integral to our success, and we believe that providing reasonable accommodation is not only a legal obligation but also a fundamental aspect of our commitment to being an employer of choice. We recognize that individuals may have different needs and requirements based on their abilities, and we provide reasonable accommodations to ensure ideal conditions are met during the application process.</t>
        </is>
      </c>
    </row>
    <row r="6">
      <c r="A6" t="inlineStr">
        <is>
          <t>li-4354783177</t>
        </is>
      </c>
      <c r="B6" t="inlineStr">
        <is>
          <t>Data Engineer</t>
        </is>
      </c>
      <c r="C6" t="inlineStr">
        <is>
          <t>Scion Staffing</t>
        </is>
      </c>
      <c r="D6" t="inlineStr">
        <is>
          <t>linkedin</t>
        </is>
      </c>
      <c r="E6" t="inlineStr"/>
      <c r="F6" t="inlineStr"/>
      <c r="G6" t="inlineStr">
        <is>
          <t>Columbus, OH</t>
        </is>
      </c>
      <c r="H6" t="inlineStr"/>
      <c r="I6" t="inlineStr">
        <is>
          <t>**Scion Technology** 
 has been engaged to conduct a search for an experienced
 **Data Engineer** 
 for our client, the leading manufacturer of strength and conditioning equipment in Columbus!
 **This is a full\-time, direct hire position based onsite in Columbus, OH.** 
**Position Overview** 
 As a Data Engineer, you will serve as the backbone of the backend data architecture, owning key components of the Google Cloud environment. You'll design, develop and maintain efficient data pipelines that support reporting, analysis and AI initiatives. Collaborating closely with analytics and development teams, you'll ensure data integrity, accessibility, and usability to empower strategic decision\-making.
**PERKS** 
* Competitive annual salary up to $160k annually (depending on experience) \+ bonus
* Comprehensive benefits including 20\-25 days PTO, 401(k) and access to a diversified investment program tied to company growth
* Play a pivotal role in developing a centralized data lake that transforms how departments leverage data
* Work on high\-impact projects, optimize data processes and contribute to a company poised for rapid growth
**Responsibilities** 
* Design, develop and maintain scalable, reliable data pipelines, addressing quality and transformation issues.
* Ingest data from multiple sources into the data lake using GCP services like BigQuery, Cloud Functions, and Cloud Scheduler.
* Collaborate with teams to understand business needs and prepare optimized datasets for reporting and analysis.
* Lead technical initiatives, including building SDKs, automating workflows, and improving data infrastructure.
**Qualifications** 
* 2\-5 years of experience in data engineering, with strong SQL and Python skills.
* Proven ability to design, build, and optimize data pipelines in cloud environments, especially GCP.
* Experience working with diverse data sources, APIs, and large\-scale data environments.
* Excellent problem\-solving, communication, and independent working skills, with a focus on data security.
**Compensation \&amp; Benefits** 
 This full\-time position offers an annual base salary up to $160k, commensurate with experience. The organization provides a robust benefits package that includes comprehensive medical, dental, and vision coverage in addition to paid time off.
**About Our Firm** 
**Scion Staffing** 
 is a national award\-winning staffing firm! Since 2006, we have had the pleasure of successfully placing thousands of talented professionals with amazing career opportunities. Through our innovative team building and recruiting solutions, we bridge the gap in executive leadership searches, direct hire recruiting, interim leadership placement, and temporary professional staffing. We are proud to be part of the
 **Forbes lists of the Best Recruitment Firms** 
 and the
 **Best Executive Search Firms in America** 
 . Additionally, Scion has been recognized as a
 **ClearlyRated Best of Staffing** 
 firm as well as a top recruitment firm by
 **The Business Times** 
 . Additional information about our firm can also be found online.
 Scion Staffing, Inc. is an equal opportunity employer and service provider and does not discriminate based on race, religion, gender, gender identity, national origin, citizenship status, sexual orientation, disability, political affiliation or belief, or any other protected class. We are committed to the principles of Equal Opportunity Employment and are dedicated to making employment decisions based on merit and value, for ourselves, our client companies, and the candidates we represent. For opportunities located in a region that have enacted fair chance, arrest or conviction\-based employment ordinances, Scion Staffing proactively follows the enacted guidance and considers for employment all qualified applications with arrest and conviction records. We engage in socially conscious business practices and believe that diverse, inclusive, and non\-biased talent and recruitment processes are foundational to the success of Scion as well as every client organization with whom we partner.</t>
        </is>
      </c>
    </row>
    <row r="7">
      <c r="A7" t="inlineStr">
        <is>
          <t>li-4328940313</t>
        </is>
      </c>
      <c r="B7" t="inlineStr">
        <is>
          <t>Senior Data Engineer, Nova</t>
        </is>
      </c>
      <c r="C7" t="inlineStr">
        <is>
          <t>Flock</t>
        </is>
      </c>
      <c r="D7" t="inlineStr">
        <is>
          <t>linkedin</t>
        </is>
      </c>
      <c r="E7" t="inlineStr"/>
      <c r="F7" t="inlineStr"/>
      <c r="G7" t="inlineStr"/>
      <c r="H7" t="inlineStr"/>
      <c r="I7" t="inlineStr">
        <is>
          <t>**Who is Flock?**
 Flock Safety is the leading safety technology platform, helping communities thrive by taking a proactive approach to crime prevention and security. Our hardware and software suite connects cities, law enforcement, businesses, schools, and neighborhoods in a nationwide public\-private safety network. Trusted by over 5,000 communities, 4,500 law enforcement agencies, and 1,000 businesses, Flock delivers real\-time intelligence while prioritizing privacy and responsible innovation.
 We’re a high\-performance, low\-ego team driven by urgency, collaboration, and bold thinking. Working at Flock means tackling big challenges, moving fast, and continuously improving. It’s intense but deeply rewarding for those who want to make an impact.
 With nearly $700M in venture funding and a $7\.5B valuation, we’re scaling intentionally and seeking top talent to help build the impossible. If you value teamwork, ownership, and solving tough problems, Flock could be the place for you.
**The Opportunity**
 The Nova team is building a “single pane of glass” for investigators. The purpose is to connect the investigator to the many disparate sources of data they already have access to in order to make it easier to “connect the dots” and build a picture around their case work. The technical challenges to enable these tools are diverse and sophisticated. The team needs a strong engineer to build integrations to the many data sources as well as build stronger bindings to the overall Flock Software Platform. Our engineers work directly with our customers and are able to react with high value and often real life impacting results. Flock believes that many facets of our work are “Better Together” and that infuses how we think about the various products we offer as well as how we work together individually and collectively. This provides a vast opportunity to work across multiple teams and skillsets and not only elevate the company but our engineers as well.
**The Skillset**
* Love for coding and a commitment to continuous learning.
* A resourceful problem\-solver mindset, excelling in ambiguous situations and taking initiative.
* Desire to grow your role and directly influence the growth of a young company.
* Excitement about working on a fast\-paced, constantly evolving product.
* Strong proficiency in Python for data processing, with the ability to switch to TypeScript/Node.js to support our PERN stack application.
* Extensive experience designing and building scalable ETL workflows and data pipelines. (Experience with orchestration tools like Airflow or Prefect is a strong plus).
* Deep expertise with PostgreSQL and advanced SQL skills. You are comfortable writing complex queries, optimizing performance, and handling integrations across a variety of different database systems.
* Experience architecting robust 3rd party integrations, ensuring data consistency and reliability when communicating with external APIs.
* Familiarity with the React ecosystem (or similar frameworks like Vue/Angular), with the ability to contribute to the frontend of our full\-stack applications when necessary.
* Confidence in system architecture with a focus on scaling data pipelines and managing high\-volume data ingestion.
* Confidence in microservices and system design.
* Confidence with Docker for local development and remote deployment via Helm to Kubernetes.
* Experience with AWS managed services (e.g., S3, API Gateway, SNS/SQS).
* Familiarity with Terraform or similar IaC patterns
*Feeling uneasy that you haven’t ticked every box? That’s okay; we’ve felt that way too. Studies have shown women and minorities are less likely to apply unless they meet all qualifications. We encourage you to break the status quo and apply to roles that would make you excited to come to work every day.*
**90 Days at Flock**
 We prescribe to 90 day plans and believe that good days lead to good weeks, which lead to good months. This serves as a preview of the 90 day plan you will receive if you were to be hired in this role at Flock Safety.
**The First 30 Days**
* Meet with stakeholders
* Understand your role on the team
* Understand current processes and procedures (aka the Flock way)
* Have contributed and know how to contribute code to all repos owned by your team
* Asking questions in a public way to understand and spread knowledge; i.e., public slack channels, etc.
**The First 60 Days**
* Be able to perform the role with a decreased need for guidance
* Be able to complete ownership of medium\-sized tasks with little support
* Possess a high\-level understanding of the features we are working on
* Understand the software design philosophies being used
* Comfortable navigating through all owned code bases
* Engaged during technical conversations to increase the quality of input
* Building strong relationships with your team members
**90 Days \&amp; Beyond**
* Demonstrating strong communication skills and owning the full lifecycle of your work
* Comfortable picking up engineering tasks of larger size and more ambiguity
* Communicating across multiple teams to solve problems efficiently
* Contributing ideas for how we build better software
* Be on at least 1 customer call within your 90 days
* Have a sense of where you want to grow at Flock
**Salary \&amp; Equity**
 In this role, you’ll receive a starting salary between $170,000 and $190,000 as well as Flock Safety Stock Options. Base salary is determined by job\-related experience, education/training, as well as market indicators. Your recruiter will discuss this in\-depth with you during our first chat.
**Location**
 We’re building the impossible, together. To drive innovation through in\-person collaboration, we’re prioritizing candidates in our key hubs: Atlanta, Boston, Chicago, Denver, Los Angeles, New York City, San Francisco, and Austin. While we value the energy of our hub communities, we embrace remote work and welcome applications from exceptional talent across the United States.
**The Perks**
 🌴
 **Flexible PTO** 
 : We offer non\-accrual PTO, plus 11 company holidays.
 ⚕️
 **Fully\-paid** 
**health benefits** 
**plan for employees** 
 : including Medical, Dental, and Vision and an HSA match.
 👪
 **Family Leave** 
 : All employees receive 12 weeks of 100% paid parental leave. Birthing parents are eligible for an additional 6\-8 weeks of physical recovery time.
 🍼
 **Fertility \&amp; Family Benefits:** 
 We have partnered with Maven, a complete digital health benefit for starting and raising a family. Flock will provide a $50,000\-lifetime maximum benefit related to eligible adoption, surrogacy, or fertility expenses.
 🧠
 **Spring Health:** 
 Spring Health offers a variety of mental health benefits, including therapy, coaching, medication management, and digital tools, all tailored to each individual's needs.
 💖
 **Caregiver Support:** 
 We have partnered with Cariloop to provide our employees with caregiver support
 💸
 **Carta Tax Advisor:** 
 Employees receive 1:1 sessions with Equity Tax Advisors who can address individual grants, model tax scenarios, and answer general questions.
 💚
 **ERGs:** 
 We want all employees to thrive and feel like they belong at Flock. We offer four ERGs today \- Women of Flock, Flock Proud, LEOs and Melanin Motion. If you are interested in talking to a representative from one of these, please let your recruiter know.
**💻WFH Stipend:** 
 $150 per month to cover the costs of working from home.
**📚Productivity Stipend:** 
 $300 per year to use on Audible, Calm, Masterclass, Duolingo and so much more.
**🏠Home Office Stipend:** 
 A one\-time $750 to help you create your dream office.
*If an offer is extended and accepted, this position requires the ability to obtain and maintain Criminal Justice Information Services (CJIS) certification as a condition of employment. Applicants must meet all FBI CJIS Security Policy requirements, including a fingerprint\-based background check.*
*Flock is an equal opportunity employer. We celebrate diverse backgrounds and thoughts and welcome everyone to apply for employment with us. We are committed to fostering an environment that is inclusive, transparent, and collaborative. Mutual respect is central to how Flock operates, and we believe the best solutions come from diverse perspectives, experiences, and skills. We embrace our differences and know that we are stronger working together.*
*If you need assistance or an accommodation due to a disability, please email us at recruiting@flocksafety.com. This information will be treated as confidential and used only to determine an appropriate accommodation for the interview process.*
*At Flock Safety, we compensate our employees fairly for their work. Base salary is determined by job\-related experience, education/training, as well as market indicators. The range above is representative of base salary only and does not include equity, sales bonus plans (when applicable) and benefits. This range may be modified in the future. This job posting may span more than one career level.*
*Flock Safety is aware of fraudulent individuals and agencies falsely claiming to represent our company. All legitimate communication from Flock Safety will come from an email address ending in
 **@***
***flocksafety.com***
*. We do not make job offers through messaging apps, social platforms, or unauthorized third parties, and we will never request payment or sensitive personal information during the hiring process. If you encounter suspicious outreach related to a Flock Safety role, please report it to* 
*recruiting@flocksafety.com*</t>
        </is>
      </c>
    </row>
    <row r="8">
      <c r="A8" t="inlineStr">
        <is>
          <t>li-4377157322</t>
        </is>
      </c>
      <c r="B8" t="inlineStr">
        <is>
          <t>Data Engineer</t>
        </is>
      </c>
      <c r="C8" t="inlineStr">
        <is>
          <t>Calyptus</t>
        </is>
      </c>
      <c r="D8" t="inlineStr">
        <is>
          <t>linkedin</t>
        </is>
      </c>
      <c r="E8" t="inlineStr"/>
      <c r="F8" t="inlineStr"/>
      <c r="G8" t="inlineStr">
        <is>
          <t>New York, United States</t>
        </is>
      </c>
      <c r="H8" t="inlineStr"/>
      <c r="I8" t="inlineStr">
        <is>
          <t>**Want to put your job search on autopilot? Join our platform, complete a 6\-minute AI screening interview, and get auto\-applied to 100s of high\-paying roles.** 
**Sign up now at https://app.calyptus.co/auth/candidate/sign\-up and let the opportunities come to you.** 
 \_\_\_\_\_\_\_\_\_\_\_\_\_\_\_\_\_\_\_\_\_\_\_\_\_\_\_\_\_\_\_\_\_\_\_\_\_\_\_\_\_\_\_\_\_\_\_\_\_\_\_\_\_\_\_\_\_\_\_\_
**Responsibilities** 
* Build reliable pipelines to ingest on\-chain data into ClickHouse (or similar OLAP systems)
* Interact with Solana full nodes or RPC infrastructure to extract raw blockchain data
* Design and maintain dashboards to visualize key metrics
* Maintain data accuracy, uptime, and performance of analytics services
* Extract and process validator performance metrics and staking rewards data
**Requirements** 
* Deep familiarity with ClickHouse, Grafana, or equivalent data/visualization stacks
* 3\+ years of experience with Python and shell scripting
* 2\+ years of experience with Rust
* Experience with blockchain indexers or off\-chain data APIs
* Bonus: Understanding of Solana's account model, transaction structure, and program architecture
 \_\_\_\_\_\_\_\_\_\_\_\_\_\_\_\_\_\_\_\_\_\_\_\_\_\_\_\_\_\_\_\_\_\_\_\_\_\_\_\_\_\_\_\_\_\_\_\_\_\_\_\_\_\_\_\_\_\_\_\_
***Disclaimer: Calyptus uses an automated assessment tool that scores applicants.***
**Want to put your job search on autopilot? Join our platform, complete a 6\-minute AI screening interview, and get auto\-applied to 100s of high\-paying roles.** 
**Sign up now at https://app.calyptus.co/auth/candidate/sign\-up and let the opportunities come to you.**</t>
        </is>
      </c>
    </row>
    <row r="9">
      <c r="A9" t="inlineStr">
        <is>
          <t>li-4375178973</t>
        </is>
      </c>
      <c r="B9" t="inlineStr">
        <is>
          <t>Senior Data Engineer</t>
        </is>
      </c>
      <c r="C9" t="inlineStr">
        <is>
          <t>OnMed</t>
        </is>
      </c>
      <c r="D9" t="inlineStr">
        <is>
          <t>linkedin</t>
        </is>
      </c>
      <c r="E9" t="inlineStr"/>
      <c r="F9" t="inlineStr"/>
      <c r="G9" t="inlineStr">
        <is>
          <t>White Plains, NY</t>
        </is>
      </c>
      <c r="H9" t="inlineStr"/>
      <c r="I9" t="inlineStr">
        <is>
          <t>**Who We Are and Why Join Us** 
 At OnMed our purpose is simple but powerful...to improve the quality of life and sense of well\-being in our communities by bringing access to healthcare to everyone, everywhere. Our path to everywhere has already begun, with our innovative CareStation, a small but mighty, Clinic\-in\-a\-Box, bringing \#healthcareaccess anywhere with an outlet to plug it in. Poised to become a key component in America's public health infrastructure, the OnMed CareStation is the only tech\-enabled, human\-led, hybrid care solution that combines the comprehensive experience, trust and outcomes of a clinic, with the rapid scalability of virtual care. 
 At OnMed, every role, every day, is directly impacting the communities we serve. You'll join a high\-performing purpose\-driven team, innovating to break down the barriers that keep people from the care they need. 
 This is not just a job... it's a movement to bring healthcare where and when people need it most. It's healthcare that shows up. 
**Who You Are** 
 You are a senior\-level Data Engineer and integration architect experienced in designing and scaling enterprise data platforms in cloud\-first environments. You bring deep expertise in Databricks and Microsoft Azure and have led the architecture, optimization, and governance of modern data ecosystems.
 You think beyond pipelines \- you design resilient, scalable data platforms that power analytics, interoperability, and operational systems. You are comfortable operating at both the strategic architecture level and the hands\-on engineering level. You thrive in high\-growth environments and are motivated by leveraging data to expand access to quality healthcare.
**Role Responsibilities** 
**Enterprise Data Architecture \&amp; Platform Ownership** 
* Architect, design, and scale enterprise\-grade data solutions using Databricks and Azure cloud services.
* Own and evolve the Databricks environment, including performance optimization, cost management, governance, and security controls.
* Define long\-term data architecture strategy aligned to business growth and healthcare compliance, and the evolution of OnMed's CareStation and HomeStation platforms.
* Establish data modeling standards, metadata management practices, and scalable ETL/ELT frameworks.
**Integration Architecture \&amp; Interoperability** 
* Serve as lead integration architect across all system interfaces and API\-driven data exchanges.
* Design and optimize integration patterns using Azure Data Factory, Azure API Management, and event\-driven architectures.
* Ensure reliable, secure, and scalable interoperability between internal systems, third\-party platforms, and healthcare data sources \- including HL7/FHIR\-based integrations with EHR and clinical systems.
* Oversee monitoring, observability, and fault tolerance across all integration touchpoints.
**Data Engineering \&amp; Pipeline Development** 
* Build and optimize high\-performance, scalable data pipelines in Databricks using Python and SQL.
* Design and implement advanced data transformations and complex query optimization.
* Implement automated testing, validation frameworks, and data quality controls to ensure pipeline reliability.
* Drive CI/CD practices and infrastructure\-as\-code principles for data platform management.
**Governance, Security \&amp; Compliance** 
* Establish and enforce data governance standards using Databricks Unity Catalog, including lineage tracking, auditing, and role\-based access controls.
* Ensure compliance with healthcare data privacy and security regulations including HIPAA, HITRUST, and SOC 2 requirements.
* Implement role\-based access, encryption standards, and secure API management, and access controls for PHI/PII data handling.
**Cross\-Functional Leadership** 
* Partner with BI, analytics, product, and engineering teams to translate business needs into scalable data solutions.
* Provide architectural guidance and mentorship to junior engineers and analysts.
* Influence data strategy at the leadership level through proactive recommendations and roadmap planning.
* Communicate technical concepts clearly to non\-technical stakeholders including clinical, operational, and executive audiences.
**Knowledge, Skills \&amp; Abilities** 
* Experience operating in regulated industries; healthcare (HIPAA, HITRUST, SOC 2\) strongly preferred.
* Deep expertise in Databricks: Delta Lake, Unity Catalog, performance tuning, cost optimization, job orchestration.
* Advanced knowledge of Azure services including Azure Data Factory, Azure API Management, Azure Storage, and related cloud infrastructure.
* Strong proficiency in SQL (complex query optimization, performance tuning, indexing strategies) and Python; working knowledge of C\# a plus.
* Extensive experience designing scalable ETL/ELT frameworks and data warehousing solutions.
* Experience implementing event\-driven or API\-based integration architectures.
* Familiarity with healthcare interoperability standards (HL7, FHIR) is a strong advantage.
* Proven ability to balance architectural vision with hands\-on execution.
* Strong communication skills with the ability to influence technical and non\-technical stakeholders at all levels.
* Demonstrated ability to mentor engineers and drive engineering best practices across a team.
**Requirements**
**Education \&amp; Experience** 
* Bachelor's degree in Computer Science, Information Technology, or a related field.
* 7\+ years of progressive experience in data engineering, data architecture, or enterprise integration.
**Benefits**
**Benefits** 
 OnMed provides a competitive salary and benefits package, including unlimited PTO and paid holidays. 
 **The base salary range for this role is up to $170,000 commensurate with the candidate's experience, plus an annual discretionary performance bonus.** 
 OnMed is a proud equal opportunity employer. All qualified applicants will be considered without regard to race, color, creed, religion, gender, sexual orientation, national origin, genetic information, disability, age, marital status, veteran status, or any other category protected by law.</t>
        </is>
      </c>
    </row>
    <row r="10">
      <c r="A10" t="inlineStr">
        <is>
          <t>li-4352751048</t>
        </is>
      </c>
      <c r="B10" t="inlineStr">
        <is>
          <t>Analytics Engineer, Finance</t>
        </is>
      </c>
      <c r="C10" t="inlineStr">
        <is>
          <t>OpenAI</t>
        </is>
      </c>
      <c r="D10" t="inlineStr">
        <is>
          <t>linkedin</t>
        </is>
      </c>
      <c r="E10" t="inlineStr"/>
      <c r="F10" t="inlineStr"/>
      <c r="G10" t="inlineStr">
        <is>
          <t>San Francisco, CA</t>
        </is>
      </c>
      <c r="H10" t="inlineStr"/>
      <c r="I10" t="inlineStr">
        <is>
          <t>**About The Team**
 The Finance Data team is embedded within the CFO Org and is responsible for building internal data products that scale analytics across business teams and drive efficiencies in our daily operations. This team provides technical guidance on high\-impact, scalable projects across Finance, and is the subject\-matter expert in financial and transactional data that supports our Finance day\-to\-day operations.
**About The Role**
 As an Analytics Engineer, you will be setting the foundation to scale analytics across our business functions and impart best data practices for a rapidly growing organization. We aspire to build the Finance team of the future.
 In addition, you will work collaboratively with key stakeholders in Finance and other business teams to understand their pain points and take the lead in proposing viable, future\-proof solutions to resolve them. You will also autonomously lead your own projects that deliver business impact and help cultivate a mature data culture among Finance teams.
 We are looking for a seasoned engineer who has a proven track record of owning the entire data stack at high transaction volume companies, managing business critical ETL pipelines consumed by non\-technical teams. As a generalist “fixer”, you may be deployed across several different Finance domains (e.g. Tax datamart, ERP migration, Procurement automation). For this role we need someone who excels in dynamic environments, adapts quickly to changing needs, and confidently navigates ambiguous or evolving requirements. If you're energized by solving technical problems without a playbook and comfortable wearing multiple hats, this role is for you! To clarify, you will
 **not** 
 be responsible for training ML models and neither would we describe this role as ‘product analytics’.
 This role is based in San Francisco, CA. We use a hybrid work model of 3 days in the office per week and offer relocation assistance to new employees.
**In This Role, You Will**
* Understand the data needs of Finance teams, including Revenue, Tax, Procurement, Compute \&amp; Infrastructure Accounting, Strategic Finance, and translate that scope into technical requirements
* Facilitate the development of data products and tools to for stakeholders to self\-service and enable analytics to scale across the company
* Lead dimensional design \- define, own, and maintain business facing data marts
* Be a cross\-functional champion at upholding high data integrity standards and SLAs for the timely delivery of data
* Build and maintain insightful and reliable dashboards to track both operational and financial Metrics for the Executive team
* Contribute to the future roadmap of the Finance team from a data systems perspective
* Grow to be an expert in Finance Data and OpenAI’s data architecture
**You Might Thrive In This Role If You Have**
* 7\+ years of experience as an Analytics Engineer or in a similar role (Data Analyst or Data Engineer) with a proven track record in shipping canonical datasets
* Empathy towards non\-developer stakeholders and their day\-to\-day pain points
* Strong proficiency in SQL for data transformation, comfort in at least one functional/OOP language such as Python or R
* Familiarity with managing distributed data stores (e.g. S3, Trino, Hive, Spark), and experience building multi\-step ETL jobs coupled with orchestrating workflows (e.g. Airflow, Dagster)
* Experience in writing unit tests to validate data products and version control (e.g. GitHub, Stash)
* Expert at creating compelling data visualizations with dashboarding tools (e.g. Tableau, Looker or similar)
* Excellent communication skills and ability to present data\-driven narratives in both verbal and written form to a non\-technical audience
* Experience solving ambiguous problem statements in an early stage environment
**You could be an especially great fit if you have:**
* Prior experience leading the development of an internal production tool, serving hundreds of cross\-functional customers such as Billing Operations, Deal Desk or Go\-to\-Market teams
* Some frontend experience with React, TypeScript, Retool, Streamlit, or building web apps
* Good understanding of Spark and ability to write, debug, and optimize Spark jobs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t>
        </is>
      </c>
    </row>
    <row r="11">
      <c r="A11" t="inlineStr">
        <is>
          <t>li-4360794181</t>
        </is>
      </c>
      <c r="B11" t="inlineStr">
        <is>
          <t>Sr. Data Engineer - Analytics</t>
        </is>
      </c>
      <c r="C11" t="inlineStr">
        <is>
          <t>Scoular</t>
        </is>
      </c>
      <c r="D11" t="inlineStr">
        <is>
          <t>linkedin</t>
        </is>
      </c>
      <c r="E11" t="inlineStr"/>
      <c r="F11" t="inlineStr"/>
      <c r="G11" t="inlineStr">
        <is>
          <t>Omaha, NE</t>
        </is>
      </c>
      <c r="H11" t="inlineStr"/>
      <c r="I11" t="inlineStr">
        <is>
          <t>**About The Role**
 The Senior Data Engineer will be a key contributor in designing, building, and optimizing data solutions that power our analytics ecosystem. This role focuses on hands\-on development, ensuring data integrity, performance, and scalability across our platforms. The Senior Data Engineer will collaborate closely with leads, analysts, and business stakeholders to deliver high\-quality data products and solutions.
* Design, develop, and maintain scalable data pipelines and integration solutions by analyzing business requirements and system dependencies to deliver efficient, reliable, and secure data solutions.
* Build and optimize ETL/ELT workflows using pipeline and PySpark frameworks, following medallion architecture principles.
* Implement best practices for data modeling, performance tuning, and scalability across data platforms.
* Work with modern file formats (e.g., Parquet, Delta) to ensure efficient storage and processing.
* Ensure data quality, security, and compliance across all solutions.
* Monitor and maintain data systems, proactively identifying and resolving performance issues.
* Collaborate with cross\-functional teams to deliver integrated solutions for complex business problems.
* Stay current with emerging technologies and recommend improvements to enhance the data ecosystem.
* Contribute to documentation and knowledge sharing within the team.
**About You**
* 5\+ years of experience in data engineering and analytics, with strong expertise in ETL/ELT processes including using medallion framework.
* Proficiency in PySpark and Azure Data Services (Azure Synapse Analytics, Azure Data Factory, Azure Data Lake Storage Gen2, Azure SQL Databases).
* Experience working with Parquet and Delta file formats.
* Familiarity with architecture involving Warehouse, Lakehouse, and operational data stores.
* Knowledge of CI/CD pipelines using Azure DevOps and Agile development methodologies.
* Bachelor’s Degree in Computer Science, MIS, or related field (or equivalent experience).
* Excellent problem\-solving skills and ability to work independently or in a team environment.
* Strong communication skills to collaborate effectively across technical and business teams.
**Preferred Experiences**
* Working knowledge of Microsoft Fabric and Power BI (development and optimization).
* Experience with API connectivity
* Exposure to Databricks, Snowflake, or similar platforms.
* Understanding of data governance, lineage, and audit logging.
**Our Company**
 Scoular has been leading the way in safe, reliable, and innovative supply chain solutions for over 130 years. Our business is feed and food, transportation and logistics, and our people are our passion. In everything we do, we put relationships first and always leave room for what's possible.We are a $7 billion company filled with problem solvers and compassionate leaders committed to revolutionizing the future of agriculture. With 1400 employees and over 100 offices and facilities across North America and Asia, you can count on Scoular people.
 We are committed to building a culture of real inclusion for all employees. We support customers and communities around the globe and believe our workforce should reflect that diversity. Scoular Employee Resource Groups (ERGs) connect, support, and empower our people. Learn more about diversity and inclusion commitments here.
**Our Benefits**
* We offer competitive health plans that begin on the employee's first day \-\- there's no waiting period so you can be your best from the very beginning
* On top of your competitive base pay, you'll have an incentive opportunity, 401k safe harbor and additional company match
* Your hard work and dedication deserve a break. In addition to our 12 paid holidays, you'll receive vacation, sick and wellbeing time off
* We give you the opportunity to revolutionize your community. With 8 hours of paid volunteer time every year. We encourage team members to give back and make a social impact
* This position is eligible for annual incentive opportunities based on business and individual performance.</t>
        </is>
      </c>
    </row>
    <row r="12">
      <c r="A12" t="inlineStr">
        <is>
          <t>li-4377194520</t>
        </is>
      </c>
      <c r="B12" t="inlineStr">
        <is>
          <t>Data Engineer</t>
        </is>
      </c>
      <c r="C12" t="inlineStr">
        <is>
          <t>Hirenza</t>
        </is>
      </c>
      <c r="D12" t="inlineStr">
        <is>
          <t>linkedin</t>
        </is>
      </c>
      <c r="E12" t="inlineStr"/>
      <c r="F12" t="inlineStr"/>
      <c r="G12" t="inlineStr"/>
      <c r="H12" t="inlineStr"/>
      <c r="I12" t="inlineStr">
        <is>
          <t>**About The Company**
 MassMutual is a leading financial services organization committed to helping individuals and businesses achieve their financial goals through a comprehensive range of insurance, retirement, investment, and wealth management solutions. With a rich history of stability, integrity, and innovation, MassMutual has established itself as a trusted partner in the financial industry. The company prides itself on fostering a collaborative and inclusive work environment that encourages professional growth and development. Leveraging advanced technology and data\-driven strategies, MassMutual continuously strives to enhance client experiences and operational efficiencies, positioning itself at the forefront of the industry’s digital transformation.
**About The Role**
 Join our dynamic team as a Data Engineer within the Corporate Technology Data Engineering \&amp; Analytics division at MassMutual. In this pivotal role, you will be instrumental in executing our data and technology strategy, especially focusing on driving digital transformation initiatives across our Investment Management sector. Your primary responsibilities will include designing, building, and maintaining robust data pipelines—both streaming and batch—to support critical business functions. You will work closely with cross\-functional teams to develop data marts, data warehouses, and other data solutions that meet the evolving needs of our investment operations. This role offers an exciting opportunity to influence how data is collected, processed, and utilized to generate actionable insights, ultimately contributing to the organization’s strategic objectives and operational efficiencies.
**Qualifications**
 The ideal candidate will possess a strong technical background with extensive experience in data engineering and analytics. A bachelor’s degree in Computer Science, Engineering, Information Systems, or a related field is required. Candidates should have at least 8 years of experience in data analytics, data modeling, and database design, with a minimum of 5 years working with ELT methodologies and tools. Proven expertise in SQL development, tuning, and troubleshooting is essential, along with 3 or more years of coding and scripting experience in languages such as Python, Java, or Scala. Additionally, candidates should have at least 2 years of experience working with the Spark framework, demonstrating their ability to handle large\-scale data processing tasks efficiently.
**Responsibilities**
* Design, develop, and maintain complex Extract, Load, Transform (ELT) jobs to process disparate data sources, ensuring the creation of high\-integrity, high\-quality, and clean data assets.
* Implement and enforce data modeling policies, standards, and best practices to ensure consistency and data quality across systems.
* Capture, document, and analyze system workflows, data flows, database designs, and technical specifications to facilitate effective data management and troubleshooting.
* Develop and implement comprehensive data quality standards, utilizing tools and techniques to monitor and improve data accuracy, completeness, and reliability.
* Collaborate with various departments within Investment Management to understand new data patterns and translate business needs into technical solutions.
* Work closely with Data Analysts, Data Architects, and Business Intelligence (BI) developers to design scalable, efficient data solutions aligned with organizational goals.
* Translate high\-level business requirements into detailed technical specifications, ensuring clarity and feasibility for development teams.
* Participate in the evaluation and integration of new data technologies, tools, and platforms to enhance data processing capabilities.
* Maintain awareness of industry best practices and emerging trends in data engineering to continuously improve processes and systems.
**Benefits**
 MassMutual offers a comprehensive benefits package designed to support the health, well\-being, and financial security of our employees. This includes competitive health insurance plans, retirement savings options, and wellness programs. Employees have access to ongoing professional development opportunities, including training, certifications, and career advancement programs. We foster a collaborative and inclusive culture that values innovation, integrity, and diversity. Additionally, our flexible work arrangements and employee assistance programs aim to promote work\-life balance and overall job satisfaction. At MassMutual, you will find a supportive environment where your contributions are recognized and your potential is nurtured.
 Equal Opportunity
 MassMutual is an equal employment opportunity employer. We are committed to creating an inclusive environment for all employees and applicants, regardless of race, color, religion, gender, sexual orientation, gender identity or expression, national origin, age, disability, or veteran status. We welcome individuals from diverse backgrounds and experiences to apply. If you require any accommodations during the application process, please contact us and share the specifics of your needs. We believe that diversity and inclusion are essential to our success and are dedicated to fostering a workplace where everyone can thrive.</t>
        </is>
      </c>
    </row>
    <row r="13">
      <c r="A13" t="inlineStr">
        <is>
          <t>li-4377142821</t>
        </is>
      </c>
      <c r="B13" t="inlineStr">
        <is>
          <t>Data Engineer</t>
        </is>
      </c>
      <c r="C13" t="inlineStr">
        <is>
          <t>Wiraa</t>
        </is>
      </c>
      <c r="D13" t="inlineStr">
        <is>
          <t>linkedin</t>
        </is>
      </c>
      <c r="E13" t="inlineStr"/>
      <c r="F13" t="inlineStr"/>
      <c r="G13" t="inlineStr"/>
      <c r="H13" t="inlineStr"/>
      <c r="I13" t="inlineStr">
        <is>
          <t>**About The Company**
 Thumbtack is a leading platform dedicated to helping millions of homeowners confidently care for their homes. Our innovative app provides personalized guidance, AI tools, and a seamless hiring experience, making home improvement projects easier and more accessible. Every day across every county in the United States, homeowners rely on Thumbtack to address urgent repairs, seasonal maintenance, and larger renovation projects. We connect users with a growing community of over 300,000 local service professionals, ensuring quality and reliability in every interaction. Our mission is to empower homeowners with the right tools, information, and trusted service providers to enhance their living spaces. At Thumbtack, we are committed to building a collaborative and innovative environment where impactful work is valued and continuous growth is encouraged.
**About The Role**
 We are seeking a highly skilled and experienced Data Engineer to join our Marketing Tech team at Thumbtack. This role is pivotal in developing and maintaining our data infrastructure to support marketing initiatives that drive revenue growth. You will work closely with cross\-functional teams, including product engineers, data scientists, and analysts, to design, implement, and optimize data systems that underpin our marketing strategies. Reporting to the Embedded Data Engineering team, you will be responsible for building scalable, high\-quality datasets, data marts, and feature stores that support both mature and evolving marketing products. Your expertise will help embed data\-driven decision\-making into our marketing lifecycle, ensuring data quality, integrity, and accessibility across the organization. This is an exciting opportunity to shape the future of Thumbtack’s marketing data ecosystem and contribute to a collaborative culture of innovation and excellence.
**Qualifications**
* 8\+ years of experience designing, building, and scaling data systems, including pipelines, warehouses, and analytical data products.
* Proven technical leadership in architecting complex data ecosystems and ownership of data models, transformation frameworks, and integrations across multiple data domains.
* Advanced proficiency in SQL and Python programming languages.
* Deep experience with modern data stacks, including cloud\-native warehouses such as BigQuery or Snowflake, orchestration tools like Airflow, and transformation frameworks such as dbt.
* Strong system design and architecture skills, with the ability to reason about scalability, cost, and performance trade\-offs.
* Excellent collaboration and influence skills, capable of partnering effectively with marketing engineering, analytics, and data science teams.
* A strong sense of ownership, accountability, and the ability to mentor and raise standards across teams.
**Responsibilities**
* Collaborate with cross\-functional teams to refine and promote a comprehensive framework for integrating data into the marketing software development lifecycle.
* Design, architect, and maintain core marketing datasets, data marts, and feature stores supporting a range of products and features.
* Partner with analytics, data science, and machine learning teams to understand their data needs and develop datasets with engineering rigor.
* Drive data quality initiatives and establish best practices across marketing and business units.
* Contribute to building the next generation of marketing data products, including real\-time data solutions utilizing Apache Kafka.
* Establish scalable, efficient, and reliable data pipelines and systems that support marketing operations and decision\-making.
* Mentor junior engineers, promote data standards, and foster a culture of continuous improvement and innovation.
**Benefits**
* Competitive salary packages aligned with experience and location.
* Comprehensive health, dental, and vision insurance plans.
* Flexible working hours and remote work options.
* Generous paid time off and holidays.
* Opportunities for professional development and continuous learning.
* Collaborative and inclusive company culture focused on innovation and impact.
 Equal Opportunity
 Thumbtack is an equal opportunity employer. We celebrate diversity and are committed to creating an inclusive environment for all employees. We do not discriminate based on sex, race, color, age, pregnancy, sexual orientation, gender identity or expression, religion, national origin, ancestry, citizenship, marital status, military or veteran status, genetic information, disability status, or any other characteristic protected by law. We also consider qualified applicants with arrest and conviction records, in accordance with applicable laws. Thumbtack is dedicated to providing reasonable accommodations to individuals with disabilities throughout the hiring process.</t>
        </is>
      </c>
    </row>
    <row r="14">
      <c r="A14" t="inlineStr">
        <is>
          <t>li-4377143794</t>
        </is>
      </c>
      <c r="B14" t="inlineStr">
        <is>
          <t>Data Engineer II</t>
        </is>
      </c>
      <c r="C14" t="inlineStr">
        <is>
          <t>Wiraa</t>
        </is>
      </c>
      <c r="D14" t="inlineStr">
        <is>
          <t>linkedin</t>
        </is>
      </c>
      <c r="E14" t="inlineStr"/>
      <c r="F14" t="inlineStr"/>
      <c r="G14" t="inlineStr"/>
      <c r="H14" t="inlineStr"/>
      <c r="I14" t="inlineStr">
        <is>
          <t>**About The Company**
 Grow with Delineate: Join Our Team of Innovators. Our company is dedicated to transforming the landscape of data solutions by leveraging cutting\-edge technology, strategic insights, and a customer\-centric approach. We serve a diverse range of clients across various industries, providing tailored data engineering, analytics, and cloud integration services. Our culture fosters innovation, continuous learning, and collaboration, ensuring that our team members are empowered to develop their skills and contribute meaningfully to impactful projects. Committed to excellence and integrity, we aim to be a leader in delivering scalable, reliable, and secure data solutions that drive business success and operational efficiency.
**About The Role**
 The Data Engineer II role is a vital technical position responsible for designing, developing, and maintaining robust data infrastructure and pipelines. The successful candidate will work closely with cross\-functional teams to create scalable data solutions that facilitate seamless data integration, transformation, and analysis. This role demands a strong foundation in cloud\-based data storage, data modeling, and pipeline automation, with an emphasis on optimizing data workflows for performance, security, and compliance. As a key contributor within the data services team, the Data Engineer II will play a crucial role in enhancing data quality, governance, and operational efficiency, ensuring that our clients' data ecosystems are resilient, scalable, and aligned with strategic business objectives. The position offers flexibility for part\-time or full\-time engagement, with a competitive salary package based on experience and expertise.
**Qualifications**
* Bachelor's degree in Data Science, Computer Science, Software Engineering, Information Systems, Mathematics, or a related field (or equivalent practical experience)
* Proficiency in Python and SQL for data processing and query optimization
* Experience with cloud platforms such as AWS, Azure, or Google Cloud Platform
* Hands\-on experience with data storage solutions including relational databases (PostgreSQL, MySQL, Oracle), data warehouses (Snowflake, Redshift, BigQuery), and data lakes (Amazon S3, Azure Data Lake)
* Knowledge of big data frameworks like Apache Spark, PySpark, and real\-time streaming tools such as Apache Kafka
* Familiarity with data governance, compliance standards (GDPR, HIPAA), and security best practices
* Experience with ETL/ELT workflow design and automation
* Understanding of version control systems (e.g., Git) and DevOps practices for CI/CD pipelines
* Certifications such as Microsoft DP\-900, Databricks Data Engineer, AWS Data Engineer, Snowflake SnowPro, or Google Professional Data Engineer are a plus
* Strong analytical, problem\-solving, and communication skills
* Ability to mentor junior team members and collaborate effectively across teams
**Responsibilities**
* Design, develop, and optimize database schemas and data models to support analytical and operational needs
* Create and maintain scalable, automated data pipelines for data ingestion, transformation, and loading
* Implement data validation, quality checks, and anomaly detection processes to ensure data integrity
* Collaborate with cross\-functional teams to define data requirements and develop solutions aligned with business goals
* Monitor, troubleshoot, and resolve issues within data pipelines to ensure continuous data flow and availability
* Optimize query performance and resource utilization in cloud data warehouses and lakes
* Maintain data governance standards, ensuring compliance with privacy and security regulations
* Automate deployment, testing, and monitoring processes using DevOps best practices
* Conduct root cause analysis for technical issues and implement corrective actions
* Evaluate new tools and technologies to improve data infrastructure and workflows
* Mentor junior engineers, conduct code reviews, and promote best practices within the team
**Benefits**
* Paid Holidays and Paid Time Off
* Employer Retirement Contributions
* Health Savings Account Contributions
* Comprehensive Health, Vision, and Dental Insurance Coverage
* Profit Sharing and Annual Bonuses based on company performance
* Flexible work arrangements, including remote work options
* Opportunities for professional development and certifications
* Access to life insurance, short and long\-term disability insurance, and employee assistance programs
 Equal Opportunity
 Delineate is an equal opportunity employer. We celebrate diversity and are committed to creating an inclusive environment for all employees. We do not discriminate based on race, ethnicity, gender, age, religion, sexual orientation, disability, or any other protected status. We believe in fostering a workplace where everyone has the opportunity to grow, succeed, and contribute to our collective success.</t>
        </is>
      </c>
    </row>
    <row r="15">
      <c r="A15" t="inlineStr">
        <is>
          <t>li-4368061316</t>
        </is>
      </c>
      <c r="B15" t="inlineStr">
        <is>
          <t>Sr. Data Engineer</t>
        </is>
      </c>
      <c r="C15" t="inlineStr">
        <is>
          <t>Storable</t>
        </is>
      </c>
      <c r="D15" t="inlineStr">
        <is>
          <t>linkedin</t>
        </is>
      </c>
      <c r="E15" t="inlineStr"/>
      <c r="F15" t="inlineStr"/>
      <c r="G15" t="inlineStr"/>
      <c r="H15" t="inlineStr"/>
      <c r="I15" t="inlineStr">
        <is>
          <t>**Sr. Data Engineer** 
 At Storable, we're on a mission to power the future of storage. Our innovative platform helps businesses manage, track, and grow their self\-storage operations, and we’re looking for a Data Engineer to join our data\-driven team. Storable is committed to leveraging cutting\-edge technologies to improve the efficiency, accessibility, and insights derived from data, empowering our team to make smarter decisions and foster impactful growth.
 As a Data Engineer, you will play a pivotal role in shaping our data operations, ensuring that our data is organized, accessible, and effectively managed across the organization. You will work closely with cross\-functional teams and drive the development of strategies to enhance data quality, availability, and security.
**Key Responsibilities:** 
* Oversee Data Pipelines: Design, implement, and maintain scalable data pipelines using industry\-standard tools to efficiently process and manage large\-scale datasets.
* Ensure Data Quality \&amp; Governance: Implement data governance policies and frameworks to ensure data accuracy, consistency, and compliance across the organization.
* ETL Development: Build, optimize, and maintain ETL pipelines for ingesting, transforming, and delivering large datasets from multiple sources.
* Workflow Orchestration: Manage and schedule complex workflows using Apache Airflow.
* Query Engines \&amp; Processing Frameworks: Leverage Trino (Presto), Apache Spark, and other
* Manage Cross\-Functional Collaboration: Partner with engineering, product, and business teams to make data accessible and actionable, and ensure it drives informed decision\-making.
* Optimize Data Infrastructure: Leverage modern data tools and platforms (e.g., AWS, Apache Airflow, Apache Iceberg) to create an efficient, reliable, and scalable data infrastructure.
* Monitor \&amp; Improve Performance: Proactively monitor data processes and workflows, troubleshoot issues, and optimize performance to ensure high reliability and data integrity.
**Qualifications:** 
* Proven Expertise in Data Management: 6\+ years of significant experience in managing data infrastructure, data governance, and optimizing data pipelines at scale.
* Technical Proficiency: 5\+ years of strong hands\-on experience with data tools and platforms such as Apache Airflow, Apache Iceberg, and AWS services (S3, Lambda, Redshift, Glue, Athena).
* Data Pipeline Mastery: Familiarity with designing, implementing, and optimizing data pipelines and workflows in Python or other languages for data processing.
* 5\+ years of hands\-on experience with Trino/Presto and Apache Spark for distributed data processing.
* Solid understanding of data modeling, warehousing concepts, and schema design.
* Experience with Data Governance: Solid understanding of data privacy, quality control, and governance best practices.
* Leadership Skills: Ability to lead and mentor teams, influence stakeholders, and drive data initiatives across the organization.
* Analytical Mindset: Strong problem\-solving abilities and a data\-driven approach to improve business operations.
* Excellent Communication: Ability to communicate complex data concepts to both technical and non\-technical stakeholders effectively.
* Bonus Points: Experience with visualization tools (e.g., Looker, Tableau) and reporting frameworks to provide actionable insights.
 All applicants must be currently authorized to work in the United States on a full\-time basis.
*Storable is a fully distributed company, but is currently only registered for employment in certain states.* 
 To be eligible for employment, you must reside in the following states:  AL, AZ, CA, CO, CT, FL, GA, ID, IL, IN, IA, KS, LA, MD, MA, MI, MN, MO, MS, NC, NE, NJ, NV, NY, OH, OK, OR, PA, SC, TN, TX, UT, VA, WA, WI, WY. 
 About Us:
 At Storable, we’re redefining property management for specialty real estate. Tailored for the self\-storage, marine, and RV \&amp; camping industries, we seamlessly integrate management software with marketplace listings, websites, CRM, insurance, payments and more. Dedicated to empowering owners and operators, Storable helps you win more every day. Explore our platform solutions at www.storable.com. 
 At the heart of Storable is our “Win More” culture, which reflects our commitment to delivering exceptional value to our customers and fostering the personal and professional growth of our employees. We strive to empower our team and our customers to achieve and win more than ever before.
 Benefits and Perks: 
* Generous health coverage for you and your family, including fully paid short\- and long\-term disability coverage and two\-times base salary life insurance.
* 401(k) match after 60 days, 100% vested after 1 year.
* Employer contribution to your HSA, plus an HRA to help offset your deductible.
* Instant access to flexible vacation. We trust you, so we have a ‘take what you need’ vacation policy.
* Be More – company rewards and recognition that add up and can be redeemed for personalized gifts and experiences! Storriors have been able to enroll in SCUBA certification classes, travel overseas, and redo their back patio, among many other things.
* 8 hours of Volunteer Time Off each year and the opportunity to get active in the community by joining one of our offsite volunteer and community service events.
* 8 hours of Rest, Relax, Recharge time to care for your mental health.
* Access a range of mental well\-being resources for yourself and your dependents, including counseling services, stress management programs, and mindfulness workshops
* Fully paid parental leave: 12 and 6 weeks for primary and secondary caregivers, respectively.
* ’Paw’ternity Leave and Pet Bereavement \- we understand that pets are a part of the family and have generous time\-off policies, which honor that commitment.
* Caregiver Leave: four weeks of fully paid time away from work to care for aging dependents or family members, if needed.
* $50 monthly home data stipend, plus a home office sign\-on bonus of $250\.
* Fertility care support options to help in your journey towards parenthood.
* Access to financial experts to help you make informed decisions and achieve your financial goals.
* Direct Student Loan Payment Program, some qualifications and eligibility rules apply.
 Storable is committed to providing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Storable will provide reasonable accommodations for qualified individuals with disabilities.
 Important Notice: To protect yourself from fraudulent activities, please consider the following: 
 \- Official Communication: All genuine communication from Storable will come from official email addresses, ending in “@storable.com.” Be cautious of any communication that doesn’t match this criteria.
 \- No Unsolicited Offers: We do not extend job offers without a formal interview process. If you receive an unsolicited job offer claiming to be from Storable or any of its representatives, it’s a red flag.
 \- Verification: If you’re uncertain about the legitimacy of any job offer or communication claiming to be from Storable, please contact our HR department directly at POps@storable.com for verification.
 Your security and trust are paramount to us. If you suspect you’ve been contacted by someone falsely claiming to be from Storable or using our company's name for any dubious purpose, please immediately report the incident to POps@storable.com
 Pay Transparency at StorableAt Storable, we believe in the power of transparency to help our employees Do More and Win More. We value our employees and want to ensure equity and fairness in compensation, which is why we make sure to include the salary range or hourly rate in each job posting.The range listed below is reflective of the base salary market potential for the role over time. The compensation we will offer for this role is within this range and is based on our internal budget along with your skills and experience level. Please talk to your recruiter about the variable pay plan and earning potential for this role.
 Potential Pay Range: $145,000 USD \- $180,000 USD</t>
        </is>
      </c>
    </row>
    <row r="16">
      <c r="A16" t="inlineStr">
        <is>
          <t>li-4328712601</t>
        </is>
      </c>
      <c r="B16" t="inlineStr">
        <is>
          <t>Analytics Engineer</t>
        </is>
      </c>
      <c r="C16" t="inlineStr">
        <is>
          <t>EquipmentShare</t>
        </is>
      </c>
      <c r="D16" t="inlineStr">
        <is>
          <t>linkedin</t>
        </is>
      </c>
      <c r="E16" t="inlineStr"/>
      <c r="F16" t="inlineStr"/>
      <c r="G16" t="inlineStr">
        <is>
          <t>Columbia, MO</t>
        </is>
      </c>
      <c r="H16" t="inlineStr"/>
      <c r="I16" t="inlineStr">
        <is>
          <t>**Build the Future with Us —** 
 EquipmentShare is Hiring an Analytics Engineer
 At EquipmentShare, we’re not just filling a role —
 **we’re assembling the best team on the planet to build something that’s never been built before** 
 . We’re on a mission to transform an industry that’s been stuck in the past by empowering contractors and communities through innovative technology, real\-time support, and a team that truly cares.
 We’re hiring an
 **Analytics Engineer** 
 to support our Corporate Headquarters in
 **Columbia, MO** 
 and we’re looking for someone who’s ready to grow with us, bring energy and drive to their work, and help us build the future of construction. This position is fully remote.
**Primary Responsibilities**
* Develop and manage data pipelines using SQL and Python that extract data from various sources and transform it according to business rules
* Create/update data models in dbt to ensure scalable, robust data solutions
* Convert business needs into technical specifications and establish a timetable for job completion
* Create, test, and deploy changes
* Continuously monitor, improve, and proactively identify potential issues to improve the data pipelines and ETLs
**Why EquipmentShare?**
 Because we do things differently — and we think you’ll feel it from day one. We’re a people\-first company powered by cutting\-edge technology. That means our proprietary T3 platform doesn’t just run our business — it also makes your job easier, safer, and more connected. Whether you’re behind the wheel, under the hood, leading a branch, or closing deals — tech supports
 *you* 
 , and you drive
 *us* 
 forward.
 We’re a team of problem\-solvers, go\-getters, and builders. And we’re looking for teammates who take pride in doing meaningful work and want to be part of
 **building something special** 
 .
**Perks \&amp; Benefits**
* Competitive compensation
* Full medical, dental, and vision coverage for full\-time employees
* Unlimited PTO \+ paid holidays
* 401(k) \+ company match
* Gym membership stipend \+ wellness programs (earn PTO and prizes!)
* 16 hours of paid volunteer time per year — give back to the community you call home
* Career advancement, leadership training, and professional development opportunities
**About You**
 You want to be part of a team that’s not just changing an industry for the sake of change — we’re transforming it to make it safer, more secure, and more productive. You bring grit, heart, and humility to your work, and you’re excited about the opportunity to grow within a fast\-paced, mission\-driven environment.
**We’re Looking For People Who**
* See challenges as opportunities
* Embrace change and continuous improvement
* Bring energy, effort, and optimism every day
**Skills \&amp; Qualifications**
* Desire to thrive in a fast\-paced environment and strong ability to adapt as priorities, timelines, and project scope shift.
* Strong verbal and written communication skills
* Ability to work without constant supervision and is a self starter
* Ability to work quickly and think logically, especially under pressure
* Thrives on learning and growth opportunities; desires new challenges and enjoys a good puzzle
* Sound communication skills and the ability to influence and manage cross\-functional stakeholders.
* Detail oriented, but able to pivot and re\-prioritize efforts as required.
* Ability to use diplomacy and tact when handling problems
* Ability to be flexible and adapt to change in a positive manner
**Minimum Qualifications**
* At least 5 years of SQL experience, creating complex SQL solutions to business problems
* At least 2 years of Python experience, creating scalable processes to solve business problems
* At least 2 years of experience data modeling
* Experience modeling using dbt
* Support day\-to\-day reporting and analytics, reducing complexity in accessing and querying cross\-functional data.
* Experience working with git
**Preferred Qualifications**
* Experience using Looker Business Intelligence Tool
**Education And Experience**
* High School Diploma or Equivalent Education or Experience required
**Physical Requirements**
* Prolonged periods sitting at a desk and working on a computer.
**A Workplace For All**
 At EquipmentShare, we believe the best solutions come from a team that reflects the world around us. Our initiative —
 *A Workplace For All* 
 — is rooted in the belief that we must work together to solve some of the toughest problems in construction. That means attracting, developing, and retaining great people from all walks of life.
 We value different backgrounds, talents, and perspectives. We want you to feel like you belong here — because you do.
**EquipmentShare is an EOE M/F/D/V.**
***Employment is contingent on passing a background check. Additionally, some roles require passing a drug test, depending on the job responsibilities.***</t>
        </is>
      </c>
    </row>
    <row r="17">
      <c r="A17" t="inlineStr">
        <is>
          <t>li-4377164287</t>
        </is>
      </c>
      <c r="B17" t="inlineStr">
        <is>
          <t>Data Engineer/(Python Developer)</t>
        </is>
      </c>
      <c r="C17" t="inlineStr">
        <is>
          <t>Tech-Nique Partners</t>
        </is>
      </c>
      <c r="D17" t="inlineStr">
        <is>
          <t>linkedin</t>
        </is>
      </c>
      <c r="E17" t="inlineStr"/>
      <c r="F17" t="inlineStr"/>
      <c r="G17" t="inlineStr">
        <is>
          <t>Aventura, FL</t>
        </is>
      </c>
      <c r="H17" t="inlineStr"/>
      <c r="I17" t="inlineStr">
        <is>
          <t>**Data Engineer/(Python Developer)** 
**Hybrid to the office (NO RELOCATION) Aventura, FL** 
**Overview:** 
 We are seeking an experienced Data Engineer to lead the design, development, and optimization of end\-to\-end data pipelines and cloud\-based solutions. You will be responsible for architecting scalable data and analytic systems, ensuring data integrity, and implementing software engineering best practices and patterns. The ideal candidate has a strong background in ETL, big data technologies, and cloud services, with a proven ability to drive complex projects from concept to production.
**Key Responsibilities:** 
**Data Architecture and Engineering** 
* Design and implement scalable data pipelines for data ingestion, transformation, and storage.
* Architect and optimize data lakes and data warehouses to support analytics and reporting needs.
* Develop robust ETL processes to integrate structured and unstructured data from diverse sources.
* Ensure high data quality through cleaning, validation, and transformation techniques.
**Cloud and Big Data Solutions:** 
* Lead the implementation of big data frameworks such as Hadoop and Spark for processing large datasets.
* Develop and optimize solutions on cloud platforms, including AWS S3, Azure Data Lake, Google BigQuery, and Snowflake.
* Manage data lakes to facilitate efficient data access and processing for downstream applications.
**Database and Data Warehousing:** 
* Design, implement, and manage relational (SQL) and non\-relational (NoSQL) database systems.
* Lead database architecture efforts, including schema design, query optimization, and performance tuning.
* Oversee the design and management of data warehouses, ensuring reliability, scalability, and security.
**Software Development and Automation:** 
* Utilize Python and SQL to develop efficient, production\-ready code for data pipelines and integrations.
* Implement scripting automation using Bash and PowerShell to streamline workflows.
* Leverage version control (Git) and follow best practices in code optimization, unit testing, and debugging.
**Collaboration and Leadership:** 
* Act as a technical leader, providing guidance on best practices.
* Collaborate with cross\-functional teams (Data Scientists, Software Engineers, Analysts) to meet business objectives.
* Drive innovation by evaluating and integrating emerging tools, technologies, and frameworks.
* Establish and maintain CI/CD pipelines to ensure efficient deployment and system reliability.
**Required skillset:** 
* Bachelor’s or Master’s degree in Computer Science, Data Engineering, or a related field.
* 5\+ years of experience as a Data Engineer with expertise in building large\-scale data solutions.
* Proficiency in Python, SQL, and scripting languages (Bash, PowerShell).
* Deep understanding of big data tools (Hadoop, Spark) and ETL processes.
* Hands\-on experience with cloud platforms (AWS S3, Azure Data Lake, Google BigQuery, Snowflake).
* Strong knowledge of database systems (SQL, NoSQL), database design, and query optimization.
* Experience designing and managing data warehouses for performance and scalability.
* Proficiency in software engineering practices: version control (Git), CI/CD pipelines, and unit testing.
**Preferred:** 
* Strong experience in software architecture, design patterns, and code optimization.
* Expertise in Python\-based pipelines and ETL frameworks.
* Experience with Azure Data Services and Databricks.
* Excellent problem\-solving, analytical, and communication skills.
* Experience working in agile environments and collaborating with diverse teams.</t>
        </is>
      </c>
    </row>
    <row r="18">
      <c r="A18" t="inlineStr">
        <is>
          <t>li-4357414888</t>
        </is>
      </c>
      <c r="B18" t="inlineStr">
        <is>
          <t>Senior Data Platform Engineer II</t>
        </is>
      </c>
      <c r="C18" t="inlineStr">
        <is>
          <t>BlinkRx</t>
        </is>
      </c>
      <c r="D18" t="inlineStr">
        <is>
          <t>linkedin</t>
        </is>
      </c>
      <c r="E18" t="inlineStr"/>
      <c r="F18" t="inlineStr"/>
      <c r="G18" t="inlineStr">
        <is>
          <t>New York, NY</t>
        </is>
      </c>
      <c r="H18" t="inlineStr"/>
      <c r="I18" t="inlineStr">
        <is>
          <t>**Company Overview:** 
 Blink Health is the fastest growing healthcare technology company that builds products to make prescriptions accessible and affordable to everybody.  Our two primary products – BlinkRx and Quick Save – remove traditional roadblocks within the current prescription supply chain, resulting in better access to critical medications and improved health outcomes for patients. 
 BlinkRx is the world’s first pharma\-to\-patient cloud that offers a digital concierge service for patients who are prescribed branded medications. Patients benefit from transparent low prices, free home delivery, and world\-class support on this first\-of\-its\-kind centralized platform. With BlinkRx, never again will a patient show up at the pharmacy only to discover that they can’t afford their medication, their doctor needs to fill out a form for them, or the pharmacy doesn’t have the medication in stock. 
 We are a highly collaborative team of builders and operators who invent new ways of working in an industry that historically has resisted innovation. Join us!
 About the Role
 We are seeking a
 **Senior Data Platform Engineer II (Staff\-level equivalent)** 
 to define and evolve an
 **AI\-first real\-time and batch data platform** 
 built on AWS and Databricks. This role owns the technical vision for how data is ingested, processed, governed, and served as
 **trusted, AI\-ready datasets, features, metrics, and APIs** 
 that power intelligent products, decisioning systems, machine learning models, and operational workflows.
 As a Senior Engineer, you are a
 **technical authority and force multiplier** 
 —deeply hands\-on while setting architectural direction across streaming systems, lakehouse design, and data\-serving layers optimized for
 **AI, ML, and real\-time intelligence** 
 . You will partner closely with engineering, analytics, data science, and product teams to simplify the platform, eliminate legacy patterns, and establish
 **scalable, reliable foundations for AI\-driven use cases and real\-time analytics** 
 .
 What You Will Do
 * Own the
 **end\-to\-end AI\-first data platform architecture** 
 , spanning streaming ingestion, lakehouse storage, feature generation, and data/insight serving layers
* Architect
 **real\-time streaming systems** 
 using AWS Kinesis and Spark Structured Streaming to support
 **low\-latency AI, ML inference, and decisioning use cases**
* Design
 **stream\-to\-lakehouse convergence patterns** 
 that unify real\-time and historical data with strong correctness guarantees, enabling both analytics and ML workloads from a single source of truth
* Build and evolve
 **data, metrics, and feature APIs** 
 that expose curated, AI\-ready datasets for downstream applications, analytics, and machine learning models
* Establish
 **canonical event schemas, feature definitions, and data contracts** 
 to support event\-driven systems, model training, and online/offline feature consistency
* Make deep technical decisions across
 **AWS infrastructure** 
 (Kinesis, S3, IAM, networking) and
 **Databricks internals** 
 (clusters, jobs, Delta Lake, performance tuning), with an emphasis on
 **AI scalability and cost efficiency**
* Drive
 **platform modernization** 
 , retiring legacy tools and patterns in favor of
 **lakehouse\-first, AI\-native designs**
* Set standards for
 **high\-performance SQL and Spark workloads** 
 , optimizing for cost, latency, scale, and downstream AI consumption
* Lead complex platform initiatives from
 **architecture through production delivery** 
 , ensuring reliability for both real\-time analytics and AI systems
* Provide technical leadership and mentorship, shaping best practices for
 **AI\-ready data modeling, data quality, observability, and platform operability**
 Technical Skills
 * Deep expertise in
 **real\-time and distributed data systems** 
 , including AWS Kinesis and Spark Structured Streaming
* Strong command of
 **Databricks on AWS** 
 (Delta Lake, clusters, jobs) and core AWS services (S3, IAM, networking)
* Proven experience designing
 **data\- and feature\-serving architectures and APIs** 
 for analytics, metrics, and machine learning consumption
* Advanced
 **Python and SQL** 
 skills for building scalable, high\-performance data pipelines
* Demonstrated ability to design
 **idempotent, replayable, observable, and AI\-ready data platforms** 
 at scale
**Why Join Us:** 
 It is rare to have a company that both deeply impacts its customers and is able to provide its services across a massive population.  At Blink, we have a huge impact on people when they are most vulnerable: at the intersection of their healthcare and finances. We are also the fastest growing healthcare company in the country and are driving that impact across millions of new patients every year.  Our business model not only helps people, but drives economics that allow us to build a generational company. We are a relentlessly learning, constantly curious, and aggressively collaborative cross\-functional team dedicated to inventing new ways to improve the lives of our customers.
 We are an equal opportunity employer and value diversity of all kinds. We do not discriminate on the basis of race, religion, color, national origin, gender, sexual orientation, age, marital status, veteran status, or disability status.</t>
        </is>
      </c>
    </row>
    <row r="19">
      <c r="A19" t="inlineStr">
        <is>
          <t>li-4368412789</t>
        </is>
      </c>
      <c r="B19" t="inlineStr">
        <is>
          <t>Senior Data Engineer</t>
        </is>
      </c>
      <c r="C19" t="inlineStr">
        <is>
          <t>Bestow</t>
        </is>
      </c>
      <c r="D19" t="inlineStr">
        <is>
          <t>linkedin</t>
        </is>
      </c>
      <c r="E19" t="inlineStr"/>
      <c r="F19" t="inlineStr"/>
      <c r="G19" t="inlineStr"/>
      <c r="H19" t="inlineStr"/>
      <c r="I19" t="inlineStr">
        <is>
          <t>**About Bestow**
 Life insurance is one of the world's most important products. It's also one of the hardest to build, distribute, and modernize. Bestow exists to change that.
 Bestow is a leading vertical technology platform serving some of the largest and most innovative life insurers. Our platform unifies the fragmented, legacy value chain, enabling carriers to launch products in weeks instead of years. Carriers choose us to scale and operate at unprecedented speed, powered by AI and automation.
 Bestow isn't selling policies. We're building the infrastructure that helps an entire industry move faster, reach more people, and deliver on its promise.
 Backed by leading investors (Goldman Sachs, Hedosophia, NEA, Valar, 8VC) and trusted by major carriers, Bestow is powered by a team that moves with precision, purpose, and heart. If you want to help reimagine a centuries\-old industry with lasting impact, join us.
 Bestow offers flexible remote/hybrid work, meaningful benefits, equity, and substantial growth opportunities.
*Bestow participates in the* 
*E\-Verify Program* 
*.*
 The Senior Data Engineer at Bestow sits at the intersection of execution and architecture. You will not only build robust pipelines but also design scalable data models, design toward real\-time data sharing systems, mentor junior engineers, and own critical components of the data platform. You will bridge the gap between "making it work" and "making it scale." This role reports to the Senior Manager of Analytics.
**About The Team**
 The Bestow Data Engineering team plays a significant role within the organization, working across the entire company to provide scalable data solutions within the platform and toward integrations with external partners. The team works closely with the internal analytics, data science, and engineering teams to improve platform integrations, data architecture, and serve data science predictions.
**What You’ll Do**
* Transform and build robust solutions for transferring data from first and third\-party applications to and from our data warehouse
* Envision and design toward industry patterns on data exchange with our enterprise clients through a mix of traditional push delivery, cloud, and event\-driven (eg: API, grpc) data sharing methods.
* Support implementation and data integration as new partners roll onto the Bestow platform, and recommend improvements on configurability of platform.
* Making decisions as a team. The things you build will be maintained and improved upon by others; there is a shared responsibility to make defensible design considerations and high collaboration.
* Champion test\-first design principles, proactively writing tests before code to maintain high coverage and pipeline reliability.
* Develop hardened and repeatable (CI/CD) data models and pipelines to enable reporting, modeling and machine learning.
* Ensure data quality through automated monitoring and alerting, and occasionally serving within an on\-call rotation.
* Leverage Google Cloud (GCP) tools (eg: Cloud Run, Cloud Functions, Vertex AI, App Engine, Cloud Storage, IAM, etc.) and services (eg: Astronomer \- Apache Airflow) to bring data workloads to production.
* Drive and support MLOps to improve Data Science monitoring and governance
* Enable and support Generative AI (eg: LLM) pipelines, allowing internal teams to quickly prototype. Support the architecture and rollout of GenAI products and features into the marketplace.
* Collaborate with product, engineering, stakeholders and data teams to deliver informed solutions to platform and client needs
**Who You Are**
* 6\+ years working in a data engineering role supporting incoming/outgoing products for internal and external customers.
* 4\+ years demonstrated expertise in designing an end\-to\-end data pipeline in cloud frameworks (such as GCP, AWS, Azure) with requirements from multiple stakeholders.
* 4\+ years of Python experience writing efficient, testable, and readable code
* 2\+ years of experience in building streaming data ingestion pipelines
* 1\+ year of ML (Machine Learning) support and implementation or MLOps.
* Advanced SQL expertise with columnar databases (BigQuery, Snowflake, Amazon Redshift) and performance tuning.
* Demonstrated experience with AI Coding assistants – AI tools are heavily engrained in Bestow culture.
* Cloud Native: Deep experience with cloud services (GCP preferred: Cloud Run, Pub/Sub, BigQuery) and containerization (Docker/Kubernetes).
* Demonstrated experience with AI Coding assistants – AI tools are heavily engrained in Bestow culture.
* Orchestration: Expert\-level knowledge of Apache Airflow (DAG optimization, custom operators).
* Experience building CICD pipelines for data processing using tools such as Docker, CircleCI, dbt, git, etc
* Infrastructure as Code: Proven experience managing infrastructure using Terraform or Pulumi.
* Experience with creating alerts and monitoring pipelines which contribute to overall data governance.
* Familiarity with standard IT security practices such as identity and access management (IAM), data protection, encryption, certificate, and key management.
* Adaptability to learn new technologies and products as the job demands.
* Nice to have: Familiarity with building tools that draw upon Generative AI (GenAI) integrations (Enterprise\-grade, not simply vibe\-coded).
* Nice to have: experience with data contracts, data lakes, and API development
**TOTAL REWARDS**
 At Bestow, we’re proud to be awarded for our team members, innovative products, and culture. Our standard benefits include:
* Competitive salary and equity based on role
* Policies and managers that support work/life balance, like our flexible paid time off and parental leave programs
* 100% paid\-premium option for medical, dental, and vision insurance
* Lifestyle stipend to support your physical, emotional, and financial wellbeing
* Flexible work\-from\-home policy and open to remote
* Remote and WFH options, as well as a beautiful, state\-of\-the\-art office in Dallas’ Deep Ellum, for those who prefer an office setting
* Employee\-led diversity, equity, and inclusion initiatives
**Recent Employer Awards Include**
* Best Place for Working Parents 2023 \+ 2024 \+ 2025
* Great Place to Work Certified, 2022 \+ 2023 \+ 2024 \+ 2025
* Built In Best Places to Work, 2022 \+ 2023 \+ 2025
* Fortune’s Best Workplaces in Texas 2022 \+ 2023
* Fortune’s Best Workplaces in Financial Services and Insurance 2022 \+ 2023 \+ 2024
 We value diversity at Bestow. The company will hire, recruit, and promote regardless of race, color, religion, sex, sexual orientation, gender identity or expression, national origin, pregnancy or maternity, veteran status, or any other status protected by applicable law. We understand the importance of creating a safe and comfortable work environment and encourage individualism and authenticity in every team member.
 Thanks for considering a job at Bestow!</t>
        </is>
      </c>
    </row>
    <row r="20">
      <c r="A20" t="inlineStr">
        <is>
          <t>li-4357444864</t>
        </is>
      </c>
      <c r="B20" t="inlineStr">
        <is>
          <t>Senior Data Engineer</t>
        </is>
      </c>
      <c r="C20" t="inlineStr">
        <is>
          <t>Garner Health</t>
        </is>
      </c>
      <c r="D20" t="inlineStr">
        <is>
          <t>linkedin</t>
        </is>
      </c>
      <c r="E20" t="inlineStr"/>
      <c r="F20" t="inlineStr"/>
      <c r="G20" t="inlineStr">
        <is>
          <t>New York, NY</t>
        </is>
      </c>
      <c r="H20" t="inlineStr"/>
      <c r="I20" t="inlineStr">
        <is>
          <t>**Garner's mission is to transform the healthcare economy, delivering high\-quality and affordable care for all.**
 We are fundamentally reimagining how healthcare works in the U.S. by partnering with employers to redesign healthcare benefits using clear incentives and powerful, data\-driven insights. Our approach guides employees to higher\-quality, lower\-cost care, creating a system that works better for everyone. Patients achieve better health outcomes, employers spend healthcare dollars more effectively, and physicians are rewarded for delivering exceptional care rather than performing more procedures.
 Garner is one of the fastest\-growing healthcare technology companies in the country. Our products are trusted by the most sophisticated employers and providers in the industry, and we are building a team of talented, mission\-driven individuals who are motivated to make a meaningful impact on healthcare at scale.
**About the role:**
 We are seeking an exceptional Senior Data Engineer with a high sense of ownership who is excited about our mission, eager to learn and teach others, and can deliver across the tech stack. This role will report to our VP, Engineering. The ideal candidate should have experience with a modern data stack and implementations of data pipelines using Python and SQL in AWS.
**Where you will work:**
 This role will be based in our New York City office. You must be willing to work in the office 3 days per week on Tuesday, Wednesday and Thursday.
**What you will do:**
* Build, optimize, and maintain data pipelines that power our business
* Define and build out abstracted reusable data sets to be used for Business Intelligence, Marketing, and Data Science Research
* Design, build, and evangelize a federated data validation frameworks to be used to monitor potential data inconsistencies
* Protect our users' privacy and security through best practices
**The ideal candidate has:**
* 4\+ years of software/data engineering experience (distributed data processing, data warehousing, data governance, Big Data, data variance, data privacy, and data quality)
* Expertise in SQL, job experience, and demonstrated strength with Python
* Expertise in building scalable data pipelines, query optimization, data modeling, and defining reusable datasets
* Experience working with orchestration tools (especially Airflow), databases (especially PostgreSQL), datalakes (especially Iceberg), data warehouses (especially Snowflake)
* Expertise with SQL tuning, Spark development, medallion and event\-driven architectures.
* Familiarity with healthcare or insurance
* Familiarity with data security and HIPAA compliance
* A desire to be a part of a high\-performing, mission\-driven team that operates with intense urgency, a strong sense of individual accountability, and a commitment to authentic feedback
**Technologies we use:**
* Postgres/SQL, Snowflake, Python, AWS, Terraform, Argo, Airflow, Spark, DuckDB, Iceberg, Airbyte, DBT, ElasticSearch (aka OpenSearch), OpenTelemetry, Looker
 This is a unique opportunity to join a fast\-growing company in a transformative role, helping shape the future of healthcare.
**Compensation Transparency:**
 The target salary range for this position is $180,000\.00 \- $220,000\.00\. Individual compensation for this role will depend on various factors, including qualifications, skills, and applicable laws. In addition to base compensation, this role is eligible to participate in our equity incentive and competitive benefits plans, including but not limited to: flexible PTO, Medical/Dental/Vision plan options, 401(k) with company match, flexible spending accounts, Teladoc Health and more.
**Fraud and Security Notice:**
 Please be aware of recent job scam attempts. Our recruiters use getgarner.com and garnerhealth.com email domains exclusively. If you have been contacted by someone claiming to be a Garner recruiter or a hiring manager from a different domain about a potential job, please report it to law enforcement here and to candidateprotection@garnerhealth.com.
**Equal Employment Opportunity:**
 Garner Health is proud to be an Equal Employment Opportunity employer and values diversity in the workplace.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Garner Health is committed to providing accommodations for qualified individuals with disabilities in our recruiting process. If you need assistance or an accommodation due to a disability, you may contact us at talent@garnerhealth.com.</t>
        </is>
      </c>
    </row>
    <row r="21">
      <c r="A21" t="inlineStr">
        <is>
          <t>li-4344048838</t>
        </is>
      </c>
      <c r="B21" t="inlineStr">
        <is>
          <t>Data Engineer</t>
        </is>
      </c>
      <c r="C21" t="inlineStr">
        <is>
          <t>NinjaOne</t>
        </is>
      </c>
      <c r="D21" t="inlineStr">
        <is>
          <t>linkedin</t>
        </is>
      </c>
      <c r="E21" t="inlineStr"/>
      <c r="F21" t="inlineStr"/>
      <c r="G21" t="inlineStr">
        <is>
          <t>North Carolina, United States</t>
        </is>
      </c>
      <c r="H21" t="inlineStr"/>
      <c r="I21" t="inlineStr">
        <is>
          <t>**Description**
 About the Role
 At NinjaOne, we’re looking for a skilled Data Engineer to join our team and help drive the future of our data infrastructure. You’ll play a critical role in building, maintaining, and scaling our systems to ensure smooth data flow, accuracy, and security across the organization. This is an exciting opportunity to work on innovative projects, collaborate with cross\-functional teams, and help shape how we leverage data to fuel growth, optimize products, and drive business decisions.
 Location \- We are flexible on remote working from home, if you are located in the USA and reside in one of the following states \- CA, CO, CT, FL, GA, \*IL, KS, MA, MD, ME, NJ, NC, NY, OR, TN, TX, VA, and WA. We have physical offices in Austin, TX and Tampa, FL, if you prefer a hybrid option.
 We hire the best software engineers, but experience in our stack can’t hurt: NinjaOne is built on Java, Kotlin, C\+\+, Golang and Postgres; supporting millions of user endpoints and running as a scalable cloud service in AWS. Knowing large\-scale datastore bottlenecks, asynchronous application design and client\-server architecture will help you.
 What You’ll be Doing
* Data Pipeline Development: Design and implement scalable data pipelines that move and transform large volumes of data from multiple sources to central data warehouses, transforming data to enable business reporting and advanced analytics.
* Database Management: Manage and optimize the performance of relational databases, ensuring data availability, reliability, and consistency.
* Automation \&amp; Optimization: Automate and optimize data workflows to reduce manual processes and improve efficiency in data collection, storage, and processing.
* Monitoring \&amp; Maintenance: Ensure the integrity and security of data across systems, monitor performance, and troubleshoot any issues that arise within the data pipeline.
* Data Visualization: Build dashboards and reports in Tableau and Databricks to expose key data points and trends to business stakeholders.
* Collaboration: Work closely with data scientists, analysts, and other teams to gather requirements, understand data needs, and provide solutions that support data\-driven decision\-making.
* Other duties as needed.
**About You**
* Bachelor’s degree in Computer Science, Computer Engineering, Information Technology or equivalent work experience preferred.
* 3\+ years of experience in software development, with a strong focus on data engineering and data science.
* Experience in building data pipelines and managing large\-scale data systems using technologies like SQL and Python
* Proficiency in cloud platforms like AWS, GCP, or Azure, and experience with tools like Airflow, Kafka or dbt for orchestrating data workflows.
* Experience with both relational databases including MySQL, PostgreSQL and NoSQL databases like MongoDB, Cassandra.
* Experience with data warehousing concepts and tools such as Redshift, BigQuery, Snowflake.
**About Us**
 NinjaOne automates the hardest parts of IT to deliver visibility, security, and control over all endpoints for more than 20,000 customers. The NinjaOne automated endpoint management platform is proven to increase productivity, reduce security risk, and lower costs for IT teams and managed service providers. NinjaOne is obsessed with customer success and provides free and unlimited onboarding, training, and support. NinjaOne is \#1 on G2 in endpoint management, patch management, remote monitoring and management, and mobile device management.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Due to federal government security requirements associated with our FedRAMP\-authorized environment, candidates must be U.S. citizens or lawful permanent residents.
*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Maryland, New Jersey, or Washington the base salary hiring range for this position is $90,000 to $170,000 per year.
 For roles based in New York, the base salary hiring range for this position is $90,000 to $170,000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\#BI\-Remote
 \#BI\-Hybrid</t>
        </is>
      </c>
    </row>
    <row r="22">
      <c r="A22" t="inlineStr">
        <is>
          <t>li-4376095355</t>
        </is>
      </c>
      <c r="B22" t="inlineStr">
        <is>
          <t>Data Engineer</t>
        </is>
      </c>
      <c r="C22" t="inlineStr">
        <is>
          <t>Bright Vision Technologies</t>
        </is>
      </c>
      <c r="D22" t="inlineStr">
        <is>
          <t>linkedin</t>
        </is>
      </c>
      <c r="E22" t="inlineStr"/>
      <c r="F22" t="inlineStr"/>
      <c r="G22" t="inlineStr">
        <is>
          <t>Bridgewater, NJ</t>
        </is>
      </c>
      <c r="H22" t="inlineStr"/>
      <c r="I22" t="inlineStr">
        <is>
          <t>Bright Vision Technologies is a forward\-thinking software development company dedicated to building innovative solutions that help businesses automate and optimize their operations.
 We leverage cutting\-edge data engineering technologies to build scalable, reliable, and high\-performance data platforms. As we continue to grow, we’re looking for a skilled
 **Data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
**Company:** 
 Bright Vision Technologies ( www.bvteck.com )
**Job Title:** 
 Data Engineer
**Job Location:** 
 Bridgewater, New Jersey \- 08807
**Onsite/Hybrid**
**FULL\-TIME ROLE WITH BRIGHT VISION**
**Environment**
**Job Description:**
 Python, SQL, Data Warehousing, ETL/ELT pipelines, Apache Spark, Airflow, Kafka, Hadoop ecosystem, Snowflake / Redshift / BigQuery, Data Modeling, RESTful APIs, Cloud Platforms (AWS / Azure / GCP), Docker, Kubernetes (basic), CI/CD pipelines, Git, Linux, Agile methodologies
**BUT STRICTLY NO C2C/1099/3RD PARTY COMPANIES. ALL OUR ROLES ARE W2 AND NO 3RD PARTY BROKERING PLEASE.**
 For every role, a
 **coding test is required** 
 , so apply only if you are
 **confident and technically strong** 
 .
 We prefer
 **at least 3 to 5 years real time experience** 
 .
 If you are a
 **Data Engineer** 
 with the above skills and are looking for an
 **H\-1 B sponsorship** 
 this year, please send your resume immediately to
 **Venkat.r@bvteck.com** 
 .
 we are committed to providing equal employment opportunities and fostering an inclusive work environment. We encourage applications from all qualified individuals regardless of race, ethnicity, religion, gender identity, sexual orientation, age, disability, or any other protected status. If you require accommodations during the recruitment process, please let us know.
**Position offered by “No Fee agency.”**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Powered by JazzHR</t>
        </is>
      </c>
    </row>
    <row r="23">
      <c r="A23" t="inlineStr">
        <is>
          <t>li-4360726886</t>
        </is>
      </c>
      <c r="B23" t="inlineStr">
        <is>
          <t>Python Developer / Data Engineer – AI Tools &amp; Platforms</t>
        </is>
      </c>
      <c r="C23" t="inlineStr">
        <is>
          <t>Proven Recruiting</t>
        </is>
      </c>
      <c r="D23" t="inlineStr">
        <is>
          <t>linkedin</t>
        </is>
      </c>
      <c r="E23" t="inlineStr"/>
      <c r="F23" t="inlineStr"/>
      <c r="G23" t="inlineStr">
        <is>
          <t>San Diego, CA</t>
        </is>
      </c>
      <c r="H23" t="inlineStr"/>
      <c r="I23" t="inlineStr">
        <is>
          <t>**Python Developer / Data Engineer – San Diego**
**What You’ll Do**
* Build Python\-based internal tools, SDKs, and inference services to accelerate AI/ML workflows.
* Support rapid prototyping and POC validation for AI/ML research and experimentation.
* Collaborate with ML, data, and DevOps teams to integrate models into production environments.
* Document reusable components and best practices to standardize AI/ML development across teams.
**Who You Are**
* A Python\-focused engineer with experience supporting AI/ML or data\-driven applications.
* Comfortable with APIs, cloud infrastructure (AWS), and containerized environments (Docker/Kubernetes).
* A strong cross\-functional collaborator who works well with ML, data, and product teams
 Please respond directly to this ad or email a resume to klopez@provenrecruiting.com
**Apply Today!**
**What does this position pay?**
 Compensation is determined by several factors which may include skillset, experience level, and geographic location.
 The expected range for this role is $70\.00 to $75\.00 per hour. Please note this range is an estimate and actual pay may vary based on qualifications and experience.</t>
        </is>
      </c>
    </row>
    <row r="24">
      <c r="A24" t="inlineStr">
        <is>
          <t>li-4376077081</t>
        </is>
      </c>
      <c r="B24" t="inlineStr">
        <is>
          <t>Senior Data Engineer</t>
        </is>
      </c>
      <c r="C24" t="inlineStr">
        <is>
          <t>RE Partners</t>
        </is>
      </c>
      <c r="D24" t="inlineStr">
        <is>
          <t>linkedin</t>
        </is>
      </c>
      <c r="E24" t="inlineStr"/>
      <c r="F24" t="inlineStr"/>
      <c r="G24" t="inlineStr">
        <is>
          <t>Dallas, TX</t>
        </is>
      </c>
      <c r="H24" t="inlineStr"/>
      <c r="I24" t="inlineStr">
        <is>
          <t>**Who We Are:** 
 We are a fast growing business and technology consultant company co\-founded in 2019\. We offer a custom\-tailored, white\-glove engineering service fit for our clients, because a digital transformation is more than just technology. With a successful track record of being a preferred vendor for Fortune 500 companies and as a trusted partner for some of the industry’s leading companies, our global talent has helped many clients achieve their goals.
**The 3 G’s of RE:** 
 “Get Shit Done.”
 “Get Over Shit.”
 “Give a Shit.”
**What You’ll Do:** 
* Design and build Spark data ETL pipelines on AWS data platform.
* Collaborate with cross functional teams such as data scientists, fraud, marketing and other business stakeholders to understand their data needs and deliver reliable solutions.
* Optimize data infrastructure \- Design and maintain robust data infrastructure by using modern data platform architecture.
* Ensure data quality and reliability.
* Innovate and follow best practices.
* Ensure operational excellence of the data platform, including monitoring, incident response, performance optimization, and continuous improvement.
**Who We’re Looking For:** 
* Professional experience working in data warehousing, data architecture, and/or data engineering environments, especially using spark, hadoop, hive etc with solid understanding of streaming pipelines.
* Proficiency in at least one high\-level programming language (Scala, Java, Python or equivalent)
* Good understanding of databases
* You have built large\-scale data products and understand the tradeoffs made when building these features
* You have a deep understanding of system design, data structures, and algorithms
* You have an excellent knowledge of distributed computing frameworks such as Hadoop MapReduce, Spark
* You have a strong knowledge of following AWS infrastructure \- EMR, S3, Lambda, Redshift etc
* You have strong understanding of data quality, governance
* You are a team player, self\-driven, highly motivated individual who loves to learn new things
**Join Our Global Team:** 
 We invite you to apply for the position at RE Partners. Join us in shaping the future of business technology consulting and transforming the way organizations thrive in a digital world. As a diverse, woman\-owned global business, we pride ourselves on keeping talent happy – our 7% attrition rate speaks volumes. Bring your talented friends along and earn a referral bonus
**Equal Opportunity Employer:** 
 We are an equal opportunity employer and welcome applications from all qualified individuals regardless of race, color, religion, gender, sexual orientation, gender identity or expression, national origin, age, disability, or veteran status.</t>
        </is>
      </c>
    </row>
    <row r="25">
      <c r="A25" t="inlineStr">
        <is>
          <t>li-4374575990</t>
        </is>
      </c>
      <c r="B25" t="inlineStr">
        <is>
          <t>SQL Server Data Engineer</t>
        </is>
      </c>
      <c r="C25" t="inlineStr">
        <is>
          <t>Vytwo Technologies Inc</t>
        </is>
      </c>
      <c r="D25" t="inlineStr">
        <is>
          <t>linkedin</t>
        </is>
      </c>
      <c r="E25" t="inlineStr"/>
      <c r="F25" t="inlineStr"/>
      <c r="G25" t="inlineStr">
        <is>
          <t>Prosper, TX</t>
        </is>
      </c>
      <c r="H25" t="inlineStr"/>
      <c r="I25" t="inlineStr">
        <is>
          <t>**Job Description:**
 The client is seeking a highly skilled technical consultant to support a homegrown VBA\-based application called Star Tracker, built with MS Access Forms (front end) and SQL Server databases (back end). This 6 month engagement focuses on documenting the existing solution, refreshing and optimizing SQL Server databases, and providing maintenance support. The consultant will also produce comprehensive documentation to enable a clean handoff to Optum Tech, who will lead the upcoming migration of the solution to Snowflake.
 ^Remote Work
* Must be authorized to work in USA with a valid VISA/GC/USC
* Previous United Health /Optum experience is a must.
**Key Responsibilities**
* Application \&amp; Architecture Documentation
* Conduct a thorough assessment of the existing MS Access/VBA front\-end and SQL Server back\-end architecture.
* Document application workflow, business logic, data flows, dependencies, and integration points.
* Create detailed technical documentation including:
* Entity relationship diagrams
* Process flows and data lineage
* VBA module/function catalog
* Configuration and environment details
* SQL Server Database Refresh \&amp; Optimization
* Review and assess the current SQL Server database structure, stored procedures, tables, indexes, and jobs.
* Perform cleanup, optimization, and refresh activities including:
* Index tuning
* Query optimization
* Archival strategies
* Database health checks and remediation
* Ensure alignment of SQL Server structures with documented business and technical requirements.
* Application Maintenance \&amp; Support
* Provide ongoing support for the existing Star Tracker application during the engagement period.
* Troubleshoot issues with both the MS Access/VBA front end and SQL Server back end.
* Implement minor fixes or enhancements as needed to maintain stability.
* Migration Readiness \&amp; Handoff
* Partner closely with Optum Tech to prepare the solution for migration to Snowflake.
* Ensure documentation is complete, structured, and migration friendly.
* Participate in knowledge transfer sessions with technical and product teams.
* Identify risks, gaps, or dependencies that may impact migration readiness.
**Required skills:**
**Required Qualifications**
* 5\+ years of experience with MS Access, VBA, and SQL Server development and support.
* Strong SQL Server expertise including stored procedures, performance tuning, indexing, and data modeling.
* Experience documenting legacy systems and reverse engineering both database and application logic.
* Ability to quickly interpret and simplify complex VBA and Access form structures.
* Strong understanding of data architecture principles and migration considerations.
* Excellent communication skills for cross team collaboration and knowledge transfer.
 Preferred skills:
**Preferred Qualifications**
* Experience modernizing or supporting VBA/MS Access based applications.
* Exposure to cloud data technologies—especially Snowflake—is a plus.
* Familiarity with Optum’s technology ecosystem or healthcare data environments.
* Experience producing migration ready documentation.
 This is a remote position.</t>
        </is>
      </c>
    </row>
    <row r="26">
      <c r="A26" t="inlineStr">
        <is>
          <t>li-4374082620</t>
        </is>
      </c>
      <c r="B26" t="inlineStr">
        <is>
          <t>Data Engineer</t>
        </is>
      </c>
      <c r="C26" t="inlineStr">
        <is>
          <t>Avance Consulting</t>
        </is>
      </c>
      <c r="D26" t="inlineStr">
        <is>
          <t>linkedin</t>
        </is>
      </c>
      <c r="E26" t="inlineStr"/>
      <c r="F26" t="inlineStr"/>
      <c r="G26" t="inlineStr">
        <is>
          <t>Austin, TX</t>
        </is>
      </c>
      <c r="H26" t="inlineStr"/>
      <c r="I26" t="inlineStr">
        <is>
          <t>**Job Title: Spark and Scala Lead Developer** 
**Location: Cupertino, CA, Austin TX** 
**Duration: Full Time** 
**Required Qualifications** 
* At least 4 years of experience with Information Technology
* Strong understanding of distributed computing principles and big data technologies
* Hands on experience working with Apache Spark, Scala, Spark SQL and Starburst
* Hands on experience with Big Data systems, building ETL pipelines, data processing, and analytics tools
* Understanding of data structures, algorithms \&amp; common methods in data transformation
* Familiar with the concepts of dimensional modeling
* Sound knowledge of one programming language \- Python or Java
* Programming experience using tools such as Hadoop and Spark
* Strong proficiency in using query languages such as SQL, Hive and SparkSQL
* Experience in Scala Functional programming
**Preferred Qualifications:** 
* Experience in Kafka would be a plus
* Knowledge of data serialization formats such as Parquet, Avro, or ORC
* Familiarity with data processing and transformation techniques
* Experience with data lakes, data warehouses, and ETL processes
* Good understanding of Agile software development frameworks
* Strong communication and Analytical skills
* Ability to work in teams in a diverse, multi\-stakeholder environment comprising of Business and Technology teams
* Experience and desire to work in a global delivery environment</t>
        </is>
      </c>
    </row>
    <row r="27">
      <c r="A27" t="inlineStr">
        <is>
          <t>li-4376090087</t>
        </is>
      </c>
      <c r="B27" t="inlineStr">
        <is>
          <t>Azure Data Engineer</t>
        </is>
      </c>
      <c r="C27" t="inlineStr">
        <is>
          <t>Precision Technologies</t>
        </is>
      </c>
      <c r="D27" t="inlineStr">
        <is>
          <t>linkedin</t>
        </is>
      </c>
      <c r="E27" t="inlineStr"/>
      <c r="F27" t="inlineStr"/>
      <c r="G27" t="inlineStr"/>
      <c r="H27" t="inlineStr"/>
      <c r="I27" t="inlineStr">
        <is>
          <t>**Job Title: Azure Data Engineer** 
**Location: United States — Onsite / Hybrid / Remote** 
**Employment Type: W2 · Full\-time · All immigration statuses accepted** 
**Key Responsibilities:**
* Design, develop, and maintain scalable data solutions on the Microsoft Azure cloud platform.
* Build and optimize data pipelines using Azure Data Factory (ADF) for ETL/ELT processing.
* Develop data transformation workflows using Azure Databricks and PySpark / Spark SQL.
* Implement data storage solutions using Azure Data Lake Storage (ADLS Gen2\) and Azure Synapse Analytics.
* Design and manage relational databases using Azure SQL Database and SQL Server.
* Build real\-time and batch data processing solutions using Azure Stream Analytics and event\-driven architectures.
* Develop and optimize complex SQL queries, stored procedures, views, and indexing strategies.
* Implement data modeling techniques (Star Schema, Snowflake Schema, Data Vault).
* Integrate Azure data platforms with third\-party systems using REST APIs and messaging services.
* Ensure data quality, governance, lineage, and security across data platforms.
* Implement role\-based access control (RBAC) and data encryption strategies.
* Monitor, troubleshoot, and optimize performance of data pipelines and analytics workloads.
* Automate deployments using CI/CD pipelines in Azure DevOps.
* Work closely with Data Analysts, Data Scientists, Architects, and Business Stakeholders to deliver data\-driven solutions.
* Participate in Agile/Scrum ceremonies and contribute to technical documentation.
* Support production deployments and resolve post\-production data issues.
* Stay updated with new Azure data services, features, and best practices.
**Contact:**
**Mohana Guddanti, Talent Management Team** 
**📧 mohana.g@precisiontechcorp.com**</t>
        </is>
      </c>
    </row>
    <row r="28">
      <c r="A28" t="inlineStr">
        <is>
          <t>li-4348065475</t>
        </is>
      </c>
      <c r="B28" t="inlineStr">
        <is>
          <t>Staff Data Engineer</t>
        </is>
      </c>
      <c r="C28" t="inlineStr">
        <is>
          <t>Gridware</t>
        </is>
      </c>
      <c r="D28" t="inlineStr">
        <is>
          <t>linkedin</t>
        </is>
      </c>
      <c r="E28" t="inlineStr"/>
      <c r="F28" t="inlineStr"/>
      <c r="G28" t="inlineStr">
        <is>
          <t>San Francisco, CA</t>
        </is>
      </c>
      <c r="H28" t="inlineStr"/>
      <c r="I28" t="inlineStr">
        <is>
          <t>**About Gridware** 
 Gridware is a San Francisco\-based technology company dedicated to protecting and enhancing the electrical grid. We pioneered a groundbreaking new class of grid management called active grid response (AGR), focused on monitoring the electrical, physical, and environmental aspects of the grid that affect reliability and safety. Gridware’s advanced Active Grid Response platform uses high\-precision sensors to detect potential issues early, enabling proactive maintenance and fault mitigation. This comprehensive approach helps improve safety, reduce outages, and ensure the grid operates efficiently. The company is backed by climate\-tech and Silicon Valley investors. For more information, please visit 
 www.Gridware.io
 .
**Role Description** 
 As a Staff Data Engineer / Data Architect at Gridware, you will define and build the architecture of our most critical data systems, spanning real\-time streaming pipelines, Lakehouse governance, telemetry ingestion, and cross\-domain data models. This role sits at the top of the technical IC track and requires deep expertise in distributed data systems, IoT telemetry flows, and architectural strategy.
 You will partner across Firmware, Software, DevOps, and Data Science to establish Gridware’s long\-term data platform vision. Your work will directly shape how sensor and grid event data flows through our system, enabling fault detection, wildfire risk mitigation, and real\-time grid intelligence at scale.
**Responsibilities** 
* Architect and scale high\-throughput ingestion systems for sensor telemetry, device metadata, and real\-time grid events.
* Design end\-to\-end data platform architecture, including Lakehouse structures, governance layers, data domains, and lineage standards.
* Lead the evolution of our Event Streaming Platform, including schema strategy, Protobuf evolution, retention policies, and reliability models.
* Develop fault\-tolerant, self\-healing data services that maintain availability during storms, outages, and high\-volume event bursts.
* Drive multi\-quarter, multi\-team data initiatives and partner across engineering to establish consistent ingestion contracts, schemas, and standards.
**Required Skills** 
* 10\+ years of experience in Data Engineering, Data Architecture, or Distributed Systems roles.
* Expert\-level knowledge of event streaming (Kafka/Kinesis), distributed compute (Spark/Databricks), and Lakehouse architectures.
* Demonstrated experience designing large\-scale, real\-time telemetry or IoT data pipelines with strong reliability requirements.
* Deep understanding of partitioning, backpressure, consistency models, and distributed system internals.
* Proven ability to own complex systems end\-to\-end and influence technical strategy across teams.
**Bonus Skills** 
* Experience with industrial IoT, sensor networks, or utility/energy data.
* Expertise in Kubernetes, service mesh patterns, or cloud infrastructure for data\-intensive systems.
* Background designing data governance frameworks or domain ownership models.
* Open\-source contributions, publications, or talks in distributed systems or data platform architecture.
* Experience building high\-SLA ingestion platforms for real\-time monitoring or alerting systems.
*\*\*At this time, Gridware is unable to provide visa sponsorship or immigration support for this role. We’re only able to consider candidates who are currently authorized to work in the country of employment without visa sponsorship now or in the future.\*\** 
 This describes the ideal candidate; many of us have picked up this expertise along the way. Even if you meet only part of this list, we encourage you to apply!
**Benefits** 
 Health, Dental \&amp; Vision (Gold and Platinum with some providers plans fully covered) 
 Paid parental leave 
 Alternating day off (every other Monday)
 “Off the Grid”, a two week per year paid break for all employees. 
 Commuter allowance 
 Company\-paid training</t>
        </is>
      </c>
    </row>
    <row r="29">
      <c r="A29" t="inlineStr">
        <is>
          <t>li-4376087603</t>
        </is>
      </c>
      <c r="B29" t="inlineStr">
        <is>
          <t>AWS Databricks Data Engineer</t>
        </is>
      </c>
      <c r="C29" t="inlineStr">
        <is>
          <t>Precision Technologies</t>
        </is>
      </c>
      <c r="D29" t="inlineStr">
        <is>
          <t>linkedin</t>
        </is>
      </c>
      <c r="E29" t="inlineStr"/>
      <c r="F29" t="inlineStr"/>
      <c r="G29" t="inlineStr"/>
      <c r="H29" t="inlineStr"/>
      <c r="I29" t="inlineStr">
        <is>
          <t>**Job Title: AWS Databricks Data Engineer** 
**Job Description –** 
 We are seeking a highly skilled AWS Data Engineer with strong expertise in SQL, Python, PySpark, Data Warehousing, and Cloud\-based ETL to join our data engineering team. The ideal candidate will design, implement, and optimize large\-scale data pipelines, ensuring scalability, reliability, and high performance. This role requires close collaboration with cross\-functional teams and business stakeholders to deliver modern, efficient data solutions.
**1\. Data Pipeline Development** 
* Build and maintain scalable ETL/ELT pipelines using Databricks on AWS.
* Leverage PySpark/Spark and SQL to transform and process large, complex datasets.
* Integrate data from multiple sources including S3, relational/non\-relational databases, and AWS\-native services.
**2\. Collaboration \&amp; Analysis** 
* Partner with downstream teams to prepare data for dashboards, analytics, and BI tools.
* Work closely with business stakeholders to understand requirements and deliver tailored, high‑quality data solutions.
**3\. Performance \&amp; Optimization** 
* Optimize Databricks workloads for cost, performance, and efficient compute utilization.
* Monitor and troubleshoot pipelines to ensure reliability, accuracy, and SLA adherence.
* Apply query optimization, Spark tuning, and shuffle minimization best practices when handling tens of millions of rows.
**4\. Governance \&amp; Security** 
* Implement and manage data governance, access control, and security policies using Unity Catalog.
* Ensure compliance with organizational and regulatory data‑handling standards.
**5\. Deployment \&amp; DevOps** 
* Use Databricks Asset Bundles for deployment of jobs, notebooks, and configuration across environments.
* Maintain effective version control of Databricks artifacts using GitLab or similar tools.
* Use CI/CD pipelines to support automated deployments and environment setups.
**Preferred Experience** 
* Experience with Databricks Runtime configurations and advanced features.
* Knowledge of streaming frameworks such as Spark Structured Streaming.
* Experience developing real\-time or near real\-time data solutions.
* Exposure to GitLab pipelines or similar CI/CD systems.
**Certifications (Optional)** 
* Databricks Certified Data Engineer Associate / Professional
* AWS Data Engineer or AWS Solutions Architect certification
 📢
 **Please reach me at 732\-348\-5149 or you can send me your updated resume at javeed@ptcit.com** 
 📢
 **Next Steps:\- I apologize in advance if I miss your call or there is a delay in my response. Please be assured that I will get back to you at the earliest opportunity. All applications will be reviewed carefully, and we sincerely appreciate your patience and understanding during this process.**</t>
        </is>
      </c>
    </row>
    <row r="30">
      <c r="A30" t="inlineStr">
        <is>
          <t>li-4352616393</t>
        </is>
      </c>
      <c r="B30" t="inlineStr">
        <is>
          <t>Senior Data Engineer</t>
        </is>
      </c>
      <c r="C30" t="inlineStr">
        <is>
          <t>Koch</t>
        </is>
      </c>
      <c r="D30" t="inlineStr">
        <is>
          <t>linkedin</t>
        </is>
      </c>
      <c r="E30" t="inlineStr"/>
      <c r="F30" t="inlineStr"/>
      <c r="G30" t="inlineStr">
        <is>
          <t>Dallas, TX</t>
        </is>
      </c>
      <c r="H30" t="inlineStr"/>
      <c r="I30" t="inlineStr">
        <is>
          <t>**Your Job**
 The Data Engineer will play a critical role in transforming the way we design, develop, and implement robust data pipelines to enable seamless data flow and support various initiatives at Koch Industries. This role requires hands\-on expertise in SQL and Python coding and acts as a Subject Matter Expert (SME) in data engineering, helping position us for scalability and future industry advancements. The Data Engineer will partner closely with solution and data architects on design and implementation, collaborating with various capability teams to drive effective and scalable data solutions.
**Our Team**
 The DMET (Data Management, Enablement and Transformation) team is focused on developing a long\-term sustainable capability utilizing data and technology to transform tax and finance. This includes a diverse group with multiple teams focused on data platform technologies, specific data products and transformation with an emphasis on data security. Our strategy will empower the finance and tax organizations to create superior value while consuming few resources, unlocking analytical capabilities, mitigating risk, and meeting ever changing regulatory requirements.
**Location: This role can be located in Wichita, KS / Plano, TX / Atlanta, GA and requires an onsite presence with flexibility.**
**This role is not eligible for VISA sponsorship.**
**What You Will Do**
* Write efficient, maintainable SQL and Python code to create, implement, and optimize data pipelines ensuring high data quality and flow across systems.
* Collaborate closely with architecture teams to design and implement scalable data solutions aligned with enterprise architecture standards.
* Apply a thorough understanding of the full Software Development Life Cycle (SDLC) and AI Development Life Cycle (AIDLC) frameworks, including requirements gathering, development, testing, deployment, and maintenance phases.
* Work within Agile frameworks to deliver incremental value, participate in sprint planning, stand\-ups, retrospectives, and continuous improvement activities.
* Serve as a trusted Subject Matter Expert (SME) for data engineering, providing guidance and domain knowledge when interacting with cross\-functional teams from various business and technical capabilities.
* Support data governance, data quality initiatives, and ensure compliance with security and privacy policies.
* Document data architecture designs, pipeline workflows, and best practices to promote knowledge sharing and operational excellence.
**Who You Are (Basic Qualifications)**
* Proven experience coding in SQL and Python for building and maintaining data pipelines.
* Hands\-on experience collaborating with architecture teams to implement data solutions.
* Strong understanding of the full SDLC and practical experience working in Agile development environments.
* Excellent communication skills, with the ability to clearly articulate technical concepts to non\-technical stakeholders and act as an SME across teams.
**What Will Put You Ahead**
* Familiarity with dbt (Data Build Tool) for data transformation and modeling.
* Strong experience working with Snowflake data warehouse and cloud infrastructure in AWS.
* Proficiency with GitHub or similar version control tools for collaborative development.
* Prior exposure to other orchestration or pipeline tools, such as Apache Airflow or Prefect.
* Experience with distributed events and stream\-processing, such as Kafka.
* Experience with observability tools, such as Grafana or Datadog.
* Understanding of data governance, security protocols, and compliance.
* Knowledge or hands\-on experience with AI/ML concepts, frameworks, or model deployment.
*At Koch companies, we are entrepreneurs. This means we openly challenge the status quo, find new ways to create value and get rewarded for our individual contributions. Any compensation range provided for a role is an estimate determined by available market data. The actual amount may be higher or lower than the range provided considering each candidate's knowledge, skills, abilities, and geographic location. If you have questions, please speak to your recruiter about the flexibility and detail of our compensation philosophy.*
**Hiring Philosophy**
 All Koch companies value diversity of thought, perspectives, aptitudes, experiences, and backgrounds. We are Military Ready and Second Chance employers. Learn more about our hiring philosophy here.
**Who We Are**
 Koch creates and innovates a wide spectrum of products and services that make life better. Our work spans a vast number of industries across the world, including engineered technology, refining, chemicals and polymers, pulp and paper, glass, electronics and many more. Headquartered in Wichita, Kansas, Koch employs about 120,000 employees across the globe.
 At Koch, employees are empowered to do what they do best to make life better. Learn how our business philosophy helps employees unleash their potential while creating value for themselves and the company.
**Our Benefits**
 Our goal is for each employee, and their families, to live fulfilling and healthy lives. We provide essential resources and support to build and maintain physical, financial, and emotional strength \- focusing on overall wellbeing so you can focus on what matters most. Our benefits plan includes \- medical, dental, vision, flexible spending and health savings accounts, life insurance, ADD, disability, retirement, paid vacation/time off, educational assistance, and may also include infertility assistance, paid parental leave and adoption assistance. Specific eligibility criteria is set by the applicable Summary Plan Description, policy or guideline and benefits may vary by geographic region. If you have questions on what benefits apply to you, please speak to your recruiter.
 Additionally, everyone has individual work and personal needs. We seek to enable the best work environment that helps you and the business work together to produce superior results.
**Equal Opportunities**
 Equal Opportunity Employer, including disability and protected veteran status. Except where prohibited by state law, some offers of employment are conditioned upon successfully passing a drug test. This employer uses E\-Verify. Please click here for additional information. (For Illinois E\-Verify information click here, aquí, or tu).</t>
        </is>
      </c>
    </row>
    <row r="31">
      <c r="A31" t="inlineStr">
        <is>
          <t>li-4325350130</t>
        </is>
      </c>
      <c r="B31" t="inlineStr">
        <is>
          <t>Staff Data Engineer</t>
        </is>
      </c>
      <c r="C31" t="inlineStr">
        <is>
          <t>Collective Health</t>
        </is>
      </c>
      <c r="D31" t="inlineStr">
        <is>
          <t>linkedin</t>
        </is>
      </c>
      <c r="E31" t="inlineStr"/>
      <c r="F31" t="inlineStr"/>
      <c r="G31" t="inlineStr">
        <is>
          <t>San Francisco, CA</t>
        </is>
      </c>
      <c r="H31" t="inlineStr"/>
      <c r="I31" t="inlineStr">
        <is>
          <t>At Collective Health, we’re transforming how employers and their people engage with their health benefits by seamlessly integrating cutting\-edge technology, compassionate service, and world\-class user experience design.
 The Data Engineering Platform team is responsible for building the foundational data systems that power Collective Health’s operations and insights. Our team enables reliable, governed, and scalable data flows that support analytics, data science, and external reporting across the company. The Data Ingestion \&amp; Modeling team focuses specifically on transforming raw data into robust, trusted data warehouse models that serve as the single source of truth for downstream use.
 As a Staff Data Engineer, you’ll lead the technical strategy and execution for the ingestion and modeling layer of our data platform. You will work hands\-on to design, build, and optimize data pipelines and dimensional models, while also setting technical direction and mentoring a small team of 2–4 data engineers. This is a key technical leadership role—not a people management role—that will shape how we transform raw data into clean, analytics\-ready datasets. You’ll report to the Director of Data Engineering Platforms and work closely with peers across analytics, product, and operations to deliver data solutions that matter.
**What You'll Do**
* Lead technical design and implementation of ingestion and transformation pipelines from various source systems into our centralized data warehouse.
* Develop, maintain, and evolve dimensional models (facts and dimensions) to support analytics, reporting, and data science.
* Partner with data analysts, product managers, and domain experts to ensure models are aligned with business needs and definitions.
* Review code, mentor teammates, and raise the bar on engineering quality and operational reliability.
* Own and improve the team’s ELT workflows, including orchestration, testing, observability, and CI/CD practices.
* Drive consistency and reuse across domains through shared data modeling patterns, frameworks, and tools.
* Help prioritize technical debt and contribute to long\-term architecture decisions in collaboration with other data platform leads.
**To Be Successful In This Role, You'll Need**
* 12\+ years of experience as a data engineer or analytics engineer, with deep experience designing and building data warehouse models.
* Expertise in modern ELT pipelines, data modeling (especially dimensional models), and warehouse technologies like Snowflake, Databricks, or BigQuery.
* Strong proficiency in SQL and at least one programming language (e.g., Python or Scala).
* Experience working with orchestration tools such as Airflow or DBT to manage pipeline workflows.
* A strong sense of data governance, data quality, and testing best practices.
* A collaborative mindset with the ability to influence and guide peers through technical leadership, not management.
* Experience in healthcare or other regulated data environments is a plus, but not required.
 Pay Transparency Statement
 This is a hybrid position based out of one of our offices: San Francisco, CA, Plano, TX, or Lehi, UT. Hybrid employees are expected to be in the office two days per week.
 The actual pay rate offered within the range will depend on factors including geographic location, qualifications, experience, and internal equity. In addition to the salary, you will be eligible for 330000 stock options and benefits like health insurance, 401k, and paid time off
 *.* 
 Learn more about our benefits at https://jobs.collectivehealth.com/benefits/.
 San Francisco, CA Pay Range
 $194,670—$243,500 USD
 Lehi, UT Pay Range
 $155,500—$194,000 USD
 Plano, TX Pay Range
 $171,000—$213,500 USD
 Why Join Us?
* Mission\-driven culture that values innovation, collaboration, and a commitment to excellence in healthcare
* Impactful projects that shape the future of our organization
* Opportunities for professional development through internal mobility opportunities, mentorship programs, and courses tailored to your interests
* Flexible work arrangements and a supportive work\-life balance
 We are an equal opportunity employer and value diversity at our company. We do not discriminate on the basis of race, religion, color, national origin, gender, sexual orientation, age, marital status, veteran status, or disability status. Collective Health is committed to providing support to candidates who require reasonable accommodation during the interview process. If you need assistance, please contact recruiting\-accommodations@collectivehealth.com.
 Privacy Notice
 For more information about why we need your data and how we use it, please see our privacy policy: https://collectivehealth.com/privacy\-policy/.</t>
        </is>
      </c>
    </row>
    <row r="32">
      <c r="A32" t="inlineStr">
        <is>
          <t>li-4357596037</t>
        </is>
      </c>
      <c r="B32" t="inlineStr">
        <is>
          <t>Data Engineer, Digitization Technology</t>
        </is>
      </c>
      <c r="C32" t="inlineStr">
        <is>
          <t>Thermo Fisher Scientific</t>
        </is>
      </c>
      <c r="D32" t="inlineStr">
        <is>
          <t>linkedin</t>
        </is>
      </c>
      <c r="E32" t="inlineStr"/>
      <c r="F32" t="inlineStr"/>
      <c r="G32" t="inlineStr">
        <is>
          <t>Grand Island, NY</t>
        </is>
      </c>
      <c r="H32" t="inlineStr"/>
      <c r="I32" t="inlineStr">
        <is>
          <t>**Work Schedule**
 Standard (Mon\-Fri)
**Environmental Conditions**
 Office
 The Data Engineer, Digitization Technology is part of the Biologicals and Chemicals Division, one of the fastest\-growing areas of the company, supporting developers and manufacturers of biological\-based therapeutics and vaccines. This role contributes to the division’s digitization efforts by enabling reliable, high\-quality experimental data to flow from laboratory systems into downstream analytical platforms.
 Working at the intersection of laboratory systems and the enterprise data platform, the Data Engineer plays a key role in ensuring experimental data is structured, interpretable, and ready for use in analytics, reporting, and future advanced data applications.
 Location: Grand Island, NY
 Division: Biologicals and Chemicals Division
**Responsibilities**
* Develop, maintain, and support mission\-critical data pipelines that move experimental data from laboratory systems (e.g., LIMS and ELN) into the division’s data lake.
* Ingest and curate historical experimental data, addressing inconsistencies, data quality issues, and evolving data structures to ensure downstream usability and trust.
* Maintain and support the LIMS environment, including troubleshooting data\-related issues and collaborating with system stakeholders to resolve root causes.
* Apply data quality checks, validation logic, and monitoring to ensure accuracy, consistency, and completeness of ingested data.
* Collaborate closely with data architecture, data operations, and platform teams to align ingestion processes with established data standards and platform requirements.
* Support downstream analytics and reporting use cases by ensuring experimental data is well\-structured, documented, and appropriately contextualized.
* Contribute to documentation of data pipelines, data structures, and ingestion processes to support transparency, reuse, and long\-term maintainability.
* Continue to develop technical skills across data engineering, analytics, and visualization through hands\-on work and collaboration with more senior engineers.
**Education**
* Bachelor’s degree in Computer Science, Engineering, or a related field, or equivalent practical experience.
* Minimum of 2 years of relevant professional experience.
**Experience \&amp; Technical Skills**
* At least 2 years of experience in a data engineering or data\-focused software role, with exposure to technical, business, or operational data requirements.
* Experience working with data lakes, analytics platforms, or business intelligence solutions.
* Hands\-on experience using AWS and Databricks or similar data processing platforms.
* Proficiency in Python and common Python libraries used for data processing and analysis.
* Experience working with SQL databases, including writing and optimizing queries, debugging data issues, and working with views, indexes, and user\-defined functions.
* Familiarity with laboratory or scientific data systems (e.g., LIMS) is preferred.
**Working Style \&amp; Collaboration**
* Ability to work effectively as part of a cross\-functional team, collaborating with engineers, scientists, and data stakeholders.
* Comfortable working with complex, evolving datasets and addressing ambiguity in historical or experimental data.
* Demonstrated problem\-solving skills and a willingness to learn and grow within a data engineering environment.
**Compensation And Benefits**
 The salary range estimated for this position based in New York is $66,000\.00–$90,000\.00\.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t>
        </is>
      </c>
    </row>
    <row r="33">
      <c r="A33" t="inlineStr">
        <is>
          <t>li-4352255169</t>
        </is>
      </c>
      <c r="B33" t="inlineStr">
        <is>
          <t>Databricks Data Engineer - Manager - Consulting - Miami</t>
        </is>
      </c>
      <c r="C33" t="inlineStr">
        <is>
          <t>EY</t>
        </is>
      </c>
      <c r="D33" t="inlineStr">
        <is>
          <t>linkedin</t>
        </is>
      </c>
      <c r="E33" t="inlineStr"/>
      <c r="F33" t="inlineStr"/>
      <c r="G33" t="inlineStr">
        <is>
          <t>Raleigh, NC</t>
        </is>
      </c>
      <c r="H33" t="inlineStr"/>
      <c r="I33"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34">
      <c r="A34" t="inlineStr">
        <is>
          <t>li-4285769881</t>
        </is>
      </c>
      <c r="B34" t="inlineStr">
        <is>
          <t>Staff Data Platform Engineer - Data Engine</t>
        </is>
      </c>
      <c r="C34" t="inlineStr">
        <is>
          <t>Applied Intuition</t>
        </is>
      </c>
      <c r="D34" t="inlineStr">
        <is>
          <t>linkedin</t>
        </is>
      </c>
      <c r="E34" t="inlineStr"/>
      <c r="F34" t="inlineStr"/>
      <c r="G34" t="inlineStr">
        <is>
          <t>Sunnyvale, CA</t>
        </is>
      </c>
      <c r="H34" t="inlineStr"/>
      <c r="I34" t="inlineStr">
        <is>
          <t>**About Applied Intuition**
 Applied Intuition, Inc. is powering the future of physical AI. Founded in 2017 and now valued at $15 billion, the Silicon Valley company is creating the digital infrastructure needed to bring intelligence to every moving machine on the planet. Applied Intuition services the automotive, defense, trucking, construction, mining and agriculture industries in three core areas: tools and infrastructure, operating systems, and autonomy. Eighteen of the top 20 global automakers, as well as the United States military and its allies, trust the company’s solutions to deliver physical intelligence. Applied Intuition is headquartered in Sunnyvale, California, with offices in Washington, D.C.; San Diego; Ft. Walton Beach, Florida; Ann Arbor, Michigan; London; Stuttgart; Munich; Stockholm; Bangalore; Seoul; and Tokyo. Learn more at applied.co.
*We are an in\-office company, and our expectation is that employees primarily work from their Applied Intuition office 5 days a week. However, we also recognize the importance of flexibility and trust our employees to manage their schedules responsibly. This may include occasional remote work, starting the day with morning meetings from home before heading to the office, or leaving earlier when needed to accommodate family commitments.*
**About The Role**
 We are looking for a Staff Data Platform Engineer to shape the strategy, architecture, and execution of our next\-generation data ecosystem. In this role, you will partner closely with our autonomy stack teams—the “customers” of our platform—to deeply understand their workflows, pain points, and evolving needs.
 You will lead the design and development of robust, scalable, and data\-intensive distributed systems that power the full lifecycle of autonomous driving data: collection, ingestion, curation, machine learning training, and evaluation. You’ll be a key decision\-maker in defining best practices, data contracts, and integration patterns across upstream and downstream systems.
 This is a highly impactful role for someone who thrives at the intersection of technical leadership, system design, and cross\-team collaboration, and who wants to elevate the capabilities of our data platform to support cutting\-edge ML and autonomy development.
**At Applied Intuition, you will:**
* Drive Data Platform Strategy – Define the long\-term vision and technical roadmap for the data ecosystem, balancing scalability, reliability, cost efficiency, and developer experience
* Partner with Customers – Engage deeply with autonomy stack teams to gather requirements, uncover pain points, and translate them into platform capabilities
* Lead Complex Workflow Development – Architect and build end\-to\-end, large\-scale ETL and data workflows for data collection, ingestion, transformation, and delivery
* Establish Data Contracts – Define and enforce clear SLAs and contracts with upstream data producers and downstream data consumers
* Set Best Practices – Champion data engineering best practices around governance, schema evolution, lineage, quality, and observability
* Mentor and Influence – Guide other engineers and teams on designing scalable data systems and making strategic technology choices
* Collaborate Across Functions – Work with infrastructure, ML platform, autonomy stack, and labeling teams to ensure smooth data flow and ecosystem integration
**We're looking for someone who has:**
* 10\+ years of experience in data engineering, distributed systems, or related backend engineering roles
* Proven track record of architecting and building large\-scale, data\-intensive, distributed systems
* Deep experience with complex ETL pipelines, data ingestion frameworks, and data processing engines (e.g., Spark, Flink, Airflow, Flyte, Kafka, etc)
* Strong understanding of data modeling, partitioning, schema evolution, and metadata management at scale
* Hands\-on experience with cloud object stores (e.g., AWS S3\), lakehouse architectures, and data warehouse technologies
* Ability to drive technical discussions with both engineers and non\-technical stakeholders
* Strong communication and leadership skills, with the ability to influence across teams and functions
**Nice to have:**
* Experience supporting ML/AI workflows at scale, from raw data ingestion to model training and evaluation
* Familiarity with data governance, lineage tracking, and observability tools
* Experience in autonomous systems, robotics, or other high\-volume sensor data domains
* Contributions to open\-source data infrastructure projects
**Why Join Us?**
 You’ll be at the heart of enabling autonomous driving innovation—building the systems that allow teams to harness massive amounts of real\-world and simulated data for developing and validating our stack. You’ll have the autonomy to set the technical direction, the opportunity to solve some of the hardest data engineering problems, and the ability to make a measurable impact on the success of our platform and products.
 Compensation at Applied Intuition for eligible roles includes base salary, equity, and benefits. Base salary is a single component of the total compensation package, which may also include equity in the form of options and/or restricted stock units, comprehensive health, dental, vision, life and disability insurance coverage, 401k retirement benefits with employer match, learning and wellness stipends, and paid time off. Note that benefits are subject to change and may vary based on jurisdiction of employment.
 Applied Intuition pay ranges reflect the minimum and maximum intended target base salary for new hire salaries for the position. The actual base salary offered to a successful candidate will additionally be influenced by a variety of factors including experience, credentials \&amp; certifications, educational attainment, skill level requirements, interview performance, and the level and scope of the position.
 Please reference the job posting’s subtitle for where this position will be located. For pay transparency purposes, the base salary range for this full\-time position in the location listed is: $180,000 \- $225,000 USD annually.
*Don’t meet every single requirement? If you’re excited about this role but your past experience doesn’t align perfectly with every qualification in the job description, we encourage you to apply anyway. You may be just the right candidate for this or other roles.*
*Applied Intuition is an equal opportunity employer and federal contractor or subcontractor. Consequently, the parties agree that, as applicable, they will abide by the requirements of 41 CFR 60\-1\.4(a), 41 CFR 60\-300\.5(a) and 41 CFR 60\-741\.5(a) and that these laws are incorporated herein by reference. These regulations prohibit discrimination against qualified individuals based on their status as protected veterans or individuals with disabilities, and prohibit discrimination against all individuals based on their race, color, religion, sex, sexual orientation, gender identity or national origin. These regulations require that covered prime contractors and subcontractors take affirmative action to employ and advance in employment individuals without regard to race, color, religion, sex, sexual orientation, gender identity, national origin, protected veteran status or disability. The parties also agree that, as applicable, they will abide by the requirements of Executive Order 13496 (29 CFR Part 471, Appendix A to Subpart A), relating to the notice of employee rights under federal labor laws.*</t>
        </is>
      </c>
    </row>
    <row r="35">
      <c r="A35" t="inlineStr">
        <is>
          <t>li-4282850990</t>
        </is>
      </c>
      <c r="B35" t="inlineStr">
        <is>
          <t>Data Engineer</t>
        </is>
      </c>
      <c r="C35" t="inlineStr">
        <is>
          <t>MANTECH</t>
        </is>
      </c>
      <c r="D35" t="inlineStr">
        <is>
          <t>linkedin</t>
        </is>
      </c>
      <c r="E35" t="inlineStr"/>
      <c r="F35" t="inlineStr"/>
      <c r="G35" t="inlineStr">
        <is>
          <t>Chantilly, VA</t>
        </is>
      </c>
      <c r="H35" t="inlineStr"/>
      <c r="I35" t="inlineStr">
        <is>
          <t>**MANTECH** 
 seeks a motivated, career and customer\-oriented
 **Data Engineer** 
 to join our team in
 **Chantilly, VA.**
**Responsibilities Include But Are Not Limited To**
* Assisting in the responsibility for the lifecycle of all data that enters the Insider Threat IT architecture.
* Helping facilitation of the ingest of data from external data sources, regardless of format or origin, for consumption by the data processing infrastructure.
* Maintaining the big data processing ecosystem, including COTS and GOTS hardware and software, from cradle to grave.
* Extract Transform Load (ETL) all arriving data to common database formats for use in advanced analytics.
* Diagnosing and resolving data integrity and data qualify issues, as well as, integrating new datasets as they are created and/or received.
* Ability to travel domestically.
**Minimum Qualifications**
* Bachelor’s degree and five 5\+ years of relevant experience in information technology, leveraging software applications and tools to meet customer requirements.
* In lieu of a Bachelor’s: Associates’ degree and seven 7\+ years of relevant experience in information technology, leveraging software applications and tools to meet customer requirements.
* Current DoD 8570 IAT II certification (CySA\+ or equivalent) or ability to obtain one within 180 days.
* Experience with Python, SQL, and other applicable development/coding languages.
* Experience in systems development to include design, modeling, security integration and testing.
**Desired Qualifications**
* Bachelor’s degree in Computer Science, Systems Engineering, or other IT\-related discipline.
**Clearance Requirements**
* Must have a current/active TS/SCI w/Polygraph.
**Physical Requirements**
* Must be able to remain in a stationary position 50%
* Needs to occasionally move about inside the office to access file cabinets, office machinery, etc.
* Frequently communicates with co\-workers, management, and customers, which may involve delivering presentations.
* Must be able to exchange accurate information in these situations.</t>
        </is>
      </c>
    </row>
    <row r="36">
      <c r="A36" t="inlineStr">
        <is>
          <t>li-4363241276</t>
        </is>
      </c>
      <c r="B36" t="inlineStr">
        <is>
          <t>Senior Data Engineer with Credit Risk</t>
        </is>
      </c>
      <c r="C36" t="inlineStr">
        <is>
          <t>Synechron</t>
        </is>
      </c>
      <c r="D36" t="inlineStr">
        <is>
          <t>linkedin</t>
        </is>
      </c>
      <c r="E36" t="inlineStr"/>
      <c r="F36" t="inlineStr"/>
      <c r="G36" t="inlineStr"/>
      <c r="H36" t="inlineStr"/>
      <c r="I36" t="inlineStr">
        <is>
          <t>**We are**
 At Synechron, we believe in the power of digital to transform businesses for the better. Our global consulting firm combines creativity and innovative technology to deliver industry\-leading digital solutions. Synechron’s progressive technologies and optimization strategies span end\-to\-end Artificial Intelligence, Consulting, Digital, Cloud \&amp; DevOps, Data, and Software Engineering, servicing an array of noteworthy financial services and technology firms. Through research and development initiatives in our FinLabs we develop solutions for modernization, from Artificial Intelligence and Blockchain to Data Science models, Digital Underwriting, mobile\-first applications and more. Over the last 20\+ years, our company has been honored with multiple employer awards, recognizing our commitment to our talented teams. With top clients to boast about, Synechron has a global workforce of 16,400\+, and has 60 offices in 20 countries within key global markets.
**Our challenge**
 We are seeking a highly skilled and experienced Senior Data Engineer to join our dynamic Team.
 Additional Information\*
 The base salary for this position will vary based on geography and other factors. In accordance with law, the base salary for this role if filled within New York, NY is $140k \- $155k/year \&amp; benefits (see below).
**The Role**
**Responsibilities:**
* Understand technical specifications.
* Business requirements discussion with business analyst and business users.
* Python/SQL Server/Snowflake/Databricks application development and system design.
* Develop and maintain data models and schemas to support data integration and analysis.
* Implement data quality and validation checks to ensure accuracy and consistency of data.
* Execution of UT and SIT with business analysts to ensure of high\-quality testing.
* Support for UAT with business users.
* Production support and maintenance of application platform.
**Requirements:**
* Around 12\+ years IT industry experience.
* Strong communication skills.
* Agile methodology and SDLC processes.
* Design and Architecture experience.
* Experience working in global delivery model (onshore/offshore/nearshore).
* Strong problem\-solving and analytical skills.
* Self\-starter, collaborative team player and works with minimal guidance.
* Mandatory (Strong): Python, SQL server and relational database concepts, Azure Databricks, Snowflake, Scheduler (Autosys/Control\-M), ETL, CI/CD.
* Plus: PySpark, Financial systems/capital markets/credit risk/regulatory application development experience.
**We offer:**
* A highly competitive compensation and benefits package.
* A multinational organization with 60 offices in 20 countries and the possibility to work abroad.
* 10 days of paid annual leave (plus sick leave and national holidays).
* Maternity \&amp; paternity leave plans.
* A comprehensive insurance plan including medical, dental, vision, life insurance, and long\-/short\-term disability (plans vary by region).
* Retirement savings plans.
* A higher education certification policy.
* Commuter benefits (varies by region).
* Extensive training opportunities, focused on skills, substantive knowledge, and personal development.
* On\-demand Udemy for Business for all Synechron employees with free access to more than 5000 curated courses.
* Coaching opportunities with experienced colleagues from our Financial Innovation Labs (FinLabs) and Center of Excellences (CoE) groups.
* Cutting edge projects at the world’s leading tier\-one banks, financial institutions and insurance firms.
* A flat and approachable organization.
* A truly diverse, fun\-loving, and global work culture.
***S YNECHRON’S DIVERSITY \&amp; INCLUSION STATEMENT***
 Diversity \&amp; Inclusion are fundamental to our culture, and Synechron is proud to be an equal opportunity workplace and is an affirmative 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applicant’s gender, gender identity, sexual orientation, race, ethnicity, disabled or veteran status, or any other characteristic protected by law.</t>
        </is>
      </c>
    </row>
    <row r="37">
      <c r="A37" t="inlineStr">
        <is>
          <t>li-4368062612</t>
        </is>
      </c>
      <c r="B37" t="inlineStr">
        <is>
          <t>Senior Data Engineer - Omni Channel</t>
        </is>
      </c>
      <c r="C37" t="inlineStr">
        <is>
          <t>Discount Tire</t>
        </is>
      </c>
      <c r="D37" t="inlineStr">
        <is>
          <t>linkedin</t>
        </is>
      </c>
      <c r="E37" t="inlineStr"/>
      <c r="F37" t="inlineStr"/>
      <c r="G37" t="inlineStr">
        <is>
          <t>Scottsdale, AZ</t>
        </is>
      </c>
      <c r="H37" t="inlineStr"/>
      <c r="I37" t="inlineStr">
        <is>
          <t>**Overview**
 Here at Discount Tire, we celebrate the spirit of our people with extraordinary pride and enthusiasm. Our business has been growing for more than 60 years and now is the best time in our history to join us. We recognize that to remain the industry leader we must continue to grow and evolve our business in a rapidly changing industry . We are achieving this, not only by opening new stores, but by transforming our technological landscape and making data a central component of our strategy . The Business Analytics team, one of the fastest growing teams in the company, is leading this change . We are responsible for driving the insights, recommendations, and developing the decision support tools that influence the strategic direction of the company.
 Under minimal supervision, the Senior Data Engineer designs, builds, and operates scalable data solutions on Discount Tire’s Databricks\-based lakehouse platform. This role supports enterprise analytics, business intelligence, and data science initiatives by delivering high\-quality, governed, and performance data products across Omni\-channel domains. The Senior Data Engineer is responsible for developing and maintaining ELT pipelines, data models, and lakehouse architecture using modern cloud and big data technologies, with a strong focus on reliability, performance, and production ownership.
**Essential Duties and Responsibilities:**
* Lakehouse \&amp; Data Architecture
+ Designs, develops, and maintains Databricks\-based lakehouse solutions leveraging medallion architecture (Bronze, Silver, Gold) and Delta Lake.
+ Builds scalable, high\-performance analytical data models to support reporting, analytics, and downstream consumption.
+ Ensures data solutions align with enterprise standards for security, governance, scalability, and cost efficiency.
* Data Engineering \&amp; ELT Pipelines
+ Develops, tests, and maintains batch and streaming ELT pipelines using Spark SQL.
+ Implements incremental data processing, dependency management, and idempotent pipeline patterns across multiple data sources.
+ Integrates structured and semi\-structured data from transactional, digital, and third\-party systems into the lakehouse .
* Databricks Platform Development
+ Develops and maintains Databricks notebooks, workflows, and jobs across development, QA, and production environments.
+ Leverages Delta Lake features including ACID transactions, schema enforcement and evolution, and time travel.
+ Partners with platform and DevOps teams to support environment promotion, scheduling, and deployment automation.
* Data Quality \&amp; Reliability
+ Implements automated data quality checks, validation frameworks, and monitoring to ensure accuracy, completeness, and timeliness of data.
+ Proactively identifies and resolves data issues, ensuring reliable data availability for business partners.
* Performance Optimization \&amp; Tuning
+ Troubleshoots data pipeline and query performance issues and implements optimizations related to Spark execution, partitioning, file sizing, and data layout.
+ Documents root cause analysis and corrective actions and provide recommendations to improve system performance and reliability.
* Production Ownership \&amp; Operations
+ Owns data pipelines end\-to\-end in production, including monitoring, alerting, incident response, and operational support.
+ Contributes to runbooks, operational documentation, and continuous improvement of production readiness practices.
* Programming \&amp; Standards
+ Writes clean, maintainable, and well\-tested code using Python ( PySpark ) and SQL.
+ Contributes to data engineering standards, reusable frameworks, and best practices across the Analytics Engineering team.
* Documentation \&amp; Reviews
+ Produces clear technical documentation, including design specifications and data flow diagrams.
+ Participates in design reviews and code reviews, providing constructive feedback to ensure quality and consistency.
* Collaboration \&amp; Stakeholder Engagement
+ Collaborates closely with data engineers, analytics engineers, data scientists, digital analysts, and business stakeholders to translate business needs into scalable data solutions.
+ Works cross\-functionally with project managers, platform teams, and external partners to deliver high\-impact analytics capabilities.
* Mentorship \&amp; Technical Leadership
+ Mentors and supports less experienced data engineers through technical guidance and best\-practice sharing.
+ Leads technical design discussions for complex datasets and influences architectural decisions within the team.
* Continuous Improvement
+ Stays current with emerging data engineering technologies, trends, and industry best practices.
+ Identifies opportunities to improve efficiency, reliability, and scalability across data engineering workflows.
* Performs other duties as assigned.
**Qualifications:**
* 5\+ years of experience in data engineering, data integration, or analytics engineering roles.
* Experience with cloud\-based analytics platforms and modern data architecture.
* Technical Skills
+ Advanced experience with SQL and Spark ( PySpark and Spark SQL) in large\-scale data environments.
+ Strong experience designing and maintaining ELT pipelines in a cloud\-based lakehouse architecture.
+ Deep understanding of data modeling for analytics, including star schemas and slowly changing dimensions.
+ Experience with streaming or near\-real\-time data processing is preferred.
+ Strong knowledge of data governance, security, and compliance best practices.
* Tools and Platforms
+ Extensive experience with Databricks and Delta Lake for analytics and data engineering workloads.
+ Experience with cloud object storage platforms such as AWS S3\.
+ Familiarity with orchestration, scheduling, and monitoring of data pipelines.
+ Experience working with large, complex datasets in analytics and reporting contexts.
+ Familiarity with BI and visualization tools such as Tableau, Looker, or Power BI.
+ Experience with digital analytics data (e.g., Adobe Analytics or Google Analytics) is a plus.
* Methodologies and Frameworks
+ Experience working within SDLC methodologies such as Agile and Waterfall.
+ Familiarity with CI/CD and version control practices for data engineering workflows.
* Communication and Presentation Skills
+ Ability to clearly communicate complex technical concepts to technical and non\-technical audiences, including leadership.
+ Strong written and verbal communication skills, including documentation and presentation of technical solutions.
* Customer Service \&amp; Collaboration
+ Demonstrated ability to work collaboratively across teams and with business stakeholders.
+ Strong customer service mindset with a focus on delivering reliable and high\-quality data solutions.
* Adaptability \&amp; Problem Solving
+ Strong troubleshooting and analytical skills with a proactive, solution\-oriented approach.
+ Ability to work effectively in a fast\-paced, evolving environment and manage multiple priorities.
* Curiosity
+ Intellectual curiosity and passion for data, analytics, and continuous learning.
**Educational Requirements:**
* Bachelor’s or Master’s degree in Computer Science , Data Engineering, Information Systems, or a related field, or equivalent practical experience.
* Data or cloud\-related certifications are a plus.
**Work Days :**
 Normal work days are Monday through Friday. Occasional Saturdays and Sundays may be necessary.
**Work Hours:**
 Normal work hours are 8:00 a.m. to 5:00 p.m. Additional hours may be necessary.
 Discount Tire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t>
        </is>
      </c>
    </row>
    <row r="38">
      <c r="A38" t="inlineStr">
        <is>
          <t>li-4376076266</t>
        </is>
      </c>
      <c r="B38" t="inlineStr">
        <is>
          <t>Staff Data Engineer</t>
        </is>
      </c>
      <c r="C38" t="inlineStr">
        <is>
          <t>RemoteHunter</t>
        </is>
      </c>
      <c r="D38" t="inlineStr">
        <is>
          <t>linkedin</t>
        </is>
      </c>
      <c r="E38" t="inlineStr"/>
      <c r="F38" t="inlineStr"/>
      <c r="G38" t="inlineStr"/>
      <c r="H38" t="inlineStr"/>
      <c r="I38" t="inlineStr">
        <is>
          <t>About the Opportunity:
 The organization is seeking a Staff Data Engineer to lead technical efforts on the data engineering team. The role involves shaping data architecture and advancing the data culture toward a data mesh paradigm. The engineer will design and implement foundational components to enable engineering teams to onboard data into Snowflake, supporting analytics and data science across the organization. The Snowflake environment is relatively new and free from heavy technical debt, providing an opportunity for strong architectural leadership.
 Responsibilities:
 • Design and implement enterprise\-scale data platforms
 • Optimize performance and enforce security best practices in Snowflake
 • Apply advanced data modeling techniques and use dbt
 • Lead technical discussions and mentor team members
 • Influence data strategy across teams
 • Develop and maintain internally\-facing web services and APIs
 • Ensure data governance, integrity, security, and compliance across workflows
 Requirements:
 • Proven experience with enterprise\-scale data platform design and implementation
 • Hands\-on expertise with Snowflake, including performance optimization and security
 • Deep knowledge of data modeling and dbt
 • Proficiency in SQL and Python
 • Experience building and maintaining web services and APIs
 • Expertise in data governance and compliance
 • Bachelor’s degree in Computer Science or related field preferred
 • Familiarity with healthcare data and HIPAA compliance preferred
 • Experience with Airflow or similar orchestration tools preferred
 • Ability to stand and sit for extended periods
 • Ability to lift 10 lbs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9">
      <c r="A39" t="inlineStr">
        <is>
          <t>li-4282841819</t>
        </is>
      </c>
      <c r="B39" t="inlineStr">
        <is>
          <t>Databricks Data Engineer - Senior - Consulting - Location Open</t>
        </is>
      </c>
      <c r="C39" t="inlineStr">
        <is>
          <t>EY</t>
        </is>
      </c>
      <c r="D39" t="inlineStr">
        <is>
          <t>linkedin</t>
        </is>
      </c>
      <c r="E39" t="inlineStr"/>
      <c r="F39" t="inlineStr"/>
      <c r="G39" t="inlineStr">
        <is>
          <t>Troy, NY</t>
        </is>
      </c>
      <c r="H39" t="inlineStr"/>
      <c r="I39"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0">
      <c r="A40" t="inlineStr">
        <is>
          <t>li-4352420532</t>
        </is>
      </c>
      <c r="B40" t="inlineStr">
        <is>
          <t>Databricks Data Engineer - Manager - Consulting - Miami</t>
        </is>
      </c>
      <c r="C40" t="inlineStr">
        <is>
          <t>EY</t>
        </is>
      </c>
      <c r="D40" t="inlineStr">
        <is>
          <t>linkedin</t>
        </is>
      </c>
      <c r="E40" t="inlineStr"/>
      <c r="F40" t="inlineStr"/>
      <c r="G40" t="inlineStr">
        <is>
          <t>New Brunswick, NJ</t>
        </is>
      </c>
      <c r="H40" t="inlineStr"/>
      <c r="I40"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1">
      <c r="A41" t="inlineStr">
        <is>
          <t>li-4352332469</t>
        </is>
      </c>
      <c r="B41" t="inlineStr">
        <is>
          <t>Databricks Data Engineer - Manager - Consulting - Miami</t>
        </is>
      </c>
      <c r="C41" t="inlineStr">
        <is>
          <t>EY</t>
        </is>
      </c>
      <c r="D41" t="inlineStr">
        <is>
          <t>linkedin</t>
        </is>
      </c>
      <c r="E41" t="inlineStr"/>
      <c r="F41" t="inlineStr"/>
      <c r="G41" t="inlineStr">
        <is>
          <t>Hoboken, NJ</t>
        </is>
      </c>
      <c r="H41" t="inlineStr"/>
      <c r="I41"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2">
      <c r="A42" t="inlineStr">
        <is>
          <t>li-4352255163</t>
        </is>
      </c>
      <c r="B42" t="inlineStr">
        <is>
          <t>Databricks Data Engineer - Manager - Consulting - Miami</t>
        </is>
      </c>
      <c r="C42" t="inlineStr">
        <is>
          <t>EY</t>
        </is>
      </c>
      <c r="D42" t="inlineStr">
        <is>
          <t>linkedin</t>
        </is>
      </c>
      <c r="E42" t="inlineStr"/>
      <c r="F42" t="inlineStr"/>
      <c r="G42" t="inlineStr">
        <is>
          <t>Boston, MA</t>
        </is>
      </c>
      <c r="H42" t="inlineStr"/>
      <c r="I42"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3">
      <c r="A43" t="inlineStr">
        <is>
          <t>li-4282842621</t>
        </is>
      </c>
      <c r="B43" t="inlineStr">
        <is>
          <t>Databricks Data Engineer - Senior - Consulting - Location Open</t>
        </is>
      </c>
      <c r="C43" t="inlineStr">
        <is>
          <t>EY</t>
        </is>
      </c>
      <c r="D43" t="inlineStr">
        <is>
          <t>linkedin</t>
        </is>
      </c>
      <c r="E43" t="inlineStr"/>
      <c r="F43" t="inlineStr"/>
      <c r="G43" t="inlineStr">
        <is>
          <t>San Antonio, TX</t>
        </is>
      </c>
      <c r="H43" t="inlineStr"/>
      <c r="I43"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4">
      <c r="A44" t="inlineStr">
        <is>
          <t>li-4282843511</t>
        </is>
      </c>
      <c r="B44" t="inlineStr">
        <is>
          <t>Databricks Data Engineer - Manager - Consulting - Location Open</t>
        </is>
      </c>
      <c r="C44" t="inlineStr">
        <is>
          <t>EY</t>
        </is>
      </c>
      <c r="D44" t="inlineStr">
        <is>
          <t>linkedin</t>
        </is>
      </c>
      <c r="E44" t="inlineStr"/>
      <c r="F44" t="inlineStr"/>
      <c r="G44" t="inlineStr">
        <is>
          <t>Fort Worth, TX</t>
        </is>
      </c>
      <c r="H44" t="inlineStr"/>
      <c r="I44"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5">
      <c r="A45" t="inlineStr">
        <is>
          <t>li-4282845224</t>
        </is>
      </c>
      <c r="B45" t="inlineStr">
        <is>
          <t>Databricks Data Engineer - Manager - Consulting - Location Open</t>
        </is>
      </c>
      <c r="C45" t="inlineStr">
        <is>
          <t>EY</t>
        </is>
      </c>
      <c r="D45" t="inlineStr">
        <is>
          <t>linkedin</t>
        </is>
      </c>
      <c r="E45" t="inlineStr"/>
      <c r="F45" t="inlineStr"/>
      <c r="G45" t="inlineStr">
        <is>
          <t>St Louis, MO</t>
        </is>
      </c>
      <c r="H45" t="inlineStr"/>
      <c r="I45"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6">
      <c r="A46" t="inlineStr">
        <is>
          <t>li-4352410669</t>
        </is>
      </c>
      <c r="B46" t="inlineStr">
        <is>
          <t>Databricks Data Engineer - Manager - Consulting - Miami</t>
        </is>
      </c>
      <c r="C46" t="inlineStr">
        <is>
          <t>EY</t>
        </is>
      </c>
      <c r="D46" t="inlineStr">
        <is>
          <t>linkedin</t>
        </is>
      </c>
      <c r="E46" t="inlineStr"/>
      <c r="F46" t="inlineStr"/>
      <c r="G46" t="inlineStr">
        <is>
          <t>Fort Worth, TX</t>
        </is>
      </c>
      <c r="H46" t="inlineStr"/>
      <c r="I46"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7">
      <c r="A47" t="inlineStr">
        <is>
          <t>li-4352410667</t>
        </is>
      </c>
      <c r="B47" t="inlineStr">
        <is>
          <t>Databricks Data Engineer - Manager - Consulting - Miami</t>
        </is>
      </c>
      <c r="C47" t="inlineStr">
        <is>
          <t>EY</t>
        </is>
      </c>
      <c r="D47" t="inlineStr">
        <is>
          <t>linkedin</t>
        </is>
      </c>
      <c r="E47" t="inlineStr"/>
      <c r="F47" t="inlineStr"/>
      <c r="G47" t="inlineStr">
        <is>
          <t>Southfield, MI</t>
        </is>
      </c>
      <c r="H47" t="inlineStr"/>
      <c r="I47"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8">
      <c r="A48" t="inlineStr">
        <is>
          <t>li-4352246354</t>
        </is>
      </c>
      <c r="B48" t="inlineStr">
        <is>
          <t>Databricks Data Engineer - Manager - Consulting - Miami</t>
        </is>
      </c>
      <c r="C48" t="inlineStr">
        <is>
          <t>EY</t>
        </is>
      </c>
      <c r="D48" t="inlineStr">
        <is>
          <t>linkedin</t>
        </is>
      </c>
      <c r="E48" t="inlineStr"/>
      <c r="F48" t="inlineStr"/>
      <c r="G48" t="inlineStr">
        <is>
          <t>Minneapolis, MN</t>
        </is>
      </c>
      <c r="H48" t="inlineStr"/>
      <c r="I48"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9">
      <c r="A49" t="inlineStr">
        <is>
          <t>li-4361105585</t>
        </is>
      </c>
      <c r="B49" t="inlineStr">
        <is>
          <t>Senior Data Engineer</t>
        </is>
      </c>
      <c r="C49" t="inlineStr">
        <is>
          <t>Capital One</t>
        </is>
      </c>
      <c r="D49" t="inlineStr">
        <is>
          <t>linkedin</t>
        </is>
      </c>
      <c r="E49" t="inlineStr"/>
      <c r="F49" t="inlineStr"/>
      <c r="G49" t="inlineStr">
        <is>
          <t>McLean, VA</t>
        </is>
      </c>
      <c r="H49" t="inlineStr"/>
      <c r="I49"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Data Engineer
 New York, NY: $176,500 \- $201,400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0">
      <c r="A50" t="inlineStr">
        <is>
          <t>li-4361263079</t>
        </is>
      </c>
      <c r="B50" t="inlineStr">
        <is>
          <t>Senior Data Engineer</t>
        </is>
      </c>
      <c r="C50" t="inlineStr">
        <is>
          <t>Capital One</t>
        </is>
      </c>
      <c r="D50" t="inlineStr">
        <is>
          <t>linkedin</t>
        </is>
      </c>
      <c r="E50" t="inlineStr"/>
      <c r="F50" t="inlineStr"/>
      <c r="G50" t="inlineStr">
        <is>
          <t>McLean, VA</t>
        </is>
      </c>
      <c r="H50" t="inlineStr"/>
      <c r="I50"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**Senior**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Data Engineer
 Richmond, VA: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1">
      <c r="A51" t="inlineStr">
        <is>
          <t>li-4352263997</t>
        </is>
      </c>
      <c r="B51" t="inlineStr">
        <is>
          <t>Databricks Data Engineer - Manager - Consulting - Miami</t>
        </is>
      </c>
      <c r="C51" t="inlineStr">
        <is>
          <t>EY</t>
        </is>
      </c>
      <c r="D51" t="inlineStr">
        <is>
          <t>linkedin</t>
        </is>
      </c>
      <c r="E51" t="inlineStr"/>
      <c r="F51" t="inlineStr"/>
      <c r="G51" t="inlineStr">
        <is>
          <t>Tucson, AZ</t>
        </is>
      </c>
      <c r="H51" t="inlineStr"/>
      <c r="I51"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52">
      <c r="A52" t="inlineStr">
        <is>
          <t>li-4374598827</t>
        </is>
      </c>
      <c r="B52" t="inlineStr">
        <is>
          <t>Senior Marketing Analytics Engineer - Paid Media</t>
        </is>
      </c>
      <c r="C52" t="inlineStr">
        <is>
          <t>Generac</t>
        </is>
      </c>
      <c r="D52" t="inlineStr">
        <is>
          <t>linkedin</t>
        </is>
      </c>
      <c r="E52" t="inlineStr"/>
      <c r="F52" t="inlineStr"/>
      <c r="G52" t="inlineStr">
        <is>
          <t>Pewaukee, WI</t>
        </is>
      </c>
      <c r="H52" t="inlineStr"/>
      <c r="I52" t="inlineStr">
        <is>
          <t>The Senior Marketing Analytics Engineer leads complex analytical initiatives, from defining data strategy to deploying predictive models that drive business effectiveness. This role partners across marketing, engineering, and executive leadership to influence strategic decisions, guide experimentation design, and scale self\-service analytics. It combines deep technical skills with strong business acumen and mentorship.
**Major Responsibilities**
**Strategic Collaboration \&amp; Influence:**
* Act as a thought partner to leaders, identifying opportunities for analytics to improve ROI and customer engagement.
* Lead requirements gathering for complex, cross\-functional initiatives.
**Architecture \&amp; Reporting Strategy**
* Architect scalable reporting frameworks and advanced data models across the ecosystem.
* Oversee the delivery of high\-impact dashboards and insights for executive\-level reporting.
**Advanced Modeling \&amp; Experimentation**
* Develop sophisticated machine learning models (e.g., media mix, propensity scoring, LTV prediction).
* Design and validate complex experiments, including holdout designs and causal inference approaches.
**Data Infrastructure Leadership**
* Partner with data engineering to design robust ETL processes and scalable infrastructure.
* Drive improvements in data architecture for marketing analytics, including real\-time data integrations.
**Process Optimization \&amp; Automation**
* Lead initiatives to automate data processes and enhance operational efficiency.
* Standardize KPIs and promote data governance best practices across teams.
**Mentorship \&amp; Enablement**
* Provide technical mentorship to junior team members.
* Champion a culture of self\-service analytics by developing training and tools for business users.
**Minimum Job Requirements**
* Bachelor’s degree in data science, Computer Science, Statistics, Analytics, or a related field is required. Master’s degree in a quantitative field is preferred.
* 5\+ years in analytics, with significant experience in data strategy and predictive analytics. Demonstrated experience in media mix modeling, multi\-touch attribution, incrementality testing, and A/B testing.
**Technical Skills**
* Expert\-level SQL and Python (or R).
* Deep experience with data modeling, cloud platforms (e.g., Databricks), and large\-scale data systems.
* Advanced proficiency in BI tools and statistical modeling packages.
**Leadership \&amp; Communication**
* Strong stakeholder management, including influencing without authority.
* Proven experience translating analytics into business strategy and executive narratives.
**Preferred Job Requirements**
* Master’s degree in a quantitative field</t>
        </is>
      </c>
    </row>
    <row r="53">
      <c r="A53" t="inlineStr">
        <is>
          <t>li-4368067545</t>
        </is>
      </c>
      <c r="B53" t="inlineStr">
        <is>
          <t>Production Data Engineering Operator</t>
        </is>
      </c>
      <c r="C53" t="inlineStr">
        <is>
          <t>Susquehanna International Group</t>
        </is>
      </c>
      <c r="D53" t="inlineStr">
        <is>
          <t>linkedin</t>
        </is>
      </c>
      <c r="E53" t="inlineStr"/>
      <c r="F53" t="inlineStr"/>
      <c r="G53" t="inlineStr"/>
      <c r="H53" t="inlineStr"/>
      <c r="I53" t="inlineStr">
        <is>
          <t>**Overview**
 Susquehanna is looking for a Production Data Engineer to join our Data Engineering team within the Options group. In this role, you will be on the front lines helping to improve the quality of data delivery, storage and development, while collaborating across multiple development and quantitative groups. This will give you the opportunity to be part of the entire lifecycle of strategy development.
**What You Can Expect From Us**
**Real Impact** 
 : You’ll be designing and optimizing systems that process massive amounts of data, ensuring high performance and stability. You’ll see how your contributions towards developing and supporting leading\-edge hardware and software solutions make a firm\-wide impact that makes us all smarter, faster, and better.
**Collaboration** 
 : Our systems engineers, network architects, technical analysts and software developers work together to create competitive edge through best\-in\-class technical solutions.
**Growth** 
 : For many of our roles, we don’t expect you to have prior industry experience in proprietary trading or financial services to succeed at Susquehanna International Group. We’re looking for people who are naturally curious, relentless problem solvers, and have the desire to continuously innovate, learn, and grow.
**Benefits** 
 : Susquehanna offers a wide array of competitive employee perks \&amp; benefits such as: an onsite wellness center staffed with a full\-time Nurse Practitioner, a 9,000 square\-foot gym, food \&amp; beverages available all day, onsite services such as dry cleaning \&amp; laundry, and auto repair \&amp; detailing.
**What We're Looking For**
* Bachelor's degree in Computer Science, Engineering, Mathematics or related discipline or its foreign equivalent
* Experience in Linux or Windows systems administration – work in a medium to large\-enterprise server environment is a plus
* Basic understanding of operating system fundamentals
* Scripting experience ( PowerShell or Python for example) and server deployment tools experience is desirable
* Enthusiasm for working with data, especially large sets of data. Strong aesthetics for cleanliness and correctness in data
* Ability to meet deadlines and work well under pressure in a fast\-paced team environment.
* Strong verbal communication skills
**About Susquehanna**
 Susquehanna is a global quantitative trading firm powered by scientific rigor, curiosity, and innovation. Our culture is intellectually driven and highly collaborative, bringing together researchers, engineers, and traders to design and deploy impactful strategies in our systematic trading environment. To meet the unique challenges of global markets, Susquehanna applies machine learning and advanced quantitative research to vast datasets in order to uncover actionable insights and build effective strategies. By uniting deep market expertise with cutting\-edge technology, we excel in solving complex problems and pushing boundaries together.
 If you're a recruiting agency and want to partner with us, please reach out to recruiting@sig.com. Any resume or referral submitted in the absence of a signed agreement will not be eligible for an agency fee.</t>
        </is>
      </c>
    </row>
    <row r="54">
      <c r="A54" t="inlineStr">
        <is>
          <t>li-4296120916</t>
        </is>
      </c>
      <c r="B54" t="inlineStr">
        <is>
          <t>Senior Data Engineer (TS/SCI Required)</t>
        </is>
      </c>
      <c r="C54" t="inlineStr">
        <is>
          <t>Deloitte</t>
        </is>
      </c>
      <c r="D54" t="inlineStr">
        <is>
          <t>linkedin</t>
        </is>
      </c>
      <c r="E54" t="inlineStr"/>
      <c r="F54" t="inlineStr"/>
      <c r="G54" t="inlineStr">
        <is>
          <t>Tampa, FL</t>
        </is>
      </c>
      <c r="H54" t="inlineStr"/>
      <c r="I54" t="inlineStr">
        <is>
          <t>Our Deloitte AI \&amp; Engineering team to transform technology platforms, drive innovation, and help make a significant impact on our clients' success. You'll work alongside talented professionals reimagining and reengineering operations and processes that are critical to businesses. Your contributions can help clients improve financial performance, accelerate new digital ventures, and fuel growth through innovation.
**Work You'll Do**
 As a Senior Data Engineer, you will play a critical role in supporting data scientists and analysts by designing, building, and optimizing data pipelines tailored for large\-scale text analytics and AI applications. You will collaborate closely with business stakeholders, IT experts, and subject\-matter experts to deliver robust data engineering solutions that enable advanced natural language processing (NLP), generative AI, and agentic AI capabilities.
* Develop and design data pipelines to support an end\-to\-end solution.
* Develop and maintain artifacts i.e., schemas, data dictionaries, and transforms related to ETL processes.
* Manage production data within multiple datasets ensuring fault tolerance and redundancy.
* Design and develop robust and functional dataflows to support raw data and expected data.
* Collaborate with the rest of data engineering team to design and launch new features. Includes coordination and documentation of dataflows, capabilities, etc.
* Design and develop databases to support multiple user groups with various levels of access to raw and processed data.
* Apply a knowledge of the SDLC to bring applications from proof of concept to production, including on the TS network.
**The Team**
 Our AI \&amp; Data offering provides a full spectrum of solutions for designing, developing, and operating cutting\-edge Data and AI platforms, products, insights, and services. Our offerings help clients innovate, enhance and operate their data, AI, and analytics capabilities, ensuring they can mature and scale effectively.
**Qualifications:**
 Required:
* Bachelor's degree required
* Must be legally authorized to work in the United States without the need for employer sponsorship, now or at any time in the future
* Active TS/SCI security clearance required
* 4\+ years of experience working with software platforms and services, such as Docker, Kubernetes, JMS/SQS, SNS, Kafka, AWS Lambda, NiFi, Airflow, or similar.
* 4\+ years of experience with datastores MongoDB/DynamoDB, PostgreSQL, S3, Redshift, JDBC/ODBC, Redis, and graph databases such as Neo4j, Memgraph, or others.
* Ability to work on\-site in Tampa, FL 5 days per week
 Preferred:
* Experience administering Linux/Unix servers
* Experience implementing ML pipelines using scikit\-learn, NLTK, spaCy, and others.
* Experience building Generative AI pipelines using vector databases, NER, and RAG.
 Information for applicants with a need for accommodation: https://www2\.deloitte.com/us/en/pages/careers/articles/join\-deloitte\-assistance\-for\-disabled\-applicants.html</t>
        </is>
      </c>
    </row>
    <row r="55">
      <c r="A55" t="inlineStr">
        <is>
          <t>li-4360745727</t>
        </is>
      </c>
      <c r="B55" t="inlineStr">
        <is>
          <t>Senior Data Engineer (Enterprise Platforms Technology)</t>
        </is>
      </c>
      <c r="C55" t="inlineStr">
        <is>
          <t>Capital One</t>
        </is>
      </c>
      <c r="D55" t="inlineStr">
        <is>
          <t>linkedin</t>
        </is>
      </c>
      <c r="E55" t="inlineStr"/>
      <c r="F55" t="inlineStr"/>
      <c r="G55" t="inlineStr">
        <is>
          <t>McLean, VA</t>
        </is>
      </c>
      <c r="H55" t="inlineStr"/>
      <c r="I55"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Enterprise Platforms Technology (EPTech) comprises many of Capital One’s most important enterprise platforms. We play an essential role in establishing practices for building technology solutions across the company, while also delivering capabilities that exemplify those practices.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Data Engineer
 Richmond, VA: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6">
      <c r="A56" t="inlineStr">
        <is>
          <t>li-4340326513</t>
        </is>
      </c>
      <c r="B56" t="inlineStr">
        <is>
          <t>Software Engineer, Data Engineering</t>
        </is>
      </c>
      <c r="C56" t="inlineStr">
        <is>
          <t>Anduril Industries</t>
        </is>
      </c>
      <c r="D56" t="inlineStr">
        <is>
          <t>linkedin</t>
        </is>
      </c>
      <c r="E56" t="inlineStr"/>
      <c r="F56" t="inlineStr"/>
      <c r="G56" t="inlineStr">
        <is>
          <t>Costa Mesa, CA</t>
        </is>
      </c>
      <c r="H56" t="inlineStr"/>
      <c r="I56"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Anduril Maritime delivers platforms, systems, and integrated effects in the maritime domain. Our autonomous vehicles (sub\-surface and surface) are the cornerstone of these capabilities, and we continually strive to push the boundaries of the possible in terms of endurance, autonomy and mission capability. The Maritime team develops and maintains core products and payloads, and adapts and applies those products to serve a wide variety of defense, IC and commercial customers in US and international markets.
**About The Job**
 As a Software Engineer, Data Engineering on the Maritime Digital Production team, you will build the high\-throughput data systems that connect design, manufacturing, and operations into a unified digital thread. You’ll design and implement scalable data architectures that move and transform massive datasets efficiently, supporting everything from geometry access to live production analytics.
 In this role, you’ll develop high\-performance data access layers and scalable databases, integrate information from systems such as PLM, ERP, and MES, and ensure seamless, reliable data flow across the enterprise. You’ll continuously monitor and optimize performance to meet the demands of real\-time, high\-speed data operations, and maintain strong documentation to keep the system transparent and auditable.
 You’ll work closely with software engineers, data scientists, and manufacturing technologists across Anduril in a high\-tech, fast\-paced culture of innovation. If you’re driven to build data systems that are fast, resilient, and deeply connected to real\-world production, you’ll be helping build the future of digital shipbuilding and the next generation of maritime vehicles.
**What You'll Do**
* Design and Implement Data Access Layers: Develop high\-performance data access layers to handle massive datasets, ensuring quick and efficient data retrieval and processing.
* Database Design and Management: Design, implement, and maintain scalable databases suitable for high\-speed, high\-throughput data operations.
* Data Integration: Integrate data from various business systems including PLM, ERP, and MES, ensuring seamless and efficient data flow.
* Performance Optimization: Monitor and optimize the performance of data access layers and databases to meet the demands of large\-scale, real\-time data processing.
* Collaborate with Cross\-Functional Teams: Work closely with software engineers, data scientists, and other stakeholders to ensure the data architecture supports various applications and analytical needs.
* Maintain Documentation: Write and maintain comprehensive documentation for data access layers, databases, and data integration processes.
**Required Qualifications**
* Proficiency in database management systems (e.g., SQL, NoSQL databases like MongoDB, Cassandra).
* Experience with data warehousing solutions (e.g., Amazon Redshift, Google BigQuery).
* Strong understanding of data architecture principles and best practices.
* Proficiency in programming languages used for data engineering (e.g., Python, Java, Scala).
* Experience with big data technologies (e.g., Hadoop, Spark).
* Familiarity with cloud platforms and services (e.g., AWS, Azure, GCP).
* Strong problem\-solving skills and ability to handle large volumes of data.
* Excellent collaboration and communication abilities.
* Eligible to obtain and maintain an active U.S. Secret security clearance.
**Preferred Qualifications**
* Previous experience in a manufacturing or industrial setting.
* Experience with real\-time data processing and stream processing technologies (e.g., Kafka, Flink).
* Knowledge of data governance and data quality management practices.
* Familiarity with containerization (Docker) and orchestration (Kubernetes).
 US Salary Range
 $146,000—$194,000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57">
      <c r="A57" t="inlineStr">
        <is>
          <t>li-4374593812</t>
        </is>
      </c>
      <c r="B57" t="inlineStr">
        <is>
          <t>Data Engineer</t>
        </is>
      </c>
      <c r="C57" t="inlineStr">
        <is>
          <t>Profound</t>
        </is>
      </c>
      <c r="D57" t="inlineStr">
        <is>
          <t>linkedin</t>
        </is>
      </c>
      <c r="E57" t="inlineStr"/>
      <c r="F57" t="inlineStr"/>
      <c r="G57" t="inlineStr"/>
      <c r="H57" t="inlineStr"/>
      <c r="I57" t="inlineStr">
        <is>
          <t>Data
 New York City
* San Francisco
 In\-office
 Apply
 Refer someone
 Apply
 Refer someone
 Profound is on a mission to help companies understand and control their AI presence. We are looking for an experienced Data Engineer to own and scale our data platform. You will maintain and optimize our pipelines, design new ingestion processes, and support the data needs of our product, data science, and go\-to\-market teams.
 This is a great opportunity for someone who enjoys working with modern data tooling, improving performance and reliability, and building the foundation for machine learning\-powered features.
**What You’ll Do**
* Maintain and improve data pipelines to keep data flowing reliably from ingestion to delivery
* Optimize performance and costs across Snowflake, Clickhouse, AWS, dbt, and Dagster
* Own data quality by implementing monitoring, alerting, and validation
* Manage and extend infrastructure, including orchestration and CI or CD for data workflows
* Support MLOps as machine learning models are developed and productionized
* Be on call for critical pipelines and respond quickly to issues
* Collaborate with data scientists, product managers, and engineers to launch new data products
**Who You Are**
* Proven experience designing, building, and maintaining production data pipelines
* Proficiency in Python and SQL
* Hands\-on experience with dbt, orchestration frameworks such as Dagster, Airflow, or Prefect, and AWS
* Familiarity with Snowflake, Clickhouse, or other modern data warehouses
* Strong problem\-solving skills and a proactive mindset
* Experience with or interest in MLOps and supporting machine learning workflows in production
* Strong sense of ownership and accountability for data quality and reliability
* Motivated by access to rare and interesting AI data based on real human interactions with large language models
* Excited by the opportunity to own and shape Profound’s data platform at an early stage
* Interested in working on meaningful problems at the intersection of AI and marketing
* Comfortable in a fast\-moving culture with autonomy, trust, and room to grow
* Drawn to competitive compensation and meaningful equity
**Location**
 This is an on\-site role based in our Union Square, NYC office, designed for builders who thrive on speed, iteration, and meaningful impact.
 For this role, the expected base salary range is $140,000 to $260,000 (NY). Comp may vary by location. Profound’s total compensation package is designed to be competitive and includes base salary, equity, and a full range of benefits and perks. Final compensation will depend on factors such as your skills, experience, qualifications, and location, and will be determined during the interview process. Our recruiting team will share more details about the full compensation package and benefits as you move through hiring.
 Apply for this position
 Name\*
 Email\*
 Resume\*
 or drag and drop here
 LinkedIn URL\*
 Phone Number\*
 Will you now or in the future require sponsorship for employment visa status (e.g., H\-1B visa)?\*
 Is there anything else you'd like us to know? (optional)
 Which of our primary locations are you interested in?\*
 New York, NYSan Francisco, CALondon, UKBuenos Aires, Argentina</t>
        </is>
      </c>
    </row>
    <row r="58">
      <c r="A58" t="inlineStr">
        <is>
          <t>li-4374580928</t>
        </is>
      </c>
      <c r="B58" t="inlineStr">
        <is>
          <t>Analytics Engineer</t>
        </is>
      </c>
      <c r="C58" t="inlineStr">
        <is>
          <t>Profound</t>
        </is>
      </c>
      <c r="D58" t="inlineStr">
        <is>
          <t>linkedin</t>
        </is>
      </c>
      <c r="E58" t="inlineStr"/>
      <c r="F58" t="inlineStr"/>
      <c r="G58" t="inlineStr">
        <is>
          <t>New York, NY</t>
        </is>
      </c>
      <c r="H58" t="inlineStr"/>
      <c r="I58" t="inlineStr">
        <is>
          <t>Data
 New York City
 In\-office
 Apply
 Refer someone
 Apply
 Refer someone
 Profound is on a mission to help companies understand and control their AI presence. As an Analytics Engineer, you will build and own the product analytics foundation at Profound. You will define success metrics, map the user journey, and uncover insights that shape how we build and improve the product. Your work will help the entire company understand what drives engagement, where users drop off, and how we can make the platform more valuable to our customers.
**What You’ll Do**
* Build and maintain dashboards to track product usage, funnels, retention, activation, user journey paths, and feature adoption
* Define and maintain core product metrics and ensure they are modeled cleanly and reliably
* Analyze user journeys to identify friction, improve activation, and drive growth
* Respond to one\-off customer analysis requests by delivering custom solutions and insights
* Conduct customer\-level and segment analyses to support sales, marketing, and customer success
* Partner with engineers to instrument events, maintain data ingestion pipelines, and uphold high data quality
**Who You Are**
* Fluency in SQL and experience with Python
* Experience working on product analytics including funnels, retention, user journeys, and activation
* Strong data modeling skills and a clean approach to defining metrics
* Experience at a B2B SaaS or product\-focused company
* 3 or more years of experience in analytics, data, or product roles focused on user behavior and product usage
* Strong product sense and ability to turn data into clear insights for product and go\-to\-market teams
* Strong sense of ownership and accountability for data quality and reliability
* Motivated by ownership of the entire product analytics function at an early stage company
* Interested in shaping how usage is measured and how product decisions are made
* Excited by close collaboration with product, engineering, and go\-to\-market teams
* Comfortable operating in a fast\-paced environment with trust and autonomy
* Drawn to competitive compensation and meaningful equity
**Location**
 This is an on\-site role based in our Union Square, NYC office, designed for builders who thrive on speed, iteration, and meaningful impact. We are happy to support visa sponsorship for qualified international candidates.
 For this role, the expected base salary range is $140,000 to $260,000 (NY). Comp may vary by location. Profound’s total compensation package is designed to be competitive and includes base salary, equity, and a full range of benefits and perks. Final compensation will depend on factors such as your skills, experience, qualifications, and location, and will be determined during the interview process. Our recruiting team will share more details about the full compensation package and benefits as you move through hiring.
 Apply for this position
 Name\*
 Email\*
 Resume\*
 or drag and drop here
 LinkedIn URL\*
 Phone Number (optional)
 Which of our primary locations are you interested in?\*
 New York, NYSan Francisco, CALondon, UKBuenos Aires, Argentina</t>
        </is>
      </c>
    </row>
    <row r="59">
      <c r="A59" t="inlineStr">
        <is>
          <t>li-4376074181</t>
        </is>
      </c>
      <c r="B59" t="inlineStr">
        <is>
          <t>Analytics Engineer</t>
        </is>
      </c>
      <c r="C59" t="inlineStr">
        <is>
          <t>RemoteHunter</t>
        </is>
      </c>
      <c r="D59" t="inlineStr">
        <is>
          <t>linkedin</t>
        </is>
      </c>
      <c r="E59" t="inlineStr"/>
      <c r="F59" t="inlineStr"/>
      <c r="G59" t="inlineStr"/>
      <c r="H59" t="inlineStr"/>
      <c r="I59" t="inlineStr">
        <is>
          <t>About the Opportunity:
 A United States based Analytics Engineer is needed to support reporting, ad\-hoc analysis, and analytics development across the organization while helping evolve the data platform over time. This role bridges data engineering and business functions, managing day\-to\-day analytics needs such as Power BI dashboards, ad\-hoc reporting, and SQL development, with growth into data modeling and advanced analytics including machine learning. The role collaborates closely with a Senior Solutions Engineer focused on data ingestion and integrations.
 Responsibilities:
 • Own ad\-hoc reporting and analysis for operations, finance, and leadership
 • Build and maintain Power BI dashboards and reports
 • Translate ambiguous business questions into clear analytical outputs
 • Partner with stakeholders to define and refine KPIs and metrics
 • Ensure reporting is accurate, performant, and trusted
 • Write high\-quality SQL to support reporting and analytics
 • Build and improve analytics\-ready (gold\-layer) datasets
 • Contribute to dimensional and fact\-based data models
 • Improve consistency, usability, and documentation of core datasets
 • Gradually take on more responsibility in data modeling and analytics engineering
 • Collaborate on improving analytics architecture and best practices
 • Explore advanced analytics or machine learning use cases over time
 Requirements:
 • Strong expertise in SQL development with modular design skills
 • Proven ability working with large and complex datasets
 • Hands\-on experience building reports or dashboards (Power BI preferred)
 • Experience handling ad\-hoc analysis and evolving business questions
 • Understanding of dimensional modeling
 • Ability to communicate clearly with non\-technical stakeholders
 • Curiosity and motivation to grow technically
 • Nice to have: 2\+ years of SQL development experience
 • Experience with Databricks, Snowflake, or other cloud data platforms
 • Familiarity with analytics engineering concepts
 • Familiarity with version control and CI/CD tools (GitHub, Gitlab, etc.)
 • Exposure to healthcare, EMR, or regulated data environments
 • Interest in machine learning or advanced analytics (not required)
 Benefits \&amp; Perks:
 • Bonus eligible
 • Health care plan including medical, dental, and vision
 • Retirement plan (401k)
 • Life insurance
 • Paid time off
 • Short term and long term disability
 • Training and development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60">
      <c r="A60" t="inlineStr">
        <is>
          <t>li-4352740035</t>
        </is>
      </c>
      <c r="B60" t="inlineStr">
        <is>
          <t>Principal Data Engineer</t>
        </is>
      </c>
      <c r="C60" t="inlineStr">
        <is>
          <t>Prodege, LLC</t>
        </is>
      </c>
      <c r="D60" t="inlineStr">
        <is>
          <t>linkedin</t>
        </is>
      </c>
      <c r="E60" t="inlineStr"/>
      <c r="F60" t="inlineStr"/>
      <c r="G60" t="inlineStr"/>
      <c r="H60" t="inlineStr"/>
      <c r="I60" t="inlineStr">
        <is>
          <t>**Job Description**
****Strategic Imperative:****
 The
 **Principal Data Engineer** 
 role is integral to the success of Prodege’s core business by serving as a highly technical, hands\-on leader responsible for designing, building, and modernizing the next\-generation data platform. The engineer will be at the center of transforming our data architecture across Snowflake, dbt, Iceberg, and real\-time processing, ensuring the data foundation is scalable, reliable, and "AI\-ready" to power our flagship products (Swagbucks, MyPoints, Insights) and complex business domains (CX, Rewards, Performance Marketing).
**Prodege**
 A cutting\-edge marketing and consumer insights platform, Prodege has charted a course of innovation in the evolving technology landscape by helping leading brands, marketers, and agencies uncover the answers to their business questions, acquire new customers, increase revenue, and drive brand loyalty \&amp; product adoption. Bolstered by a major investment by Great Hill Partners in Q4 2021 and strategic acquisitions of Pollfish, BitBurst \&amp; AdGate Media in 2022, Prodege looks forward to more growth and innovation to empower our partners to gather meaningful, rich insights and better market to their target audiences.
 As an organization, we go the extra mile to “Create Rewarding Moments” every day for our partners, consumers, and team. Come join us today!
**Primary Objectives**
* Architecture \&amp; Modernization: Lead the design and implementation of the Lakehouse architecture (Iceberg/Trino) and refactor complex legacy data systems into modern patterns.
* High\-Performance Pipeline Delivery: Design, build, and optimize high\-scale, reliable ELT/ETL data pipelines using expert\-level SQL, Python, Snowflake, and dbt.
* Data Quality \&amp; Governance: Own the observability, lineage, quality, and governance frameworks for mission\-critical datasets across the multi\-product ecosystem.
* AI/ML Enablement: Directly support Data Science and ML Engineering teams by delivering production\-grade data sets and optimizing feature engineering pipelines.
* Engineering Excellence \&amp; Mentorship: Elevate the engineering bar across the team, championing best practices and utilizing AI\-assisted development tools to accelerate workflow.
****Qualifications** 
 \-** 
*To perform this job successfully, an individual must be able to perform each job duty satisfactorily. The requirements listed below are representative of the knowledge, skill, and/or ability required. Reasonable accommodations may be made to enable individuals with disabilities to perform the essential functions.*
****Detailed Job Duties:** 
 (
 *typical monthly, weekly, daily tasks which support the primary objectives* 
 )**
* Architecture \&amp; Modernization
+ Architect, design, and implement components of the next\-generation Lakehouse platform, leveraging Iceberg, Trino, and Snowflake.
+ Lead the simplification and refactoring efforts for complex, high\-volume legacy pipelines, migrating them to modern, declarative ELT patterns (primarily via dbt).
+ Define and implement best practices for data storage, partitioning, clustering, and schema evolution to optimize performance and reduce cloud compute costs.
* High\-Performance Pipeline Delivery
+ Design, build, and maintain scalable, reliable data pipelines (batch and near real\-time) using Python, expert\-level SQL, and orchestration tools (e.g., Airflow, etc.).
+ Develop and enhance Snowflake data models, dbt models, and high\-performance analytical data marts for consumption by BI, reporting, and product applications.
+ Own the entire pipeline lifecycle: requirements gathering $ o$ design $ o$ build $ o$ unit/integration testing $ o$ deployment $ o$ monitoring $ o$ iteration.
* Data Quality \&amp; Governance
+ Implement and enhance data lineage, quality checks (via dbt tests/Great Expectations), observability, and alerting across core data pipelines.
+ Collaborate with Data Governance and Security teams to enforce data access controls, PII handling, and retention policies.
+ Continuously monitor and tune pipeline performance to meet strict data SLAs (Service Level Agreements) and SLOs (Service Level Objectives).
* AI/ML Enablement
+ Work closely with Data Science and ML Engineering teams to understand and enable their training and serving data needs.
+ Design and optimize data feeds for high\-volume Machine Learning workloads, including the development of feature stores and model\-serving pipelines.
+ Ensure data consistency and integrity for critical AI\-driven applications across consumer and business products.
* Engineering Excellence \&amp; Mentorship
+ Actively use AI\-assisted development tools (like GitHub Copilot, Gemini, etc.) to accelerate coding, generate documentation, draft tests, and simplify complex spec generation.
+ Set high technical standards for code quality, testing, and documentation within the Data Engineering team.
+ Provide technical leadership and mentorship to junior and mid\-level engineers, running design reviews and driving consensus on architectural trade\-offs.
****What does SUCCESS look like?****
* Platform Stability: Core data pipelines are highly reliable, meet defined SLAs/SLOs, and data quality incidents are rare, quickly detected, and resolved.
* Modernization Achieved: Significant progress has been made in migrating key legacy pipelines to the modern Lakehouse architecture (Iceberg/Trino/Snowflake/dbt).
* AI Velocity: The team effectively leverages AI\-assisted development tools, resulting in a demonstrable increase in delivery velocity and code quality (e.g., faster time\-to\-production, reduced defect rate).
* Data Democratization: High\-quality, governed datasets are easily discoverable and accessible to Data Scientists, Analysts, and downstream product applications.
* Technical Influence: The engineer is recognized as a technical leader, driving architectural decisions and raising the collective skill level of the data organization.
****The MUST Haves:** 
 (
 *ex: job cannot be done without these skills/competencies, education, experience, certifications, licenses* 
 )**
* Bachelors’ degrees in Computer Science or equivalent are of study, or equivalent years of relevant experience.
* Six or more (6\+) years of hands\-on experience in data engineering, ideally in multi\-product, high\-volume, or consumer\-scale environments.
* Expert\-level proficiency in SQL, strong Python, and extensive experience building robust ETL/ELT workflows.
* Strong experience with Snowflake and dbt (Data Build Tool) for data transformation and analytics engineering.
* Proven experience with modern data modeling techniques (e.g., Kimball, Data Vault, semantic layers) and performance tuning of large queries.
* Experience with Iceberg, Trino, or similar open table format/query engine ecosystems in a Lakehouse architecture.
* Ability to navigate and refactor complex, interconnected data systems with an Ownership Mindset (you build it, you run it).
****The Nice to Haves:** 
 (
 *preferred additional skills/competencies, education, experience, certifications, licenses* 
 )**
* Experience with Kafka, Kinesis, or Apache Flink for streaming ingestion and event\-driven data architectures.
* Familiarity with feature stores, model\-serving pipelines, and MLOps practices.
* Professional experience using AI\-driven development tools (e.g., GitHub Copilot, etc.) for coding, testing, or documentation generation.
* Prior experience in a consumer rewards, survey, or performance marketing ecosystem.
**Pay Transparency**
 The anticipated base salary range for this position is $160,000 to $195,000\. The final salary offered to a successful candidate will be dependent on several factors that may include, but are not limited to; the type and length of experience within the job, type and length of experience within the industry, the type and length of knowledge and skills for the position, education, training, etc. Prodege is a multi\-state employer and final compensation within this range could be impacted by work location. Please note that the compensation details listed in US role postings reflect the base salary only, and do not include bonus, equity, or benefits.
**Prodege Benefits**
 Prodege offers a comprehensive benefits package to US Full\-time employees including medical, dental, vision, STD, LTD and basic life insurance. Employees receive flexible PTO, as well as paid sick leave prorated based on hire date. US Employees have eight paid holidays throughout the calendar year. Employees receive an option to purchase shares of Company stock commensurate with their position, which vests over four years.
**Equal Employment Opportunity Statement**
 At Prodege, we are committed to creating a diverse and inclusive environment. We are proud to be an
**Equal Opportunity Employer** 
 and do not discriminate on the basis of race, color, religion, sex, sexual orientation, gender identity or expression, national origin, age, disability, veteran status, or any other characteristic protected by law. We encourage individuals of all backgrounds to apply.
**FCIHO**
 Employers will consider for employment qualified applicants with criminal histories in a manner consistent with the requirements of
 **FCIHO.**</t>
        </is>
      </c>
    </row>
    <row r="61">
      <c r="A61" t="inlineStr">
        <is>
          <t>li-4374696843</t>
        </is>
      </c>
      <c r="B61" t="inlineStr">
        <is>
          <t>Senior Data Engineer IS, MDM and Data Governance, Virtual</t>
        </is>
      </c>
      <c r="C61" t="inlineStr">
        <is>
          <t>Providence Health &amp; Services</t>
        </is>
      </c>
      <c r="D61" t="inlineStr">
        <is>
          <t>linkedin</t>
        </is>
      </c>
      <c r="E61" t="inlineStr"/>
      <c r="F61" t="inlineStr"/>
      <c r="G61" t="inlineStr">
        <is>
          <t>Renton, WA</t>
        </is>
      </c>
      <c r="H61" t="inlineStr"/>
      <c r="I61" t="inlineStr">
        <is>
          <t>**Description**
**Providence caregivers are not simply valued – they’re invaluable. Join our team at Enterprise Information Services and thrive in our culture of patient\-focused, whole\-person care built on understanding, commitment, and mutual respect. Your voice matters here, because we know that to inspire and retain the best people, we must empower them.**
**Embrace a pivotal role where innovation and impact converge! As a Senior Data Engineer working primarily on the Data Governance Engineering and Master Data Management teams, you will develop sophisticated cloud\-native data pipelines from sources, develop matching and survivorship strategies, reference data hierarchies, and integration of mastered data sets to user consumption layers. You will develop Data Protection policies, scanning workflows, and tools for users to seamlessly explore and utilize our data. A detailed understanding of healthcare data will be pivotal as you will mentor aspiring engineers, establish repeatable processes, advocate for clean source control, and explore the possibilities with emerging tools, data science, DevOps, and Agile methodologies. Whether you are designing fault\-tolerant systems, working collaboratively in real\-time with teams across Product, Platform, and Architecture, or staying ahead of new technologies, you will build resilient, secure, and high\-value applications that enhance operations and deliver tangible results.**
**Providence supports 100% virtual work for residents located in the following areas:**
* Alaska
* Washington
* Oregon
* Montana
* California
* Texas: Lubbock (within 65 miles)
* Texas: Levelland (within 65 miles)
* Texas: Plainview (within 65 miles)
**Required Qualifications**
* Bachelor's Degree in Computer Engineering, Computer Science, Mathematics, Engineering \-OR\- a combination of equivalent education and experience
* 5 or more years of related experience
**Preferred Qualifications**
* Master's Degree in Computer Engineering, Computer Science, Mathematics, Engineering \-OR\- a combination of equivalent education and experience
* 8 or more years of data development experience
* 5 or more years of experience in Data Engineering including data integration
* 2 or more years of experience in Master Data Management
* 2 or more years of experience in Data Governance
* Expertise in designing and building cloud\-native data solutions (pipelines, transformations, enrichment, provisioning layers, and UIs).
* Experience with data warehousing, big data ecosystems, enterprise search
* Excellent real\-time communication with developers, product managers, and customers to achieve shared goals.
**Salary Range by Location:**
* AK: Anchorage: Min: $61\.31, Max: $104\.39
* AK: Kodiak, Seward, Valdez: Min: $63\.91, Max: $108\.82
* California: Humboldt: Min: $63\.91, Max: $108\.82
* California: Northern California \- Except Humboldt: Min: $71\.70, Max: $122\.09
* California: Southern California: Min: $63\.91, Max: $108\.82
* Montana: Except Great Falls: Min: $49\.36, Max: $84\.05
* Montana: Great Falls: Min: $46\.76, Max: $79\.62
* Oregon: Non\-Portland Service Area: Min: $57\.16, Max: $97\.32
* Oregon: Portland Service Area: Min: $61\.31, Max: $104\.39
* Texas – Lubbock, Levelland, Plainview: Min: $46\.76, Max: $79\.62
* Washington: Western: Min: $63\.91, Max: $108\.82
* Washington: Southwest \- Olympia, Centralia: Min: $61\.31, Max: $104\.39
* Washington: Clark County: Min: $61\.31, Max: $104\.39
* Washington: Eastern: Min: $54\.56, Max: $92\.89
* Washington: Southeastern: Min: $57\.16, Max: $97\.32
**Why Join Providence?**
 Our best\-in\-class benefits are uniquely designed to support you and your family in staying well, growing professionally, and achieving financial security. We take care of you, so you can focus on delivering our Mission of caring for everyone, especially the most vulnerable in our communities.
**About Providence**
 At Providence, our strength lies in Our Promise of “Know me, care for me, ease my way.” Working at our family of organizations means that regardless of your role, we’ll walk alongside you in your career, supporting you so you can support others. We provide best\-in\-class benefits and we foster an inclusive workplace where diversity is valued, and everyone is essential, heard and respected. Together, our 120,000 caregivers (all employees) serve in over 50 hospitals, over 1,000 clinics and a full range of health and social services across Alaska, California, Montana, New Mexico, Oregon, Texas and Washington. As a comprehensive health care organization, we are serving more people, advancing best practices and continuing our more than 100\-year tradition of serving the poor and vulnerable.
 Posted are the minimum and the maximum wage rates on the wage range for this position. The successful candidate's placement on the wage range for this position will be determined based upon relevant job experience and other applicable factors. These amounts are the base pay range; additional compensation may be available for this role, such as shift differentials, standby/on\-call, overtime, premiums, extra shift incentives, or bonus opportunities.
 Providence offers a comprehensive benefits package including a retirement 401(k) Savings Plan with employer matching, health care benefits (medical, dental, vision), life insurance, disability insurance, time off benefits (paid parental leave, vacations, holidays, health issues), voluntary benefits, well\-being resources and much more. Learn more at providence.jobs/benefits.
 Applicants in the Unincorporated County of Los Angeles: Qualified applications with arrest or conviction records will be considered for employment in accordance with the Unincorporated Los Angeles County Fair Chance Ordinance for Employers and the California Fair Chance Act.
**About The Team**
 Providence Shared Services is a service line within Providence that provides a variety of functional and system support services for our family of organizations across Alaska, California, Montana, New Mexico, Oregon, Texas and Washington. We are focused on supporting our Mission by delivering a robust foundation of services and sharing of specialized expertise.
 Providence is proud to be an Equal Opportunity Employer. We are committed to the principle that every workforce member has the right to work in surroundings that are free from all forms of unlawful discrimination and harassment on the basis of race, color, gender, disability, veteran, military status, religion, age, creed, national origin, sexual identity or expression, sexual orientation, marital status, genetic information, or any other basis prohibited by local, state, or federal law. We believe diversity makes us stronger, so we are dedicated to shaping an inclusive workforce, learning from each other, and creating equal opportunities for advancement.
**Requsition ID:** 
 415502
**Company:** 
 Providence Jobs
**Job Category:** 
 Development/Engineering
**Job Function:** 
 Information Technology
**Job Schedule:** 
 Full time
**Job Shift:** 
 Day
**Career Track:** 
 Business Professional
**Department:** 
 4011 SS IS HI DP 3
**Address:** 
 WA Renton 1801 Lind Ave SW
**Work Location:** 
 Providence Valley Office Park\-Renton
**Workplace Type:** 
 Remote
**Pay Range:** 
 $See Job Posting \- $See Job Posting
 The amounts listed are the base pay range; additional compensation may be available for this role, such as shift differentials, standby/on\-call, overtime, premiums, extra shift incentives, or bonus opportunities.</t>
        </is>
      </c>
    </row>
    <row r="62">
      <c r="A62" t="inlineStr">
        <is>
          <t>li-4377194495</t>
        </is>
      </c>
      <c r="B62" t="inlineStr">
        <is>
          <t>Data Engineer , AWS Infrastructure Supply Chain Intelligence</t>
        </is>
      </c>
      <c r="C62" t="inlineStr">
        <is>
          <t>Amazon Web Services (AWS)</t>
        </is>
      </c>
      <c r="D62" t="inlineStr">
        <is>
          <t>linkedin</t>
        </is>
      </c>
      <c r="E62" t="inlineStr"/>
      <c r="F62" t="inlineStr"/>
      <c r="G62" t="inlineStr">
        <is>
          <t>Bellevue, WA</t>
        </is>
      </c>
      <c r="H62" t="inlineStr"/>
      <c r="I62" t="inlineStr">
        <is>
          <t>**Description**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We are looking for a talented Data Engineer to join the Manufacturing Operations, Transportation Operations, and Reverse (MOTOR) organization in support of our Supply Chain Intelligence team. MOTOR manages the manufacturing of datacenter racks and the movement of racks/parts through the supply chain, consisting of transportation, warehousing, and reverse logistics into and out of the data centers. This role performs helps connect the different systems across the supply chain together so operational teams have clean, actionable data to work with. This requires someone with strong analytic skills and business acumen who can work with stakeholders on strategic projects across MOTOR.
 The ideal candidate relishes working with large volumes of data, enjoys the challenge of highly complex technical contexts, and, above all else, is passionate about data and analytics. Must be an expert working with data modeling with un/structured data, ingestion pipelines and ETL design and business intelligence tools with the business to identify strategic opportunities where improvements in data infrastructure creates out\-sized business impact. Candidate is a self\-starter, comfortable with ambiguity, able to think big (while paying careful attention to detail), mentors other engineers in team on high quality tech, and enjoys working in a fast\-paced team. Candidate will have a chance to architect the data pipelines needed for optimization and predictive analysis. We're excited to talk to those up to the challenge!
 Key job responsibilities
* Build and maintain the infrastructure to answer questions with data, using software engineering best practices, data management fundamentals, data storage principles, recent advances in distributed systems, and operational excellence best practices. Build datasets that analysts and scientists use to generate actionable insights.
* Define the data engineering processes that leverage various AWS services to improve accessibility, redundancy, data integrity, cost, and storage requirements.
* Develop high quality solutions for the faster development of the products/models that solve the business needs in a scalable format, while also anticipating future requirements.
* Collaborate with Research/Applied Scientists, Data Engineers, Business Intelligence Engineers, Data Scientists, Business Analysts, and Product/Program Managers to understand the business and technical requirements, and make decisions that help make the products/programs smoother.
* Interface with other technology/data engineering teams to extract, transform, and load data from a wide variety of data sources using and AWS data technologies.
* Lead the technical design and implementation of the data infrastructure.
* Design and manage data audit, quality, and reconciliation processes in collaboration with various stakeholders.
**About The Team**
 This team provides data engineering and business intelligence engineering services to the rest of MOTOR. We are the data experts behind the scenes helping the operational teams focus on operations by ensuring they have accurate, timely data and provide business insights to help improve operational excellence.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3\+ years of data engineering experience
* Experience with data modeling, warehousing and building ETL pipelines
**Preferred Qualifications**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\- 132,100\.00 \- 178,800\.00 USD annually
 USA, WA, Bellevue \- 132,100\.00 \- 178,800\.00 USD annually
**Company** 
 \- Amazon Data Services, Inc.
 Job ID: A3187071</t>
        </is>
      </c>
    </row>
    <row r="63">
      <c r="A63" t="inlineStr">
        <is>
          <t>li-4352382251</t>
        </is>
      </c>
      <c r="B63" t="inlineStr">
        <is>
          <t>Databricks Data Engineer - Manager - Consulting - Miami</t>
        </is>
      </c>
      <c r="C63" t="inlineStr">
        <is>
          <t>EY</t>
        </is>
      </c>
      <c r="D63" t="inlineStr">
        <is>
          <t>linkedin</t>
        </is>
      </c>
      <c r="E63" t="inlineStr"/>
      <c r="F63" t="inlineStr"/>
      <c r="G63" t="inlineStr">
        <is>
          <t>Houston, TX</t>
        </is>
      </c>
      <c r="H63" t="inlineStr"/>
      <c r="I63"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64">
      <c r="A64" t="inlineStr">
        <is>
          <t>li-4352342418</t>
        </is>
      </c>
      <c r="B64" t="inlineStr">
        <is>
          <t>Databricks Data Engineer - Manager - Consulting - Miami</t>
        </is>
      </c>
      <c r="C64" t="inlineStr">
        <is>
          <t>EY</t>
        </is>
      </c>
      <c r="D64" t="inlineStr">
        <is>
          <t>linkedin</t>
        </is>
      </c>
      <c r="E64" t="inlineStr"/>
      <c r="F64" t="inlineStr"/>
      <c r="G64" t="inlineStr">
        <is>
          <t>Seattle, WA</t>
        </is>
      </c>
      <c r="H64" t="inlineStr"/>
      <c r="I64"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65">
      <c r="A65" t="inlineStr">
        <is>
          <t>li-4352401723</t>
        </is>
      </c>
      <c r="B65" t="inlineStr">
        <is>
          <t>Databricks Data Engineer - Manager - Consulting - Miami</t>
        </is>
      </c>
      <c r="C65" t="inlineStr">
        <is>
          <t>EY</t>
        </is>
      </c>
      <c r="D65" t="inlineStr">
        <is>
          <t>linkedin</t>
        </is>
      </c>
      <c r="E65" t="inlineStr"/>
      <c r="F65" t="inlineStr"/>
      <c r="G65" t="inlineStr">
        <is>
          <t>Birmingham, AL</t>
        </is>
      </c>
      <c r="H65" t="inlineStr"/>
      <c r="I65"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66">
      <c r="A66" t="inlineStr">
        <is>
          <t>li-4219705189</t>
        </is>
      </c>
      <c r="B66" t="inlineStr">
        <is>
          <t>Forward Deployed Data Engineer (TS/SCI)</t>
        </is>
      </c>
      <c r="C66" t="inlineStr">
        <is>
          <t>TRM Labs</t>
        </is>
      </c>
      <c r="D66" t="inlineStr">
        <is>
          <t>linkedin</t>
        </is>
      </c>
      <c r="E66" t="inlineStr"/>
      <c r="F66" t="inlineStr"/>
      <c r="G66" t="inlineStr">
        <is>
          <t>Washington, DC</t>
        </is>
      </c>
      <c r="H66" t="inlineStr"/>
      <c r="I66" t="inlineStr">
        <is>
          <t>Build a Safer World.
 TRM Labs provides blockchain analytics and AI solutions to help law enforcement and national security agencies, financial institutions, and cryptocurrency businesses detect, investigate, and disrupt crypto\-related fraud and financial crime. TRM’s blockchain intelligence and AI platforms include solutions to trace the source and destination of funds, identify illicit activity, build cases, and construct an operating picture of threats. TRM is trusted by leading agencies and businesses worldwide who rely on TRM to enable a safer, more secure world for all.
 As a Forward Deployed Engineer, you will work directly with TRM’s government customers. This includes bridging our SaaS offering with federated capabilities and cloud architectures from the initial setup and implementation to configuration and maintenance.
 A successful mission will enable TRM’s government customers to securely leverage TRM in regulated industries and also scale with maturity. As an early member of the Forward Deployed Engineering team, you will be deeply involved in the technical details and ultimately champion your team to build a safer financial system for billions of people.
 The impact you’ll have here:
* Partner directly with mission\-focused customers to design and deploy secure, scalable cloud\-based data lakehouse solutions on AWS (e.g., S3, EMR/EKS, Iceberg or Delta Lake).
* Own and deliver production\-ready ETL/ELT pipelines using Python, Apache Airflow, Spark, and SQL—optimized for petabyte\-scale workloads.
* Containerize and deploy services on Kubernetes (EKS), using Terraform or CloudFormation for Infrastructure\-as\-Code and repeatable environments.
* Design integrations that ingest data from message buses, APIs, and relational databases, embedding real\-time analytics capabilities into client workflows.
* Actively participate in all phases of the software development lifecycle: requirements gathering, architecture, implementation, testing, and secure deployment.
* Implement observability solutions (e.g., Prometheus, Datadog, NewRelic) to uphold SLAs and drive continuous improvement.
* Support mission\-critical systems in production environments—resolving incidents alongside customer operations teams.
 What we’re looking for:
* Bachelor's degree (or equivalent) in Computer Science, Engineering, or a related field.
* 4\+ years of hands\-on experience building and deploying data pipelines in Python.
* Proven expertise with Apache Airflow (DAG development, scheduler tuning, custom operators).
* Strong knowledge of Apache Spark (Spark SQL, DataFrames, performance tuning).
* Deep SQL skills—able to optimize queries with window functions, CTEs, and large datasets.
* Professional experience deploying cloud\-native architectures on AWS, including services like S3, EMR, EKS, IAM, and Redshift.
* Familiarity with secure cloud environments and experience implementing FedRAMP/FISMA controls.
* Experience deploying applications and data workflows on Kubernetes, preferably EKS.
* Infrastructure\-as\-Code proficiency with Terraform or CloudFormation.
* Skilled in GitOps and CI/CD practices using Jenkins, GitLab CI, or similar tools.
* Excellent verbal and written communication skills—able to interface confidently with both technical and non\-technical stakeholders.
* Willingness and ability to travel up to 25% to client sites as needed.
* Active TS/SCI clearance required (Polygraph strongly preferred).
**About the Team:**
* The FDE team is made up of experienced professionals with direct customer knowledge and deep experience with technology, we leverage this to provide impactful outcomes and clear communication both internally and externally.
* The FDE team aligns to the US\-eastern timezone, both onsite and remotely. Wee communicate across numerous channels (highside chat, highside/lowside email, slack, phone calls, signal, google meets) and ensure we are able to rapidly switch between appropriate channels as necessary.
* We have weekly team syncs as well as project check\-ins, we keep project tracking tools up to date and directly communicate issues as they arise.
* We always put the customer first – The FDE team is uniquely close among other teams at TRM to our customers and will develop close relationships with them. We do whatever it takes to ensure their mission success.
**Learn about TRM Speed in this position:**
* Rapid Issue Resolution: Forward Deployed Engineers identify and diagnose critical onsite issues, set up incident channels or virtual war rooms with the remote team, and implement fixes in mintues to hours. FDEs also conduct retros and shares lessons with both internal teams and customer stakeholders within 48 hours of resolution.
* Navigating Bureaucratic Hurdles: Engineer anticipates and proactively addresses potential customer\-side delays. They build relationships with customer stakeholders (COTR, Enterprise technical lead, etc.), identify procedural bottlenecks, and seek alternative pathways for approvals. This approach reduces wait times for critical decisions and keeps projects on track despite complex customer processes.
* Efficient Knowledge Transfer: Conducts knowledge sharing sessions and maintains up\-to\-date documentation in Notion and issue tracking in Jira for the remote team. All milestone\-impacting issues are flagged within 24 hours, reducing problem\-solving time and ensuring remote team is always aware of any updates to the plans.
**About TRM's Engineering Levels:**
**Engineer:** 
 Responsible for helping to define project milestones and executing small decision decisions independently with the appropriate tradeoffs between simplicity, readability, and performance. Provides mentorship to junior engineers, and enhances operational excellence through tech debt reduction and knowledge sharing.
**Senior Engineer:** 
 Successfully designs and documents system improvements and features for an OKR/project from the ground up. Consistently delivers efficient and reusable systems, optimizes team throughput with appropriate tradeoffs, mentors team members, and enhances cross\-team collaboration through documentation and knowledge sharing.
**Staff Engineer:** 
 Drives scoping and execution of one or more OKRs/projects that impact multiple teams. Partners with stakeholders to set the team vision and technical roadmaps for one or more products. Is a role model and mentor to the entire engineering organization. Ensures system health and quality with operational reviews, testing strategies, and monitoring rigor.
**The following represents the expected range of compensation for this role:**
* The estimated base salary range for this role is $200,000 \- $260,000\.
* Additionally, this role may be eligible to participate in TRM’s equity plan.
* Please note – we factor in the different costs for geographies outside the United States.
 Life at TRM
 We are building a safer world. That promise shows up in how we work every day.
 TRM runs fast. Really fast. We’re a high‑velocity, high‑ownership team that expects clarity, follow‑through, and impact. People who thrive here are energized by hard problems, experimentation, and direct feedback. If something takes months elsewhere, it often ships here in days.
 That pace isn’t for everyone. If you are optimizing primarily for consistent work\-life balance, use the interview process to pressure\-test fit. We want teammates who thrive here, not just survive here.
 AI Fluency at TRM
 AI fluency is a baseline expectation at TRM.
 We believe AI meaningfully changes how top performers operate. We expect every team member to use AI to accelerate and reimagine their craft, not just automate surface tasks.
 At TRM, AI fluency means you are among the top 10 percent of operators in your function in how you apply AI to:
* Accelerate repeatable workflows
* Structure and solve problems
* Improve output quality
* Increase speed and leverage
 You will be evaluated on applied AI fluency during the interview process.
 Leadership Principles
 We hire and grow against three leadership principles. They’re the standards for how we operate, treat each other, and make decisions.
* Impact\-Oriented Trailblazer: We put customers first and move with speed, focus, and adaptability. We treat every plan like an experiment – test, ship, measure, and iterate quickly.
* Master Craftsperson: We care deeply about our craft. We balance speed with high standards, own outcomes end‑to‑end, and invest in getting better everyday.
* Inspiring Colleague: We add clarity and energy, not noise. We bring humility, candor, and a one‑team mindset — giving and receiving feedback to make the team stronger.
**Learn more:** 
 Interviewing at TRM: How We Hire and What Success Looks Like
 The impact you will have
 This work has real stakes. Depending on your role at TRM, your week might look like:
* Driving critical investigations that can’t wait for typical business hours.
* Shipping products in days when others would schedule quarters.
* Partnering with teams across time zones to deliver insights while the story is still unfolding.
* Building new solutions from first principles when the playbook doesn’t yet exist.
* Protecting victims and customers by tracing illicit activity and disrupting criminal networks.
 Join our Mission
 At TRM we care deeply about our craft. We are looking for individuals who want their work to matter, who experiment with speed and rigor, and who take pride in building a safer world for billions of people. If you’re excited by TRM’s mission but don’t check every box, we encourage you to apply — we hire for slope, judgment, and the will to learn fast.
 TRM is a Series C company with $220M in total funding, backed by Blockchain Capital, Goldman Sachs, Bessemer, Y Combinator, Thoma Bravo, and others. Headquartered in San Francisco, TRM operates as a distributed\-first company with hubs in Los Angeles, San Francisco, New York, Washington D.C., London, and Singapore.
**Recruitment agencies**
 TRM Labs does not accept unsolicited agency resumes. Please do not forward resumes to TRM employees. TRM Labs is not responsible for any fees related to unsolicited resumes and will not pay fees to any third\-party agency or company without a signed agreement.
**Privacy Policy**
 By submitting your application, you are agreeing to allow TRM to process your personal information in accordance with the TRM Privacy Policy
**Learn More** 
 : Company Values \| Interviewing \| FAQs</t>
        </is>
      </c>
    </row>
    <row r="67">
      <c r="A67" t="inlineStr">
        <is>
          <t>li-4352292484</t>
        </is>
      </c>
      <c r="B67" t="inlineStr">
        <is>
          <t>Databricks Data Engineer - Manager - Consulting - Miami</t>
        </is>
      </c>
      <c r="C67" t="inlineStr">
        <is>
          <t>EY</t>
        </is>
      </c>
      <c r="D67" t="inlineStr">
        <is>
          <t>linkedin</t>
        </is>
      </c>
      <c r="E67" t="inlineStr"/>
      <c r="F67" t="inlineStr"/>
      <c r="G67" t="inlineStr">
        <is>
          <t>Louisville, KY</t>
        </is>
      </c>
      <c r="H67" t="inlineStr"/>
      <c r="I67"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68">
      <c r="A68" t="inlineStr">
        <is>
          <t>li-4352352483</t>
        </is>
      </c>
      <c r="B68" t="inlineStr">
        <is>
          <t>Databricks Data Engineer - Manager - Consulting - Miami</t>
        </is>
      </c>
      <c r="C68" t="inlineStr">
        <is>
          <t>EY</t>
        </is>
      </c>
      <c r="D68" t="inlineStr">
        <is>
          <t>linkedin</t>
        </is>
      </c>
      <c r="E68" t="inlineStr"/>
      <c r="F68" t="inlineStr"/>
      <c r="G68" t="inlineStr">
        <is>
          <t>Jericho, NY</t>
        </is>
      </c>
      <c r="H68" t="inlineStr"/>
      <c r="I68"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69">
      <c r="A69" t="inlineStr">
        <is>
          <t>li-4352229255</t>
        </is>
      </c>
      <c r="B69" t="inlineStr">
        <is>
          <t>Databricks Data Engineer - Manager - Consulting - Miami</t>
        </is>
      </c>
      <c r="C69" t="inlineStr">
        <is>
          <t>EY</t>
        </is>
      </c>
      <c r="D69" t="inlineStr">
        <is>
          <t>linkedin</t>
        </is>
      </c>
      <c r="E69" t="inlineStr"/>
      <c r="F69" t="inlineStr"/>
      <c r="G69" t="inlineStr">
        <is>
          <t>Toledo, OH</t>
        </is>
      </c>
      <c r="H69" t="inlineStr"/>
      <c r="I69"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70">
      <c r="A70" t="inlineStr">
        <is>
          <t>li-4352219657</t>
        </is>
      </c>
      <c r="B70" t="inlineStr">
        <is>
          <t>Databricks Data Engineer - Manager - Consulting - Miami</t>
        </is>
      </c>
      <c r="C70" t="inlineStr">
        <is>
          <t>EY</t>
        </is>
      </c>
      <c r="D70" t="inlineStr">
        <is>
          <t>linkedin</t>
        </is>
      </c>
      <c r="E70" t="inlineStr"/>
      <c r="F70" t="inlineStr"/>
      <c r="G70" t="inlineStr">
        <is>
          <t>Pittsburgh, PA</t>
        </is>
      </c>
      <c r="H70" t="inlineStr"/>
      <c r="I70"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71">
      <c r="A71" t="inlineStr">
        <is>
          <t>li-4352352484</t>
        </is>
      </c>
      <c r="B71" t="inlineStr">
        <is>
          <t>Databricks Data Engineer - Manager - Consulting - Miami</t>
        </is>
      </c>
      <c r="C71" t="inlineStr">
        <is>
          <t>EY</t>
        </is>
      </c>
      <c r="D71" t="inlineStr">
        <is>
          <t>linkedin</t>
        </is>
      </c>
      <c r="E71" t="inlineStr"/>
      <c r="F71" t="inlineStr"/>
      <c r="G71" t="inlineStr">
        <is>
          <t>Oklahoma City, OK</t>
        </is>
      </c>
      <c r="H71" t="inlineStr"/>
      <c r="I71"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72">
      <c r="A72" t="inlineStr">
        <is>
          <t>li-4352246355</t>
        </is>
      </c>
      <c r="B72" t="inlineStr">
        <is>
          <t>Databricks Data Engineer - Manager - Consulting - Miami</t>
        </is>
      </c>
      <c r="C72" t="inlineStr">
        <is>
          <t>EY</t>
        </is>
      </c>
      <c r="D72" t="inlineStr">
        <is>
          <t>linkedin</t>
        </is>
      </c>
      <c r="E72" t="inlineStr"/>
      <c r="F72" t="inlineStr"/>
      <c r="G72" t="inlineStr">
        <is>
          <t>Providence, RI</t>
        </is>
      </c>
      <c r="H72" t="inlineStr"/>
      <c r="I72"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73">
      <c r="A73" t="inlineStr">
        <is>
          <t>li-4282846259</t>
        </is>
      </c>
      <c r="B73" t="inlineStr">
        <is>
          <t>Databricks Data Engineer - Senior - Consulting - Location Open</t>
        </is>
      </c>
      <c r="C73" t="inlineStr">
        <is>
          <t>EY</t>
        </is>
      </c>
      <c r="D73" t="inlineStr">
        <is>
          <t>linkedin</t>
        </is>
      </c>
      <c r="E73" t="inlineStr"/>
      <c r="F73" t="inlineStr"/>
      <c r="G73" t="inlineStr">
        <is>
          <t>San Mateo, CA</t>
        </is>
      </c>
      <c r="H73" t="inlineStr"/>
      <c r="I73"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74">
      <c r="A74" t="inlineStr">
        <is>
          <t>li-4282848084</t>
        </is>
      </c>
      <c r="B74" t="inlineStr">
        <is>
          <t>Databricks Data Engineer - Manager - Consulting - Location Open</t>
        </is>
      </c>
      <c r="C74" t="inlineStr">
        <is>
          <t>EY</t>
        </is>
      </c>
      <c r="D74" t="inlineStr">
        <is>
          <t>linkedin</t>
        </is>
      </c>
      <c r="E74" t="inlineStr"/>
      <c r="F74" t="inlineStr"/>
      <c r="G74" t="inlineStr">
        <is>
          <t>Atlanta, GA</t>
        </is>
      </c>
      <c r="H74" t="inlineStr"/>
      <c r="I74"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75">
      <c r="A75" t="inlineStr">
        <is>
          <t>li-4282849084</t>
        </is>
      </c>
      <c r="B75" t="inlineStr">
        <is>
          <t>Databricks Data Engineer - Manager - Consulting - Location Open</t>
        </is>
      </c>
      <c r="C75" t="inlineStr">
        <is>
          <t>EY</t>
        </is>
      </c>
      <c r="D75" t="inlineStr">
        <is>
          <t>linkedin</t>
        </is>
      </c>
      <c r="E75" t="inlineStr"/>
      <c r="F75" t="inlineStr"/>
      <c r="G75" t="inlineStr">
        <is>
          <t>Rogers, AR</t>
        </is>
      </c>
      <c r="H75" t="inlineStr"/>
      <c r="I75"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76">
      <c r="A76" t="inlineStr">
        <is>
          <t>li-4282843549</t>
        </is>
      </c>
      <c r="B76" t="inlineStr">
        <is>
          <t>Databricks Data Engineer - Senior - Consulting - Location Open</t>
        </is>
      </c>
      <c r="C76" t="inlineStr">
        <is>
          <t>EY</t>
        </is>
      </c>
      <c r="D76" t="inlineStr">
        <is>
          <t>linkedin</t>
        </is>
      </c>
      <c r="E76" t="inlineStr"/>
      <c r="F76" t="inlineStr"/>
      <c r="G76" t="inlineStr">
        <is>
          <t>Cleveland, OH</t>
        </is>
      </c>
      <c r="H76" t="inlineStr"/>
      <c r="I76"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77">
      <c r="A77" t="inlineStr">
        <is>
          <t>li-4352246352</t>
        </is>
      </c>
      <c r="B77" t="inlineStr">
        <is>
          <t>Databricks Data Engineer - Manager - Consulting - Miami</t>
        </is>
      </c>
      <c r="C77" t="inlineStr">
        <is>
          <t>EY</t>
        </is>
      </c>
      <c r="D77" t="inlineStr">
        <is>
          <t>linkedin</t>
        </is>
      </c>
      <c r="E77" t="inlineStr"/>
      <c r="F77" t="inlineStr"/>
      <c r="G77" t="inlineStr">
        <is>
          <t>Portland, OR</t>
        </is>
      </c>
      <c r="H77" t="inlineStr"/>
      <c r="I77"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78">
      <c r="A78" t="inlineStr">
        <is>
          <t>li-4282846221</t>
        </is>
      </c>
      <c r="B78" t="inlineStr">
        <is>
          <t>Databricks Data Engineer - Manager - Consulting - Location Open</t>
        </is>
      </c>
      <c r="C78" t="inlineStr">
        <is>
          <t>EY</t>
        </is>
      </c>
      <c r="D78" t="inlineStr">
        <is>
          <t>linkedin</t>
        </is>
      </c>
      <c r="E78" t="inlineStr"/>
      <c r="F78" t="inlineStr"/>
      <c r="G78" t="inlineStr">
        <is>
          <t>Cleveland, OH</t>
        </is>
      </c>
      <c r="H78" t="inlineStr"/>
      <c r="I78"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79">
      <c r="A79" t="inlineStr">
        <is>
          <t>li-4282849082</t>
        </is>
      </c>
      <c r="B79" t="inlineStr">
        <is>
          <t>Databricks Data Engineer - Manager - Consulting - Location Open</t>
        </is>
      </c>
      <c r="C79" t="inlineStr">
        <is>
          <t>EY</t>
        </is>
      </c>
      <c r="D79" t="inlineStr">
        <is>
          <t>linkedin</t>
        </is>
      </c>
      <c r="E79" t="inlineStr"/>
      <c r="F79" t="inlineStr"/>
      <c r="G79" t="inlineStr">
        <is>
          <t>Toledo, OH</t>
        </is>
      </c>
      <c r="H79" t="inlineStr"/>
      <c r="I79"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80">
      <c r="A80" t="inlineStr">
        <is>
          <t>li-4282840913</t>
        </is>
      </c>
      <c r="B80" t="inlineStr">
        <is>
          <t>Databricks Data Engineer - Senior - Consulting - Location Open</t>
        </is>
      </c>
      <c r="C80" t="inlineStr">
        <is>
          <t>EY</t>
        </is>
      </c>
      <c r="D80" t="inlineStr">
        <is>
          <t>linkedin</t>
        </is>
      </c>
      <c r="E80" t="inlineStr"/>
      <c r="F80" t="inlineStr"/>
      <c r="G80" t="inlineStr">
        <is>
          <t>Grand Rapids, MI</t>
        </is>
      </c>
      <c r="H80" t="inlineStr"/>
      <c r="I80"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81">
      <c r="A81" t="inlineStr">
        <is>
          <t>li-4352238170</t>
        </is>
      </c>
      <c r="B81" t="inlineStr">
        <is>
          <t>Databricks Data Engineer - Manager - Consulting - Miami</t>
        </is>
      </c>
      <c r="C81" t="inlineStr">
        <is>
          <t>EY</t>
        </is>
      </c>
      <c r="D81" t="inlineStr">
        <is>
          <t>linkedin</t>
        </is>
      </c>
      <c r="E81" t="inlineStr"/>
      <c r="F81" t="inlineStr"/>
      <c r="G81" t="inlineStr">
        <is>
          <t>Buffalo, NY</t>
        </is>
      </c>
      <c r="H81" t="inlineStr"/>
      <c r="I81"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82">
      <c r="A82" t="inlineStr">
        <is>
          <t>li-4352238164</t>
        </is>
      </c>
      <c r="B82" t="inlineStr">
        <is>
          <t>Databricks Data Engineer - Manager - Consulting - Miami</t>
        </is>
      </c>
      <c r="C82" t="inlineStr">
        <is>
          <t>EY</t>
        </is>
      </c>
      <c r="D82" t="inlineStr">
        <is>
          <t>linkedin</t>
        </is>
      </c>
      <c r="E82" t="inlineStr"/>
      <c r="F82" t="inlineStr"/>
      <c r="G82" t="inlineStr">
        <is>
          <t>Denver, CO</t>
        </is>
      </c>
      <c r="H82" t="inlineStr"/>
      <c r="I82"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83">
      <c r="A83" t="inlineStr">
        <is>
          <t>li-4352246356</t>
        </is>
      </c>
      <c r="B83" t="inlineStr">
        <is>
          <t>Databricks Data Engineer - Manager - Consulting - Miami</t>
        </is>
      </c>
      <c r="C83" t="inlineStr">
        <is>
          <t>EY</t>
        </is>
      </c>
      <c r="D83" t="inlineStr">
        <is>
          <t>linkedin</t>
        </is>
      </c>
      <c r="E83" t="inlineStr"/>
      <c r="F83" t="inlineStr"/>
      <c r="G83" t="inlineStr">
        <is>
          <t>Phoenix, AZ</t>
        </is>
      </c>
      <c r="H83" t="inlineStr"/>
      <c r="I83"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84">
      <c r="A84" t="inlineStr">
        <is>
          <t>li-4352209913</t>
        </is>
      </c>
      <c r="B84" t="inlineStr">
        <is>
          <t>Databricks Data Engineer - Manager - Consulting - Miami</t>
        </is>
      </c>
      <c r="C84" t="inlineStr">
        <is>
          <t>EY</t>
        </is>
      </c>
      <c r="D84" t="inlineStr">
        <is>
          <t>linkedin</t>
        </is>
      </c>
      <c r="E84" t="inlineStr"/>
      <c r="F84" t="inlineStr"/>
      <c r="G84" t="inlineStr">
        <is>
          <t>San Antonio, TX</t>
        </is>
      </c>
      <c r="H84" t="inlineStr"/>
      <c r="I84"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85">
      <c r="A85" t="inlineStr">
        <is>
          <t>li-4352292479</t>
        </is>
      </c>
      <c r="B85" t="inlineStr">
        <is>
          <t>Databricks Data Engineer - Manager - Consulting - Miami</t>
        </is>
      </c>
      <c r="C85" t="inlineStr">
        <is>
          <t>EY</t>
        </is>
      </c>
      <c r="D85" t="inlineStr">
        <is>
          <t>linkedin</t>
        </is>
      </c>
      <c r="E85" t="inlineStr"/>
      <c r="F85" t="inlineStr"/>
      <c r="G85" t="inlineStr">
        <is>
          <t>Baltimore, MD</t>
        </is>
      </c>
      <c r="H85" t="inlineStr"/>
      <c r="I85"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86">
      <c r="A86" t="inlineStr">
        <is>
          <t>li-4352229246</t>
        </is>
      </c>
      <c r="B86" t="inlineStr">
        <is>
          <t>Databricks Data Engineer - Manager - Consulting - Miami</t>
        </is>
      </c>
      <c r="C86" t="inlineStr">
        <is>
          <t>EY</t>
        </is>
      </c>
      <c r="D86" t="inlineStr">
        <is>
          <t>linkedin</t>
        </is>
      </c>
      <c r="E86" t="inlineStr"/>
      <c r="F86" t="inlineStr"/>
      <c r="G86" t="inlineStr">
        <is>
          <t>Huntsville, AL</t>
        </is>
      </c>
      <c r="H86" t="inlineStr"/>
      <c r="I86"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87">
      <c r="A87" t="inlineStr">
        <is>
          <t>li-4352382254</t>
        </is>
      </c>
      <c r="B87" t="inlineStr">
        <is>
          <t>Databricks Data Engineer - Manager - Consulting - Miami</t>
        </is>
      </c>
      <c r="C87" t="inlineStr">
        <is>
          <t>EY</t>
        </is>
      </c>
      <c r="D87" t="inlineStr">
        <is>
          <t>linkedin</t>
        </is>
      </c>
      <c r="E87" t="inlineStr"/>
      <c r="F87" t="inlineStr"/>
      <c r="G87" t="inlineStr">
        <is>
          <t>Chattanooga, TN</t>
        </is>
      </c>
      <c r="H87" t="inlineStr"/>
      <c r="I87"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88">
      <c r="A88" t="inlineStr">
        <is>
          <t>li-4352352482</t>
        </is>
      </c>
      <c r="B88" t="inlineStr">
        <is>
          <t>Databricks Data Engineer - Manager - Consulting - Miami</t>
        </is>
      </c>
      <c r="C88" t="inlineStr">
        <is>
          <t>EY</t>
        </is>
      </c>
      <c r="D88" t="inlineStr">
        <is>
          <t>linkedin</t>
        </is>
      </c>
      <c r="E88" t="inlineStr"/>
      <c r="F88" t="inlineStr"/>
      <c r="G88" t="inlineStr">
        <is>
          <t>Kansas City, MO</t>
        </is>
      </c>
      <c r="H88" t="inlineStr"/>
      <c r="I88"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89">
      <c r="A89" t="inlineStr">
        <is>
          <t>li-4352362417</t>
        </is>
      </c>
      <c r="B89" t="inlineStr">
        <is>
          <t>Databricks Data Engineer - Manager - Consulting - Miami</t>
        </is>
      </c>
      <c r="C89" t="inlineStr">
        <is>
          <t>EY</t>
        </is>
      </c>
      <c r="D89" t="inlineStr">
        <is>
          <t>linkedin</t>
        </is>
      </c>
      <c r="E89" t="inlineStr"/>
      <c r="F89" t="inlineStr"/>
      <c r="G89" t="inlineStr">
        <is>
          <t>Des Moines, IA</t>
        </is>
      </c>
      <c r="H89" t="inlineStr"/>
      <c r="I89"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90">
      <c r="A90" t="inlineStr">
        <is>
          <t>li-4377511319</t>
        </is>
      </c>
      <c r="B90" t="inlineStr">
        <is>
          <t>Data Engineer</t>
        </is>
      </c>
      <c r="C90" t="inlineStr">
        <is>
          <t>Stuut</t>
        </is>
      </c>
      <c r="D90" t="inlineStr">
        <is>
          <t>linkedin</t>
        </is>
      </c>
      <c r="E90" t="inlineStr"/>
      <c r="F90" t="inlineStr"/>
      <c r="G90" t="inlineStr">
        <is>
          <t>New York, NY</t>
        </is>
      </c>
      <c r="H90" t="inlineStr"/>
      <c r="I90" t="inlineStr">
        <is>
          <t>Stuut is transforming accounts receivable for B2B companies—making collections smarter and faster for companies that have historically relied on manual processes that are labor intensive and costly. Our platform is gaining traction with finance teams across industrials, chemicals, and manufacturing sectors from Fortune 10 brands to scaling midmarkets. We're backed by top\-tier investors including a16z, Khosla, Activant, 1984 Ventures and Page One.
 The Role
 We are hiring a Data Engineer to build the data foundation that powers Stuut's intelligence layer. You'll work closely with our product and engineering teams to transform raw financial data into actionable insights that help our customers get paid faster. This is a foundational role, you'll be our first data hire, which means you'll shape everything from our data architecture to how we think about analytics.
 This is a high\-impact role for someone who can think strategically about data infrastructure while rolling up their sleeves to build pipelines, models, and systems from scratch. You'll translate messy data into clean, reliable datasets that drive product decisions, customer insights, and business growth. If you've ever wanted to own the entire data stack at a fast\-growing company, this is it.
 What You’ll Do
 * Build and own our data infrastructure from the ground up, design pipelines that ingest, transform, and model data from customer ERPs, payment processors, and internal systems
* Partner with product and engineering to embed data quality and observability into everything we ship
* Create the analytics foundation that helps our customers understand payment patterns, collection trends, and cash flow predictions
* Implement DataOps best practices to ensure our data is timely, accurate, and trusted across the organization
* Collaborate with leadership to define KPIs, build dashboards, and surface insights that drive strategic decisions
* Scale our data platform as we grow from dozens to hundreds of customers, anticipating needs before they become bottlenecks
 You Might Be a Fit If You…
 * Have 3\+ years of hands\-on experience building production data pipelines using Python
* Know your way around SQL and modern data warehouses; bonus if you've worked with Snowflake, BigQuery, or Redshift
* Have experience implementing ETL/ELT workflows at scale using tools like Airflow, dbt, or similar
* Understand data modeling fundamentals and can design schemas that balance performance with flexibility
* Have worked with messy, real\-world data from SaaS APIs, databases, or third\-party integrations
* Thrive in ambiguity and get energized by building something new rather than inheriting someone else's stack
* Care deeply about data quality and believe that great analytics start with great infrastructure
* Have experience (or strong interest) in fintech, B2B SaaS, or financial data, understanding AR/AP workflows is a big plus
 Compensation
 * Top\-of\-market salary and equity package
* Benefits (for U.S.\-based full\-time employees)
* Medical, dental \&amp; vision insurance coverage for you
* 401(k) \&amp; Match
* Equity
* Flexible PTO
* Parental Leave
-</t>
        </is>
      </c>
    </row>
    <row r="91">
      <c r="A91" t="inlineStr">
        <is>
          <t>li-4377541748</t>
        </is>
      </c>
      <c r="B91" t="inlineStr">
        <is>
          <t>REMOTE- Junior Data Engineer</t>
        </is>
      </c>
      <c r="C91" t="inlineStr">
        <is>
          <t>Lensa</t>
        </is>
      </c>
      <c r="D91" t="inlineStr">
        <is>
          <t>linkedin</t>
        </is>
      </c>
      <c r="E91" t="inlineStr"/>
      <c r="F91" t="inlineStr"/>
      <c r="G91" t="inlineStr">
        <is>
          <t>Fort Worth, TX</t>
        </is>
      </c>
      <c r="H91" t="inlineStr"/>
      <c r="I9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Insight Global. Clicking "Apply Now" or "Read more" on Lensa redirects you to the job board/employer site. Any information collected there is subject to their terms and privacy notice.
**Job Description**
 One of the largest logistics and transportation employers in the US is seeking a Jr. Data Engineer to join their expanding team. The Jr. Data Engineer will play a crucial role in understanding business problems and assisting in designing solutions that transform complex ideas into sustainable processes. This individual will focus on supporting the onboarding of new lines of business into the data analytics team. Their responsibilities will include assisting in the full life cycle of data engineering, from gathering requirements from internal customers to building data pipelines, testing, reporting, and maintaining solutions. Additionally, the Jr. Data Engineer will support escalation tasks, contribute to system development, help automate processes, maintain internal systems, and assist in data modeling. They will use their growing expertise in data structures specific to the company's operating systems to help turn data into valuable business insights.
 We are a company committed to creating inclusive environments where people can bring their full, authentic selves to work every day. We are an equal opportunity employer that believes everyone matters. Qualified candidates will receive consideration for employment opportunities without regard to race, religion, sex, age, marital status, national origin, sexual orientation, citizenship status, disability, or any other status or characteristic protected by applicable laws, regulations, and ordinances. If you need assistance and/or a reasonable accommodation due to a disability during the application or recruiting process, please send a request to Human Resources Request Form (https://airtable.com/app21VjYyxLDIX0ez/shrOg4IQS1J6dRiMo) . The EEOC "Know Your Rights" Poster is available here (https://www.eeoc.gov/sites/default/files/2023\-06/22\-088\_EEOC\_KnowYourRights6\.12ScreenRdr.pdf) .
 To learn more about how we collect, keep, and process your private information, please review Insight Global's Workforce Privacy Policy: https://insightglobal.com/workforce\-privacy\-policy/ .
**Skills And Requirements**
 2\-5\+ years' experience of data engineer experience
 Strong ADF experience (creating pipelines from scratch/ knowledge of connectors and activities following architect plan)
 Strong knowledge of SQL (Mostly working with SQL scripting implementing into ADF)
 Understanding of full life cycle data engineering
 Extremely detail oriented and ability to provide effective updates
 Strong communication for working with internal/ external customers
 Strong critical thinking skills Python or Spark experience (Small environment is in Python\- basic level scripting and reviews)
 DevOps Experience
 Data Bricks Experience
 Background in Logistics
 Agile Methodologies
 Experience with cloud (Azure specifically)
 If you have questions about this posting, please contact support@lensa.com</t>
        </is>
      </c>
    </row>
    <row r="92">
      <c r="A92" t="inlineStr">
        <is>
          <t>li-4376451048</t>
        </is>
      </c>
      <c r="B92" t="inlineStr">
        <is>
          <t>Senior Analytics Engineer</t>
        </is>
      </c>
      <c r="C92" t="inlineStr">
        <is>
          <t>Outreach</t>
        </is>
      </c>
      <c r="D92" t="inlineStr">
        <is>
          <t>linkedin</t>
        </is>
      </c>
      <c r="E92" t="inlineStr"/>
      <c r="F92" t="inlineStr"/>
      <c r="G92" t="inlineStr"/>
      <c r="H92" t="inlineStr"/>
      <c r="I92" t="inlineStr">
        <is>
          <t>**About Outreach**
 Outreach, founded in 2014, is the only complete AI Revenue Workflow Platform that helps sales leaders benefit from connected account visibility, performance insights, and higher forecasting accuracy across every GTM team. Outreach infuses agentic AI to power 100s of use cases across sales motions. From new logo prospecting to renewal and expansion, Outreach AI automates workflows and frees sellers to focus on more strategic conversations and actions. Global organisations use Outreach to power their revenue teams, including SAP, Siemens, Snowflake, ZoomInfo, and Verizon to name a few. To learn more, please visit www.outreach.io.
**About The Team**
 The Analytics Engineering team is dedicated to the empowerment of all people through the use of scalable and trusted data sets. We drive alignment on core business metrics and enable other teams to experiment with novel operational metrics to track the business. The AE team is a subset of the Business Systems team, and partners across the org to drive education and enablement for all employees.
**The Role**
 As a Senior Analytics Engineer at Outreach.io, you will drive the success of Outreach’s Analytics and Operational programs through the production, documentation, and curation of certified data sources and models. You practice scalable coding practices, write efficient SQL, and document your work so that future stakeholders will already have their questions answered. You are the “T” in ELT (Extract\-Load\-Transform), and turn the data pipelines from our Data Engineering team into useful models for our Analytics and self service Data Champions to adopt and answer their own business questions. Overall, you make Data at Outreach.io a more trusted, governed, and powerful asset for all employees.
**Location:** 
 We’re looking to hire this position remote within the US.
**Your Daily Adventures Will Include**
* Model and document new datasets (both structured and semi\-structured) to exploit the value therein across all our business units
* Partner with subject matter experts to document, align and automate business metrics that define success
* Work with Analysts to optimize their use of data, either through query reviews, modeling exercises, or dashboard audits
* Own the design, monitoring, and deployment of certified data sources on our reporting platforms and warehouses
* Insist on the highest standards for data reproducibility, auditability and compliance
* Serve as a subject matter expert for data strategy thought leadership and implementation across the business
* Enable non\-BI\&amp;A team stakeholders to adopt data as part of their business and usual
**Our Vision Of You**
* Ability to communicate complex concepts in a clear and concise manner to audiences from fellow analysts to senior executive level
* Effective storyteller with an emphasis on visual best practices and discoverability
* Expert SQL (Postgres/Snowflake Preferred)
* History of working with or as a Business Analyst
* Record of preemptive communication and documentation strategies favoring self\-service education
* Familiarity with Outreach tech stack: Snowflake, DBT, Airflow, Tableau, History of Query and Data Pipeline optimization
* Have working knowledge with ML pipelines (i.e. Sagemaker)
* Knowledge of multi\-dimensional data modeling
* Experience working in modern ELT environments
* Code documentation best practices
* Worked with business stakeholders for requirements gathering and documentation
* Experience with Spark Ecosystem (Delta Lake, Databricks, etc.) is a plus
* Experience in data modeling, schema design, and data quality best practices, with functional experience working on cloud platforms like Snowflake or Databricks is a nice to have.
**Why You’ll Love It Here**
* Flexible time off
* 401k to help you save for the future
* Generous medical, dental, and vision coverage for full\-time employees and their dependents
* A parental leave program that includes options for a paid night nurse, and a gradual return to work
* Infertility/ assisted reproductive services benefit
* Employee referral bonuses to encourage the addition of great new people to the team
* Snacks and beverages in the Office, along with fun events to celebrate
* Diversity and inclusion programs that promote employee resource groups like Outreach Women's Network, Latinx community, Outreach Black Connection, AAPI community, Pride/LGBTQIA\+, Gender\+, Disability Community, and Veterans/Military
*Outreach is an equal opportunity employer. All applicants will be considered for employment without attention to race, color, religion, sex, sexual orientation, gender identity, national origin, veteran or disability status.*
***Our success is reliant on building teams that include people from different backgrounds and experiences who can elevate assumptions and ideas with fresh perspectives. We're dedicated to hiring the whole human, not just a resume. To that end, we look for a diverse pool of applicants\-including those from historically marginalized groups. We would like to invite you to apply even if you don't think you meet all of the requirements listed below. We don't want a few lines in a job description to get between us and the opportunity to meet you.***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The base salary range for this role is $130,000\-$155,000\. You may also be offered incentive compensation, bonus, restricted stock units, and benefits. Actual compensation is based on factors such as your skills, qualifications, and experience. Final offers are determined through a holistic assessment and will vary within the posted range. Your Recruiter will share specific details based on your location and role during the hiring process.</t>
        </is>
      </c>
    </row>
    <row r="93">
      <c r="A93" t="inlineStr">
        <is>
          <t>li-4377509384</t>
        </is>
      </c>
      <c r="B93" t="inlineStr">
        <is>
          <t>Senior Data Engineer</t>
        </is>
      </c>
      <c r="C93" t="inlineStr">
        <is>
          <t>MCIM</t>
        </is>
      </c>
      <c r="D93" t="inlineStr">
        <is>
          <t>linkedin</t>
        </is>
      </c>
      <c r="E93" t="inlineStr"/>
      <c r="F93" t="inlineStr"/>
      <c r="G93" t="inlineStr"/>
      <c r="H93" t="inlineStr"/>
      <c r="I93" t="inlineStr">
        <is>
          <t>MCIM – The Data Center Operating System (DCOS) is a platform that simplifies the complexities of managing a data center by bringing all functions and locations under one intuitive dashboard.
 MCIM started with a commission from a Fortune 100 financial institution to create a cloud computing solution for managing their global critical facilities. The team developed the MCIM platform based on the lessons learned from that project.
 Today, MCIM is utilized by Fortune 100 and 500 companies in over 94 countries worldwide. This world\-class solution is continuously improved through collaboration with users and industry organizations like The Uptime Institute.
**About Fulcrum Collaborations** 
 Fulcrum Collaborations is a Salesforce ISV Partner that develops MCIM (
 www.mcim24x7\.com
 ), a cutting\-edge mission\-critical information management platform for data centers. Our platform integrates with various enterprise systems, including CMMS, ERP, service desk, and building automation systems, to provide data\-driven insights and operational intelligence.
 We are looking for a Data Engineer with DevOps expertise to help build and deliver data products that power analytics, reporting, and AI\-driven decision\-making. You will be responsible for designing scalable data pipelines, automating deployments, deploying REST API endpoints, and optimizing our data infrastructure.
**Key Responsibilities** 
**Data Engineering \&amp; Data Products Development** 
* Design, build, and optimize scalable ETL/ELT pipelines to support data analytics
* Design, develop, and maintain RESTful API using Flask, Django or similar Python frameworks.
* Implement authentication, authorization, and security best practices for API access.
* Develop and manage data lakes, data warehouses, and real\-time data processing using tools like Snowflake and AWS services.
* Ensure data integrity, security, and governance across Fulcrum's data platform.
* Work with structured and unstructured data from sources such as CMMS or ERP data
* Collaborate with data analysts, product managers, and software engineers to develop data products that provide actionable insights to customers.
* Create and maintain clear technical documentation for data pipelines, including data lineage, transformation logic, and dependencies.
* Develop API documentation using industry\-standard tools (e.g., Swagger/OpenAPI), including endpoint specs, request/response examples, and error handling.
* Document data models, schemas, and data dictionaries to enable self\-service discovery.
**DevOps \&amp; Automation for Data Infrastructure** 
* Build and maintain CI/CD pipelines for data pipelines, infrastructure deployments, and analytics models using GitHub Actions, docker, Heroku, AWS ECR/ECS or GitLab CI.
* Deploy and manage containerized data processing tools
* Implement observability, logging, and monitoring for data workflows
* Optimize cloud infrastructure (AWS) to balance performance and cost efficiency.
**Security, Compliance, \&amp; Best Practices** 
* Implement best practices for data security, encryption, and access control.
* Ensure compliance with GDPR, SOC2, HIPAA, and other regulatory requirements.
* Define and document data pipeline standards, testing frameworks, and automation best practices.
**Qualifications** 
**Must\-Have:** 
* 5\+ years of experience in Data Engineering with DevOps expertise.
* Strong proficiency in Python, SQL, and data pipeline orchestration tools
* Hands\-on experience with CI/CD pipelines, containerization
* Hands\-on experience with REST API development using FastAPI, Flask, Django or Golang
* Expertise in cloud platforms (AWS, Azure, or GCP) for data storage and processing.
* Experience with Infrastructure\-as\-Code
* Familiarity with data pipeline monitoring and observability tools.
**Nice\-to\-Have:** 
* Experience integrating data from CMMS, ERP, and IoT systems.
* Understanding of ML Ops and AI model deployment.
* Knowledge of data privacy and compliance standards.
**Why Join Fulcrum Collaborations?** 
* Work on high\-impact data products that transform data center operations.
* Leverage the Salesforce ecosystem to build next\-gen data solutions.
* Competitive salary, benefits, and flexible remote work options.</t>
        </is>
      </c>
    </row>
    <row r="94">
      <c r="A94" t="inlineStr">
        <is>
          <t>li-4374843884</t>
        </is>
      </c>
      <c r="B94" t="inlineStr">
        <is>
          <t>Senior Data Engineer</t>
        </is>
      </c>
      <c r="C94" t="inlineStr">
        <is>
          <t>Next Ventures</t>
        </is>
      </c>
      <c r="D94" t="inlineStr">
        <is>
          <t>linkedin</t>
        </is>
      </c>
      <c r="E94" t="inlineStr"/>
      <c r="F94" t="inlineStr"/>
      <c r="G94" t="inlineStr"/>
      <c r="H94" t="inlineStr"/>
      <c r="I94" t="inlineStr">
        <is>
          <t>I am partnered with a company who have built a technology platform that provides the end to end orchestration of data, systems and applications to manage connected spaces as an integrated technology platform.
 They are looking for a Data Platform Engineer to join their Data Platform Team. This is a hands\-on builder role focused on owning the delivery of production data pipelines for sports and entertainment venues. You will build and maintain the pipelines that ingest ticketing data, point\-of\-sale transactions, venue events, and fan engagement signals into their unified platform, processing millions of records across major arenas in the United States and internationally.
 You will work within architectural patterns established by their Senior Data Engineers, but you own the build end\-to\-end: implementation, testing, deployment, and ongoing reliability. Your code will run on game days in some of the biggest venues in the world. If you want to ship to production every week and watch your pipelines light up when 20,000 fans walk through the gates, this is the role.
**Responsibilities** 
* Build, deploy, and maintain production data pipelines using Azure Data Factory and Synapse Analytics following established architectural patterns
* Ingest high\-volume data from venue event streams, ticketing platforms, and POS systems using Azure Event Hubs and Stream Analytics
* Write and optimize data transformations in PySpark and Spark SQL within Azure Databricks to process millions of records per hour
* Implement and manage data storage across Azure Data Lake Gen2, Synapse, and SQL Server based on existing data models
* Deploy Azure data services using Terraform within established infrastructure patterns
* Build automated validation and unit testing to ensure pipeline reliability and data quality across multi\-tenant environments
* Own pipeline monitoring, troubleshoot failures, and resolve data issues to meet SLA commitments
* Collaborate with Senior Data Engineers to turn technical designs into performant, production\-ready code
**Requirements** 
* 3\-5 years building and deploying production data pipelines in a cloud environment
* Strong Python skills, specifically PySpark and pandas, for building reusable transformation modules
* Solid SQL skills with a focus on writing efficient queries against large datasets
* Production experience with a major cloud data stack (Azure preferred; equivalent AWS or GCP experience is fine since patterns transfer)
* Familiarity with CI/CD practices and pushing code through automated pipelines (GitHub Actions, Azure DevOps, or similar)
* Track record of owning pipeline reliability, not just initial builds but ongoing monitoring and incident response
* Builder mindset: you care about code quality, performance, and shipping on schedule
* Experience with ticketing, point\-of\-sale, or venue management data systems
* Knowledge of sports and entertainment industry data
* Experience with real\-time analytics and dashboard development (Power BI, Tableau)</t>
        </is>
      </c>
    </row>
    <row r="95">
      <c r="A95" t="inlineStr">
        <is>
          <t>li-4376431949</t>
        </is>
      </c>
      <c r="B95" t="inlineStr">
        <is>
          <t>Sr Data Engineer</t>
        </is>
      </c>
      <c r="C95" t="inlineStr">
        <is>
          <t>Stifel Financial Corp.</t>
        </is>
      </c>
      <c r="D95" t="inlineStr">
        <is>
          <t>linkedin</t>
        </is>
      </c>
      <c r="E95" t="inlineStr"/>
      <c r="F95" t="inlineStr"/>
      <c r="G95" t="inlineStr">
        <is>
          <t>St Louis, MO</t>
        </is>
      </c>
      <c r="H95" t="inlineStr"/>
      <c r="I95" t="inlineStr">
        <is>
          <t>**Why Stifel**
 Stifel strives for a culture that puts its clients and associates first: a culture where everyone belongs, everyone is welcome, and everyone contributes to the success of our clients, their careers, and the firm as a whole.
 Let’s talk about how you can find your place here at Stifel,
 **where success meets success** 
 .
**What You'll Be Doing**
 The Sr Data Engineer is responsible for designing, developing, and maintaining data pipelines and infrastructure on the AWS platform. The Sr Data Engineer works with large volumes of data, ensuring its quality, reliability, and accessibility. Tasks may include data ingestion, transformation, storage, data sharing and consumption, and implementing data security and privacy measures. This role is crucial in enabling efficient and effective data\-driven decision\-making.
**What We're Looking For**
* Build and maintain scalable and reliable data pipelines, ensuring the smooth flow of data from various sources to the desired destinations in the AWS cloud environment.
* Work closely with stakeholders to understand their data requirements and design data solutions that meet their needs.
* Understand data models/schemas and implement ETL (Extract, Transform, and Load) processes to transform raw data into a usable format in the destination.
* Responsible for monitoring and optimizing the performance of data pipelines, troubleshooting any issues that arise, and ensuring data quality and integrity.
**What You'll Bring**
* Proficient in programming languages such as Python and SQL for database querying and manipulation.
* Strong understanding of AWS services related to data engineering, such as Amazon S3, Amazon Redshift, Amazon Aurora Postgres, AWS Glue, AWS Lambda, AWS Step Function, AWS Lake Formation, Amazon Data Zone, Amazon Kinesis, MSK, and Amazon EMR.
* Knowledge of database design principles and experience with database management systems.
* Experience with data storage technologies, such as relational databases (e.g., SQL Server, PostgreSQL) and distributed storage systems (e.g., PySpark).
* Understanding of Extract, Transform, Load (ETL) processes and experience with ETL tools like AWS Glue and SQL Server Integration Services is essential.
* Skilled at integrating disparate data sources and ensuring data quality and consistency.
* Understanding and experience with orchestration tools like Apache Airflow, AWS Glue Workflows, AWS Step Functions, and notification services.
* Familiarity with IAC, such as Terraform, git, and DevOps pipelines.
* Strong analytical thinking and problem\-solving abilities are essential to effectively identify and resolve data\-related issues.
* Ability to analyze complex data sets, identify patterns, and derive actionable insights.
* Awareness of data governance practices, data privacy regulations, and security protocols is crucial.
* Experience implementing data security measures and ensuring compliance with relevant standards is desirable.
**Education \&amp; Experience**
* Minimum Required: Bachelor's Degree in Computer Science, related field, or equivalent experience.
* Minimum Required: 10\+ years of post\-bachelor progressive experience in data engineering.
**Licenses \&amp; Credentials**
* Minimum Required: None.
**Systems \&amp; Technology**
* Proficient in the following computer languages:
+ Python
+ SQL
* AWS technologies to include:
+ Glue
+ S3
+ Redshift
+ Lambda
+ Lake Formation
+ DataZone
**About Stifel**
 Stifel is more than 130 years old and still thinking like a start\-up. We are a global wealth management and investment banking firm serious about innovation and fresh ideas. Built on a simple premise of safeguarding our clients’ money as if it were our own, coined by our namesake, Herman Stifel, our success is intimately tied to our commitment to helping families, companies, and municipalities find their own success.
 While our headquarters is in St. Louis, we have offices in New York, San Francisco, Baltimore, London, Frankfurt, Toronto, and more than 400 other locations. Stifel is home to approximately 9,000 individuals who are currently building their careers as financial advisors, research analysts, project managers, marketing specialists, developers, bankers, operations associates, among hundreds more. Let’s talk about how you can find your place here at Stifel, where success meets success.
 At Stifel we offer an entrepreneurial environment, comprehensive benefits package to include health, dental and vision care, 401k, wellness initiatives, life insurance, and paid time off.
 Stifel is an Equal Opportunity Employer.</t>
        </is>
      </c>
    </row>
    <row r="96">
      <c r="A96" t="inlineStr">
        <is>
          <t>li-4377504366</t>
        </is>
      </c>
      <c r="B96" t="inlineStr">
        <is>
          <t>Associate Data Engineer</t>
        </is>
      </c>
      <c r="C96" t="inlineStr">
        <is>
          <t>CVS Health</t>
        </is>
      </c>
      <c r="D96" t="inlineStr">
        <is>
          <t>linkedin</t>
        </is>
      </c>
      <c r="E96" t="inlineStr"/>
      <c r="F96" t="inlineStr"/>
      <c r="G96" t="inlineStr">
        <is>
          <t>Richardson, TX</t>
        </is>
      </c>
      <c r="H96" t="inlineStr"/>
      <c r="I96"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As the Associate Data Engineer, you will be responsible for application development for the Pharmacy Benefits Management Enterprise Data Warehouse team. The position will be accountable for designing comprehensive solutions that meet business requirements and incrementally move the data warehouse to the future state. The position requires strong attention to detail, excellent communications skills and exceptional follow through.
 You will be working in a hybrid role (3 days a week onsite) in one of the CVS Health or Aetna offices in Richardson, TX or Irving, TX.
**Required Qualifications**
* 6\+ months Data Engineering / Data Integration experience
* 6\+ months SQL
* 6\+ months ETL (i.e. Informatica/DataStage) experience
* 6\+ months Relational Database experience (Teradata, SQL Server, Oracle)
* 6\+ months Cloud computing (preferably GCP but open to AWS or Azure)
* Strong work ethic – evening and weekend hours may be required (for project release issues, approximately 2\-3x/year)
* Excellent oral and written communications skills; ability to interact effectively with all levels within the organization
* Working knowledge of Agile methodology
* Excellent analytical and problem solving skills
* Ability to interact and work effectively with technical \&amp; non\-technical levels within the organization
* Ability to drive clarity of purpose and goals during release and planning activities
* Excellent organizational skills including ability to prioritize tasks efficiently with high level of attention to detail
**Preferred Qualifications**
* 6\+ months experience working in a cross\-functional environment
* 6\+ months Teradata BTEQ scripting experience
* Healthcare Industry experience
**Education**
* Bachelor's degree or equivalent
**Anticipated Weekly Hours**
 40
**Time Type**
 Full time
**Pay Range**
**The Typical Pay Range For This Role Is**
 $61,800\.00 \- $144,200\.00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03/06/2026
 Qualified applicants with arrest or conviction records will be considered for employment in accordance with all federal, state and local laws.</t>
        </is>
      </c>
    </row>
    <row r="97">
      <c r="A97" t="inlineStr">
        <is>
          <t>li-4377536519</t>
        </is>
      </c>
      <c r="B97" t="inlineStr">
        <is>
          <t>Data Engineer</t>
        </is>
      </c>
      <c r="C97" t="inlineStr">
        <is>
          <t>Akkodis Group Nordics</t>
        </is>
      </c>
      <c r="D97" t="inlineStr">
        <is>
          <t>linkedin</t>
        </is>
      </c>
      <c r="E97" t="inlineStr"/>
      <c r="F97" t="inlineStr"/>
      <c r="G97" t="inlineStr">
        <is>
          <t>Chicago, IL</t>
        </is>
      </c>
      <c r="H97" t="inlineStr"/>
      <c r="I97" t="inlineStr">
        <is>
          <t>Akkodis is seeking a
 **Data Engineer** 
 for a
 **Contract** 
 with a client in
 **Chicago, IL.** 
 Candidates must have strong data engineering capability with proven experience in executing data extractions, migrations, and transformations across enterprise systems.
**Rate Range:** 
 $75/hour to $76/hour; The rate may be negotiable based on experience, education, geographic location, and other factors.
**Data Engineer Job Responsibilities Include**
* Perform data extractions, transformations, migrations across systems such as PeopleSoft, BAAN, and Infor LN.
* Develop and maintain programs and scripts to support accurate, reliable, and scalable data processing.
* Select appropriate tools and technologies to manage technical data workflows effectively.
* Analyze data from multiple sources to ensure consistency, accuracy, and readiness for downstream usage.
* Troubleshoot issues related to data pipelines, integrations, and source‑system inputs.
* Collaborate with cross‑functional teams to support data requirements and ensure smooth migration activities.
**Required Qualifications**
* Bachelor’s degree in computer science, data engineering, information systems, or a related technical field.
* 3–5 years of hands‑on experience in data engineering, data extraction, and migration activities.
* Must have strong capability in handling data from ERP systems such as PeopleSoft, BAAN, or Infor LN.
* Having proven ability to build and manage data pipelines using appropriate tools to ensure accuracy and reliability.
 If you are interested in this role, then please click APPLY NOW. For other opportunities available at Akkodis, or any questions, feel free to contact me at
 **Vaibhav.Saxena@** 
**akkodisgroup.com.**
**Pay Details:** 
 $75\.00 to $76\.00 per hour
 Benefit offerings available for our associates include medical, dental, vision, life insurance, short\-term disability, additional voluntary benefits,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Equal Opportunity Employer/Veterans/Disabled
 Military connected talent encouraged to apply
 To read our Candidate Privacy Information Statement, which explains how we will use your information, please navigate to https://www.akkodis.com/en/us/candidate\-privacy\-policy
**Requirements**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
**Massachusetts Candidates Only:** 
 It is unlawful in Massachusetts to require or administer a lie detector test as a condition of employment or continued employment. An employer who violates this law shall be subject to criminal penalties and civil liability.</t>
        </is>
      </c>
    </row>
    <row r="98">
      <c r="A98" t="inlineStr">
        <is>
          <t>li-4377508518</t>
        </is>
      </c>
      <c r="B98" t="inlineStr">
        <is>
          <t>Data Engineer</t>
        </is>
      </c>
      <c r="C98" t="inlineStr">
        <is>
          <t>The Lab Consulting</t>
        </is>
      </c>
      <c r="D98" t="inlineStr">
        <is>
          <t>linkedin</t>
        </is>
      </c>
      <c r="E98" t="inlineStr"/>
      <c r="F98" t="inlineStr"/>
      <c r="G98" t="inlineStr">
        <is>
          <t>Houston, TX</t>
        </is>
      </c>
      <c r="H98" t="inlineStr"/>
      <c r="I98" t="inlineStr">
        <is>
          <t>We are a mid\-sized Management Consulting, Automation, and Data/Process Science firm, established in 1993, serving Fortune 1000 companies throughout North America. We have developed a unique, template\-based and data\-centric approach to our client projects, which are conducted off\-site from our Houston office. The Lab is proud to announce we have invested in a new office build out in the Galleria area. We are mindful of employee experience and currently operate at 50% capacity in the office.
 We are seeking a data scientist who is passionate about business processes, automation, operational data measurement, and the intellectual challenge analyzing them offers. The person we seek has previous experience in successful data science roles, performing strategic analysis and, or, operations improvement projects. The data scientist will be part of a management consulting and data science team that performs analysis on client data and assists with the development, implementation and integration of pioneering solutions using different methods, techniques and tools. You will ensure the rigor and underlying logic of the team's findings, optimize the analytical storyline and develop superior, easy to comprehend documentation operational analysis.
 The data engineer will be responsible for gathering, analyzing and documenting business processes, developing business cases, developing analytics dashboards and providing domain knowledge to the team. The ideal candidate's favorite words are learning, data, scale, and agility. You will leverage your strong collaboration skills and ability to extract valuable insights from highly complex data sets to ask the right questions and find the right answers.
 Simultaneously, you will help senior management further standardize the consulting tasks and related work product with the objectives of: reducing analytical cycle time, lowering labor costs and reducing document rework and editing. As you become more familiar with our product offering, you will also contribute to the refinement and extension of our findings and tools database/website which includes benchmarks, best practices and thousands of business process maps.
**Responsibilities** 
* Interface with clients to gather operational data for analysis
* Analyze raw data from consulting client projects across multiple industries: assessing quality, cleansing, structuring for downstream processing
* Develop Power BI and Tableau dashboards
* Design accurate and scalable prediction algorithms
* Collaborate with team to bring analytical prototypes to production
* Generate actionable insights for business improvements
* Work alongside clients and internal team members to develop interactive, customer\-facing business dashboards
* Work with internal team members to develop methods to transform data to prepare for analysis and reporting
* Manage the structure and functionality of our internal databases
* Maintain and build tools to assist our research teams in updating, organizing and expanding existing database content
* Navigate client roadblocks that slow down projects
* Proactively report to internal team and clients on overall progress, potential issues, areas of potential improvement, etc.
**Qualifications** 
* Bachelor's degree or equivalent experience in quantitative field (Statistics, Mathematics, Computer Science, Engineering, etc.)
* At least 1 \- 2 years' of experience in quantitative analytics or data modeling
* Deep understanding of predictive modeling, machine\-learning, clustering and classification techniques, and algorithms
* Fluency in a programming language (Python, C,C\+\+, Java, SQL)
* Familiarity with Big Data frameworks and visualization tools (Cassandra, Hadoop, Spark, Tableau)</t>
        </is>
      </c>
    </row>
    <row r="99">
      <c r="A99" t="inlineStr">
        <is>
          <t>li-4376447825</t>
        </is>
      </c>
      <c r="B99" t="inlineStr">
        <is>
          <t>Senior Data Engineer</t>
        </is>
      </c>
      <c r="C99" t="inlineStr">
        <is>
          <t>Qcells North America</t>
        </is>
      </c>
      <c r="D99" t="inlineStr">
        <is>
          <t>linkedin</t>
        </is>
      </c>
      <c r="E99" t="inlineStr"/>
      <c r="F99" t="inlineStr"/>
      <c r="G99" t="inlineStr">
        <is>
          <t>San Francisco, CA</t>
        </is>
      </c>
      <c r="H99" t="inlineStr"/>
      <c r="I99" t="inlineStr">
        <is>
          <t>**Description**
**POSITION DESCRIPTION:**
 We are seeking a
 **Senior Data Engineer** 
 to build and maintain scalable, cloud\-based data pipelines that support enterprise analytics and operational reporting. This role will design and optimize ETL/ELT workflows using Azure data services (Fabric, Data Lake, Data Factory), integrate data from ERP, CRM, and other operational systems, and develop high\-quality data models within a modern lakehouse architecture. The ideal candidate brings strong SQL and Python expertise, hands\-on experience with distributed data platforms, and a solid understanding of data modeling, governance, and performance optimization, partnering closely with architects, analysts, and application teams to deliver reliable, well\-structured datasets across the organization.
**Responsibilities**
* Build and maintain s1calable data pipelines supporting ingestion, transformation, and consumption across the enterprise.
* Develop ETL/ELT workflows using Fabric or similar platforms.
* Implement and optimize data flows from ERP (NetSuite/SAP), CRM (Salesforce), internal systems, and third‑party feeds.
* Design and maintain high‑quality data models to support analytics, reporting, and operational use cases.
* Work closely with the Data Architect to implement lakehouse patterns, Delta Lake modeling, and domain‑driven designs.
* Ensure data quality, validation, and lineage tracking through automated frameworks.
* Optimize pipeline performance, scalability, and cost efficiency across cloud environments.
* Collaborate with analysts and application teams to deliver reliable, well‑structured datasets.
* Contribute to MDM, metadata management, and governance initiatives.
* Support CI/CD automation, testing, and monitoring for data workflows.
**Minimum Qualifications**
* 3\+ years of experience in data engineering or similar roles.
* Hands‑on experience with Azure data services (Data Lake, Data Factory, or Fabric).
* Strong proficiency in SQL and at least one scripting language (Python preferred).
* Experience building ETL/ELT pipelines using modern tools and frameworks.
* Understanding of data modeling concepts (star schema, dimensional, lakehouse modeling).
* Familiarity with structured/unstructured data, Delta Lake, and distributed compute (Spark is a plus).
* Experience integrating data from ERP, CRM, or operational systems.
* Knowledge of data quality, metadata, and basic governance principles.
* Strong debugging, problem‑solving, and performance‑optimization skills.
* Travel may be required up to 5%, depending on business needs.
**Preferred Qualifications**
* Experience with Delta Tables, Snowflake, or similar platforms.
* Exposure to event‑driven or streaming frameworks (Kafka/EventHub).
* Familiarity with finance, operations, energy, or ERP‑related data domains.
* Working knowledge of APIs and integration patterns.
* Azure certifications (Data Engineer Associate or equivalent).
* Experience supporting analytics teams or ML workflows.
 Hanwha Q CELLS Technologies, Inc. a subsidiary of Hanwha Q CELLS, one of the world´s largest and most recognized photovoltaic manufacturers for its high\-performance, high\-quality solar cells and modules. It is headquartered in Seoul, South Korea (Global Executive HQ) Talheim, Germany (Technology \&amp; Innovation HQ) and Santa Clara, CA, USA (HW and SW Product Development HQ). Through its growing global business network spanning Europe, North America, Asia, South America, Africa, and the Middle East, the company provides excellent services and long\-term partnerships to its customers in the utility, commercial, government, and residential markets. Hanwha Q CELLS is a flagship company of Hanwha Group, a FORTUNE Global 500 firm and a Top 7 business enterprise in South Korea.
**Physical, Mental \&amp; Environmental Demands**
 To comply with the Rehabilitation Act of 1973 the essential physical, mental and environmental requirements for this job are listed below. These are requirements
 *normally expected* 
 to perform
 *regular* 
 job duties. Incumbent must be able to successfully perform all of the functions of the job with or without reasonable accommodation.
**Mobility**
 Standing
 20% of time
 Sitting
 70% of time
 Walking
 10% of time
**Strength**
 Pulling
 up to 10 Pounds
 Pushing
 up to 10 Pounds
 Carrying
 up to 10 Pounds
 Lifting
 up to 10 Pounds
**Dexterity** 
**(F \= Frequently, O \= Occasionally, N \= Never)**
 Typing
 F
 Handling
 F
 Reaching
 F
**Agility** 
**(F \= Frequently, O \= Occasionally, N \= Never)**
 Turning
 F
 Twisting
 F
 Bending
 O
 Crouching
 O
 Balancing
 N
 Climbing
 N
 Crawling
 N
 Kneeling
 N
 The salary range is required by the California Pay Transparency Act and may differ depending on the location of those candidates hired nationwide. Actual compensation is influenced by a wide array of factors including but not limited to, skill set, education, licenses and certifications, essential job duties and requirements, and the necessary experience relative to the job’s minimum qualifications.
* This target salary range is for CA positions only and should not be interpreted as an offer of compensation.
 You may view your privacy rights by reviewing Qcells' Privacy Policy or by contacting our HR team for a copy.</t>
        </is>
      </c>
    </row>
    <row r="100">
      <c r="A100" t="inlineStr">
        <is>
          <t>li-4376465120</t>
        </is>
      </c>
      <c r="B100" t="inlineStr">
        <is>
          <t>Sr Data Engineer</t>
        </is>
      </c>
      <c r="C100" t="inlineStr">
        <is>
          <t>AdventHealth</t>
        </is>
      </c>
      <c r="D100" t="inlineStr">
        <is>
          <t>linkedin</t>
        </is>
      </c>
      <c r="E100" t="inlineStr"/>
      <c r="F100" t="inlineStr"/>
      <c r="G100" t="inlineStr">
        <is>
          <t>Altamonte Springs, FL</t>
        </is>
      </c>
      <c r="H100" t="inlineStr"/>
      <c r="I100" t="inlineStr">
        <is>
          <t>**Our Promise To You**
 Joining AdventHealth is about being part of something bigger. It’s about belonging to a community that believes in the wholeness of each person, and serves to uplift others in body, mind and spirit. AdventHealth is a place where you can thrive professionally, and grow spiritually, by Extending the Healing Ministry of Christ. Where you will be valued for who you are and the unique experiences you bring to our purpose\-minded team. All while understanding that
 **together** 
 we are even better.
**All the benefits and perks you need for you and your family:**
* Benefits from Day One: Medical, Dental, Vision Insurance, Life Insurance, Disability Insurance
* Paid Time Off from Day One
* 403\-B Retirement Plan
* 4 Weeks 100% Paid Parental Leave
* Career Development
* Whole Person Well\-being Resources
* Mental Health Resources and Support
* Pet Benefits
**Schedule**
 Full time
**Shift**
 Day (United States of America)
**Address**
 900 HOPE WAY
**City**
 ALTAMONTE SPRINGS
**State**
 Florida
**Postal Code**
 32714
**Job Description**
 Provide training, mentorship, and guidance to team members on technical data skills to support ongoing learning and capability development. Assembles large, complex data sets from operational and Cloud Data sources to meet business requirements. Optimizes and tunes SQL query performance in collaboration with Enterprise Data Services and Cloud Data teams. Assists stakeholders with data\-related technical issues using various project management methodologies. Develops statistical analytics solutions to identify patterns and problems using advanced statistical and BI platforms. Translates business logic from multiple transactional EMR databases into conformed Consumer datasets. Performs end\-to\-end data validation to ensure data accuracy. Develops reusable Developer Dataset and Developer Data Model processes for standardization. Understands and applies multiple data modeling approaches to optimize data delivery and automate processes. Provides ad\-hoc data analysis and support to business functions. Designs and develops workflows in Alteryx for BI reporting tools to migrate datasets into the Cloud Data platform. Extracts and blends data from various CRM sources into meaningful datasets for solutioning. Develop, implement, and enforce standard operating procedures (SOPs) for data management to ensure consistency, quality, and compliance across analytics operations. Provide training, mentorship, and guidance to team members on technical data skills to support ongoing learning and capability development. Ensure the productivity, stability, and uptime of data solutions supporting revenue cycle analytics, proactively identifying and addressing performance issues. Other duties as assigned.
 **Knowledge, Skills, and Abilities:**
* Advanced knowledge of SQL, database technologies, and data warehouse design philosophies \[Required]
* Advanced knowledge of self\-service analytic/ETL tools, specifically Alteryx Designer and BI Tools \[Required]
* Successful history of manipulating, processing, and extracting value from large disconnected datasets \[Required]
* Advanced experience with Microsoft Office Suite with emphasis on Excel \[Required]
* Ability to effectively prioritize and execute tasks \[Required]
* Strong analytical, problem\-solving, and troubleshooting abilities \[Required]
* Ability to follow detailed procedures and ensure accuracy in documentation and data \[Required]
* Knowledge of using predictive analytics tools such as R, Python, or SAS \[Preferred]
* Working knowledge of clinical processes and terminology \[Preferred]
* Competency of BI tools (QlikView, Tableau, PowerBI) \[Preferred]
* Competency of Cloud\-based computing and data integration services (MS Azure, Data Factory, Snowflake) \[Preferred]
* Analytical techniques such as optimization process, predictive models, and text analytics/ NLP \[Preferred]
* Strong understanding of current developments and trends in Information Technology in one or more of the following domains: Data Warehousing, ETL/ELT, Data integration, Data modeling / Database design \[Required]
* Ability to work in SQL, Oracle SQL, and DB2 \[Required]
* Dimensional modeling / Star Schema \[Required]
* Solid and soft skills, verbal and written communication, and the ability to translate complex technical topics into understandable terminology are necessary \[Required]
* Strong organizational skills, with the ability to focus detailed concentrated efforts on multiple projects and re\-establish priorities as necessary \[Required]
* Ability to effectively respond to time\-sensitive issues and meet deadlines \[Required]
* Initiative and ability to work independently while thriving in a setting requiring collaboration and teamwork for maximum efficiency and effectiveness \[Required]
* Strong attention to detail that ensures follow through on all initiatives implemented and projects taken \[Required]
* Mastery of desktop applications, including MS Office (Word, PowerPoint, Excel, and Access) and Crystal Reports \[Required]
* Team leadership/facilitating skills \[Required]
* Methodical approach to problem\-solving with excellent analytical skills \[Required]
* Ability and knowledge to understand departmental goals and analyze data to ensure data integrity \[Required]
* Ability to read, think and comprehend technical manual(s), bylaws, regulations, and instructions \[Required]
* Knowledge of Plan\-Do\-Study\-Act (PDSA) methodology \[Required]
* Knowledge of organ procurement and transplant center activities \[Required]
* Knowledge of regulatory agencies \[Required]
* This position must have the proven ability to lead specific functions of large projects and initiatives \[Required]
* This position builds trust among colleagues, must be a continuous learner, and focus on delivering \[Required]
* Understanding of transplant regulations and operations \[Required]
* Understanding of multi\-specialty private practice operations \[Preferred]
* Knowledge of Quality Management Systems (Lean, Six Sigma, PDSA, etc.) \[Preferred]
**Education**
* Bachelor's \[Required]
**Field Of Study**
* in Computer Science, Management Information Systems, Business Analytics, mathematics or similar analytical field
**Work Experience**
* 2\+ experience building and managing data pipelines using snowflake, with familiarity in azure data factory or similar cloud\-based data integration tools. \[Preferred]
* 2\+ hands\-on data modeling experience, including integrating multiple data sources and subject areas; preferably within revenue cycle or other complex technical environments required. \[Preferred]
* 3\+ years of related experience with big data specific sql workbench and real\-time applications (hadoop impala, hue) \[Required]
* 4\+ years experience in a data engineering or similar role with extensive experience in sql scripting as well as experience with object oriented/function scripting languages (pyton, java, c\+\+) \[Required]
* 6\+ years of experience in working with analytics with masters degree \[Preferred]
* Experience building and optimizing Big Data pipelines, architectures, and datasets. \[Required]
* Experience in building, publishing and managing reports/dashboards leveraging QlikView or any other BI tool (Ex. Tableau) \[Preferred]
* Experience with big data tools: Hadoop, Spark, Kafka, etc. \[Required]
* Experience with extracting and blending data from Salesforce Objects (SOQL) \[Required]
* Experience with HiveQL or Big Data \[Preferred]
**Additional Information**
* N/A
**Licenses And Certifications**
* N/A
**Physical Requirements:** 
*(Please click the link below to view work requirements)*
 Physical Requirements \- https://tinyurl.com/23km2677
**Pay Range**
 $83,699\.48 \- $155,693\.55
*This facility is an equal opportunity employer and complies with federal, state and local anti\-discrimination laws, regulations and ordinances.*</t>
        </is>
      </c>
    </row>
    <row r="101">
      <c r="A101" t="inlineStr">
        <is>
          <t>li-4376487047</t>
        </is>
      </c>
      <c r="B101" t="inlineStr">
        <is>
          <t>Data and Analytics Engineer 2</t>
        </is>
      </c>
      <c r="C101" t="inlineStr">
        <is>
          <t>F.N.B. Corporation</t>
        </is>
      </c>
      <c r="D101" t="inlineStr">
        <is>
          <t>linkedin</t>
        </is>
      </c>
      <c r="E101" t="inlineStr"/>
      <c r="F101" t="inlineStr"/>
      <c r="G101" t="inlineStr">
        <is>
          <t>Pittsburgh, PA</t>
        </is>
      </c>
      <c r="H101" t="inlineStr"/>
      <c r="I101" t="inlineStr">
        <is>
          <t>Primary Office Location:
 626 Washington Place. Pittsburgh, Pennsylvania. 15219\.
**Join our team. Make a difference \- for us and for your future.**
**It is strongly preferred for candidates for this role to have the following skills:**
* Strong proficiency in SSIS and data modeling, including designing, building, and optimizing ETL workflows and relational data structures.
* Experience with the Medallion data model pattern (Bronze/Silver/Gold architecture) and applying it to support scalable, governed data pipelines.
* Please note: this on\-site position is based at our Financial Center in Pittsburgh, PA. Candidates must be local, or willing to relocate to the area.
**FNB will not provide sponsorship for employment\-based visas for this position; only candidates who are legally authorized to work in the U.S. will be considered.\*\***
**Position Title:** 
 Data and Analytics Engineer 2
**Business Unit:** 
 Technology
**Reports to:** 
 Manager of Data and Analytics Engineering
**Position Overview**
 This position is primarily responsible for providing comprehensive data and analytics support for all business units across the corporation and works on low to medium complex and cross\-functional data centric solutions, works on multiple projects as a team member, works with BI and Data Analysts to understand customer need. The incumbent collects, analyzes and shares data to help business teams drive improvement in key business metrics, customer experience and business results and has a moderate impact on operations, resources and the corporation's reputation.
**Primary Responsibilities**
 Works with Business Information and Data Analysts to understand customer needs. Collects, analyzes and shares data to help business teams drive improvement in key business metrics, customer experience and business results. Utilizes database and web application technologies to develop and evaluate innovative business intelligence tools and automated reports.
 Develops and tests analytical solutions such as databases, queries, views, reports and dashboards. Assists in data conversions, imports and exports of data within and between internal and external software systems. Documents new and existing models, solutions and implementations.
 Designs and builds reporting and analysis tools that help streamline the business and makes reporting, analyzing, planning and forecasting more efficient. Supports and assists with the integration of analytical platforms with enterprise systems and applications. Troubleshoots analytics tools, systems, and software. Tracks performance and production issues.
 May assist in performance tuning of analytics applications. Escalates production issues as appropriate. Ensures the collected data is within required quality standards. May maintain the quality of Metadata Repository by adding, modifying and deleting data.
 Adheres to process, policies and standards. Keeps customers informed about business intelligence tool problems and resolutions. Tracks and reports on issues and enhancement requests for the business in a timely manner.
 Performs regular assignments using own judgment and following the corporation's data policy, while keeping supervisor informed as necessary. Receives general guidance on new projects as to methods, procedures and desired end results. Uses discretion to make decisions within the scope of their responsibilities. Complex assignments are usually reviewed upon completion.
 Performs other related duties and projects as assigned.
 All employees have the responsibility and the accountability to serve as risk managers for their businesses by understanding, reporting, responding to, managing and monitoring the risk they encounter daily as required by F.N.B. Corporation’s risk management program.
 F.N.B. Corporation is committed to achieving superior levels of compliance by adhering to regulatory laws and guidelines. Compliance with regulatory laws and company procedures is a required component of all position descriptions.
**Minimum Level of Education Required to Perform the Primary Responsibilities of this Position:**
 BA or BS
**Minimum \# of Years of Job Related Experience Required to Perform the Primary Responsibilities of this Position:**
 3
**Skills Required to Perform the Primary Responsibilities of this Position:**
 Excellent customer service skills
 Ability to use general office equipment
 Ability to work and multi\-task in a fast paced environment
 Excellent organizational, analytical and interpersonal skills
 Detail\-oriented
**Minimum Of 3 Years Of Related Technical Experience**
 Minimum of 3 years of experience supporting a major Business Intelligence/Data Warehousing system
 Expert skills in data analysis and data mining
**Licensures/Certifications Required to Perform the Primary Responsibilities of this Position:**
 N/A
**Physical Requirements Or Work Conditions Beyond Traditional Office Work**
 N/A
**Equal Employment Opportunity (EEO)**
 It is the policy of F.N.B. Corporation (FNB) and its affiliates not to discriminate against any employee or applicant for employment because of age, race, color, religion, sex, national origin, disability, veteran status or any other category protected by law. It is also the policy of FNB and its affiliates to employ and advance in employment all persons regardless of their status as individuals with disabilities or veterans, and to base all employment decisions only on valid job requirements. FNB provides all applicants and employees a discrimination and harassment free workplace.</t>
        </is>
      </c>
    </row>
    <row r="102">
      <c r="A102" t="inlineStr">
        <is>
          <t>li-4373174203</t>
        </is>
      </c>
      <c r="B102" t="inlineStr">
        <is>
          <t>Data Engineer</t>
        </is>
      </c>
      <c r="C102" t="inlineStr">
        <is>
          <t>JAC Recruitment</t>
        </is>
      </c>
      <c r="D102" t="inlineStr">
        <is>
          <t>linkedin</t>
        </is>
      </c>
      <c r="E102" t="inlineStr"/>
      <c r="F102" t="inlineStr"/>
      <c r="G102" t="inlineStr">
        <is>
          <t>Edgewood, IA</t>
        </is>
      </c>
      <c r="H102" t="inlineStr"/>
      <c r="I102" t="inlineStr">
        <is>
          <t>**Position Summary**
 A global Japanese\-affiliated company is seeking for a Data Engineer to develop, maintain, and improve the data infrastructure that supports business operations and strategic decision‑making. The ideal candidate enjoys building pipelines, managing modern data platforms, and working with stakeholders to turn data into practical insights.
**Responsibilities**
 Design, implement, and maintain scalable data pipelines (ETL/ELT) using tools such as dbt.
 Administer and optimize cloud‑based data warehouse environments (e.g., BigQuery, Cloud SQL, or similar).
 Create dashboards and analytical reports utilizing BI tools such as Looker or Looker Studio.
 Develop Python scripts for data ingestion, processing, automation, and analysis.
 Partner with cross‑functional teams to understand business needs and deliver data‑driven solutions.
 Collaborate with team members located both in the U.S. and internationally (including Japan).
**Qualifications**
 3\+ years of hands\-on Python programming experience.
 3\+ years of SQL experience with data modeling or data warehouse development.
 Solid understanding of relational and non‑relational database systems.
 Familiarity with Git and cloud‑based collaboration tools.
 Strong analytical skills and high attention to detail.
**Preferred Requirements**
 Experience working with major cloud platforms (e.g., Google Cloud, AWS).
 Exposure to dbt, Dataform, or comparable transformation tools.
 Interest in data visualization and BI reporting.
 Experience in data analytics or machine\-learning related projects.
 Familiarity with AI‑enabled tools and workflows (e.g., GCP GenAI tools, Gemini).
**Japanese Language Skills (preferred But Not Required).**
**SALARY**
 $75,000\- $105,000/year plus bonus
**Benefits**
 Health, dental, and vision insurance
 Paid time off and holidays
**LOCATION**
 Long island, NY (hybrid)
 \#countryUS</t>
        </is>
      </c>
    </row>
    <row r="103">
      <c r="A103" t="inlineStr">
        <is>
          <t>li-4377561102</t>
        </is>
      </c>
      <c r="B103" t="inlineStr">
        <is>
          <t>Data Engineer Senior</t>
        </is>
      </c>
      <c r="C103" t="inlineStr">
        <is>
          <t>Huntington National Bank</t>
        </is>
      </c>
      <c r="D103" t="inlineStr">
        <is>
          <t>linkedin</t>
        </is>
      </c>
      <c r="E103" t="inlineStr"/>
      <c r="F103" t="inlineStr"/>
      <c r="G103" t="inlineStr">
        <is>
          <t>Dallas, TX</t>
        </is>
      </c>
      <c r="H103" t="inlineStr"/>
      <c r="I103" t="inlineStr">
        <is>
          <t>**Description**
**Summary:**
 Our Enterprise Data Engineering department is growing, and we're looking for an outstanding Senior Data Engineer to join our team. The Senior Data Engineer will play a pivotal role in building and operationalizing the minimally inclusive data necessary for the enterprise data and analytics initiatives following industry standard practices and tools. Our goal is to be the Best performing Regional Bank in America, and we need data and analytics to meet that goal.
 The Data Engineer Senior plays a pivotal role in building and operationalizing the minimally inclusive data necessary for the enterprise data and analytics initiatives following industry standard practices and tools. Data Engineers will also test for data quality to ensure Huntington’s data conforms to business rules and is accurate, complete, consistent, and uniform. This role’s primarily focuses on building, managing and optimizing data pipelines and then moving these data pipelines effectively into production for key data and analytics consumers like business/data analysts, data scientists or any persona that needs curated data for data and analytics use cases across the enterprise.
**Duties And Responsibilities**
* Architecting, creating and maintaining data pipelines.
* Assist with renovating the data management infrastructure to drive automation in data integration and management.
* Work in partnership with data science teams and with business analysts in refining their data requirements for various data and analytics initiatives and their data consumption requirements.
* Train counterparts across the organization in data pipelining and preparation techniques, which make it easier for them to integrate and consume the data they need for their own use cases.
* Work with data governance teams and participate in vetting and promoting content created in the business and by data scientists to the curated data catalog for governed reuse.
* Demonstrated ability to communicate complex results to technical and non\-technical audiences.
* Demonstrated ability to work effectively in teams as well as independently across multiple tasks while meeting aggressive timelines.
* Strategic, intellectually curious thinker with focus on outcomes.
* Professional image with the ability to form relationships across functions.
* Performs other duties as assigned.
**Basic Qualifications**
* Bachelor's Degree in computer science, statistics or related field, or equivalent related work experience.
* 4\+ years of related experience in data management disciplines including data integration, data modeling, optimization and data quality, and/or other areas directly relevant to data engineering responsibilities and tasks.
* 4\+ years of experience working in cross\-functional teams and collaborating with business stakeholders in support of a departmental and/or multi\-departmental data management and analytics initiative, experience with data preparation tools and database programming languages.
**Preferred Qualifications**
* Experience building modular, reusable ETL frameworks, focusing on scalability and maintenance.
* Strong experience with data engineering tooling (e.g., Glue, Lambda, Athena, AWS)
* Strong knowledge of BI software tools (e.g., QuickSight, Tableau, etc)
* Experience with workflow orchestration tools \- like Apache Airflow \- to schedule, monitor and manage data pipelines.
* Strong experience with advanced analytics tools
* Hands on data testing experience
* Hands on experience or exposure to Oracle Database.
* Strong experience with open\-source and commercial data science platforms
* Familiarity with Agile methodology practices.
* Strong experience with various Data Management architectures and processes.
* Strong ability to design, build and manage data pipelines for data
* Strong experience in working with large, heterogeneous datasets in building and optimizing data pipelines, pipeline architectures and integrated datasets
* Demonstrated success in working with large, heterogeneous datasets to extract business value
* Strong experience in working with DevOps capabilities like version control, automated builds, testing and release management capabilities
* Demonstrated ability to communicate complex results to technical and non\-technical audiences
* Demonstrated ability to work effectively in teams as well as independently across multiple tasks while meeting aggressive timelines
* Strategic, intellectually curious thinker with focus on outcomes
* Professional image with the ability to form relationships across functions
* Willingness and ability to learn new technologies on the job
* Financial Services background is preferred, or interest in learning.
**Exempt Status: (Yes** 
 \= not eligible for overtime pay) (
 **No** 
 \= eligible for overtime pay)
 Yes
**Workplace Type**
 Office
 Our Approach to
 **Office** 
 Workplace Type
 Certain positions outside our branch network may be eligible for a flexible work arrangement. We’re combining the best of both worlds: in\-office and work from home. Our approach enables our teams to deepen connections, maintain a strong community, and do their best work. Remote roles will also have the opportunity to come together in our offices for moments that matter. Specific work arrangements will be provided by the hiring team.
 Huntington will not sponsor applicants for this position for immigration benefits, including but not limited to assisting with obtaining work permission for F\-1 students, H\-1B professionals, O\-1 workers, TN workers, E\-3 workers, among other immigration statuses. Applicants must be currently authorized to work in the United States on a full\-time basis.
 Huntington is an Equal Opportunity Employer.
 Tobacco\-Free Hiring Practice: Visit Huntington's Career Web Site for more details.
**Note to Agency Recruiters:** 
 Huntington will not pay a fee for any placement resulting from the receipt of an unsolicited resume. All unsolicited resumes sent to any Huntington colleagues, directly or indirectly, will be considered Huntington property. Recruiting agencies must have a valid, written and fully executed Master Service Agreement and Statement of Work for consideration.</t>
        </is>
      </c>
    </row>
    <row r="104">
      <c r="A104" t="inlineStr">
        <is>
          <t>li-4377549746</t>
        </is>
      </c>
      <c r="B104" t="inlineStr">
        <is>
          <t>Analytics Engineer</t>
        </is>
      </c>
      <c r="C104" t="inlineStr">
        <is>
          <t>SRS Distribution Inc.</t>
        </is>
      </c>
      <c r="D104" t="inlineStr">
        <is>
          <t>linkedin</t>
        </is>
      </c>
      <c r="E104" t="inlineStr"/>
      <c r="F104" t="inlineStr"/>
      <c r="G104" t="inlineStr">
        <is>
          <t>McKinney, TX</t>
        </is>
      </c>
      <c r="H104" t="inlineStr"/>
      <c r="I104" t="inlineStr">
        <is>
          <t>Position Purpose:
 The Analytics Engineer is a critical role intended for an innovative, meticulous, and results\-oriented professional with a proven background in data analytics and engineering. This position is primarily responsible for optimizing and expanding our data pipeline, developing robust data models to facilitate business interpretation, and driving data\-focused decision\-making across the organization. Our ideal candidate will seamlessly bridge technical and non\-technical stakeholders, implement scalable solutions for large datasets, and excel in supporting the data science team while thriving in our fast\-paced corporate setting.
 Key Responsibilities:
* Design, build, and manage the Company's data pipeline using appropriate ETL tools to integrate a diverse range of data sources, facilitating data\-driven insights for business improvement.
* Collaborate effectively with both technical and non\-technical stakeholders to accurately translate business needs into actionable data engineering tasks, ensuring solutions align with company objectives.
* Create and refine data models that effectively simplify and elucidate complex business data, empowering colleagues and teams with clear, meaningful metrics.
* Continually work to enhance data ETL processes for heightened efficiency and quality, ensuring swift, accurate data provision to all relevant departments.
* Develop and maintain scalable data solutions capable of managing large data sets, fortifying the organization's capacity for comprehensive data analysis.
* Provide essential support to the data science department, undertaking data cleaning, data mining, and data visualization tasks, and ensuring a consistent supply of reliable, high\-quality data.
* Play an active role in the design and enhancement of the company’s analytics infrastructure, promoting data\-driven decision\-making across the entire organization, and contributing to a culture of innovation and continuous improvement.
* Stay abreast of emerging trends and developments in data engineering, applying this knowledge to the continuous improvement of the Company's data infrastructure.
 Direct Manager Direct Reports:
 The Analytics Engineer \- Corporate will report directly to the Manager \- Analytics Engineering. This influential position involves consistent interaction and collaboration with key stakeholders across the company's business segments. The Analytics Engineer will also work in close collaboration with a diverse team of data scientists and engineers, both providing leadership and learning from peers.
 Although this position does not have direct reports, it is expected to provide guidance and mentorship to junior team members. Therefore, demonstrating strong leadership attributes is a key component of this role, along with the ability to work effectively as part of a collaborative team. The Analytics Engineer will be responsible for communicating complex data concepts and findings to various stakeholders across the organization in a clear, understandable way, enhancing our collective understanding and use of data in business decision\-making.
 Just so you know, the company will communicate any changes in this reporting structure promptly, contingent on organizational needs.
 Travel Requirements:
 The Analytics Engineer \- Corporate at the Company is expected to travel approximately 10\-15% annually, primarily to national destinations, for department collaboration, training, and strategic meetings.
 Physical Requirements:
 In accordance with the requirements of the Analytics Engineer \- Corporate position, the physical requirements include continuous operation of computer hardware and software. This involves extended periods of sitting, sustained visual concentration, manual dexterity to operate standard office machinery, and occasional lifting of objects weighing up to 20 pounds.
 Miscellaneous physical activities may involve filing, opening cabinets, moving from one location to another within the corporate building for meetings, and occasional travel\-related activities, as required by the nature of the job.
 The Company abides by the Americans with Disabilities Act (ADA). It will provide reasonable accommodation to applicants with disabilities when necessary, unless such accommodation would pose an undue hardship for the Company. Candidates needing accommodation during the recruitment process are encouraged to contact our HR Department.
 Our commitment to inclusivity ensures we appreciate and respect that individual capabilities are unique. Consequently, if there are variations in the way tasks can be done, we will review those modifications while remaining outcome\-focused. All employees or job applicants will receive consideration for employment without discrimination, in accordance with the ADA.
 Working Conditions:
 The Corporate Analytics Engineer will primarily operate from our corporate headquarters, integrating into a highly collaborative and dynamic team environment that thrives on creativity and innovation. The office is a synergistic space that encourages direct communication and engagement with team members, while advanced technology infrastructure enables the retail convenience of working remotely when required. In alignment with our business operations, this is a full\-time position with standard business hours, although occasional overtime may be required to meet specific project deadlines. This role involves working in a fast\-paced, deadline\-driven setting and requires a high degree of resourcefulness, flexibility, and adaptability. As a Fortune 50 company, the Company maintains a culture that promotes problem\-solving, clear communication, and initiative as core parts of everyday work. Therefore, this position is best suited to an individual who thrives under pressure, welcomes challenges, and pursues excellence.
 Minimum Qualifications:
* A Bachelor’s degree in Computer Science, Information Systems, or other related field. Advanced degrees or certifications are highly favored.
* Minimum of 5 years of experience in Analytics engineering roles, ideally in the corporate sector.
* Dynamic understanding of data analytics and knowledge of various SQL, Python, R, and other programming languages.
* Comprehensive proficiency in using ETL tools for data processing.
* Experience working with big data platforms such as Hadoop or Spark.
* Demonstrable problem\-solving capability and a strong analytical thinking capacity.
* Excellent communication skills, with the ability to clearly articulate complex data understandings to both technical and non\-technical personnel.
* Proficient in functioning in high\-pressure, strict deadline environments.
* Experience in supporting data science teams with tasks such as data cleaning, data mining, and data visualization.
* Proven track record in working with cross\-functional teams and translating business requirements into data engineering initiatives.
* Demonstrated ability to optimize data extraction, transformation, and loading processes strategically.
 Preferred Qualifications:
* An advanced degree, such as a Master’s or PhD, in a field related to data sciences, computer engineering, or business intelligence.
* Over seven years of experience in building and maintaining data pipelines, manipulating data sets, and managing large\-scale data infrastructure in a corporate setting.
* Advanced skills in SQL, Python, R, Java, and other programming languages relevant to data engineering.
* Extensive experience with big data processing tools like Hadoop, Hive, and Spark, as well as data warehousing solutions like Redshift, Snowflake, or BigQuery.
* Proficiency with data visualization tools such as Tableau, Power BI, D3\.js, or QlikView, as well as BI tools such as Looker or SAS.
* Knowledge of machine learning algorithms, predictive modeling, and statistical analysis techniques would be a definitive advantage.
* Capacity to effectively pitch and present data\-driven insights to senior stakeholders and drive the adoption of a data\-first mindset within the organization.
* Demonstrated ability to manage projects in a fast\-paced environment, meet tight deadlines, and consistently deliver high\-quality work.
* Experience working with cross\-functional teams, including Business Analytics, IT, and Finance, demonstrating a strong understanding of business strategy and operations.
* Relevant professional certifications, such as Certified Analytics Professional (CAP) or Certified Data Management Professional (CDMP), would be highly desirable.
* Track record of driving continuous improvement and innovation in a data management role.
 The preferred qualifications for this role highlight the candidate's potential to not only contribute to the technical aspects of our operations but also drive meaningful change across the organization through data\-driven decision\-making. This is in line with the Company's commitment to fostering a culture of innovation, excellence, and continuous improvement.
 Minimum Education:
 Minimum Educational Requirement: The ideal candidate for the Analytics Engineer \- Corporate role should hold at least a bachelor's degree in computer science, information systems, or a related field. A master’s degree or its equivalent is highly preferred.
 Preferred Education:
 A master's degree or Ph.D. in computer science, data science, information systems, or a related field from an accredited institution would be highly valued. Additional certifications in data analytics or related courses are also appreciated.
 Minimum Years Of Work Experience:
 The ideal candidate for the Analytics Engineer \- Corporate position with the Company must have at least 5 years of highly relevant experience in data analytics and data engineering. It is preferred that this experience be within a corporate environment.
 Certifications:
* Certified Analytics Professional (CAP) – This globally recognized professional certification would serve as proof of your end\-to\-end understanding of the analytics process.
* Microsoft Certified: Azure Data Engineer Associate – This certification is preferred as it demonstrates your ability to implement and manage data solutions using Microsoft's Azure platform.
* Google Certified Professional \- Data Engineer – Candidates possessing this certification will be able to showcase their expertise in designing, building, maintaining, and troubleshooting data processing systems with Google Cloud technologies.
* Certified Data Management Professionals (CDMP) – A high\-value certification demonstrating dedication to best practices in data management.
* SAS Certified Big Data Professional – A preferred certification that demonstrates your skills in manipulating and gaining insights from big data with a variety of SAS and open source tools.
* AWS Certified Big Data \- Specialty – This establishes your ability to automate data analysis processes, secure data, and leverage AWS services to design and implement big data environments.
* IBM Certified Data Engineer – Big Data \- This sought\-after certification verifies your foundational knowledge of data engineering principles, along with your expertise in applying it for practice.
* Cloudera Certified Data Engineer – Certification that displays proficiency in data ingestion, transformation, storage, and analysis processes in Cloudera’s CDH environment.
* Tableau Certified Data Analyst – Preferred for its illustration of your ability to navigate, manage, and create impactful visualizations on the Tableau platform.
 For all certifications, a valid and current status is required. Candidates should be prepared to provide proof of certifications during the recruitment process. This list is not exhaustive, and other relevant industry certifications will also be considered.
 Competencies:
* Data Analytics Proficiency: Ability to design, develop, and maintain data models and manage the data pipeline—experience in optimizing data extraction, transformation, and loading processes.
* Technical Aptitude: Profound knowledge of SQL, Python, R, and other programming languages and ETL tools. Familiarity with big data platforms like Hadoop, Spark, and others.
* Business Problem\-Solving Ability: Ability to solve complex business problems using data insights. Experience in developing scalable solutions to handle large data sets.
* Stakeholder Management Skills: Expertise in working with both technical and non\-technical stakeholders, translating business requirements into data engineering tasks.
* Communication Skills: Ability to clearly articulate complex data insights, fostering better understanding among team members and stakeholders.
* Project Management Skills: Ability to thrive in a fast\-paced, results\-driven environment under tight deadlines. Can manage and lead projects effectively from conception to completion.
* Advanced Education: Preferably a master’s degree or equivalent in computer science, information systems, or a related field.
* Industry Experience: A minimum of five years of relevant experience in data analytics, data engineering, or related functions in a corporate setting.
 Not the right job for you? Register your details at the 'Introduce Yourself' link (top right) and we'll be in touch!
 ‎
 As an Equal Employment Opportunity (EEO) employer SRS Distribution Inc., including all its subsidiaries, provides job opportunities to qualified individuals without regard to actual or perceived race, color, creed, religion, national origin, sex, gender, age, disability, gender identity, sexual orientation, citizenship status, uniform service, veteran status, marital status, genetic information, physical or mental disability, or any other characteristic in accordance with applicable federal, state, and local EEO laws. If you are an individual with a disability or a disabled veteran and require a reasonable accommodation in applying for any posted position, please contact Human Resources at US: 855\.556\.3221, or by email to: HR@Help.SRSDistribution.com with the nature of your accommodation request and include the Business name, location and title of the job opening. Please allow one (1\) business day for a reply. All employment offers are contingent upon successful completion of a background check and drug screen, as permitted by law.
 ‎
 Competitive weekly/bi\-weekly pay, discretionary bonuses, 401(k) with company match, Employee Stock Purchase Plan, paid time off (vacation, sick, volunteer, holidays, birthday, floating), medical/dental/vision, flexible spending accounts, company\-paid life and short\-term disability, plus optional long\-term disability, and additional life insurance.
 ‎</t>
        </is>
      </c>
    </row>
    <row r="105">
      <c r="A105" t="inlineStr">
        <is>
          <t>li-4374866827</t>
        </is>
      </c>
      <c r="B105" t="inlineStr">
        <is>
          <t>Data Platform Engineer</t>
        </is>
      </c>
      <c r="C105" t="inlineStr">
        <is>
          <t>Ramsey Solutions</t>
        </is>
      </c>
      <c r="D105" t="inlineStr">
        <is>
          <t>linkedin</t>
        </is>
      </c>
      <c r="E105" t="inlineStr"/>
      <c r="F105" t="inlineStr"/>
      <c r="G105" t="inlineStr">
        <is>
          <t>Nashville, TN</t>
        </is>
      </c>
      <c r="H105" t="inlineStr"/>
      <c r="I105" t="inlineStr">
        <is>
          <t>**Description**
**Team:** 
 Data Platform
**Location:** 
 Franklin, TN—on\-site, relocation assistance available, flexible schedules available
**Salary:** 
 $100,000–$115,000/year\* \+ profit sharing \+ benefits
* Range depends on skill level and overall experience.
**A Little Bit About Us** 
 : You might know us from our founder and CEO, Dave Ramsey, who’s given no\-nonsense money advice on the radio since 1992\. Three decades later, Ramsey Solutions is a household name in personal finance, with a mission to change the toxic money culture for good.
***Our Mission: Ramsey Solutions provides biblically based, commonsense education and empowerment that give HOPE to everyone in every walk of life.***
**Here’s a Taste Of Our Benefits**
* Health insurance (includes plans eligible for an HSA—with a company match up to $500!)
* 401(k) retirement plan with 4% match/company contribution
* Annual wellness, counseling and grocery membership reimbursement
* On\-campus cafe with subsidized pricing for breakfast, lunch and coffee bar
* Dependent care FSA
* Tons of cultural activities, like weekly devotional, leadership development courses, Battle of the Bands, and one epic Christmas party!
**Where And How You’d Work**
 Ramsey Solutions Headquarters is located just outside of Nashville in Franklin, Tennessee. We value our strong, unified company culture because we believe the best work is done together. That’s why all of our team members work on\-site under the same roof. But work\-life balance is also important to us, so we offer flexible work schedules to take the stress out of appointments, family obligations and other needs that may pop up.
 While every team member has a designated workspace (with an electronic sit\-stand desk), our campus was designed to house a variety of unique work and play zones (e.g., quiet library space, coffee bar/lounge areas, recreational game zone, and outside/patio work and break areas).
**What You’d Do In This Role**
 In this role you’ll be producing business value through the creation of our Enterprise Data Warehouse and data platform ecosystems and related engineering capabilities and services, the goal of which is to enable optimal business insight generation. You’ll be collaborating with our business leaders, stakeholders, and technology teams across the company to deliver cutting\-edge, cloud\-based solutions that enable a performant and stable data platform ecosystem.
**You’re Probably a Match If**
* You have 2\+ years of experience with Python, Java, or another object\-oriented programing language.
* You are experienced with software engineering best practices such as CI/CD, Infrastructure as code, containerization (e.g., Docker, GoCD, CloudFormation).
* You have worked with database technologies such as Redshift, Postgres, and MySQL RDBMS’s, and languages like SQL and procedural SQL.
* You have experience with cloud technologies (preferably AWS) and services such as Step Functions, S3, Lambda, DynamoDB, SNS/SES, SQS, IAM, AWS Glue, CDK, Kinesis Data Streams, Kinesis Firehouse, CloudWatch, Sagemaker.
* You can clearly communicate with both technical and non\-technical stakeholders.
**What Winning Looks Like**
* Partnering with product management to identify Ramsey\-wide analytic and business data problems and architecting solutions to solve them
* Assessing, scoping and prioritizing capability development while providing support for the Ramsey EDW, data platform, and related ecosystems
* Working with cloud platform components, services, and service providers to achieve maximum uptime and performance with optimal cost
* Partnering with and educating partners across Ramsey on EDW and platform best practices, including such things as performance tuning and optimal 3rd party tool integration
* Continually building your engineering craft and awareness of industry trends and technologies around enterprise data platforms and warehousing
**Other Stuff To Know**
 We’re looking for people who are passionate about our mission. This isn’t just a J\-O\-B. We experience resistance every day because what we believe is absolutely countercultural. We actually hate debt. We actually cut up our credit cards . . . like, for real. Some of us are still fighting our way out of debt, but we aren’t going back. If you don’t know much about Ramsey Solutions and our founder, Dave Ramsey, we encourage you to download the Ramsey Network mobile app and consume our content.
**If Ramsey Solutions sounds like a workplace where you can get excited about Mondays, apply today. We can’t wait to hear from you!**
 EOE, including disability/vets</t>
        </is>
      </c>
    </row>
    <row r="106">
      <c r="A106" t="inlineStr">
        <is>
          <t>li-4376438342</t>
        </is>
      </c>
      <c r="B106" t="inlineStr">
        <is>
          <t>Associate, Data Engineer</t>
        </is>
      </c>
      <c r="C106" t="inlineStr">
        <is>
          <t>KPMG US</t>
        </is>
      </c>
      <c r="D106" t="inlineStr">
        <is>
          <t>linkedin</t>
        </is>
      </c>
      <c r="E106" t="inlineStr"/>
      <c r="F106" t="inlineStr"/>
      <c r="G106" t="inlineStr">
        <is>
          <t>Tampa, FL</t>
        </is>
      </c>
      <c r="H106" t="inlineStr"/>
      <c r="I106"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an Associate, Data Engineer to join our Digital Nexus technology organization. This is a hybrid work opportunity.
 Responsibilities:
* Perform a variety of tasks related to the governance, management and maintenance of data, including but not limited to standards development, metadata management and reporting
* Document data interfaces and data mappings; analyze and interpret data
* Develop business and technical requirement documents
* Support the Data Strategy \&amp; Operations leadership team in the overall operations of the data organization
* Identify and implement cross\-functional process improvement opportunities that support the organization
* Assist project managers in creating effective and achievable project plans, management of the team's execution of project tasks and secure acceptance and approval of deliverables from the project stakeholders
* Act with integrity, professionalism, and personal responsibility to uphold KPMG's respectful and courteous work environment
 Qualifications:
* Minimum one year of recent experience working with data including data sourcing, data analysis and data integration
* Bachelor's degree from an accredited college or university is preferred; High School diploma or GED required
* Experience in statistical analysis, working in an IT environment supporting projects and strong experience using Microsoft suite (Excel, PowerPoint, Word and Outlook) preferred.
* Strong verbal/written communication, problem solving, organizational and independent judgment skills to support an environment driven by customer service and teamwork
* Ability to build productive relationships with peers and maintain confidentiality of sensitive and privileged information
* Work location may be in the office, at client sites, or virtual/remote depending on business need; client site locations may require travel and overnight/extended stay
*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https://kpmg.com/us/en/how\-we\-work/pay\-transparency.html/?id\=8149\_9\_26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107">
      <c r="A107" t="inlineStr">
        <is>
          <t>li-4376427704</t>
        </is>
      </c>
      <c r="B107" t="inlineStr">
        <is>
          <t>Associate, Data Engineer</t>
        </is>
      </c>
      <c r="C107" t="inlineStr">
        <is>
          <t>KPMG US</t>
        </is>
      </c>
      <c r="D107" t="inlineStr">
        <is>
          <t>linkedin</t>
        </is>
      </c>
      <c r="E107" t="inlineStr"/>
      <c r="F107" t="inlineStr"/>
      <c r="G107" t="inlineStr">
        <is>
          <t>Austin, TX</t>
        </is>
      </c>
      <c r="H107" t="inlineStr"/>
      <c r="I107"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an Associate, Data Engineer to join our Digital Nexus technology organization. This is a hybrid work opportunity.
 Responsibilities:
* Perform a variety of tasks related to the governance, management and maintenance of data, including but not limited to standards development, metadata management and reporting
* Document data interfaces and data mappings; analyze and interpret data
* Develop business and technical requirement documents
* Support the Data Strategy \&amp; Operations leadership team in the overall operations of the data organization
* Identify and implement cross\-functional process improvement opportunities that support the organization
* Assist project managers in creating effective and achievable project plans, management of the team's execution of project tasks and secure acceptance and approval of deliverables from the project stakeholders
* Act with integrity, professionalism, and personal responsibility to uphold KPMG's respectful and courteous work environment
 Qualifications:
* Minimum one year of recent experience working with data including data sourcing, data analysis and data integration
* Bachelor's degree from an accredited college or university is preferred; High School diploma or GED required
* Experience in statistical analysis, working in an IT environment supporting projects and strong experience using Microsoft suite (Excel, PowerPoint, Word and Outlook) preferred.
* Strong verbal/written communication, problem solving, organizational and independent judgment skills to support an environment driven by customer service and teamwork
* Ability to build productive relationships with peers and maintain confidentiality of sensitive and privileged information
* Work location may be in the office, at client sites, or virtual/remote depending on business need; client site locations may require travel and overnight/extended stay
*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https://kpmg.com/us/en/how\-we\-work/pay\-transparency.html/?id\=8149\_9\_26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108">
      <c r="A108" t="inlineStr">
        <is>
          <t>li-4377510730</t>
        </is>
      </c>
      <c r="B108" t="inlineStr">
        <is>
          <t>Data Engineer, Manufacturing Accounting</t>
        </is>
      </c>
      <c r="C108" t="inlineStr">
        <is>
          <t>Tesla</t>
        </is>
      </c>
      <c r="D108" t="inlineStr">
        <is>
          <t>linkedin</t>
        </is>
      </c>
      <c r="E108" t="inlineStr"/>
      <c r="F108" t="inlineStr"/>
      <c r="G108" t="inlineStr">
        <is>
          <t>Austin, TX</t>
        </is>
      </c>
      <c r="H108" t="inlineStr"/>
      <c r="I108" t="inlineStr">
        <is>
          <t>**What To Expect**
 We are seeking a highly skilled and detail\-oriented Manufacturing Accounting Data Engineer to join our team at Tesla. In this role, you will leverage your expertise in data engineering, cost accounting and manufacturing systems to build robust data pipelines and infrastructure. You will perform advanced manufacturing variance analytics, monitor and analyze costs, and provide actionable insights to drive efficiency, profitability, and process improvements in our high\-volume manufacturing operations. This position enables cross\-functional teams to make critical business and operational decisions by transforming large datasets into meaningful KPIs, visualizations, and dashboards.
**What You'll Do**
- Build and maintain data pipelines, databases, and infrastructure using SQL, Python, and Tableau/PowerBI to automate analyses and support manufacturing accounting operations while acquiring data from various data sources
- Ensure compliance with internal policies, accounting standards, and regulations by supporting audits with documentation and analysis of manufacturing costs
- Conduct in\-depth analysis of manufacturing data across production lines, perform variance analyses to identify deviations, cost\-saving opportunities, process improvements, cost trends, fluctuation drivers, and corrective actions with cross\-functional teams
- Collaborate with Controls, Process, Manufacturing Engineers, Finance, Operations, and other stakeholders to develop data collection for work order, inventory, and scrap to gather actionable insights for business decisions
- Implement automated cost control measures, evaluate cost\-saving initiatives, and propose strategies to enhance manufacturing efficiency and reduce expenses
**What You'll Bring**
- Bachelor's Degree in Data Engineering, or a related field, or equivalent experience
- CPA license, MBA, or relevant certifications preferred but not required
- 2\+ years of experience in data engineering, cost accounting, or a similar role within manufacturing environments, including working with large datasets and Manufacturing Execution Systems
- Strong technical skills in SQL for data extraction and manipulation, Python for automation, Tableau (or similar) for visualizations, advanced MS Excel, and ERP systems
- Deep understanding of manufacturing processes, cost accounting principles, financial analysis, cost modeling, and variance analysis
- Excellent analytical skills, attention to detail, problem\-solving abilities, and the capacity to interpret complex data for actionable decisions
- Ability to thrive in a fast\-paced, evolving environment, with strong communication, collaboration, and decision\-making skills
**Benefits**
**Compensation and Benefits**
 Along with competitive pay, as a full\-time Tesla employee, you are eligible for the following benefits at day 1 of hire:
- Medical plans \&gt; plan options with $0 payroll deduction
- Family\-building, fertility, adoption and surrogacy benefits
- Dental (including orthodontic coverage) and vision plans, both have options with a $0 paycheck contribution
- Company Paid (Health Savings Accounts) HSA Contribution when enrolled in the High\-Deductible medical plan with HSA
- Healthcare and Dependent Care Flexible Spending Accounts (FSA)
- 401(k) with employer match, Employee Stock Purchase Plans, and other financial benefits
- Company paid Basic Life, AD\&amp;D
- Short\-term and long\-term disability insurance (90 day waiting period)
- Employee Assistance Program
- Sick and Vacation time (Flex time for salary positions, Accrued hours for Hourly positions), and Paid Holidays
- Back\-up childcare and parenting support resources
- Voluntary benefits to include: critical illness, hospital indemnity, accident insurance, theft \&amp; legal services, and pet insurance
- Weight Loss and Tobacco Cessation Programs
- Tesla Babies program
- Commuter benefits
- Employee discounts and perks program
 , Tesla</t>
        </is>
      </c>
    </row>
    <row r="109">
      <c r="A109" t="inlineStr">
        <is>
          <t>li-4376472720</t>
        </is>
      </c>
      <c r="B109" t="inlineStr">
        <is>
          <t>Senior Analytics Engineer, Sales Analytics (GTM Data Engineering)</t>
        </is>
      </c>
      <c r="C109" t="inlineStr">
        <is>
          <t>Klaviyo</t>
        </is>
      </c>
      <c r="D109" t="inlineStr">
        <is>
          <t>linkedin</t>
        </is>
      </c>
      <c r="E109" t="inlineStr"/>
      <c r="F109" t="inlineStr"/>
      <c r="G109" t="inlineStr">
        <is>
          <t>Boston, MA</t>
        </is>
      </c>
      <c r="H109" t="inlineStr"/>
      <c r="I109" t="inlineStr">
        <is>
          <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klaviyo.com/careers to see how we empower creators to own their own destiny.*
**About The Team And Role**
 Data is at the heart of every decision made at Klaviyo, and we’re looking for a Business Intelligence Data Engineer to join our Go To Market (GTM) team supporting Sales Analytics. This domain of data aims to improve the experience of Sales Operations and Analytics. Secondary to this, the role will support ancillary functions of the Partnerships Organization and collaborate with the CS\&amp;S organization. This role sits in Data Engineering as part of the GTM team, which is part of a hub and spoke model of analytics engineering at Klaviyo.
 You’ll build and steward the source of truth for Sales Operational data so People leaders and analysts can answer questions quickly and confidently and turn those insights into a more incentivized, higher\-performing organization. You will directly support the sales analytics teams at Klaviyo, working cross functionally with Systems, Deal Ops,, Audits, Planning, and Business Intelligence.
 You will be an independent self\-serving, embedded partner to all of GTM leadership where Sales subject matter expertise is required, capable of translating ambiguous requirements into stable data products. You’ll be supported by the broader Data Engineering organization’s standards, tooling, and review practices.
**How You’ll Make a Difference**
* Deliver Sales specific data modeling that drives better operational experience, is SOX compliant, and provides detailed insight into the day to day of operation as well as forecasting. Maintain and stand up curated, documented marts that make it easy for analytics to operate within a structured governance mandate that enables the Sales operations team to work fast and focus on their organizations with the safety of production ready data.
* Own the pipelines \&amp; models end‑to‑end. Build and maintain reliable integrations from core sales systems (e.g., CRMs/ROP/ERPs), model them in dbt, and publish governed marts and reverse‑ETLs to operational destinations where they create value.
* Create attainment views with Compensation and People Analytics. Partner with analysts to build holistic views of the Sales lifecycle. Examples of focus are quicker cadences to booking and dynamic reconciliation processes
* Raise the bar on data reliability and governance. Instrument monitoring and alerting, tests (freshness/volume/constraints), and documentation so the sales data ecosystem is discoverable, auditable, and self\-serveable.
* Operate as a trusted partner to leadership. Work directly with Operations and Sales leadership to scope problems, clarify trade‑offs, and communicate technical concepts in exec‑ready language.
**What You’ll Do (responsibilities)**
* Integrations \&amp; ingestion: Own secure ingestion from ROP/ERP/performance systems into Snowflake; define SLAs/SLOs; implement monitoring \&amp; alerting for each feed.
* Modeling \&amp; marts: Design dimensional/entity models (dbt) for employees, positions, org structure, performance history, forecasting, and pipeline movement; publish curated marts with strong contracts and lineage.
* Reverse ETL: Operationalize high‑value models to downstream tools and workflows using reverse‑ETL patterns to close the loop between insight and action.
* Quality \&amp; governance: Implement tests (unit/integration, schema/freshness), multi\-layered validation frameworks that routinely validate data integrity, data policies (masking, purpose‑based access), and documentation that enable safe self‑service across the analytics community.
* Repository stewardship: Maintain the analytics codebase (dbt repo), perform code reviews, and ensure modular, reusable patterns the broader team can adopt.
* Stakeholder partnership: Run an intake \&amp; engagement model with Revenue and Sales Operations/ Analytics (primary), HRIS/People Tech (security/integration), Finance (plan/comp interfaces), and BI/Platform teams (shared standards).
**Who You Are (qualifications)**
* 3–5\+ years in analytics/data engineering with production ELT in Snowflake \+ dbt \+ SQL; Python for orchestration/utilities.
* Strong demonstration of Sales Operations
* Demonstrated independence partnering with senior, non‑technical leaders; able to translate open‑ended needs into scalable data products.
* Proven experience implementing tests, monitoring, and documentation that keep pipelines healthy and reporting trustworthy.
* Experience building data integrations and reverse‑ETL pipelines that support business operations.
* Airflow (orchestration) and Fivetran/Workato (ELT/integration).
* Familiarity with data privacy controls (masking/RLS) in people data.
* AWS experience (S3/EC2/Lambda) and IaC/Terraform.
**The tools you’ll use**
 Snowflake, dbt, Airflow, Fivetran, Workato, Python, AWS, Tableau/Looker/ThoughtSpot; publishing via reverse‑ETL where appropriate.
**Massachusetts Applicants**
 It is unlawful in Massachusetts to require or administer a lie detector test as a condition of employment or continued employment. An employer who violates this law shall be subject to criminal penalties and civil liability.
 Our salary range reflects the cost of labor across various U.S. geographic markets. The range displayed below reflects the minimum and maximum target salaries for the position across all our US locations. The base salary offered for this position is determined by several factors, including the applicant’s job\-related skills, relevant experience, education or training, and work location.
 In addition to base salary, our total compensation package may include participation in the company’s annual cash bonus plan, variable compensation (OTE) for sales and customer success roles, equity, sign\-on payments, and a comprehensive range of health, welfare, and wellbeing benefits based on eligibility.
 Your recruiter can provide more details about the specific salary/OTE range for your preferred location during the hiring process.
 Base Pay Range For US Locations:
 $120,000—$180,000 USD
**Get to Know Klaviyo**
 We’re Klaviyo (pronounced clay\-vee\-oh). We empower creators to own their destiny by making first\-party data accessible and actionable like never before. We see limitless potential for the technology we’re developing to nurture personalized experiences in ecommerce and beyond. To reach our goals, we need our own crew of remarkable creators—ambitious and collaborative teammates who stay focused on our north star: delighting our customers. If you’re ready to do the best work of your career, where you’ll be welcomed as your whole self from day one and supported with generous benefits, we hope you’ll join us.
*AI fluency at Klaviyo includes responsible use of AI (including privacy, security, bias awareness, and human\-in\-the\-loop). We provide accommodations as needed.*
*By participating in Klaviyo’s interview process, you acknowledge that you have read, understood, and will adhere to our Guidelines for using AI in the Klaviyo interview Process. For more information about how we process your personal data, see our Job Applicant Privacy Notice.*
*Klaviyo is committed to a policy of equal opportunity and non\-discrimination. We do not discriminate on the basis of race, ethnicity, citizenship, national origin, color, religion or religious creed, age, sex (including pregnancy), gender identity, sexual orientation, physical or mental disability, veteran or active military status, marital status, criminal record, genetics, retaliation, sexual harassment or any other characteristic protected by applicable law.*
*IMPORTANT NOTICE: Our company takes the security and privacy of job applicants very seriously. We will never ask for payment, bank details, or personal financial information as part of the application process. All our legitimate job postings can be found on our official career site. Please be cautious of job offers that come from non\-company email addresses (@klaviyo.com), instant messaging platforms, or unsolicited calls.*
**By clicking "Submit Application" you consent to Klaviyo processing your Personal Data in accordance with our Job Applicant Privacy Notice. If you do not wish for Klaviyo to process your Personal Data, please do not submit an application.** 
*You can find our Job Applicant Privacy Notice* 
*here* 
*and here (FR).*</t>
        </is>
      </c>
    </row>
    <row r="110">
      <c r="A110" t="inlineStr">
        <is>
          <t>li-4377562093</t>
        </is>
      </c>
      <c r="B110" t="inlineStr">
        <is>
          <t>Data Engineer Senior</t>
        </is>
      </c>
      <c r="C110" t="inlineStr">
        <is>
          <t>Huntington National Bank</t>
        </is>
      </c>
      <c r="D110" t="inlineStr">
        <is>
          <t>linkedin</t>
        </is>
      </c>
      <c r="E110" t="inlineStr"/>
      <c r="F110" t="inlineStr"/>
      <c r="G110" t="inlineStr">
        <is>
          <t>Columbus, OH</t>
        </is>
      </c>
      <c r="H110" t="inlineStr"/>
      <c r="I110" t="inlineStr">
        <is>
          <t>**Description**
**Summary:**
 Our Enterprise Data Engineering department is growing, and we're looking for an outstanding Senior Data Engineer to join our team. The Senior Data Engineer will play a pivotal role in building and operationalizing the minimally inclusive data necessary for the enterprise data and analytics initiatives following industry standard practices and tools. Our goal is to be the Best performing Regional Bank in America, and we need data and analytics to meet that goal.
 The Data Engineer Senior plays a pivotal role in building and operationalizing the minimally inclusive data necessary for the enterprise data and analytics initiatives following industry standard practices and tools. Data Engineers will also test for data quality to ensure Huntington’s data conforms to business rules and is accurate, complete, consistent, and uniform. This role’s primarily focuses on building, managing and optimizing data pipelines and then moving these data pipelines effectively into production for key data and analytics consumers like business/data analysts, data scientists or any persona that needs curated data for data and analytics use cases across the enterprise.
**Duties And Responsibilities**
* Architecting, creating and maintaining data pipelines.
* Assist with renovating the data management infrastructure to drive automation in data integration and management.
* Work in partnership with data science teams and with business analysts in refining their data requirements for various data and analytics initiatives and their data consumption requirements.
* Train counterparts across the organization in data pipelining and preparation techniques, which make it easier for them to integrate and consume the data they need for their own use cases.
* Work with data governance teams and participate in vetting and promoting content created in the business and by data scientists to the curated data catalog for governed reuse.
* Demonstrated ability to communicate complex results to technical and non\-technical audiences.
* Demonstrated ability to work effectively in teams as well as independently across multiple tasks while meeting aggressive timelines.
* Strategic, intellectually curious thinker with focus on outcomes.
* Professional image with the ability to form relationships across functions.
* Performs other duties as assigned.
**Basic Qualifications**
* Bachelor's Degree in computer science, statistics or related field, or equivalent related work experience.
* 4\+ years of related experience in data management disciplines including data integration, data modeling, optimization and data quality, and/or other areas directly relevant to data engineering responsibilities and tasks.
* 4\+ years of experience working in cross\-functional teams and collaborating with business stakeholders in support of a departmental and/or multi\-departmental data management and analytics initiative, experience with data preparation tools and database programming languages.
**Preferred Qualifications**
* Experience building modular, reusable ETL frameworks, focusing on scalability and maintenance.
* Strong experience with data engineering tooling (e.g., Glue, Lambda, Athena, AWS)
* Strong knowledge of BI software tools (e.g., QuickSight, Tableau, etc)
* Experience with workflow orchestration tools \- like Apache Airflow \- to schedule, monitor and manage data pipelines.
* Strong experience with advanced analytics tools
* Hands on data testing experience
* Hands on experience or exposure to Oracle Database.
* Strong experience with open\-source and commercial data science platforms
* Familiarity with Agile methodology practices.
* Strong experience with various Data Management architectures and processes.
* Strong ability to design, build and manage data pipelines for data
* Strong experience in working with large, heterogeneous datasets in building and optimizing data pipelines, pipeline architectures and integrated datasets
* Demonstrated success in working with large, heterogeneous datasets to extract business value
* Strong experience in working with DevOps capabilities like version control, automated builds, testing and release management capabilities
* Demonstrated ability to communicate complex results to technical and non\-technical audiences
* Demonstrated ability to work effectively in teams as well as independently across multiple tasks while meeting aggressive timelines
* Strategic, intellectually curious thinker with focus on outcomes
* Professional image with the ability to form relationships across functions
* Willingness and ability to learn new technologies on the job
* Financial Services background is preferred, or interest in learning.
**Exempt Status: (Yes** 
 \= not eligible for overtime pay) (
 **No** 
 \= eligible for overtime pay)
 Yes
**Workplace Type**
 Office
 Our Approach to
 **Office** 
 Workplace Type
 Certain positions outside our branch network may be eligible for a flexible work arrangement. We’re combining the best of both worlds: in\-office and work from home. Our approach enables our teams to deepen connections, maintain a strong community, and do their best work. Remote roles will also have the opportunity to come together in our offices for moments that matter. Specific work arrangements will be provided by the hiring team.
 Huntington will not sponsor applicants for this position for immigration benefits, including but not limited to assisting with obtaining work permission for F\-1 students, H\-1B professionals, O\-1 workers, TN workers, E\-3 workers, among other immigration statuses. Applicants must be currently authorized to work in the United States on a full\-time basis.
 Huntington is an Equal Opportunity Employer.
 Tobacco\-Free Hiring Practice: Visit Huntington's Career Web Site for more details.
**Note to Agency Recruiters:** 
 Huntington will not pay a fee for any placement resulting from the receipt of an unsolicited resume. All unsolicited resumes sent to any Huntington colleagues, directly or indirectly, will be considered Huntington property. Recruiting agencies must have a valid, written and fully executed Master Service Agreement and Statement of Work for consideration.</t>
        </is>
      </c>
    </row>
    <row r="111">
      <c r="A111" t="inlineStr">
        <is>
          <t>li-4376448121</t>
        </is>
      </c>
      <c r="B111" t="inlineStr">
        <is>
          <t>Remote Sr. Data Engineer</t>
        </is>
      </c>
      <c r="C111" t="inlineStr">
        <is>
          <t>Insight Global</t>
        </is>
      </c>
      <c r="D111" t="inlineStr">
        <is>
          <t>linkedin</t>
        </is>
      </c>
      <c r="E111" t="inlineStr"/>
      <c r="F111" t="inlineStr"/>
      <c r="G111" t="inlineStr">
        <is>
          <t>Minnesota, United States</t>
        </is>
      </c>
      <c r="H111" t="inlineStr"/>
      <c r="I111" t="inlineStr">
        <is>
          <t>**Title** 
 : Remote Sr. Data Engineer
**Location:** 
 Remote (must reside in Minnesota)
**Compensation:** 
 $70 \- $80
**Interview process:** 
 2 round virtual interviews
**Must haves** 
* 5 plus years of experience working as a data engineer
* Experience with SQL
* Experience with Python
* Experience with Databricks
**Plusses** 
* Marketing campaign/digital analytics experience
* Experience in other technologies related to their tech stack (Azure, PySpark, GitHub, PowerBI, Airflow)
* Both cloud and on\-prem experience in order to support SAS to cloud migration work
* Relevant certifications (Azure, Databricks etc)
**Day to day** 
 Insight Global is seeking 2 Sr. Data Engineers to join a Personal Campaign Operations team. This is a very known, visible and well\-funded team bringing in millions of $s for the company. This team supports the entire enterprise (care delivery and health plan marketing), and works in a collaborative, cross\-functional environment with both developers and campaign owners. This person must be flexible as they will be working with different people on different campaigns at one time, and have to pivot according to changing priorities.
 This person will overall be responsible to:
* Design, develop, and implement end\-to\-end data solutions using Azure Databricks.
* Convert current SQL to Python code in Databricks.
* Modify and maintain data pipelines.
* Write, test, and optimize PySpark and SQL scripts to transform and load high volumes of structured data.
* Update or maintain existing data pipelines in a production setting.
* Ensure data quality and integrity by implementing data validation and cleansing processes.
* Demonstrate strong verbal communication and critical thinking skills, working well within a team environment and not being afraid to speak up.
**Compensation** 
 $70 to $80
 Exact compensation may vary based on several factors, including skills, experience, and education.
 Benefit packages for this role will start on the 31st day of employment and include medical, dental, and vision insurance, as well as HSA, FSA, and DCFSA account options, and 401k retirement account access with employer matching. Employees in this role are also entitled to paid sick leave and/or other paid time off as provided by applicable law.</t>
        </is>
      </c>
    </row>
    <row r="112">
      <c r="A112" t="inlineStr">
        <is>
          <t>li-4374849698</t>
        </is>
      </c>
      <c r="B112" t="inlineStr">
        <is>
          <t>Data Engineer</t>
        </is>
      </c>
      <c r="C112" t="inlineStr">
        <is>
          <t>Electronic Arts (EA)</t>
        </is>
      </c>
      <c r="D112" t="inlineStr">
        <is>
          <t>linkedin</t>
        </is>
      </c>
      <c r="E112">
        <f>HYPERLINK("https://www.linkedin.com/jobs/view/4374849698", "https://www.linkedin.com/jobs/view/4374849698")</f>
        <v/>
      </c>
      <c r="F112">
        <f>HYPERLINK("https://jobs.ea.com/en_US/careers/JobDetail/Data-Engineer/212891?source=LinkedIn&amp;urlHash=HfO7", "https://jobs.ea.com/en_US/careers/JobDetail/Data-Engineer/212891?source=LinkedIn&amp;urlHash=HfO7")</f>
        <v/>
      </c>
      <c r="G112" t="inlineStr">
        <is>
          <t>Kirkland, WA</t>
        </is>
      </c>
      <c r="H112" t="inlineStr"/>
      <c r="I112" t="inlineStr">
        <is>
          <t>**Description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The Office of the CXO (Chief Experience Officer) is at the forefront of EA's transformation to become a player\-first organization. Our CRM Engineering team plays a central role in enabling 1:1, personalized, real\-time communication across EA's global ecosystem. This includes omni\-channel content delivery through EA.com, email, and in\-game messaging, backed by modern MarTech infrastructure and marketing science.
 As a Data Engineer – CRM Engineering, reporting to the Technical Director of CRM Engineering, you will be responsible for building and maintaining the data infrastructure that powers EA's AI\-driven marketing personalization at scale. You will design and implement robust ETL pipelines, data warehousing solutions, and analytics frameworks that enable real\-time player insights, marketing recommendations, and campaign measurement across EA's global player base of hundreds of millions of users.
**Responsibilities**
* Design, build, and maintain scalable ETL pipelines to ingest player activity data, marketing interactions, and campaign performance metrics from multiple sources across EA's ecosystem.
* Develop and optimize a marketing data warehouse architecture that supports real\-time analytics, player segmentation, and personalization engines.
* Implement data quality frameworks, monitoring systems, and automated testing to ensure data accuracy and pipeline reliability.
* Create and maintain APIs and data services that enable self\-service analytics for marketing teams and campaign managers.
* Build measurement and reporting frameworks that track campaign effectiveness, player engagement metrics, and ROI across channels.
* Partner with Engineering teams to ensure data infrastructure can scale with EA's growing player base and marketing complexity.
* Implement data governance practices, including privacy compliance (GDPR, CCPA) and security protocols for sensitive player data.
* Optimize data storage, query performance, and cost efficiency across cloud\-based data platforms.
**Qualifications**
 Required:
* 3\+ years of data engineering experience with focus on large\-scale data systems and ETL development
* Strong proficiency in SQL, Python, and data processing frameworks (Spark, Kafka, Airflow, or similar)
* Experience with cloud data platforms (AWS Redshift, Snowflake, BigQuery) and modern data stack tools
* Hands\-on experience building and maintaining data pipelines for high\-volume, real\-time data ingestion
* Proficiency with data modeling, dimensional modeling, and data warehouse design principles
* Experience with APIs, microservices, and event\-driven data architectures
* Strong understanding of data quality, monitoring, and observability practices
* Knowledge of data governance, privacy regulations, and security best practices
**Preferred**
* Experience with marketing data sources (CRM systems, email platforms, web analytics)
* Familiarity with gaming or entertainment industry data patterns and player behavior analytics
* Experience with streaming data processing and real\-time analytics platforms
* Knowledge of A/B testing frameworks and experimentation measurement systems
* Understanding of machine learning data requirements and feature engineering
* Previous work with consumer\-facing applications handling millions of daily active users
**Pay Transparency \- North America**
**Compensation And Benefits**
 The ranges listed below are what EA in good faith expects to pay applicants for this role in these locations at the time of this posting. If you reside in a different location, a recruiter will advise on the applicable range and benefits. Pay offered will be determined based on a number of relevant business and candidate factors (e.g. education, qualifications, certifications, experience, skills, geographic location, or business needs).
**PAY RANGES**
* British Columbia (depending on location e.g. Vancouver vs. Victoria) \*$100,000 \- $139,500 CAD
* Washington (depending on location e.g. Seattle vs. Spokane) \*$108,900 \- $145,200 USD
 Pay is just one part of the overall compensation at EA.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For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113">
      <c r="A113" t="inlineStr">
        <is>
          <t>li-4377511319</t>
        </is>
      </c>
      <c r="B113" t="inlineStr">
        <is>
          <t>Data Engineer</t>
        </is>
      </c>
      <c r="C113" t="inlineStr">
        <is>
          <t>Stuut</t>
        </is>
      </c>
      <c r="D113" t="inlineStr">
        <is>
          <t>linkedin</t>
        </is>
      </c>
      <c r="E113">
        <f>HYPERLINK("https://www.linkedin.com/jobs/view/4377511319", "https://www.linkedin.com/jobs/view/4377511319")</f>
        <v/>
      </c>
      <c r="F113" t="inlineStr"/>
      <c r="G113" t="inlineStr">
        <is>
          <t>New York, NY</t>
        </is>
      </c>
      <c r="H113" t="inlineStr"/>
      <c r="I113" t="inlineStr">
        <is>
          <t>Stuut is transforming accounts receivable for B2B companies—making collections smarter and faster for companies that have historically relied on manual processes that are labor intensive and costly. Our platform is gaining traction with finance teams across industrials, chemicals, and manufacturing sectors from Fortune 10 brands to scaling midmarkets. We're backed by top\-tier investors including a16z, Khosla, Activant, 1984 Ventures and Page One.
 The Role
 We are hiring a Data Engineer to build the data foundation that powers Stuut's intelligence layer. You'll work closely with our product and engineering teams to transform raw financial data into actionable insights that help our customers get paid faster. This is a foundational role, you'll be our first data hire, which means you'll shape everything from our data architecture to how we think about analytics.
 This is a high\-impact role for someone who can think strategically about data infrastructure while rolling up their sleeves to build pipelines, models, and systems from scratch. You'll translate messy data into clean, reliable datasets that drive product decisions, customer insights, and business growth. If you've ever wanted to own the entire data stack at a fast\-growing company, this is it.
 What You’ll Do
 * Build and own our data infrastructure from the ground up, design pipelines that ingest, transform, and model data from customer ERPs, payment processors, and internal systems
* Partner with product and engineering to embed data quality and observability into everything we ship
* Create the analytics foundation that helps our customers understand payment patterns, collection trends, and cash flow predictions
* Implement DataOps best practices to ensure our data is timely, accurate, and trusted across the organization
* Collaborate with leadership to define KPIs, build dashboards, and surface insights that drive strategic decisions
* Scale our data platform as we grow from dozens to hundreds of customers, anticipating needs before they become bottlenecks
 You Might Be a Fit If You…
 * Have 3\+ years of hands\-on experience building production data pipelines using Python
* Know your way around SQL and modern data warehouses; bonus if you've worked with Snowflake, BigQuery, or Redshift
* Have experience implementing ETL/ELT workflows at scale using tools like Airflow, dbt, or similar
* Understand data modeling fundamentals and can design schemas that balance performance with flexibility
* Have worked with messy, real\-world data from SaaS APIs, databases, or third\-party integrations
* Thrive in ambiguity and get energized by building something new rather than inheriting someone else's stack
* Care deeply about data quality and believe that great analytics start with great infrastructure
* Have experience (or strong interest) in fintech, B2B SaaS, or financial data, understanding AR/AP workflows is a big plus
 Compensation
 * Top\-of\-market salary and equity package
* Benefits (for U.S.\-based full\-time employees)
* Medical, dental \&amp; vision insurance coverage for you
* 401(k) \&amp; Match
* Equity
* Flexible PTO
* Parental Leave
-</t>
        </is>
      </c>
    </row>
    <row r="114">
      <c r="A114" t="inlineStr">
        <is>
          <t>li-4374861597</t>
        </is>
      </c>
      <c r="B114" t="inlineStr">
        <is>
          <t>Data Engineer</t>
        </is>
      </c>
      <c r="C114" t="inlineStr">
        <is>
          <t>Electronic Arts (EA)</t>
        </is>
      </c>
      <c r="D114" t="inlineStr">
        <is>
          <t>linkedin</t>
        </is>
      </c>
      <c r="E114">
        <f>HYPERLINK("https://www.linkedin.com/jobs/view/4374861597", "https://www.linkedin.com/jobs/view/4374861597")</f>
        <v/>
      </c>
      <c r="F114" t="inlineStr"/>
      <c r="G114" t="inlineStr">
        <is>
          <t>Austin, TX</t>
        </is>
      </c>
      <c r="H114" t="inlineStr"/>
      <c r="I114" t="inlineStr">
        <is>
          <t>**Description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The Office of the CXO (Chief Experience Officer) is at the forefront of EA's transformation to become a player\-first organization. Our CRM Engineering team plays a central role in enabling 1:1, personalized, real\-time communication across EA's global ecosystem. This includes omni\-channel content delivery through EA.com, email, and in\-game messaging, backed by modern MarTech infrastructure and marketing science.
 As a Data Engineer – CRM Engineering, reporting to the Technical Director of CRM Engineering, you will be responsible for building and maintaining the data infrastructure that powers EA's AI\-driven marketing personalization at scale. You will design and implement robust ETL pipelines, data warehousing solutions, and analytics frameworks that enable real\-time player insights, marketing recommendations, and campaign measurement across EA's global player base of hundreds of millions of users.
**Responsibilities**
* Design, build, and maintain scalable ETL pipelines to ingest player activity data, marketing interactions, and campaign performance metrics from multiple sources across EA's ecosystem.
* Develop and optimize a marketing data warehouse architecture that supports real\-time analytics, player segmentation, and personalization engines.
* Implement data quality frameworks, monitoring systems, and automated testing to ensure data accuracy and pipeline reliability.
* Create and maintain APIs and data services that enable self\-service analytics for marketing teams and campaign managers.
* Build measurement and reporting frameworks that track campaign effectiveness, player engagement metrics, and ROI across channels.
* Partner with Engineering teams to ensure data infrastructure can scale with EA's growing player base and marketing complexity.
* Implement data governance practices, including privacy compliance (GDPR, CCPA) and security protocols for sensitive player data.
* Optimize data storage, query performance, and cost efficiency across cloud\-based data platforms.
**Qualifications**
 Required:
* 3\+ years of data engineering experience with focus on large\-scale data systems and ETL development
* Strong proficiency in SQL, Python, and data processing frameworks (Spark, Kafka, Airflow, or similar)
* Experience with cloud data platforms (AWS Redshift, Snowflake, BigQuery) and modern data stack tools
* Hands\-on experience building and maintaining data pipelines for high\-volume, real\-time data ingestion
* Proficiency with data modeling, dimensional modeling, and data warehouse design principles
* Experience with APIs, microservices, and event\-driven data architectures
* Strong understanding of data quality, monitoring, and observability practices
* Knowledge of data governance, privacy regulations, and security best practices
**Preferred**
* Experience with marketing data sources (CRM systems, email platforms, web analytics)
* Familiarity with gaming or entertainment industry data patterns and player behavior analytics
* Experience with streaming data processing and real\-time analytics platforms
* Knowledge of A/B testing frameworks and experimentation measurement systems
* Understanding of machine learning data requirements and feature engineering
* Previous work with consumer\-facing applications handling millions of daily active users
**Pay Transparency \- North America**
**Compensation And Benefits**
 The ranges listed below are what EA in good faith expects to pay applicants for this role in these locations at the time of this posting. If you reside in a different location, a recruiter will advise on the applicable range and benefits. Pay offered will be determined based on a number of relevant business and candidate factors (e.g. education, qualifications, certifications, experience, skills, geographic location, or business needs).
**PAY RANGES**
* British Columbia (depending on location e.g. Vancouver vs. Victoria) \*$100,000 \- $139,500 CAD
* Washington (depending on location e.g. Seattle vs. Spokane) \*$108,900 \- $145,200 USD
 Pay is just one part of the overall compensation at EA.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For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115">
      <c r="A115" t="inlineStr">
        <is>
          <t>li-4377541748</t>
        </is>
      </c>
      <c r="B115" t="inlineStr">
        <is>
          <t>REMOTE- Junior Data Engineer</t>
        </is>
      </c>
      <c r="C115" t="inlineStr">
        <is>
          <t>Lensa</t>
        </is>
      </c>
      <c r="D115" t="inlineStr">
        <is>
          <t>linkedin</t>
        </is>
      </c>
      <c r="E115">
        <f>HYPERLINK("https://www.linkedin.com/jobs/view/4377541748", "https://www.linkedin.com/jobs/view/4377541748")</f>
        <v/>
      </c>
      <c r="F115" t="inlineStr"/>
      <c r="G115" t="inlineStr">
        <is>
          <t>Fort Worth, TX</t>
        </is>
      </c>
      <c r="H115" t="inlineStr"/>
      <c r="I115"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Insight Global. Clicking "Apply Now" or "Read more" on Lensa redirects you to the job board/employer site. Any information collected there is subject to their terms and privacy notice.
**Job Description**
 One of the largest logistics and transportation employers in the US is seeking a Jr. Data Engineer to join their expanding team. The Jr. Data Engineer will play a crucial role in understanding business problems and assisting in designing solutions that transform complex ideas into sustainable processes. This individual will focus on supporting the onboarding of new lines of business into the data analytics team. Their responsibilities will include assisting in the full life cycle of data engineering, from gathering requirements from internal customers to building data pipelines, testing, reporting, and maintaining solutions. Additionally, the Jr. Data Engineer will support escalation tasks, contribute to system development, help automate processes, maintain internal systems, and assist in data modeling. They will use their growing expertise in data structures specific to the company's operating systems to help turn data into valuable business insights.
 We are a company committed to creating inclusive environments where people can bring their full, authentic selves to work every day. We are an equal opportunity employer that believes everyone matters. Qualified candidates will receive consideration for employment opportunities without regard to race, religion, sex, age, marital status, national origin, sexual orientation, citizenship status, disability, or any other status or characteristic protected by applicable laws, regulations, and ordinances. If you need assistance and/or a reasonable accommodation due to a disability during the application or recruiting process, please send a request to Human Resources Request Form (https://airtable.com/app21VjYyxLDIX0ez/shrOg4IQS1J6dRiMo) . The EEOC "Know Your Rights" Poster is available here (https://www.eeoc.gov/sites/default/files/2023\-06/22\-088\_EEOC\_KnowYourRights6\.12ScreenRdr.pdf) .
 To learn more about how we collect, keep, and process your private information, please review Insight Global's Workforce Privacy Policy: https://insightglobal.com/workforce\-privacy\-policy/ .
**Skills And Requirements**
 2\-5\+ years' experience of data engineer experience
 Strong ADF experience (creating pipelines from scratch/ knowledge of connectors and activities following architect plan)
 Strong knowledge of SQL (Mostly working with SQL scripting implementing into ADF)
 Understanding of full life cycle data engineering
 Extremely detail oriented and ability to provide effective updates
 Strong communication for working with internal/ external customers
 Strong critical thinking skills Python or Spark experience (Small environment is in Python\- basic level scripting and reviews)
 DevOps Experience
 Data Bricks Experience
 Background in Logistics
 Agile Methodologies
 Experience with cloud (Azure specifically)
 If you have questions about this posting, please contact support@lensa.com</t>
        </is>
      </c>
    </row>
    <row r="116">
      <c r="A116" t="inlineStr">
        <is>
          <t>li-4376451048</t>
        </is>
      </c>
      <c r="B116" t="inlineStr">
        <is>
          <t>Senior Analytics Engineer</t>
        </is>
      </c>
      <c r="C116" t="inlineStr">
        <is>
          <t>Outreach</t>
        </is>
      </c>
      <c r="D116" t="inlineStr">
        <is>
          <t>linkedin</t>
        </is>
      </c>
      <c r="E116">
        <f>HYPERLINK("https://www.linkedin.com/jobs/view/4376451048", "https://www.linkedin.com/jobs/view/4376451048")</f>
        <v/>
      </c>
      <c r="F116" t="inlineStr"/>
      <c r="G116" t="inlineStr"/>
      <c r="H116" t="inlineStr"/>
      <c r="I116" t="inlineStr">
        <is>
          <t>**About Outreach**
 Outreach, founded in 2014, is the only complete AI Revenue Workflow Platform that helps sales leaders benefit from connected account visibility, performance insights, and higher forecasting accuracy across every GTM team. Outreach infuses agentic AI to power 100s of use cases across sales motions. From new logo prospecting to renewal and expansion, Outreach AI automates workflows and frees sellers to focus on more strategic conversations and actions. Global organisations use Outreach to power their revenue teams, including SAP, Siemens, Snowflake, ZoomInfo, and Verizon to name a few. To learn more, please visit www.outreach.io.
**About The Team**
 The Analytics Engineering team is dedicated to the empowerment of all people through the use of scalable and trusted data sets. We drive alignment on core business metrics and enable other teams to experiment with novel operational metrics to track the business. The AE team is a subset of the Business Systems team, and partners across the org to drive education and enablement for all employees.
**The Role**
 As a Senior Analytics Engineer at Outreach.io, you will drive the success of Outreach’s Analytics and Operational programs through the production, documentation, and curation of certified data sources and models. You practice scalable coding practices, write efficient SQL, and document your work so that future stakeholders will already have their questions answered. You are the “T” in ELT (Extract\-Load\-Transform), and turn the data pipelines from our Data Engineering team into useful models for our Analytics and self service Data Champions to adopt and answer their own business questions. Overall, you make Data at Outreach.io a more trusted, governed, and powerful asset for all employees.
**Location:** 
 We’re looking to hire this position remote within the US.
**Your Daily Adventures Will Include**
* Model and document new datasets (both structured and semi\-structured) to exploit the value therein across all our business units
* Partner with subject matter experts to document, align and automate business metrics that define success
* Work with Analysts to optimize their use of data, either through query reviews, modeling exercises, or dashboard audits
* Own the design, monitoring, and deployment of certified data sources on our reporting platforms and warehouses
* Insist on the highest standards for data reproducibility, auditability and compliance
* Serve as a subject matter expert for data strategy thought leadership and implementation across the business
* Enable non\-BI\&amp;A team stakeholders to adopt data as part of their business and usual
**Our Vision Of You**
* Ability to communicate complex concepts in a clear and concise manner to audiences from fellow analysts to senior executive level
* Effective storyteller with an emphasis on visual best practices and discoverability
* Expert SQL (Postgres/Snowflake Preferred)
* History of working with or as a Business Analyst
* Record of preemptive communication and documentation strategies favoring self\-service education
* Familiarity with Outreach tech stack: Snowflake, DBT, Airflow, Tableau, History of Query and Data Pipeline optimization
* Have working knowledge with ML pipelines (i.e. Sagemaker)
* Knowledge of multi\-dimensional data modeling
* Experience working in modern ELT environments
* Code documentation best practices
* Worked with business stakeholders for requirements gathering and documentation
* Experience with Spark Ecosystem (Delta Lake, Databricks, etc.) is a plus
* Experience in data modeling, schema design, and data quality best practices, with functional experience working on cloud platforms like Snowflake or Databricks is a nice to have.
**Why You’ll Love It Here**
* Flexible time off
* 401k to help you save for the future
* Generous medical, dental, and vision coverage for full\-time employees and their dependents
* A parental leave program that includes options for a paid night nurse, and a gradual return to work
* Infertility/ assisted reproductive services benefit
* Employee referral bonuses to encourage the addition of great new people to the team
* Snacks and beverages in the Office, along with fun events to celebrate
* Diversity and inclusion programs that promote employee resource groups like Outreach Women's Network, Latinx community, Outreach Black Connection, AAPI community, Pride/LGBTQIA\+, Gender\+, Disability Community, and Veterans/Military
*Outreach is an equal opportunity employer. All applicants will be considered for employment without attention to race, color, religion, sex, sexual orientation, gender identity, national origin, veteran or disability status.*
***Our success is reliant on building teams that include people from different backgrounds and experiences who can elevate assumptions and ideas with fresh perspectives. We're dedicated to hiring the whole human, not just a resume. To that end, we look for a diverse pool of applicants\-including those from historically marginalized groups. We would like to invite you to apply even if you don't think you meet all of the requirements listed below. We don't want a few lines in a job description to get between us and the opportunity to meet you.***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The base salary range for this role is $130,000\-$155,000\. You may also be offered incentive compensation, bonus, restricted stock units, and benefits. Actual compensation is based on factors such as your skills, qualifications, and experience. Final offers are determined through a holistic assessment and will vary within the posted range. Your Recruiter will share specific details based on your location and role during the hiring process.</t>
        </is>
      </c>
    </row>
    <row r="117">
      <c r="A117" t="inlineStr">
        <is>
          <t>li-4377536730</t>
        </is>
      </c>
      <c r="B117" t="inlineStr">
        <is>
          <t>Data Engineer</t>
        </is>
      </c>
      <c r="C117" t="inlineStr">
        <is>
          <t>ETHOS - Talent &amp; Advisory</t>
        </is>
      </c>
      <c r="D117" t="inlineStr">
        <is>
          <t>linkedin</t>
        </is>
      </c>
      <c r="E117">
        <f>HYPERLINK("https://www.linkedin.com/jobs/view/4377536730", "https://www.linkedin.com/jobs/view/4377536730")</f>
        <v/>
      </c>
      <c r="F117" t="inlineStr"/>
      <c r="G117" t="inlineStr">
        <is>
          <t>Bend, OR</t>
        </is>
      </c>
      <c r="H117" t="inlineStr"/>
      <c r="I117" t="inlineStr">
        <is>
          <t>We are hiring a Data Engineer to design and scale modern data infrastructure that powers real customer experiences. This role focuses on building cloud native data pipelines, distributed systems, streaming architecture, and scalable ETL frameworks.
 You will work cross functionally with Product, Engineering, Analytics, and Operations to deliver high impact data solutions. If you enjoy solving complex problems in big data, real time processing, and cloud architecture, we want to connect with you.
**Key Responsibilities** 
* Design, build, and optimize scalable data pipelines including batch and streaming
* Develop ETL and ELT workflows using modern data engineering best practices
* Build and maintain distributed data processing systems
* Partner with backend engineers to improve data ingestion and schema design
* Implement monitoring, performance tuning, and cost optimization strategies
* Support machine learning and business intelligence initiatives
* Improve reliability, scalability, and security across the data platform
**Required Skills and Experience** 
* 5\+ years of experience in Data Engineering, Distributed Systems, or Software Engineering
* Strong programming skills in Python or Java
* Experience building and maintaining ETL pipelines
* Hands on experience with AWS, GCP, or Azure
* Experience with Docker and Kubernetes
* Experience optimizing large scale data processing systems
* Strong problem solving and analytical skills
**Preferred Experience** 
* Experience with Apache Spark, Apache Flink, Apache Kafka, Schema Registry, or Apache Iceberg
* Experience designing and operating stream processing systems
* Experience with data lakehouse architectures and ETL pipeline development
* Experience working with structured and unstructured data at scale
**Why Join** 
* High impact engineering role with meaningful ownership
* Modern cloud native architecture and cutting edge technologies
* Opportunity to influence and shape data strategy
* Collaborative, fast growing, and innovation driven environment
* Flexible work environment supporting work life balance
* Competitive base compensation plus bonus potential
* Equity opportunity to share in long term company success
* Strong career growth and advancement opportunities</t>
        </is>
      </c>
    </row>
    <row r="118">
      <c r="A118" t="inlineStr">
        <is>
          <t>li-4376447305</t>
        </is>
      </c>
      <c r="B118" t="inlineStr">
        <is>
          <t>Senior Data Engineer</t>
        </is>
      </c>
      <c r="C118" t="inlineStr">
        <is>
          <t>COVU</t>
        </is>
      </c>
      <c r="D118" t="inlineStr">
        <is>
          <t>linkedin</t>
        </is>
      </c>
      <c r="E118">
        <f>HYPERLINK("https://www.linkedin.com/jobs/view/4376447305", "https://www.linkedin.com/jobs/view/4376447305")</f>
        <v/>
      </c>
      <c r="F118">
        <f>HYPERLINK("https://covu.bamboohr.com/careers/153?source=aWQ9MTk%3D&amp;urlHash=4UGm", "https://covu.bamboohr.com/careers/153?source=aWQ9MTk%3D&amp;urlHash=4UGm")</f>
        <v/>
      </c>
      <c r="G118" t="inlineStr"/>
      <c r="H118" t="inlineStr"/>
      <c r="I118" t="inlineStr">
        <is>
          <t>Salary Range: $120K\-$180K \+ COVU shares
**About COVU** 
 COVU is a venture\-backed technology startup transforming the insurance industry. We empower independent agencies with AI\-driven insights and digitized operations, enabling them to manage risk more effectively. Our team is building an AI\-first company set to redefine the future of insurance distribution.
**Role Overview** 
 We are seeking an experienced and product\-focused Senior Data Engineer to be a core member of our Platform product team. This is a high\-impact role where you will play a pivotal part in evolving our core data infrastructure.
 Your primary mission will be to develop key components of our "Policy Journal" \- the foundational data asset that will serve as the single source of truth for all policy, commission, and client accounting information. You will work closely with the Lead Data Engineer and business stakeholders to translate requirements into robust data models and scalable pipelines that drive analytics and operational efficiency for our agents, managers, and leadership.
 This role requires a blend of greenfield development, strategic refactoring of existing systems, and a deep understanding of how to create trusted, high\-quality data products.
**What You’ll Do:** 
* Develop the Policy Journal: Be a primary builder of our master data solution that unifies policy, commission, and accounting data from sources like IVANS and Applied EPIC. You will implement the data models and pipelines that create the "gold record" powering our platform.
* Ensure Data Quality and Reliability: Implement robust data quality checks, monitoring, and alerting to ensure the accuracy and timeliness of all data pipelines. You will champion and contribute to best practices in data governance and engineering.
* Build the Foundational Analytics Platform: Implement and enhance our new analytics framework using modern tooling (e.g., Snowflake, dbt, Airflow). You will build and optimize critical data pipelines, transforming raw data into clean, reliable, and performant dimensional models for business intelligence.
* Modernize Core ETL Processes: Systematically refactor our existing Java \&amp; SQL (PostgreSQL) based ETL system. You will identify and resolve core issues (e.g., data duplication, performance bottlenecks), strategically rewriting critical components in Python and migrating orchestration to Airflow.
* Implement Data Quality Frameworks: Working within our company's QA strategy, you will build and execute automated data validation frameworks. You will be responsible for writing tests that ensure the accuracy, completeness, and integrity of our data pipelines and the Policy Journal.
* Collaborate and Contribute to Design: Partner with product managers, the Lead Data Engineer, and business stakeholders to understand complex business requirements. You will be a key technical contributor, translating business needs into well\-designed and maintainable solutions.
**What We're Looking For:** 
* 5\+ years of experience in data engineering, with a proven track record of building and maintaining scalable data pipelines in production.
* Expert\-level proficiency in Python and SQL.
* Strong experience with modern data stack technologies, including a cloud data warehouse (Snowflake or Redshift), a workflow orchestrator (Airflow is highly preferred), and data transformation tools.
* Hands\-on experience with AWS data services (e.g., S3, Glue, Lambda, RDS).
* Experience in the insurance technology (insurtech) industry and familiarity with insurance data concepts (e.g., policies, commissions, claims).
* Demonstrated ability to contribute to the design and implementation of robust data models (e.g., dimensional modeling) for analytics and reporting.
* A pragmatic problem\-solver who can analyze and refactor complex legacy systems. While you won't be writing new Java code, the ability to read and understand existing Java/Hibernate logic is a strong plus.
* Excellent communication skills and the ability to collaborate effectively with both technical and non\-technical stakeholders.
**Bonus Points For:** 
* Direct experience working with data from Agency Management Systems like Applied EPIC, Nowcerts, EZlynx, etc…
* Direct experience working with Carrier data (Accord XML, IVANS AL3\)
* Experience with business intelligence tools like Tableau, Looker, or Power BI.
* Prior experience in a startup or fast\-paced agile environment.
**Application Process:** 
1. Intro call with People team
2. Technical interviews
3. Final interview with leaders</t>
        </is>
      </c>
    </row>
    <row r="119">
      <c r="A119" t="inlineStr">
        <is>
          <t>li-4377552017</t>
        </is>
      </c>
      <c r="B119" t="inlineStr">
        <is>
          <t>Remote Data Engineer</t>
        </is>
      </c>
      <c r="C119" t="inlineStr">
        <is>
          <t>Lensa</t>
        </is>
      </c>
      <c r="D119" t="inlineStr">
        <is>
          <t>linkedin</t>
        </is>
      </c>
      <c r="E119">
        <f>HYPERLINK("https://www.linkedin.com/jobs/view/4377552017", "https://www.linkedin.com/jobs/view/4377552017")</f>
        <v/>
      </c>
      <c r="F119" t="inlineStr"/>
      <c r="G119" t="inlineStr">
        <is>
          <t>Irving, TX</t>
        </is>
      </c>
      <c r="H119" t="inlineStr"/>
      <c r="I119"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Insight Global. Clicking "Apply Now" or "Read more" on Lensa redirects you to the job board/employer site. Any information collected there is subject to their terms and privacy notice.
**Job Description**
 Insight Global is seeking Data Engineers to support both analytical and transactional data platforms. These roles will focus on data transformation, analytics enablement, and collaboration with cross\-functional teams to validate and optimize data pipelines. The ideal candidates bring strong programming fundamentals, hands\-on ETL experience, and comfort working in modern analytics platforms such as Databricks.
 Key Responsibilities
 Design, build, and maintain ETL pipelines to support analytics, reporting, and downstream consumption
 Perform data transformations and analytics workflows primarily within Databricks
 Collaborate closely with business and technical teams to validate data accuracy, logic, and transformations
 Work with structured and transactional data stored in RDBMS and analytics platforms
 Contribute to data quality, performance tuning, and scalable pipeline design
 We are a company committed to creating diverse and inclusive environments where people can bring their full, authentic selves to work every day. We are an equal opportunity/affirmative action employer that believes everyone matters. Qualified candidates will receive consideration for employment regardless of their race, color, ethnicity, religion, sex (including pregnancy), sexual orientation, gender identity and expression, marital status, national origin, ancestry, genetic factors, age, disability, protected veteran status, military or uniformed service member status, or any other status or characteristic protected by applicable laws, regulations, and ordinances. If you need assistance and/or a reasonable accommodation due to a disability during the application or recruiting process, please send a request to HR@insightglobal.com.To learn more about how we collect, keep, and process your private information, please review Insight Global's Workforce Privacy Policy: https://insightglobal.com/workforce\-privacy\-policy/.
**Skills And Requirements**
 5\+ years of experience as a data engineer
 Bachelor's degree (preferred if in computer science)
 Strong understanding of data transformation and analytical workflows
 Strong ETL experience \- aware of Smart QN and Flowstream
 Programming exp with C, C\+\+, or Java
 Scripting experience with Python, JavaScript, or PowerShell
 Hands\-on experience with Databricks
 Experience with analytics platforms such as Hadoop, Snowflake, or Teradata
 Strong SQL skills and experience working with transactional databases (RDBMS)
 If you have questions about this posting, please contact support@lensa.com</t>
        </is>
      </c>
    </row>
    <row r="120">
      <c r="A120" t="inlineStr">
        <is>
          <t>li-4377536519</t>
        </is>
      </c>
      <c r="B120" t="inlineStr">
        <is>
          <t>Data Engineer</t>
        </is>
      </c>
      <c r="C120" t="inlineStr">
        <is>
          <t>Akkodis Group Nordics</t>
        </is>
      </c>
      <c r="D120" t="inlineStr">
        <is>
          <t>linkedin</t>
        </is>
      </c>
      <c r="E120">
        <f>HYPERLINK("https://www.linkedin.com/jobs/view/4377536519", "https://www.linkedin.com/jobs/view/4377536519")</f>
        <v/>
      </c>
      <c r="F120">
        <f>HYPERLINK("https://www.akkodis.com/en-us/careers/jobs/data-engineer-chicago/US_EN_6_971649_1618050&amp;urlHash=WeMV", "https://www.akkodis.com/en-us/careers/jobs/data-engineer-chicago/US_EN_6_971649_1618050&amp;urlHash=WeMV")</f>
        <v/>
      </c>
      <c r="G120" t="inlineStr">
        <is>
          <t>Chicago, IL</t>
        </is>
      </c>
      <c r="H120" t="inlineStr"/>
      <c r="I120" t="inlineStr">
        <is>
          <t>Akkodis is seeking a
 **Data Engineer** 
 for a
 **Contract** 
 with a client in
 **Chicago, IL.** 
 Candidates must have strong data engineering capability with proven experience in executing data extractions, migrations, and transformations across enterprise systems.
**Rate Range:** 
 $75/hour to $76/hour; The rate may be negotiable based on experience, education, geographic location, and other factors.
**Data Engineer Job Responsibilities Include**
* Perform data extractions, transformations, migrations across systems such as PeopleSoft, BAAN, and Infor LN.
* Develop and maintain programs and scripts to support accurate, reliable, and scalable data processing.
* Select appropriate tools and technologies to manage technical data workflows effectively.
* Analyze data from multiple sources to ensure consistency, accuracy, and readiness for downstream usage.
* Troubleshoot issues related to data pipelines, integrations, and source‑system inputs.
* Collaborate with cross‑functional teams to support data requirements and ensure smooth migration activities.
**Required Qualifications**
* Bachelor’s degree in computer science, data engineering, information systems, or a related technical field.
* 3–5 years of hands‑on experience in data engineering, data extraction, and migration activities.
* Must have strong capability in handling data from ERP systems such as PeopleSoft, BAAN, or Infor LN.
* Having proven ability to build and manage data pipelines using appropriate tools to ensure accuracy and reliability.
 If you are interested in this role, then please click APPLY NOW. For other opportunities available at Akkodis, or any questions, feel free to contact me at
 **Vaibhav.Saxena@** 
**akkodisgroup.com.**
**Pay Details:** 
 $75\.00 to $76\.00 per hour
 Benefit offerings available for our associates include medical, dental, vision, life insurance, short\-term disability, additional voluntary benefits,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Equal Opportunity Employer/Veterans/Disabled
 Military connected talent encouraged to apply
 To read our Candidate Privacy Information Statement, which explains how we will use your information, please navigate to https://www.akkodis.com/en/us/candidate\-privacy\-policy
**Requirements**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
**Massachusetts Candidates Only:** 
 It is unlawful in Massachusetts to require or administer a lie detector test as a condition of employment or continued employment. An employer who violates this law shall be subject to criminal penalties and civil liability.</t>
        </is>
      </c>
    </row>
    <row r="121">
      <c r="A121" t="inlineStr">
        <is>
          <t>li-4376448121</t>
        </is>
      </c>
      <c r="B121" t="inlineStr">
        <is>
          <t>Remote Sr. Data Engineer</t>
        </is>
      </c>
      <c r="C121" t="inlineStr">
        <is>
          <t>Insight Global</t>
        </is>
      </c>
      <c r="D121" t="inlineStr">
        <is>
          <t>linkedin</t>
        </is>
      </c>
      <c r="E121">
        <f>HYPERLINK("https://www.linkedin.com/jobs/view/4376448121", "https://www.linkedin.com/jobs/view/4376448121")</f>
        <v/>
      </c>
      <c r="F121" t="inlineStr"/>
      <c r="G121" t="inlineStr">
        <is>
          <t>Minnesota, United States</t>
        </is>
      </c>
      <c r="H121" t="inlineStr"/>
      <c r="I121" t="inlineStr">
        <is>
          <t>**Title** 
 : Remote Sr. Data Engineer
**Location:** 
 Remote (must reside in Minnesota)
**Compensation:** 
 $70 \- $80
**Interview process:** 
 2 round virtual interviews
**Must haves** 
* 5 plus years of experience working as a data engineer
* Experience with SQL
* Experience with Python
* Experience with Databricks
**Plusses** 
* Marketing campaign/digital analytics experience
* Experience in other technologies related to their tech stack (Azure, PySpark, GitHub, PowerBI, Airflow)
* Both cloud and on\-prem experience in order to support SAS to cloud migration work
* Relevant certifications (Azure, Databricks etc)
**Day to day** 
 Insight Global is seeking 2 Sr. Data Engineers to join a Personal Campaign Operations team. This is a very known, visible and well\-funded team bringing in millions of $s for the company. This team supports the entire enterprise (care delivery and health plan marketing), and works in a collaborative, cross\-functional environment with both developers and campaign owners. This person must be flexible as they will be working with different people on different campaigns at one time, and have to pivot according to changing priorities.
 This person will overall be responsible to:
* Design, develop, and implement end\-to\-end data solutions using Azure Databricks.
* Convert current SQL to Python code in Databricks.
* Modify and maintain data pipelines.
* Write, test, and optimize PySpark and SQL scripts to transform and load high volumes of structured data.
* Update or maintain existing data pipelines in a production setting.
* Ensure data quality and integrity by implementing data validation and cleansing processes.
* Demonstrate strong verbal communication and critical thinking skills, working well within a team environment and not being afraid to speak up.
**Compensation** 
 $70 to $80
 Exact compensation may vary based on several factors, including skills, experience, and education.
 Benefit packages for this role will start on the 31st day of employment and include medical, dental, and vision insurance, as well as HSA, FSA, and DCFSA account options, and 401k retirement account access with employer matching. Employees in this role are also entitled to paid sick leave and/or other paid time off as provided by applicable law.</t>
        </is>
      </c>
    </row>
    <row r="122">
      <c r="A122" t="inlineStr">
        <is>
          <t>li-4376439501</t>
        </is>
      </c>
      <c r="B122" t="inlineStr">
        <is>
          <t>Senior Staff Data Engineer: Platform Data and Analytics</t>
        </is>
      </c>
      <c r="C122" t="inlineStr">
        <is>
          <t>Faire</t>
        </is>
      </c>
      <c r="D122" t="inlineStr">
        <is>
          <t>linkedin</t>
        </is>
      </c>
      <c r="E122">
        <f>HYPERLINK("https://www.linkedin.com/jobs/view/4376439501", "https://www.linkedin.com/jobs/view/4376439501")</f>
        <v/>
      </c>
      <c r="F122" t="inlineStr"/>
      <c r="G122" t="inlineStr">
        <is>
          <t>San Francisco, CA</t>
        </is>
      </c>
      <c r="H122" t="inlineStr"/>
      <c r="I122" t="inlineStr">
        <is>
          <t>**About Faire**
 Faire is an online wholesale marketplace built on the belief that the future is local — independent retailers around the globe are doing more revenue than Walmart and Amazon combined, but individually, they are small compared to these massive entities. At Faire, we're using the power of tech, data, and machine learning to connect this thriving community of entrepreneurs across the globe. Picture your favorite boutique in town — we help them discover the best products from around the world to sell in their stores. With the right tools and insights, we believe that we can level the playing field so that small businesses everywhere can compete with these big box and e\-commerce giants.
 By supporting the growth of independent businesses, Faire is driving positive economic impact in local communities, globally. We’re looking for smart, resourceful and passionate people to join us as we power the shop local movement. If you believe in community, come join ours.
**About This Role**
 Our Engineering organization owns the software that makes our marketplace work. The Platform group empowers teams across Faire: Product Engineering, Data Science, Product Management, Strategy, Analytics, Finance, etc. Enabling these functions to do their best work without concern about underlying infrastructure. We enable product engineering teams to build and operate software with unmatched speed and quality. We care about good engineering practices, excellent developer experience, security, testability, ease of maintenance, and scaling to serve millions of users. We value best practices to achieve excellent availability and performance.
**This role is for a highly experienced technical leader in the data space, whose influence spans multiple Platform and Product groups.**
**Within The Platform Group**
* The Data Infrastructure team builds and operates a secure, reliable, cost\-efficient, opinionated platform for data ingestion, storage, compute, orchestration, and governance.
* The Analytics Platform team builds efficient data warehousing capabilities, foundational data assets, and tools to accelerate data\-driven analytics. Its mandate is to reduce time from data to insights.
 The teams also own relationships with relevant technology infrastructure vendors.
 Additionally, this role would influence and interact with all data and analytics related functions at Faire. The product analytics engineering (PAE) function enables domain\-specific AE capabilities, working closely with Data Science, Strategy \&amp; Analytics, Finance. The data science (DS) function leads modeling development and evaluation, raising effectiveness and efficiency of key product features.
**We’re looking for:** 
 An experienced technical leader with data and analytics background to work alongside and lead / influence across multiple teams and departments. Define technology strategy, roadmaps, architecture patterns and guidance. Striking the right balance of technical leadership and hands\-on development.
**What You’ll Do**
* Plan and execute on technology projects that scale with Faire’s growth; lead architecture development with a focus on data integrity, security, performance, scale, reliability, monitoring/alerting.
* Engage with team planning and prioritization, balancing urgent and near\-term needs with long\-term goals.
* Provide technical guidance and mentorship on the most difficult open\-ended problems we face. Including cost\-efficient compute and storage, ETL and ELT pipelines, data ingest and warehousing, monitoring, alerting, and cost tracking for workloads, design practices for foundational assets, data security, privacy, and governance.
**Qualifications**
* Experience designing, developing, and operating data streaming, batch, ETL/ELT, orchestration, storage, compute, workflow systems at scale.
* Experience defining architecture patterns and building reliable, scalable data pipelines, orchestration of data movement, querying, transformation, and frameworks for analytics engineering workflows.
* Strong SQL and Python skills and experience.
* Data warehousing experience at Petabyte scale.
* Snowflake, Airflow, Spark experience especially valuable.
* Understanding of performance, capacity, cost trade\-offs in data processing systems. Experience in guiding technical and product teams on such trade\-offs.
* Experience diagnosing, mitigating, and permanently addressing data system production issues at scale. Experience rolling out patterns for workload performance and cost optimization.
* Experience operating in a growth stage company, with a data function consisting of multiple teams and over 60 people. Enabling teams to operate in a self\-serve model.
* Excellent communication, leadership, and influencing skills.
* A bachelor's degree in Computer Science/Software Engineering or equivalent industry experience.
* Select technologies we use and teach: AWS, Snowflake, Airflow, Spark, Python, Kotlin.
**Salary Range**
 San Francisco: the pay range for this role is $268,000 to $368,500 per year.
 Canada: the pay range for this role is $228,000 to $313,500 per year.
 This role will also be eligible for equity and benefits. Actual base pay will be determined based on permissible factors such as transferable skills, work experience, market demands, and primary work location. The base pay range provided is subject to change and may be modified in the future.
 Faire uses Artificial Intelligence (AI) to screen and select applicants for this position.
 This job posting is for an existing vacancy.
**Hybrid Faire employees currently go into the office 3 days per week on Tuesdays, Thursdays, and a third flex day of their choosing (Monday, Wednesday, or Friday).* 
 Additionally, hybrid in\-office roles will have the flexibility to work remotely up to 4 weeks per year. Specific Workplace and Information Technology positions may require onsite attendance 5 days per week as will be indicated in the job posting.*
**Why you’ll love working at Faire**
* We are entrepreneurs: Faire is being built for entrepreneurs, by entrepreneurs. We believe entrepreneurship is a calling and our mission is to empower entrepreneurs to chase their dreams. Every member of our team is taking part in the founding process.
* We are using technology and data to level the playing field: We are leveraging the power of product innovation and machine learning to connect brands and boutiques from all over the world, building a growing community of more than 350,000 small business owners.
* We build products our customers love: Everything we do is ultimately in the service of helping our customers grow their business because our goal is to grow the pie \- not steal a piece from it. Running a small business is hard work, but using Faire makes it easy.
* We are curious and resourceful: Inquisitive by default, we explore every possibility, test every assumption, and develop creative solutions to the challenges at hand. We lead with curiosity and data in our decision making, and reason from a first principles mentality.
 Faire was founded in 2017 by a team of early product and engineering leads from Square. We’re backed by some of the top investors in retail and tech including: Y Combinator, Lightspeed Venture Partners, Forerunner Ventures, Khosla Ventures, Sequoia Capital, Founders Fund, and DST Global. We have headquarters in San Francisco and Kitchener\-Waterloo, and a global employee presence across offices in Toronto, London, and New York. To learn more about Faire and our customers, you can read more on our blog.
 Faire provides equal employment opportunities (EEO) to all employees and applicants for employment without regard to race, color, religion, sex, national origin, age, disability, genetics, sexual orientation, gender identity or gender expression.
 Faire is committed to providing access, equal opportunity and reasonable accommodation for individuals with disabilities in employment, its services, programs, and activities. Accommodations are available throughout the recruitment process and applicants with a disability may request to be accommodated throughout the recruitment process. We will work with all applicants to accommodate their individual accessibility needs. To request reasonable accommodation, please fill out our Accommodation Request Form (https://bit.ly/faire\-form)
**Privacy**
 For information about the type of personal data Faire collects from applicants, as well as your choices regarding the data collected about you, please visit Faire’s Privacy Notice (https://www.faire.com/privacy)</t>
        </is>
      </c>
    </row>
    <row r="123">
      <c r="A123" t="inlineStr">
        <is>
          <t>li-4376445164</t>
        </is>
      </c>
      <c r="B123" t="inlineStr">
        <is>
          <t>Associate, Data Engineer</t>
        </is>
      </c>
      <c r="C123" t="inlineStr">
        <is>
          <t>KPMG US</t>
        </is>
      </c>
      <c r="D123" t="inlineStr">
        <is>
          <t>linkedin</t>
        </is>
      </c>
      <c r="E123">
        <f>HYPERLINK("https://www.linkedin.com/jobs/view/4376445164", "https://www.linkedin.com/jobs/view/4376445164")</f>
        <v/>
      </c>
      <c r="F123" t="inlineStr"/>
      <c r="G123" t="inlineStr">
        <is>
          <t>Boston, MA</t>
        </is>
      </c>
      <c r="H123" t="inlineStr"/>
      <c r="I123"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an Associate, Data Engineer to join our Digital Nexus technology organization. This is a hybrid work opportunity.
 Responsibilities:
* Perform a variety of tasks related to the governance, management and maintenance of data, including but not limited to standards development, metadata management and reporting
* Document data interfaces and data mappings; analyze and interpret data
* Develop business and technical requirement documents
* Support the Data Strategy \&amp; Operations leadership team in the overall operations of the data organization
* Identify and implement cross\-functional process improvement opportunities that support the organization
* Assist project managers in creating effective and achievable project plans, management of the team's execution of project tasks and secure acceptance and approval of deliverables from the project stakeholders
* Act with integrity, professionalism, and personal responsibility to uphold KPMG's respectful and courteous work environment
 Qualifications:
* Minimum one year of recent experience working with data including data sourcing, data analysis and data integration
* Bachelor's degree from an accredited college or university is preferred; High School diploma or GED required
* Experience in statistical analysis, working in an IT environment supporting projects and strong experience using Microsoft suite (Excel, PowerPoint, Word and Outlook) preferred.
* Strong verbal/written communication, problem solving, organizational and independent judgment skills to support an environment driven by customer service and teamwork
* Ability to build productive relationships with peers and maintain confidentiality of sensitive and privileged information
* Work location may be in the office, at client sites, or virtual/remote depending on business need; client site locations may require travel and overnight/extended stay
*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https://kpmg.com/us/en/how\-we\-work/pay\-transparency.html/?id\=8149\_9\_26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124">
      <c r="A124" t="inlineStr">
        <is>
          <t>li-4376444163</t>
        </is>
      </c>
      <c r="B124" t="inlineStr">
        <is>
          <t>Associate, Data Engineer</t>
        </is>
      </c>
      <c r="C124" t="inlineStr">
        <is>
          <t>KPMG US</t>
        </is>
      </c>
      <c r="D124" t="inlineStr">
        <is>
          <t>linkedin</t>
        </is>
      </c>
      <c r="E124">
        <f>HYPERLINK("https://www.linkedin.com/jobs/view/4376444163", "https://www.linkedin.com/jobs/view/4376444163")</f>
        <v/>
      </c>
      <c r="F124">
        <f>HYPERLINK("https://www.kpmguscareers.com/jobdetail/?jobId=131998-B&amp;srcCat=Job+Boards&amp;specSrc=LinkedIn&amp;urlHash=vFnr", "https://www.kpmguscareers.com/jobdetail/?jobId=131998-B&amp;srcCat=Job+Boards&amp;specSrc=LinkedIn&amp;urlHash=vFnr")</f>
        <v/>
      </c>
      <c r="G124" t="inlineStr">
        <is>
          <t>Phoenix, AZ</t>
        </is>
      </c>
      <c r="H124" t="inlineStr"/>
      <c r="I124"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an Associate, Data Engineer to join our Digital Nexus technology organization. This is a hybrid work opportunity.
 Responsibilities:
* Perform a variety of tasks related to the governance, management and maintenance of data, including but not limited to standards development, metadata management and reporting
* Document data interfaces and data mappings; analyze and interpret data
* Develop business and technical requirement documents
* Support the Data Strategy \&amp; Operations leadership team in the overall operations of the data organization
* Identify and implement cross\-functional process improvement opportunities that support the organization
* Assist project managers in creating effective and achievable project plans, management of the team's execution of project tasks and secure acceptance and approval of deliverables from the project stakeholders
* Act with integrity, professionalism, and personal responsibility to uphold KPMG's respectful and courteous work environment
 Qualifications:
* Minimum one year of recent experience working with data including data sourcing, data analysis and data integration
* Bachelor's degree from an accredited college or university is preferred; High School diploma or GED required
* Experience in statistical analysis, working in an IT environment supporting projects and strong experience using Microsoft suite (Excel, PowerPoint, Word and Outlook) preferred.
* Strong verbal/written communication, problem solving, organizational and independent judgment skills to support an environment driven by customer service and teamwork
* Ability to build productive relationships with peers and maintain confidentiality of sensitive and privileged information
* Work location may be in the office, at client sites, or virtual/remote depending on business need; client site locations may require travel and overnight/extended stay
*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https://kpmg.com/us/en/how\-we\-work/pay\-transparency.html/?id\=8149\_9\_26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125">
      <c r="A125" t="inlineStr">
        <is>
          <t>li-4376437356</t>
        </is>
      </c>
      <c r="B125" t="inlineStr">
        <is>
          <t>Associate, Data Engineer</t>
        </is>
      </c>
      <c r="C125" t="inlineStr">
        <is>
          <t>KPMG US</t>
        </is>
      </c>
      <c r="D125" t="inlineStr">
        <is>
          <t>linkedin</t>
        </is>
      </c>
      <c r="E125">
        <f>HYPERLINK("https://www.linkedin.com/jobs/view/4376437356", "https://www.linkedin.com/jobs/view/4376437356")</f>
        <v/>
      </c>
      <c r="F125">
        <f>HYPERLINK("https://www.kpmguscareers.com/jobdetail/?jobId=131998-B&amp;srcCat=Job+Boards&amp;specSrc=LinkedIn&amp;urlHash=vFnr", "https://www.kpmguscareers.com/jobdetail/?jobId=131998-B&amp;srcCat=Job+Boards&amp;specSrc=LinkedIn&amp;urlHash=vFnr")</f>
        <v/>
      </c>
      <c r="G125" t="inlineStr">
        <is>
          <t>Rochester, NY</t>
        </is>
      </c>
      <c r="H125" t="inlineStr"/>
      <c r="I125"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an Associate, Data Engineer to join our Digital Nexus technology organization. This is a hybrid work opportunity.
 Responsibilities:
* Perform a variety of tasks related to the governance, management and maintenance of data, including but not limited to standards development, metadata management and reporting
* Document data interfaces and data mappings; analyze and interpret data
* Develop business and technical requirement documents
* Support the Data Strategy \&amp; Operations leadership team in the overall operations of the data organization
* Identify and implement cross\-functional process improvement opportunities that support the organization
* Assist project managers in creating effective and achievable project plans, management of the team's execution of project tasks and secure acceptance and approval of deliverables from the project stakeholders
* Act with integrity, professionalism, and personal responsibility to uphold KPMG's respectful and courteous work environment
 Qualifications:
* Minimum one year of recent experience working with data including data sourcing, data analysis and data integration
* Bachelor's degree from an accredited college or university is preferred; High School diploma or GED required
* Experience in statistical analysis, working in an IT environment supporting projects and strong experience using Microsoft suite (Excel, PowerPoint, Word and Outlook) preferred.
* Strong verbal/written communication, problem solving, organizational and independent judgment skills to support an environment driven by customer service and teamwork
* Ability to build productive relationships with peers and maintain confidentiality of sensitive and privileged information
* Work location may be in the office, at client sites, or virtual/remote depending on business need; client site locations may require travel and overnight/extended stay
*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https://kpmg.com/us/en/how\-we\-work/pay\-transparency.html/?id\=8149\_9\_26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126">
      <c r="A126" t="inlineStr">
        <is>
          <t>li-4377513157</t>
        </is>
      </c>
      <c r="B126" t="inlineStr">
        <is>
          <t>Data Engineer</t>
        </is>
      </c>
      <c r="C126" t="inlineStr">
        <is>
          <t>Apex Systems</t>
        </is>
      </c>
      <c r="D126" t="inlineStr">
        <is>
          <t>linkedin</t>
        </is>
      </c>
      <c r="E126">
        <f>HYPERLINK("https://www.linkedin.com/jobs/view/4377513157", "https://www.linkedin.com/jobs/view/4377513157")</f>
        <v/>
      </c>
      <c r="F126" t="inlineStr"/>
      <c r="G126" t="inlineStr">
        <is>
          <t>Greenwood Village, CO</t>
        </is>
      </c>
      <c r="H126" t="inlineStr"/>
      <c r="I126" t="inlineStr">
        <is>
          <t>**Job\#: 3015570**
**Job Description:**
**Major Duties And Responsibilities**
* Design, develop, and maintain scalable ETL pipelines to ensure data quality and availability
* Implement monitoring and alerting solutions to ensure data pipeline reliability and performance
* Develop and manage deployment pipelines to facilitate continuous integration and delivery of data engineering solutions
* Document and communicate data engineering processes and standards to business\-intelligence, data, and analytics professionals with varied backgrounds Continuously evaluate and improve data engineering tools and approaches to enhance performance and efficiency
**Required Qualifications**
* Expertise in data engineering languages such as Scala (preferred) or Java, with proficiency in Python
* Experience with BigData tools, particularly Spark, and familiarity with Hadoop ecosystems
* Proficiency in building and managing ETL pipelines
* Experience with cloud platforms like AWS, including services such as S3, Lambda, Redshift, and EMR
* Strong understanding of relational databases and SQL, and familiarity with NoSQL databases
* Knowledge of data architecture, data warehousing, and data marts
* Experience in implementing monitoring solutions and deployment pipelines for data applications
* Ability to work with distributed systems and manage data storage solutions Demonstrated ability and desire to continually expand skill set, and learn from and teach others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or 844\-463\-6178\.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part of the Commercial Segment of ASGN Incorporated.
 NYSE: ASGN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Benefits Department at \[email protected] or 804\-523\-8228\. (Do not submit resumes or solicit consultants to this email address). UnitedHealthcare creates and publishes the Transparency in Coverage Machine\-Readable Files on behalf of Apex Systems.</t>
        </is>
      </c>
    </row>
    <row r="127">
      <c r="A127" t="inlineStr">
        <is>
          <t>li-4376432548</t>
        </is>
      </c>
      <c r="B127" t="inlineStr">
        <is>
          <t>Associate, Data Engineer</t>
        </is>
      </c>
      <c r="C127" t="inlineStr">
        <is>
          <t>KPMG US</t>
        </is>
      </c>
      <c r="D127" t="inlineStr">
        <is>
          <t>linkedin</t>
        </is>
      </c>
      <c r="E127">
        <f>HYPERLINK("https://www.linkedin.com/jobs/view/4376432548", "https://www.linkedin.com/jobs/view/4376432548")</f>
        <v/>
      </c>
      <c r="F127">
        <f>HYPERLINK("https://www.kpmguscareers.com/jobdetail/?jobId=131998-A&amp;srcCat=Job+Boards&amp;specSrc=LinkedIn&amp;urlHash=Odj3", "https://www.kpmguscareers.com/jobdetail/?jobId=131998-A&amp;srcCat=Job+Boards&amp;specSrc=LinkedIn&amp;urlHash=Odj3")</f>
        <v/>
      </c>
      <c r="G127" t="inlineStr">
        <is>
          <t>Boise, ID</t>
        </is>
      </c>
      <c r="H127" t="inlineStr"/>
      <c r="I127"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an Associate, Data Engineer to join our Digital Nexus technology organization. This is a hybrid work opportunity.
 Responsibilities:
* Perform a variety of tasks related to the governance, management and maintenance of data, including but not limited to standards development, metadata management and reporting
* Document data interfaces and data mappings; analyze and interpret data
* Develop business and technical requirement documents
* Support the Data Strategy \&amp; Operations leadership team in the overall operations of the data organization
* Identify and implement cross\-functional process improvement opportunities that support the organization
* Assist project managers in creating effective and achievable project plans, management of the team's execution of project tasks and secure acceptance and approval of deliverables from the project stakeholders
* Act with integrity, professionalism, and personal responsibility to uphold KPMG's respectful and courteous work environment
 Qualifications:
* Minimum one year of recent experience working with data including data sourcing, data analysis and data integration
* Bachelor's degree from an accredited college or university is preferred; High School diploma or GED required
* Experience in statistical analysis, working in an IT environment supporting projects and strong experience using Microsoft suite (Excel, PowerPoint, Word and Outlook) preferred.
* Strong verbal/written communication, problem solving, organizational and independent judgment skills to support an environment driven by customer service and teamwork
* Ability to build productive relationships with peers and maintain confidentiality of sensitive and privileged information
* Work location may be in the office, at client sites, or virtual/remote depending on business need; client site locations may require travel and overnight/extended stay
*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https://kpmg.com/us/en/how\-we\-work/pay\-transparency.html/?id\=8149\_9\_26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128">
      <c r="A128" t="inlineStr">
        <is>
          <t>li-4376443212</t>
        </is>
      </c>
      <c r="B128" t="inlineStr">
        <is>
          <t>Associate, Data Engineer</t>
        </is>
      </c>
      <c r="C128" t="inlineStr">
        <is>
          <t>KPMG US</t>
        </is>
      </c>
      <c r="D128" t="inlineStr">
        <is>
          <t>linkedin</t>
        </is>
      </c>
      <c r="E128">
        <f>HYPERLINK("https://www.linkedin.com/jobs/view/4376443212", "https://www.linkedin.com/jobs/view/4376443212")</f>
        <v/>
      </c>
      <c r="F128">
        <f>HYPERLINK("https://www.kpmguscareers.com/jobdetail/?jobId=131998-A&amp;srcCat=Job+Boards&amp;specSrc=LinkedIn&amp;urlHash=Odj3", "https://www.kpmguscareers.com/jobdetail/?jobId=131998-A&amp;srcCat=Job+Boards&amp;specSrc=LinkedIn&amp;urlHash=Odj3")</f>
        <v/>
      </c>
      <c r="G128" t="inlineStr">
        <is>
          <t>Melville, NY</t>
        </is>
      </c>
      <c r="H128" t="inlineStr"/>
      <c r="I128"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an Associate, Data Engineer to join our Digital Nexus technology organization. This is a hybrid work opportunity.
 Responsibilities:
* Perform a variety of tasks related to the governance, management and maintenance of data, including but not limited to standards development, metadata management and reporting
* Document data interfaces and data mappings; analyze and interpret data
* Develop business and technical requirement documents
* Support the Data Strategy \&amp; Operations leadership team in the overall operations of the data organization
* Identify and implement cross\-functional process improvement opportunities that support the organization
* Assist project managers in creating effective and achievable project plans, management of the team's execution of project tasks and secure acceptance and approval of deliverables from the project stakeholders
* Act with integrity, professionalism, and personal responsibility to uphold KPMG's respectful and courteous work environment
 Qualifications:
* Minimum one year of recent experience working with data including data sourcing, data analysis and data integration
* Bachelor's degree from an accredited college or university is preferred; High School diploma or GED required
* Experience in statistical analysis, working in an IT environment supporting projects and strong experience using Microsoft suite (Excel, PowerPoint, Word and Outlook) preferred.
* Strong verbal/written communication, problem solving, organizational and independent judgment skills to support an environment driven by customer service and teamwork
* Ability to build productive relationships with peers and maintain confidentiality of sensitive and privileged information
* Work location may be in the office, at client sites, or virtual/remote depending on business need; client site locations may require travel and overnight/extended stay
*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https://kpmg.com/us/en/how\-we\-work/pay\-transparency.html/?id\=8149\_9\_26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129">
      <c r="A129" t="inlineStr">
        <is>
          <t>li-4376446099</t>
        </is>
      </c>
      <c r="B129" t="inlineStr">
        <is>
          <t>Associate, Data Engineer</t>
        </is>
      </c>
      <c r="C129" t="inlineStr">
        <is>
          <t>KPMG US</t>
        </is>
      </c>
      <c r="D129" t="inlineStr">
        <is>
          <t>linkedin</t>
        </is>
      </c>
      <c r="E129">
        <f>HYPERLINK("https://www.linkedin.com/jobs/view/4376446099", "https://www.linkedin.com/jobs/view/4376446099")</f>
        <v/>
      </c>
      <c r="F129">
        <f>HYPERLINK("https://www.kpmguscareers.com/jobdetail/?jobId=131998-A&amp;srcCat=Job+Boards&amp;specSrc=LinkedIn&amp;urlHash=Odj3", "https://www.kpmguscareers.com/jobdetail/?jobId=131998-A&amp;srcCat=Job+Boards&amp;specSrc=LinkedIn&amp;urlHash=Odj3")</f>
        <v/>
      </c>
      <c r="G129" t="inlineStr">
        <is>
          <t>Albuquerque, NM</t>
        </is>
      </c>
      <c r="H129" t="inlineStr"/>
      <c r="I129"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an Associate, Data Engineer to join our Digital Nexus technology organization. This is a hybrid work opportunity.
 Responsibilities:
* Perform a variety of tasks related to the governance, management and maintenance of data, including but not limited to standards development, metadata management and reporting
* Document data interfaces and data mappings; analyze and interpret data
* Develop business and technical requirement documents
* Support the Data Strategy \&amp; Operations leadership team in the overall operations of the data organization
* Identify and implement cross\-functional process improvement opportunities that support the organization
* Assist project managers in creating effective and achievable project plans, management of the team's execution of project tasks and secure acceptance and approval of deliverables from the project stakeholders
* Act with integrity, professionalism, and personal responsibility to uphold KPMG's respectful and courteous work environment
 Qualifications:
* Minimum one year of recent experience working with data including data sourcing, data analysis and data integration
* Bachelor's degree from an accredited college or university is preferred; High School diploma or GED required
* Experience in statistical analysis, working in an IT environment supporting projects and strong experience using Microsoft suite (Excel, PowerPoint, Word and Outlook) preferred.
* Strong verbal/written communication, problem solving, organizational and independent judgment skills to support an environment driven by customer service and teamwork
* Ability to build productive relationships with peers and maintain confidentiality of sensitive and privileged information
* Work location may be in the office, at client sites, or virtual/remote depending on business need; client site locations may require travel and overnight/extended stay
*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https://kpmg.com/us/en/how\-we\-work/pay\-transparency.html/?id\=8149\_9\_26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130">
      <c r="A130" t="inlineStr">
        <is>
          <t>li-4376432547</t>
        </is>
      </c>
      <c r="B130" t="inlineStr">
        <is>
          <t>Associate, Data Engineer</t>
        </is>
      </c>
      <c r="C130" t="inlineStr">
        <is>
          <t>KPMG US</t>
        </is>
      </c>
      <c r="D130" t="inlineStr">
        <is>
          <t>linkedin</t>
        </is>
      </c>
      <c r="E130">
        <f>HYPERLINK("https://www.linkedin.com/jobs/view/4376432547", "https://www.linkedin.com/jobs/view/4376432547")</f>
        <v/>
      </c>
      <c r="F130" t="inlineStr"/>
      <c r="G130" t="inlineStr">
        <is>
          <t>Lincoln, NE</t>
        </is>
      </c>
      <c r="H130" t="inlineStr"/>
      <c r="I130"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an Associate, Data Engineer to join our Digital Nexus technology organization. This is a hybrid work opportunity.
 Responsibilities:
* Perform a variety of tasks related to the governance, management and maintenance of data, including but not limited to standards development, metadata management and reporting
* Document data interfaces and data mappings; analyze and interpret data
* Develop business and technical requirement documents
* Support the Data Strategy \&amp; Operations leadership team in the overall operations of the data organization
* Identify and implement cross\-functional process improvement opportunities that support the organization
* Assist project managers in creating effective and achievable project plans, management of the team's execution of project tasks and secure acceptance and approval of deliverables from the project stakeholders
* Act with integrity, professionalism, and personal responsibility to uphold KPMG's respectful and courteous work environment
 Qualifications:
* Minimum one year of recent experience working with data including data sourcing, data analysis and data integration
* Bachelor's degree from an accredited college or university is preferred; High School diploma or GED required
* Experience in statistical analysis, working in an IT environment supporting projects and strong experience using Microsoft suite (Excel, PowerPoint, Word and Outlook) preferred.
* Strong verbal/written communication, problem solving, organizational and independent judgment skills to support an environment driven by customer service and teamwork
* Ability to build productive relationships with peers and maintain confidentiality of sensitive and privileged information
* Work location may be in the office, at client sites, or virtual/remote depending on business need; client site locations may require travel and overnight/extended stay
*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https://kpmg.com/us/en/how\-we\-work/pay\-transparency.html/?id\=8149\_9\_26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131">
      <c r="A131" t="inlineStr">
        <is>
          <t>li-4376472720</t>
        </is>
      </c>
      <c r="B131" t="inlineStr">
        <is>
          <t>Senior Analytics Engineer, Sales Analytics (GTM Data Engineering)</t>
        </is>
      </c>
      <c r="C131" t="inlineStr">
        <is>
          <t>Klaviyo</t>
        </is>
      </c>
      <c r="D131" t="inlineStr">
        <is>
          <t>linkedin</t>
        </is>
      </c>
      <c r="E131">
        <f>HYPERLINK("https://www.linkedin.com/jobs/view/4376472720", "https://www.linkedin.com/jobs/view/4376472720")</f>
        <v/>
      </c>
      <c r="F131">
        <f>HYPERLINK("https://www.klaviyo.com/careers/jobs?gh_jid=7643039003&amp;gh_src=1284ec8c3us&amp;urlHash=BFDQ", "https://www.klaviyo.com/careers/jobs?gh_jid=7643039003&amp;gh_src=1284ec8c3us&amp;urlHash=BFDQ")</f>
        <v/>
      </c>
      <c r="G131" t="inlineStr">
        <is>
          <t>Boston, MA</t>
        </is>
      </c>
      <c r="H131" t="inlineStr"/>
      <c r="I131" t="inlineStr">
        <is>
          <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klaviyo.com/careers to see how we empower creators to own their own destiny.*
**About The Team And Role**
 Data is at the heart of every decision made at Klaviyo, and we’re looking for a Business Intelligence Data Engineer to join our Go To Market (GTM) team supporting Sales Analytics. This domain of data aims to improve the experience of Sales Operations and Analytics. Secondary to this, the role will support ancillary functions of the Partnerships Organization and collaborate with the CS\&amp;S organization. This role sits in Data Engineering as part of the GTM team, which is part of a hub and spoke model of analytics engineering at Klaviyo.
 You’ll build and steward the source of truth for Sales Operational data so People leaders and analysts can answer questions quickly and confidently and turn those insights into a more incentivized, higher\-performing organization. You will directly support the sales analytics teams at Klaviyo, working cross functionally with Systems, Deal Ops,, Audits, Planning, and Business Intelligence.
 You will be an independent self\-serving, embedded partner to all of GTM leadership where Sales subject matter expertise is required, capable of translating ambiguous requirements into stable data products. You’ll be supported by the broader Data Engineering organization’s standards, tooling, and review practices.
**How You’ll Make a Difference**
* Deliver Sales specific data modeling that drives better operational experience, is SOX compliant, and provides detailed insight into the day to day of operation as well as forecasting. Maintain and stand up curated, documented marts that make it easy for analytics to operate within a structured governance mandate that enables the Sales operations team to work fast and focus on their organizations with the safety of production ready data.
* Own the pipelines \&amp; models end‑to‑end. Build and maintain reliable integrations from core sales systems (e.g., CRMs/ROP/ERPs), model them in dbt, and publish governed marts and reverse‑ETLs to operational destinations where they create value.
* Create attainment views with Compensation and People Analytics. Partner with analysts to build holistic views of the Sales lifecycle. Examples of focus are quicker cadences to booking and dynamic reconciliation processes
* Raise the bar on data reliability and governance. Instrument monitoring and alerting, tests (freshness/volume/constraints), and documentation so the sales data ecosystem is discoverable, auditable, and self\-serveable.
* Operate as a trusted partner to leadership. Work directly with Operations and Sales leadership to scope problems, clarify trade‑offs, and communicate technical concepts in exec‑ready language.
**What You’ll Do (responsibilities)**
* Integrations \&amp; ingestion: Own secure ingestion from ROP/ERP/performance systems into Snowflake; define SLAs/SLOs; implement monitoring \&amp; alerting for each feed.
* Modeling \&amp; marts: Design dimensional/entity models (dbt) for employees, positions, org structure, performance history, forecasting, and pipeline movement; publish curated marts with strong contracts and lineage.
* Reverse ETL: Operationalize high‑value models to downstream tools and workflows using reverse‑ETL patterns to close the loop between insight and action.
* Quality \&amp; governance: Implement tests (unit/integration, schema/freshness), multi\-layered validation frameworks that routinely validate data integrity, data policies (masking, purpose‑based access), and documentation that enable safe self‑service across the analytics community.
* Repository stewardship: Maintain the analytics codebase (dbt repo), perform code reviews, and ensure modular, reusable patterns the broader team can adopt.
* Stakeholder partnership: Run an intake \&amp; engagement model with Revenue and Sales Operations/ Analytics (primary), HRIS/People Tech (security/integration), Finance (plan/comp interfaces), and BI/Platform teams (shared standards).
**Who You Are (qualifications)**
* 3–5\+ years in analytics/data engineering with production ELT in Snowflake \+ dbt \+ SQL; Python for orchestration/utilities.
* Strong demonstration of Sales Operations
* Demonstrated independence partnering with senior, non‑technical leaders; able to translate open‑ended needs into scalable data products.
* Proven experience implementing tests, monitoring, and documentation that keep pipelines healthy and reporting trustworthy.
* Experience building data integrations and reverse‑ETL pipelines that support business operations.
* Airflow (orchestration) and Fivetran/Workato (ELT/integration).
* Familiarity with data privacy controls (masking/RLS) in people data.
* AWS experience (S3/EC2/Lambda) and IaC/Terraform.
**The tools you’ll use**
 Snowflake, dbt, Airflow, Fivetran, Workato, Python, AWS, Tableau/Looker/ThoughtSpot; publishing via reverse‑ETL where appropriate.
**Massachusetts Applicants**
 It is unlawful in Massachusetts to require or administer a lie detector test as a condition of employment or continued employment. An employer who violates this law shall be subject to criminal penalties and civil liability.
 Our salary range reflects the cost of labor across various U.S. geographic markets. The range displayed below reflects the minimum and maximum target salaries for the position across all our US locations. The base salary offered for this position is determined by several factors, including the applicant’s job\-related skills, relevant experience, education or training, and work location.
 In addition to base salary, our total compensation package may include participation in the company’s annual cash bonus plan, variable compensation (OTE) for sales and customer success roles, equity, sign\-on payments, and a comprehensive range of health, welfare, and wellbeing benefits based on eligibility.
 Your recruiter can provide more details about the specific salary/OTE range for your preferred location during the hiring process.
 Base Pay Range For US Locations:
 $120,000—$180,000 USD
**Get to Know Klaviyo**
 We’re Klaviyo (pronounced clay\-vee\-oh). We empower creators to own their destiny by making first\-party data accessible and actionable like never before. We see limitless potential for the technology we’re developing to nurture personalized experiences in ecommerce and beyond. To reach our goals, we need our own crew of remarkable creators—ambitious and collaborative teammates who stay focused on our north star: delighting our customers. If you’re ready to do the best work of your career, where you’ll be welcomed as your whole self from day one and supported with generous benefits, we hope you’ll join us.
*AI fluency at Klaviyo includes responsible use of AI (including privacy, security, bias awareness, and human\-in\-the\-loop). We provide accommodations as needed.*
*By participating in Klaviyo’s interview process, you acknowledge that you have read, understood, and will adhere to our Guidelines for using AI in the Klaviyo interview Process. For more information about how we process your personal data, see our Job Applicant Privacy Notice.*
*Klaviyo is committed to a policy of equal opportunity and non\-discrimination. We do not discriminate on the basis of race, ethnicity, citizenship, national origin, color, religion or religious creed, age, sex (including pregnancy), gender identity, sexual orientation, physical or mental disability, veteran or active military status, marital status, criminal record, genetics, retaliation, sexual harassment or any other characteristic protected by applicable law.*
*IMPORTANT NOTICE: Our company takes the security and privacy of job applicants very seriously. We will never ask for payment, bank details, or personal financial information as part of the application process. All our legitimate job postings can be found on our official career site. Please be cautious of job offers that come from non\-company email addresses (@klaviyo.com), instant messaging platforms, or unsolicited calls.*
**By clicking "Submit Application" you consent to Klaviyo processing your Personal Data in accordance with our Job Applicant Privacy Notice. If you do not wish for Klaviyo to process your Personal Data, please do not submit an application.** 
*You can find our Job Applicant Privacy Notice* 
*here* 
*and here (FR).*</t>
        </is>
      </c>
    </row>
    <row r="132">
      <c r="A132" t="inlineStr">
        <is>
          <t>li-4376429616</t>
        </is>
      </c>
      <c r="B132" t="inlineStr">
        <is>
          <t>Associate, Data Engineer</t>
        </is>
      </c>
      <c r="C132" t="inlineStr">
        <is>
          <t>KPMG US</t>
        </is>
      </c>
      <c r="D132" t="inlineStr">
        <is>
          <t>linkedin</t>
        </is>
      </c>
      <c r="E132">
        <f>HYPERLINK("https://www.linkedin.com/jobs/view/4376429616", "https://www.linkedin.com/jobs/view/4376429616")</f>
        <v/>
      </c>
      <c r="F132" t="inlineStr"/>
      <c r="G132" t="inlineStr">
        <is>
          <t>New York, NY</t>
        </is>
      </c>
      <c r="H132" t="inlineStr"/>
      <c r="I132"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an Associate, Data Engineer to join our Digital Nexus technology organization. This is a hybrid work opportunity.
 Responsibilities:
* Perform a variety of tasks related to the governance, management and maintenance of data, including but not limited to standards development, metadata management and reporting
* Document data interfaces and data mappings; analyze and interpret data
* Develop business and technical requirement documents
* Support the Data Strategy \&amp; Operations leadership team in the overall operations of the data organization
* Identify and implement cross\-functional process improvement opportunities that support the organization
* Assist project managers in creating effective and achievable project plans, management of the team's execution of project tasks and secure acceptance and approval of deliverables from the project stakeholders
* Act with integrity, professionalism, and personal responsibility to uphold KPMG's respectful and courteous work environment
 Qualifications:
* Minimum one year of recent experience working with data including data sourcing, data analysis and data integration
* Bachelor's degree from an accredited college or university is preferred; High School diploma or GED required
* Experience in statistical analysis, working in an IT environment supporting projects and strong experience using Microsoft suite (Excel, PowerPoint, Word and Outlook) preferred.
* Strong verbal/written communication, problem solving, organizational and independent judgment skills to support an environment driven by customer service and teamwork
* Ability to build productive relationships with peers and maintain confidentiality of sensitive and privileged information
* Work location may be in the office, at client sites, or virtual/remote depending on business need; client site locations may require travel and overnight/extended stay
*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https://kpmg.com/us/en/how\-we\-work/pay\-transparency.html/?id\=8149\_9\_26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133">
      <c r="A133" t="inlineStr">
        <is>
          <t>li-4377549374</t>
        </is>
      </c>
      <c r="B133" t="inlineStr">
        <is>
          <t>Data Engineer</t>
        </is>
      </c>
      <c r="C133" t="inlineStr">
        <is>
          <t>Booz Allen Hamilton</t>
        </is>
      </c>
      <c r="D133" t="inlineStr">
        <is>
          <t>linkedin</t>
        </is>
      </c>
      <c r="E133">
        <f>HYPERLINK("https://www.linkedin.com/jobs/view/4377549374", "https://www.linkedin.com/jobs/view/4377549374")</f>
        <v/>
      </c>
      <c r="F133">
        <f>HYPERLINK("https://careers.boozallen.com/careers/JobDetail?jobId=119675&amp;source=JB-16500&amp;urlHash=PImL", "https://careers.boozallen.com/careers/JobDetail?jobId=119675&amp;source=JB-16500&amp;urlHash=PImL")</f>
        <v/>
      </c>
      <c r="G133" t="inlineStr">
        <is>
          <t>Washington, DC</t>
        </is>
      </c>
      <c r="H133" t="inlineStr"/>
      <c r="I133" t="inlineStr">
        <is>
          <t>**Job Number: R0232358**
 Data Engineer
**The Opportunity:**
 Ever\-expanding technology like IoT, machine learning, and artificial intelligence means that there’s more structured and unstructured data available today than ever before. As a data engineer, you know that organizing data can yield pivotal insights when it’s gathered from disparate sources. We need an experienced data professional like you to help our clients find answers in their data to impact important missions—from fraud detection to cancer research to national intelligence.
 As a Data Engineer at Booz Allen, you’ll use your expertise to help build advanced technology solutions and lead data engineering activities on some of the most mission\-driven projects in the industry. You’ll guide data engineering activities by overseeing the development and deployment of pipelines and platforms that organize and make disparate data meaningful.
 Here, you’ll mentor a multi\-disciplinary team of analysts, data engineers, developers, and data consumers in a fast\-paced, agile environment. You’ll use your expertise in analytical exploration and data examination while you oversee the assessment, design, building, and maintenance of scalable platforms for your clients.
 Work with us to use data for good.
 Join us. The world can’t wait.
**You Have:**
* 2\+ years of experience in data engineering, including architecture and modeling
* 2\+ years of experience designing data pipelines with Python for retrieving, parsing, and processing structured and unstructured data
* 2\+ years of experience developing scalable ETL or ELT workflows for reporting and analytics
* Experience with a cloud platform such as AWS, Microsoft Azure, or Google Cloud
* Experience with distributed data or computing tools, including Spark, Databricks, Hadoop, Hive, AWS EMR, or Kafka
* Experience with Operational Data Stores (ODS) in database administration, including tuning, indexing, and access controls
* Experience with AWS Glue and AWS EMR
* Knowledge of medallion architecture for structuring data lakes
* Ability to obtain and maintain a Public Trust or Suitability/Fitness determination based on client requirements
* Bachelor’s degree
**Nice If You Have:** 
* 2\+ years of experience with UNIX or Linux, including basic commands and Shell scripting
* 2\+ years of experience with Agile engineering practices
* 2\+ years of experience with NoSQL implementation, including MongoDB or Cassandra
* 2\+ years of experience with data warehousing, including AWS Redshift, MySQL, MSSQL, Oracle, PostgreSQL, or Snowflake
* Experience with modernizing financial systems
* Experience supporting a multi\-cloud environment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$62,000\.00 to $141,000\.00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34">
      <c r="A134" t="inlineStr">
        <is>
          <t>li-4376437353</t>
        </is>
      </c>
      <c r="B134" t="inlineStr">
        <is>
          <t>Associate, Data Engineer</t>
        </is>
      </c>
      <c r="C134" t="inlineStr">
        <is>
          <t>KPMG US</t>
        </is>
      </c>
      <c r="D134" t="inlineStr">
        <is>
          <t>linkedin</t>
        </is>
      </c>
      <c r="E134">
        <f>HYPERLINK("https://www.linkedin.com/jobs/view/4376437353", "https://www.linkedin.com/jobs/view/4376437353")</f>
        <v/>
      </c>
      <c r="F134">
        <f>HYPERLINK("https://www.kpmguscareers.com/jobdetail/?jobId=131998-A&amp;srcCat=Job+Boards&amp;specSrc=LinkedIn&amp;urlHash=Odj3", "https://www.kpmguscareers.com/jobdetail/?jobId=131998-A&amp;srcCat=Job+Boards&amp;specSrc=LinkedIn&amp;urlHash=Odj3")</f>
        <v/>
      </c>
      <c r="G134" t="inlineStr">
        <is>
          <t>Houston, TX</t>
        </is>
      </c>
      <c r="H134" t="inlineStr"/>
      <c r="I134"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an Associate, Data Engineer to join our Digital Nexus technology organization. This is a hybrid work opportunity.
 Responsibilities:
* Perform a variety of tasks related to the governance, management and maintenance of data, including but not limited to standards development, metadata management and reporting
* Document data interfaces and data mappings; analyze and interpret data
* Develop business and technical requirement documents
* Support the Data Strategy \&amp; Operations leadership team in the overall operations of the data organization
* Identify and implement cross\-functional process improvement opportunities that support the organization
* Assist project managers in creating effective and achievable project plans, management of the team's execution of project tasks and secure acceptance and approval of deliverables from the project stakeholders
* Act with integrity, professionalism, and personal responsibility to uphold KPMG's respectful and courteous work environment
 Qualifications:
* Minimum one year of recent experience working with data including data sourcing, data analysis and data integration
* Bachelor's degree from an accredited college or university is preferred; High School diploma or GED required
* Experience in statistical analysis, working in an IT environment supporting projects and strong experience using Microsoft suite (Excel, PowerPoint, Word and Outlook) preferred.
* Strong verbal/written communication, problem solving, organizational and independent judgment skills to support an environment driven by customer service and teamwork
* Ability to build productive relationships with peers and maintain confidentiality of sensitive and privileged information
* Work location may be in the office, at client sites, or virtual/remote depending on business need; client site locations may require travel and overnight/extended stay
*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https://kpmg.com/us/en/how\-we\-work/pay\-transparency.html/?id\=8149\_9\_26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135">
      <c r="A135" t="inlineStr">
        <is>
          <t>li-4377562093</t>
        </is>
      </c>
      <c r="B135" t="inlineStr">
        <is>
          <t>Data Engineer Senior</t>
        </is>
      </c>
      <c r="C135" t="inlineStr">
        <is>
          <t>Huntington National Bank</t>
        </is>
      </c>
      <c r="D135" t="inlineStr">
        <is>
          <t>linkedin</t>
        </is>
      </c>
      <c r="E135">
        <f>HYPERLINK("https://www.linkedin.com/jobs/view/4377562093", "https://www.linkedin.com/jobs/view/4377562093")</f>
        <v/>
      </c>
      <c r="F135">
        <f>HYPERLINK("https://huntington-careers.com/search/jobdetails/data-engineer-senior/5ef0cee6-1a47-4735-b009-b560cdc9ab07?utm_source=linkedin&amp;utm_medium=paid_job_board&amp;utm_campaign=linkedin_paid&amp;source=LinkedIn_Corporate_Page&amp;urlHash=g6Hw", "https://huntington-careers.com/search/jobdetails/data-engineer-senior/5ef0cee6-1a47-4735-b009-b560cdc9ab07?utm_source=linkedin&amp;utm_medium=paid_job_board&amp;utm_campaign=linkedin_paid&amp;source=LinkedIn_Corporate_Page&amp;urlHash=g6Hw")</f>
        <v/>
      </c>
      <c r="G135" t="inlineStr">
        <is>
          <t>Columbus, OH</t>
        </is>
      </c>
      <c r="H135" t="inlineStr"/>
      <c r="I135" t="inlineStr">
        <is>
          <t>**Description**
**Summary:**
 Our Enterprise Data Engineering department is growing, and we're looking for an outstanding Senior Data Engineer to join our team. The Senior Data Engineer will play a pivotal role in building and operationalizing the minimally inclusive data necessary for the enterprise data and analytics initiatives following industry standard practices and tools. Our goal is to be the Best performing Regional Bank in America, and we need data and analytics to meet that goal.
 The Data Engineer Senior plays a pivotal role in building and operationalizing the minimally inclusive data necessary for the enterprise data and analytics initiatives following industry standard practices and tools. Data Engineers will also test for data quality to ensure Huntington’s data conforms to business rules and is accurate, complete, consistent, and uniform. This role’s primarily focuses on building, managing and optimizing data pipelines and then moving these data pipelines effectively into production for key data and analytics consumers like business/data analysts, data scientists or any persona that needs curated data for data and analytics use cases across the enterprise.
**Duties And Responsibilities**
* Architecting, creating and maintaining data pipelines.
* Assist with renovating the data management infrastructure to drive automation in data integration and management.
* Work in partnership with data science teams and with business analysts in refining their data requirements for various data and analytics initiatives and their data consumption requirements.
* Train counterparts across the organization in data pipelining and preparation techniques, which make it easier for them to integrate and consume the data they need for their own use cases.
* Work with data governance teams and participate in vetting and promoting content created in the business and by data scientists to the curated data catalog for governed reuse.
* Demonstrated ability to communicate complex results to technical and non\-technical audiences.
* Demonstrated ability to work effectively in teams as well as independently across multiple tasks while meeting aggressive timelines.
* Strategic, intellectually curious thinker with focus on outcomes.
* Professional image with the ability to form relationships across functions.
* Performs other duties as assigned.
**Basic Qualifications**
* Bachelor's Degree in computer science, statistics or related field, or equivalent related work experience.
* 4\+ years of related experience in data management disciplines including data integration, data modeling, optimization and data quality, and/or other areas directly relevant to data engineering responsibilities and tasks.
* 4\+ years of experience working in cross\-functional teams and collaborating with business stakeholders in support of a departmental and/or multi\-departmental data management and analytics initiative, experience with data preparation tools and database programming languages.
**Preferred Qualifications**
* Experience building modular, reusable ETL frameworks, focusing on scalability and maintenance.
* Strong experience with data engineering tooling (e.g., Glue, Lambda, Athena, AWS)
* Strong knowledge of BI software tools (e.g., QuickSight, Tableau, etc)
* Experience with workflow orchestration tools \- like Apache Airflow \- to schedule, monitor and manage data pipelines.
* Strong experience with advanced analytics tools
* Hands on data testing experience
* Hands on experience or exposure to Oracle Database.
* Strong experience with open\-source and commercial data science platforms
* Familiarity with Agile methodology practices.
* Strong experience with various Data Management architectures and processes.
* Strong ability to design, build and manage data pipelines for data
* Strong experience in working with large, heterogeneous datasets in building and optimizing data pipelines, pipeline architectures and integrated datasets
* Demonstrated success in working with large, heterogeneous datasets to extract business value
* Strong experience in working with DevOps capabilities like version control, automated builds, testing and release management capabilities
* Demonstrated ability to communicate complex results to technical and non\-technical audiences
* Demonstrated ability to work effectively in teams as well as independently across multiple tasks while meeting aggressive timelines
* Strategic, intellectually curious thinker with focus on outcomes
* Professional image with the ability to form relationships across functions
* Willingness and ability to learn new technologies on the job
* Financial Services background is preferred, or interest in learning.
**Exempt Status: (Yes** 
 \= not eligible for overtime pay) (
 **No** 
 \= eligible for overtime pay)
 Yes
**Workplace Type**
 Office
 Our Approach to
 **Office** 
 Workplace Type
 Certain positions outside our branch network may be eligible for a flexible work arrangement. We’re combining the best of both worlds: in\-office and work from home. Our approach enables our teams to deepen connections, maintain a strong community, and do their best work. Remote roles will also have the opportunity to come together in our offices for moments that matter. Specific work arrangements will be provided by the hiring team.
 Huntington will not sponsor applicants for this position for immigration benefits, including but not limited to assisting with obtaining work permission for F\-1 students, H\-1B professionals, O\-1 workers, TN workers, E\-3 workers, among other immigration statuses. Applicants must be currently authorized to work in the United States on a full\-time basis.
 Huntington is an Equal Opportunity Employer.
 Tobacco\-Free Hiring Practice: Visit Huntington's Career Web Site for more details.
**Note to Agency Recruiters:** 
 Huntington will not pay a fee for any placement resulting from the receipt of an unsolicited resume. All unsolicited resumes sent to any Huntington colleagues, directly or indirectly, will be considered Huntington property. Recruiting agencies must have a valid, written and fully executed Master Service Agreement and Statement of Work for consideration.</t>
        </is>
      </c>
    </row>
    <row r="136">
      <c r="A136" t="inlineStr">
        <is>
          <t>li-4376493294</t>
        </is>
      </c>
      <c r="B136" t="inlineStr">
        <is>
          <t>Lead Data Engineer</t>
        </is>
      </c>
      <c r="C136" t="inlineStr">
        <is>
          <t>Allergan Aesthetics, an AbbVie Company</t>
        </is>
      </c>
      <c r="D136" t="inlineStr">
        <is>
          <t>linkedin</t>
        </is>
      </c>
      <c r="E136">
        <f>HYPERLINK("https://www.linkedin.com/jobs/view/4376493294", "https://www.linkedin.com/jobs/view/4376493294")</f>
        <v/>
      </c>
      <c r="F136">
        <f>HYPERLINK("https://careers.abbvie.com/en/job/lead-data-engineer-in-remote-or-jid-19536?_atxsrc=LinkedIn&amp;utm_source=LinkedIn&amp;src=LinkedIn&amp;urlHash=_ZSq", "https://careers.abbvie.com/en/job/lead-data-engineer-in-remote-or-jid-19536?_atxsrc=LinkedIn&amp;utm_source=LinkedIn&amp;src=LinkedIn&amp;urlHash=_ZSq")</f>
        <v/>
      </c>
      <c r="G136" t="inlineStr"/>
      <c r="H136" t="inlineStr"/>
      <c r="I136" t="inlineStr">
        <is>
          <t>**Company Description**
 At Allergan Aesthetics, an AbbVie company, we develop, manufacture, and market a portfolio of leading aesthetics brands and products. Our aesthetics portfolio includes facial injectables, body contouring, plastics, skin care, and more. Our goal is to consistently provide our customers with innovation, education, exceptional service, and a commitment to excellence, all with a personal touch. For more information, visit https://global.allerganaesthetics.com/. Follow Allergan Aesthetics on LinkedIn.
 Allergan Aesthetics \| An AbbVie Company
**Job Description**
 As the Lead Data Engineer,you will report to the
 Engineer Manager (Data Services) and continuously collaborate closely with key stakeholders across the business to solve critical technical challenges.
**Key Responsibilities:**
 Take ownership for achieving objectives and key results for your team, oversee \&amp; own technical solutions, communicate schedule, status, and milestones
 Collaborate with cross functional partners (Product Managers, Data Scientists, Machine Learning Engineers, Software Engineers, and Business teams) to build data products
 Communicate effectively with both technical and non\-technical stakeholders. Translate technical concepts into clear, accessible terms.
 Develop, optimize, and maintain complex ETL processes for data movement and transformation
 Review code and provide technical guidance to ensure adherence to high\-quality standards and best practices in data engineering
 Develop APIs and microservices to expose and integrate data products with software systems
 Implement monitoring, logging, and alerting systems to proactively identify and resolve issues
 Ensure data quality, security, and compliance with relevant regulations and standards
 Stay current with industry trends, emerging technologies, and best practices in data engineering. Foster a culture of continuous learning and skill development within the team
**Qualifications**
**Required Experience \&amp; Skills**
* BS, MS, or PhD in Computer Science, Mathematics, Statistics, Engineering, Operations Research, or a related quantitative field
* 7\+ years of experience as a Data Engineer or Software Engineer developing and maintaining data pipelines, infrastructure and architecture
* Strong programming skills in Python with a solid understanding of core computer science principles
* Knowledge of relational and dimensional data modeling for building data products.
* Experience with data quality checks and data monitoring solutions.
* Experience orchestrating complex workflows and data pipelines using Airflow or similar tools
* Proficiency with Git, CI/CD pipelines, Docker, and Kubernetes
* Experience architecting solutions on AWS or equivalent public cloud platforms
* Experience developing data APIs, microservices, and event\-driven systems to integrate data products
* Strong interpersonal and verbal communication skills
* Proven leadership experience with the ability to mentor and guide a team
**Preferred Experience \&amp; Skills:**
* Familiarity with data mesh concepts.
* Domain knowledge in recommender systems, fraud detection, personalization, and marketing science.
* Understanding of vector databases, knowledge graphs, and other advanced data organization techniques.
* Hands\-on experience with tools such as Snowflake, Postgres, DynamoDB, Kafka, Fivetran, dbt, Airflow, Docker, Kubernetes, SageMaker, Datadog, PagerDuty, data observability tools, and data governance tools.
 Additional Information
 Applicable only to applicants applying to a position in any location with pay disclosure requirements under state or local law:
* The compensation range described below is the range of possible base pay compensation that the Company believes in good faith it will pay for this role at the time of this posting based on the job grade for this position. Individual compensation paid within this range will depend on many factors including geographic location, and we may ultimately pay more or less than the posted range. This range may be modified in the future.
* We offer a comprehensive package of benefits including paid time off (vacation, holidays, sick), medical/dental/vision insurance and 401(k) to eligible employees.
* This job is eligible to participate in our short\-term incentive programs.
* This job is eligible to participate in our long\-term incentive programs
 Note: No amount of pay is considered to be wages or compensation until such amount is earned, vested, and determinable. The amount and availability of any bonus, commission, incentive, benefits, or any other form of compensation and benefits that are allocable to a particular employee remains in the Company's sole and absolute discretion unless and until paid and may be modified at the Company’s sole and absolute discretion, consistent with applicable law.
 AbbVie is an equal opportunity employer and is committed to operating with integrity, driving innovation, transforming lives and serving our community.  Equal Opportunity Employer/Veterans/Disabled.
 US \&amp; Puerto Rico only \- to learn more, visit https://www.abbvie.com/join\-us/equal\-employment\-opportunity\-employer.html
 US \&amp; Puerto Rico applicants seeking a reasonable accommodation, click here to learn more:
 https://www.abbvie.com/join\-us/reasonable\-accommodations.html</t>
        </is>
      </c>
    </row>
    <row r="137">
      <c r="A137" t="inlineStr">
        <is>
          <t>li-4374855638</t>
        </is>
      </c>
      <c r="B137" t="inlineStr">
        <is>
          <t>Senior Data Analytics Engineer - FinCrime</t>
        </is>
      </c>
      <c r="C137" t="inlineStr">
        <is>
          <t>Zepz</t>
        </is>
      </c>
      <c r="D137" t="inlineStr">
        <is>
          <t>linkedin</t>
        </is>
      </c>
      <c r="E137">
        <f>HYPERLINK("https://www.linkedin.com/jobs/view/4374855638", "https://www.linkedin.com/jobs/view/4374855638")</f>
        <v/>
      </c>
      <c r="F137" t="inlineStr"/>
      <c r="G137" t="inlineStr"/>
      <c r="H137" t="inlineStr"/>
      <c r="I137" t="inlineStr">
        <is>
          <t>**Join Zepz: Breaking Down Borders, Together** 
**Our Meaningful Mission** 
 At Zepz, we're all about breaking down barriers for our customers and our teammates. Our purpose is deeply personal, we provide a lifeline and deliver opportunities to cross\-border communities that need it most through cutting edge finance and tech. Zepz is the power behind WorldRemit and Sendwave, driven by the mission to celebrate the incredible impact migrants have, both at home and abroad. We're not just moving money; we're building a world that truly recognizes and supports global connections.
**Who You'll Be Joining** 
 We look for mission\-driven builders who thrive in a fast\-paced environment connected to a true purpose. We’re an always developing team of experts that enjoy problem solving and bring clarity to tough challenges. At Zepz, we are Relentless Learners, always seeking feedback, and Responsible Owners, treating company resources like your own. We depend on Transparent Communicators who keep the team aligned through open, honest talk.
**Our Core Commitments — What We Live By** 
 Our vibrant and truly diverse culture is built on three core commitments, that guide how we work and interact:
* Integrity: We always do the right thing. It’s simple, but it’s the foundation of everything we build for our customers and each other.
* Outcomes: We work for our customers. Their success and prosperity are the results we focus on delivering.
* Velocity: We are fast! We maintain high energy levels and make smart decisions quickly, keeping us nimble and ahead of the curve.
**Perks of Joining Our Team** 
 We believe in empowering colleagues because we genuinely trust our team. Our culture is founded on this high trust, which naturally encourages the high ownership that drives us to meet our shared high expectations and deliver high performance. Our remote\-first culture means you have the flexibility to work in your employing country wherever you feel the most focused and productive. This freedom comes with wonderful tailored, location\-specific perks designed to support your whole life, not just your work. Think unlimited annual leave , great healthcare benefits, and employee discounts. We want you to thrive and focus entirely on making your biggest impact! In turn, we expect you to bring high ownership and commitment to your work. This is a place where we value trust and high performance, and we'll provide the environment and support needed for you to excel.
**About the Role** 
 We are looking for a Senior Data Analytics Engineer to help us optimize our business strategy using the latest data techniques. This role is key to setting the roadmap for a highly efficient and scalable data function that will grow with the ambitious plans for the business.
 Reporting to Product, you will collaborate with Product, Engineering, Data Science, and the wider organization. You will build and maintain new data models, optimize existing ones, and work with a wide variety of technologies and datasets to drive real insight and recommendations. You'll be a driving force in identifying trends, quantifying opportunities, and setting the requirements to develop data\-driven solutions that have a direct impact on the business.
 Our current Data Platform tech stack includes:
* **Data Lakehouse:** 
 Databricks
* **Cloud \&amp; Infrastructure:** 
 AWS (S3, Lambda), Kubernetes
* **Data Processing:** 
 Python is our primary language
* **Orchestration \&amp; Transformation:** 
 dbt, Fivetran, and Airflow
* **Visualization:** 
 Mode and similar BI tools
* **Data monitoring and alerting** 
 : Metaplane
**What You'll Do** 
* **Data Modeling \&amp; Pipelines:** 
 Build and maintain scalable and reliable data models to expose high\-quality data for analysis and reporting. Where needed, deliver dashboards to drive more self service on data among teams.
* **Stakeholder Collaboration:** 
 Work closely with analysts and business stakeholders to understand commercial requirements, translating them into technical solutions that enable reliable self\-serve data for decision\-making.
* **Strategic Analysis:** 
 Work in a collaborative, cross\-functional way to identify and quantify opportunities, enabling data\-driven business decisions and identifying opportunities for improvement through analysis, A/B testing, and tracking, with a strong emphasis on extracting actionable, in\-depth business insights.
* **Data Governance \&amp; Quality:** 
 Ensure all data and output is of high quality — tested, automated, scalable, and well\-documented. You will develop standards and best practices for data consumption and educate data consumers.
* **Champion Data Culture:** 
 Champion the use of data to optimize business performance and bring fresh analytical ideas to the table.
* **Communication \&amp; Presentation:** 
 Present results and complex concepts back to the business in a structured, data\-driven manner, simplifying them for non\-technical audiences.
* **Process Improvement:** 
 Identify opportunities to reduce complexity and increase efficiency across our data models and data warehouse infrastructure.
* **Data Cleansing \&amp; Transformation:** 
 Develop and implement robust data cleansing, validation, and transformation processes to ensure the accuracy, consistency, and reliability of data across all sources.
* **Insight Storytelling:** 
 Translate complex analytical findings into clear, compelling narratives and visualizations for both technical and non\-technical audiences, influencing strategic decision\-making.
**What We’re Looking For From You** 
* You are highly proficient with daily use of SQL and have hands\-on experience in a modern cloud data warehouse/ lakehouse environment (e.g., Databricks, BigQuery, Redshift, Snowflake).
* You’re comfortable automating processes and developing production\-standard Python scripts to extract data, perform analysis, and build pipelines.
* You have the ability to work confidently with the tools of modern software engineering, such as the command line, version control (Git), testing, and performing code reviews.
* You have a problem\-solving approach that gets to the underlying business questions, using a variety of data sources and information to find the answer.
* You see yourself as a strategic partner who wants to understand the business problem and can clearly communicate the commercial impact of your technical solutions.
* You are an advocate for data\-driven decision\-making who strives to improve processes, establish best practices, and define standards.
* You are passionate about learning, able to quickly adopt new business concepts and technologies, and are an independent, curious person who likes to take initiative.
* You have an open mind with respect to diversity and inclusivity. Our team (and customers) come from all over the world.
**Bonus Points** 
* You have familiarity with dbt to design and implement data models.
* Experience with data orchestration tools
* AML Transaction Monitoring definition, calibration, testing and documentation. Experience with regulatory testing regimes such as DFS rule 504 a plus.
* Customer risk rating definition, calibration, testing and documentation.
 If you want to join us in our journey to help break barriers in financial access and improve lives globally, there's no better place or time to join.
 Our global team of 800\+ people is spread across six continents. We aspire to hire the best mix of people from former Olympians to YouTube influencers and we speak over twenty languages. This incredible diversity isn't a bonus; it's the engine that lets us serve the world.
**Ready to Apply? Let’s Go.**</t>
        </is>
      </c>
    </row>
    <row r="138">
      <c r="A138" t="inlineStr">
        <is>
          <t>li-4376462504</t>
        </is>
      </c>
      <c r="B138" t="inlineStr">
        <is>
          <t>Data Engineer</t>
        </is>
      </c>
      <c r="C138" t="inlineStr">
        <is>
          <t>Zachary Piper Solutions</t>
        </is>
      </c>
      <c r="D138" t="inlineStr">
        <is>
          <t>linkedin</t>
        </is>
      </c>
      <c r="E138">
        <f>HYPERLINK("https://www.linkedin.com/jobs/view/4376462504", "https://www.linkedin.com/jobs/view/4376462504")</f>
        <v/>
      </c>
      <c r="F138" t="inlineStr"/>
      <c r="G138" t="inlineStr">
        <is>
          <t>McLean, VA</t>
        </is>
      </c>
      <c r="H138" t="inlineStr"/>
      <c r="I138" t="inlineStr">
        <is>
          <t>**Zachary Piper Solutions** 
 is currently seeking Data Engineers on our Professional Services team in McLean, VA.
 Are you a skilled Data Engineer seeking an opportunity to make a real impact? Look no further! Zachary Piper Solutions is actively seeking engineers for our McLean, VA office.
**Location:** 
 McLean, VA
**The impact you will have:**
* Deliver a wide range of high‑value technical projects, including designing and building reference architectures, developing how‑to guides, and operationalizing customer use cases.
* Partner with Engagement Managers to scope professional services work based on customer needs and desired outcomes.
* Guide strategic customers through transformational big data initiatives and third‑party migrations, including end‑to‑end design, build, and deployment of advanced data and AI applications.
* Provide architectural guidance and hands‑on implementation support to ensure successful evaluation and adoption of Zachary Piper Solutions.
* Serve as an escalation point for complex operational issues during customer engagements.
* Collaborate closely with Zachary Piper Solutions technical teams, Project Managers, Architects, and customer stakeholders to ensure all technical components are delivered effectively.
* Work with Engineering and Customer Support to share product feedback, resolve engagement‑specific issues, and improve the overall customer experience.
**What we look for:**
* U.S. citizenship
* Experienced in Apache Spark (Must have)
* 6\+ years of experience in data engineering, data platforms, or analytics
* Proficiency in Python or Scala
* Working knowledge of at least two major cloud ecosystems (AWS, Azure, GCP) and deep expertise in one
* Strong experience with distributed computing using Apache Spark™ and familiarity with Spark runtime internals
* Understanding of CI/CD practices for production deployments
* Working knowledge of MLOps concepts and workflows
* Experience designing and deploying scalable, performant end‑to‑end data architectures
* Proven ability to deliver technical projects, manage scope, and meet timelines
* Strong documentation, communication, and whiteboarding skills
* Experience working directly with customers and navigating conflict or ambiguity
* Ability to build new technical skills that support Zachary Piper Solutions solution deployment and integration
* Bachelor’s degree in Computer Science, Information Systems, Engineering, or equivalent professional experience
**Compensation:**
* Salary Range: $120,000 \- $225,000 based on experience
* Comprehensive Benefits: Medical, dental, vision, PTO, 401k, Holiday
**Keywords:**
 Apache Spark, Apache, AI/ML, AI, AWS, Azure, GCP, CI/CD, Machine Learning, Python, Scala</t>
        </is>
      </c>
    </row>
    <row r="139">
      <c r="A139" t="inlineStr">
        <is>
          <t>li-4372788767</t>
        </is>
      </c>
      <c r="B139" t="inlineStr">
        <is>
          <t>Senior Data Engineer</t>
        </is>
      </c>
      <c r="C139" t="inlineStr">
        <is>
          <t>Trepp, Inc.</t>
        </is>
      </c>
      <c r="D139" t="inlineStr">
        <is>
          <t>linkedin</t>
        </is>
      </c>
      <c r="E139">
        <f>HYPERLINK("https://www.linkedin.com/jobs/view/4372788767", "https://www.linkedin.com/jobs/view/4372788767")</f>
        <v/>
      </c>
      <c r="F139">
        <f>HYPERLINK("https://grnh.se/bf2c24181us?source=LinkedIn&amp;urlHash=R2IE", "https://grnh.se/bf2c24181us?source=LinkedIn&amp;urlHash=R2IE")</f>
        <v/>
      </c>
      <c r="G139" t="inlineStr"/>
      <c r="H139" t="inlineStr"/>
      <c r="I139" t="inlineStr">
        <is>
          <t>Trepp's Data Platform Team is looking for individuals with strong backgrounds in programming to undertake challenging projects in our NYC office.
 The Data Platform Team powers all products at Trepp by using distributed data technologies built on our datalake. The Core Team is dedicated to establishing a robust foundation through architecture reviews, managing observability frameworks, and continuously assessing our processes and technology. The team oversee the maintenance of data ingestion and pipeline frameworks, while also developing new frameworks to empower developers.
 As a member of the Data Platform Core Team, you’ll be using open source and cloud technologies to drive innovation on our data platform.
 You will get the chance to work with teams across different line of business and other engineering teams to tackle complex problems and design scalable solutions. You will be an integral part of a team which is responsible for platform stability and foundational work.
**Responsibilities:**
* Become a Subject Matter Expert (SME) on our frameworks to assist in developing roadmaps and prioritizing initiatives.
* Identify opportunities to improve the platform through technical discussions and project proposals.
* Leverage project planning skills to transform high\-level ideas into design and implementation.
* Demonstrate leadership ability to back decisions with research and the “why,” and articulate several options, the pros and cons for each, and a recommendation
* Implement best practices in Data Engineering to drive innovation and enhance our platform as we scale.
**Basic Qualifications:**
* Bachelor’s Degree
* At least 5 years of experience in application development
* At least 3 years of experience in big data technologies
* At least 1 year of experience with cloud computing (AWS, Microsoft Azure, Google Cloud)
* Experience with Agile and SDLC, Git workflows, and CI/CD
**Preferred Qualifications:**
* 5 \+ years of experience in application development including Python, SQL, Scala, or Java
* 3\+ years of experience with a public cloud (AWS, Microsoft Azure, Google Cloud)
* 5\+ years of experience with Distributed data/computing tools (MapReduce, Hadoop, Hive, EMR, Kafka, Spark)
* 2\+ years of experience working on real\-time data and streaming applications
* 3\+ years of data warehousing experience (Redshift or Snowflake)
* 2\+ years of experience with UNIX/Linux including basic commands and shell scripting
**Salary Range:**
* Base salary starting from $185k plus bonus eligible
**Benefits and Perks:**
* Base \+ target bonus compensation structure
* Medical, Dental, Vision insurance
* 401(k) (with employer match)
* Life insurance, long term disability, short term disability all covered by the company
* Flexible paid time off (PTO)
* Sixteen (16\) weeks paid primary caregiver leave
 *(Biological, adoptive, and foster parents are all eligible)*
* Four (4\) weeks paid parental leave
* Wellness subsidy
* Pet insurance
* Laptop \+ WFH equipment
* Career progression plan
* Pre\-tax commuter benefit with company subsidy
 *(For NYC\-office based employees only)*
* Fun company events and volunteering opportunities
**Workplace Policy:**
*NYC, PA, and London office\-based positions:* 
 Trepp’s offices follows a 3\-2 hybrid\-working policy with the expectation of in\-office work on Tuesday\-Thursday and the option to work from home on Monday and Friday.
 Applicants for employment in the US must have work authorization that does not now or in the future require sponsorship of a visa for employment authorization in the United States and with Trepp (i.e., H1\-B visa, F\-1 visa (OPT), TN visa or any other non\-immigrant status). Trepp maintains a drug\-free workplace.</t>
        </is>
      </c>
    </row>
    <row r="140">
      <c r="A140" t="inlineStr">
        <is>
          <t>li-4377552599</t>
        </is>
      </c>
      <c r="B140" t="inlineStr">
        <is>
          <t>Data Engineer II, Intelligence Data Services, Amazon Leo</t>
        </is>
      </c>
      <c r="C140" t="inlineStr">
        <is>
          <t>Amazon</t>
        </is>
      </c>
      <c r="D140" t="inlineStr">
        <is>
          <t>linkedin</t>
        </is>
      </c>
      <c r="E140">
        <f>HYPERLINK("https://www.linkedin.com/jobs/view/4377552599", "https://www.linkedin.com/jobs/view/4377552599")</f>
        <v/>
      </c>
      <c r="F140">
        <f>HYPERLINK("https://www.amazon.jobs/jobs/3170735/data-engineer-ii-intelligence-data-services-amazon-leo?cmpid=SPLICX0248M&amp;utm_source=linkedin.com&amp;utm_campaign=cxro&amp;utm_medium=social_media&amp;utm_content=job_posting&amp;ss=paid&amp;urlHash=6B0a", "https://www.amazon.jobs/jobs/3170735/data-engineer-ii-intelligence-data-services-amazon-leo?cmpid=SPLICX0248M&amp;utm_source=linkedin.com&amp;utm_campaign=cxro&amp;utm_medium=social_media&amp;utm_content=job_posting&amp;ss=paid&amp;urlHash=6B0a")</f>
        <v/>
      </c>
      <c r="G140" t="inlineStr">
        <is>
          <t>Bellevue, WA</t>
        </is>
      </c>
      <c r="H140" t="inlineStr"/>
      <c r="I140" t="inlineStr">
        <is>
          <t>**Description**
 Amazon Leo is Amazon’s low Earth orbit satellite broadband network. Its mission is to deliver fast, reliable internet to customers and communities around the world, and we’ve designed the system with the capacity, flexibility, and performance to serve a wide range of customers, from individual households to schools, hospitals, businesses, government agencies, and other organizations operating in locations without reliable connectivity.
 Export Control : This position requires that the candidate selected be a U.S. Citizen in order to comply with U.S. government\-imposed requirements related to the nature of the work and/or where it will be performed.
 Leo Intelligence Data Services (KIDS) team is seeking a Data Engineer II who will help architect and build enterprise grade data platform, combining data lake and mesh architectures using latest AWS data services. In this role, you'll be responsible for building and maintaining the organization's central data platform that serves as the single source of truth, enabling teams across the company to develop analytics and dashboards. Working closely with cross\-functional teams across hardware, software, supply chain, manufacturing, launch, facilities, finance, compliance, and HR, you'll implement sophisticated data architectures and self\-service tooling to support various analytics use cases including business reporting, production pipelines, optimization models, statistical analysis, and simulations.
 As a Data Engineer II, you will be responsible for architecture and engineering of data infrastructure across our systems of supply chain, development, production and test. You'll drive production optimization by managing data stores, developing key performance indicators, and enabling data\-driven program decisions. The role focuses on architecting and implementing data ingestion and data vending processes that provide crucial insights into our business health, ultimately serving as the foundation for our organization's data\-driven future. Strong expertise in AWS data services and experience with enterprise\-scale data architectures is essential for success in this position.
 The ideal candidate is a technically savvy engineer maintaining strong ownership, detail\-oriented analytical thinker, communicates effectively with both technical and business teams and thrives in a fast\-paced agile environment. They combine strong technical expertise with business acumen, can manage multiple priorities, and adapts quickly to changing requirements and priorities.
 Key job responsibilities
* Design, implement and maintain data infrastructure including data modeling, ETL pipelines, and ongoing maintenance.
* Partner with product, operational, and technical teams to build data pipelines from a wide variety of sources using AWS big data technologies (Lake Formation, Glue, S3, MWAA, Lambda, etc.).
* Build a data dictionary, catalog and governance plan and manage and audit all of the registered data via robust mechanisms.
* Work with data consumers to provide and correlate the right data for business intelligence and machine learning use\-cases.
* Develop automated solutions to minimize manual processes with focus on efficiency and scalability.
* Provide guidance on data stewardship for teams onboarding to the central data systems.
 A day in the life
 As a Data Engineer II, you'll start your day collaborating with cross\-functional partners to understand their data needs. You might spend time optimizing ETL pipelines, reviewing code with team members, designing new data models, building new self\-service frameworks for downstream consumers, or enhancing our data infrastructure for security, scalability and reliability. Yow will work with partner teams on building golden datasets. You'll participate in technical discussions to solve complex problems.
**About The Team**
 Amazon Leo Intelligence Data Services (KIDS) team owns DataHive, a centralized data and analytics infrastructure that serves as the single source of truth, enabling teams to develop insights and analytics tools that drive Amazon Leo's satellite production operations. The platform enforces stringent data governance with tagging and access controls, enhancing data discoverability and security. We're building the next generation of self\-service capabilities for both data providers and consumers, including data catalogs, quality monitoring, automated tagging, GenAI\-powered tools, and custom data integrations that make data accessible and actionable for all Amazon Leo teams.
**Basic Qualifications**
* 3\+ years of data engineering experience
* Experience with data modeling, warehousing and building ETL pipelines
**Preferred Qualifications**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\- 132,100\.00 \- 178,800\.00 USD annually
**Company** 
 \- Amazon Kuiper Manufacturing Enterprises LLC
 Job ID: A3170735</t>
        </is>
      </c>
    </row>
    <row r="141">
      <c r="A141" t="inlineStr">
        <is>
          <t>li-4376441266</t>
        </is>
      </c>
      <c r="B141" t="inlineStr">
        <is>
          <t>Associate, Data Engineer</t>
        </is>
      </c>
      <c r="C141" t="inlineStr">
        <is>
          <t>KPMG US</t>
        </is>
      </c>
      <c r="D141" t="inlineStr">
        <is>
          <t>linkedin</t>
        </is>
      </c>
      <c r="E141">
        <f>HYPERLINK("https://www.linkedin.com/jobs/view/4376441266", "https://www.linkedin.com/jobs/view/4376441266")</f>
        <v/>
      </c>
      <c r="F141">
        <f>HYPERLINK("https://www.kpmguscareers.com/jobdetail/?jobId=131998-A&amp;srcCat=Job+Boards&amp;specSrc=LinkedIn&amp;urlHash=Odj3", "https://www.kpmguscareers.com/jobdetail/?jobId=131998-A&amp;srcCat=Job+Boards&amp;specSrc=LinkedIn&amp;urlHash=Odj3")</f>
        <v/>
      </c>
      <c r="G141" t="inlineStr">
        <is>
          <t>Detroit, MI</t>
        </is>
      </c>
      <c r="H141" t="inlineStr"/>
      <c r="I141"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an Associate, Data Engineer to join our Digital Nexus technology organization. This is a hybrid work opportunity.
 Responsibilities:
* Perform a variety of tasks related to the governance, management and maintenance of data, including but not limited to standards development, metadata management and reporting
* Document data interfaces and data mappings; analyze and interpret data
* Develop business and technical requirement documents
* Support the Data Strategy \&amp; Operations leadership team in the overall operations of the data organization
* Identify and implement cross\-functional process improvement opportunities that support the organization
* Assist project managers in creating effective and achievable project plans, management of the team's execution of project tasks and secure acceptance and approval of deliverables from the project stakeholders
* Act with integrity, professionalism, and personal responsibility to uphold KPMG's respectful and courteous work environment
 Qualifications:
* Minimum one year of recent experience working with data including data sourcing, data analysis and data integration
* Bachelor's degree from an accredited college or university is preferred; High School diploma or GED required
* Experience in statistical analysis, working in an IT environment supporting projects and strong experience using Microsoft suite (Excel, PowerPoint, Word and Outlook) preferred.
* Strong verbal/written communication, problem solving, organizational and independent judgment skills to support an environment driven by customer service and teamwork
* Ability to build productive relationships with peers and maintain confidentiality of sensitive and privileged information
* Work location may be in the office, at client sites, or virtual/remote depending on business need; client site locations may require travel and overnight/extended stay
*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https://kpmg.com/us/en/how\-we\-work/pay\-transparency.html/?id\=8149\_9\_26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142">
      <c r="A142" t="inlineStr">
        <is>
          <t>li-4376435423</t>
        </is>
      </c>
      <c r="B142" t="inlineStr">
        <is>
          <t>Associate, Data Engineer</t>
        </is>
      </c>
      <c r="C142" t="inlineStr">
        <is>
          <t>KPMG US</t>
        </is>
      </c>
      <c r="D142" t="inlineStr">
        <is>
          <t>linkedin</t>
        </is>
      </c>
      <c r="E142">
        <f>HYPERLINK("https://www.linkedin.com/jobs/view/4376435423", "https://www.linkedin.com/jobs/view/4376435423")</f>
        <v/>
      </c>
      <c r="F142" t="inlineStr"/>
      <c r="G142" t="inlineStr">
        <is>
          <t>Charlotte, NC</t>
        </is>
      </c>
      <c r="H142" t="inlineStr"/>
      <c r="I142"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an Associate, Data Engineer to join our Digital Nexus technology organization. This is a hybrid work opportunity.
 Responsibilities:
* Perform a variety of tasks related to the governance, management and maintenance of data, including but not limited to standards development, metadata management and reporting
* Document data interfaces and data mappings; analyze and interpret data
* Develop business and technical requirement documents
* Support the Data Strategy \&amp; Operations leadership team in the overall operations of the data organization
* Identify and implement cross\-functional process improvement opportunities that support the organization
* Assist project managers in creating effective and achievable project plans, management of the team's execution of project tasks and secure acceptance and approval of deliverables from the project stakeholders
* Act with integrity, professionalism, and personal responsibility to uphold KPMG's respectful and courteous work environment
 Qualifications:
* Minimum one year of recent experience working with data including data sourcing, data analysis and data integration
* Bachelor's degree from an accredited college or university is preferred; High School diploma or GED required
* Experience in statistical analysis, working in an IT environment supporting projects and strong experience using Microsoft suite (Excel, PowerPoint, Word and Outlook) preferred.
* Strong verbal/written communication, problem solving, organizational and independent judgment skills to support an environment driven by customer service and teamwork
* Ability to build productive relationships with peers and maintain confidentiality of sensitive and privileged information
* Work location may be in the office, at client sites, or virtual/remote depending on business need; client site locations may require travel and overnight/extended stay
*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https://kpmg.com/us/en/how\-we\-work/pay\-transparency.html/?id\=8149\_9\_26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143">
      <c r="A143" t="inlineStr">
        <is>
          <t>li-4376477786</t>
        </is>
      </c>
      <c r="B143" t="inlineStr">
        <is>
          <t>Security Analytics Data Engineer</t>
        </is>
      </c>
      <c r="C143" t="inlineStr">
        <is>
          <t>Fiserv</t>
        </is>
      </c>
      <c r="D143" t="inlineStr">
        <is>
          <t>linkedin</t>
        </is>
      </c>
      <c r="E143">
        <f>HYPERLINK("https://www.linkedin.com/jobs/view/4376477786", "https://www.linkedin.com/jobs/view/4376477786")</f>
        <v/>
      </c>
      <c r="F143">
        <f>HYPERLINK("https://careers.fiserv.com/us/en/job/FFFYJUSR10388386EXTERNALENUS/Security-Analytics-Data-Engineer?utm_source=linkedin&amp;utm_medium=phenom-feeds&amp;source=LinkedIn&amp;urlHash=Lgbf", "https://careers.fiserv.com/us/en/job/FFFYJUSR10388386EXTERNALENUS/Security-Analytics-Data-Engineer?utm_source=linkedin&amp;utm_medium=phenom-feeds&amp;source=LinkedIn&amp;urlHash=Lgbf")</f>
        <v/>
      </c>
      <c r="G143" t="inlineStr">
        <is>
          <t>Columbus, OH</t>
        </is>
      </c>
      <c r="H143" t="inlineStr"/>
      <c r="I143" t="inlineStr">
        <is>
          <t>**Calling all innovators \- find your future at Fiserv.**
 We're Fiserv, a global leader in Fintech and payments, and we move money and information in a way that moves the world. We connect financial institutions, corporations, merchants and consumers to one another millions of times a day \- quickly, reliably, and securely. Any time you swipe your credit card, pay through a mobile app, or withdraw money from the bank, we're involved. If you want to make an impact on a global scale, come make a difference at Fiserv.
**Job Title**
 Security Analytics Data Engineer
**About Your Role**
 You will interface with security Big Data environments, aiding in their design and configuration to analyze and present findings. You will work independently with internal clients and management on expanding and optimizing our data and data pipeline architecture, optimizing data flow and collection for cross\-functional teams. Your role will manage new and existing technical requirements and fully document processes and solutions and support our engineers, database architects, data analysts, and data scientists and will ensure optimal data delivery architecture is consistent throughout ongoing and new projects.
**What You'll Do**
* Lead the initiatives and projects with end\-to\-end implementation of solutions to build and support the Data Fabric, Datalake, Datawarehouse, and operational data stores including planning, setup, configuration, and support.
* Create and maintain optimal data pipeline architecture, assembling large, complex data sets that meet functional/non\-functional business requirements.
* Identify, design, and implement internal process improvements to automate manual processes, optimize data delivery, and redesign infrastructure for greater scalability.
* Build the infrastructure required for optimal extraction, transformation, and loading of data from a wide variety of data sources using Talend, BigQuery, SQL, and other big data technologies.
* Work with stakeholders, including the Executive, Product, Data and Design teams to assist with data\-related technical issues and support their data infrastructure needs.
**Experience You'll Need To Have**
* 10\+ years of related IT experience with more than 5 years of Big Data platform experience including design, management, and operation.
* 5\+ years of experience in building processes supporting data transformation, data structures, and optimizing big data pipelines.
* 5\+ years of experience with SQL working with relational/non\-relational databases, query authoring (SQL) as well as familiarity with a variety of Cloud databases including ETL/ELT tools, Big Query, and Cloud storage.
* Strong analytical skills related to working with unstructured and structured datasets and performing root cause analysis on data and processes to answer specific business questions and identify opportunities for improvement.
* Fundamental knowledge of firewalls, networking, operating systems, databases, and storage at a functional level to understand data that is in scope.
* Bachelor’s degree in computer science, Information Technology, or a related field and/or equivalent military experience.
**What Would Be Great To Have**
* 5\+ years’ experience with big data tools like BigQuery, Cribl, Spark, Talend, IBM Streams, Kafka, relational SQL, and NoSQL databases, including PostgresSQL or AlloyDB.
* Experience leading projects to drive optimal solutions by meeting the requirements and goals.
**How You’ll Work**
* This role is on\-site Monday through Friday. Fiserv considers in\-person collaboration to be an essential part of this role as in\-person office experiences help you with your overall onboarding experience and leads to stronger productivity.
**Travel**
* Approximately 10% of travel off\-site or to other office locations is expected.
**Sponsorship**
* You must currently possess valid and unrestricted U.S. work authorization to be considered for this role. Individuals with temporary visas including, but not limited to, F\-1 (OPT, CPT, STEM), H\-1B, H\-2, or TN, or any candidate requiring sponsorship, now or in the future, will not be considered.
**Salary Range**
 $109,000\.00 \- $182,400\.00
*These pay ranges apply to employees in New Jersey and New York. Pay ranges for employees in other states may differ.*
 It is unlawful to discriminate against a prospective employee due to the individual's status as a veteran.
 For incentive eligible associates, the successful candidate is eligible for an annual incentive opportunity which may be delivered as a mix of cash bonus and equity awards in the Company’s sole discretion.
**Thank You For Considering Employment With Fiserv. Please**
* Apply using your legal name
* Complete the step\-by\-step profile and attach your resume (either is acceptable, both are preferable).
**Our Commitment To Equal Opportunity**
 Fiserv is proud to be an Equal Opportunity Employer. All qualified applicants will receive consideration for employment without regard to race, color, religion, national origin, gender, gender identity, sexual orientation, age, disability, protected veteran status, or any other category protected by law.
 If you have a disability and require a reasonable accommodation in completing a job application or otherwise participating in the overall hiring process, please contact AskHR.US@fiserv.com. Please note our AskHR representatives do not have visibility to your application status. Current associates who require a workplace accommodation should refer to Fiserv’s Disability Accommodation Policy for additional information.
**Note To Agencies**
 Fiserv does not accept resume submissions from agencies outside of existing agreements. Please do not send resumes to Fiserv associates. Fiserv is not responsible for any fees associated with unsolicited resume submissions.
**Warning About Fake Job Posts**
 Please be aware of fraudulent job postings that are not affiliated with Fiserv. Fraudulent job postings may be used by cyber criminals to target your personally identifiable information and/or to steal money or financial information. Any communications from a Fiserv representative will come from a legitimate Fiserv email address.</t>
        </is>
      </c>
    </row>
    <row r="144">
      <c r="A144" t="inlineStr">
        <is>
          <t>li-4376430521</t>
        </is>
      </c>
      <c r="B144" t="inlineStr">
        <is>
          <t>Associate, Data Engineer</t>
        </is>
      </c>
      <c r="C144" t="inlineStr">
        <is>
          <t>KPMG US</t>
        </is>
      </c>
      <c r="D144" t="inlineStr">
        <is>
          <t>linkedin</t>
        </is>
      </c>
      <c r="E144">
        <f>HYPERLINK("https://www.linkedin.com/jobs/view/4376430521", "https://www.linkedin.com/jobs/view/4376430521")</f>
        <v/>
      </c>
      <c r="F144" t="inlineStr"/>
      <c r="G144" t="inlineStr">
        <is>
          <t>Raleigh, NC</t>
        </is>
      </c>
      <c r="H144" t="inlineStr"/>
      <c r="I144"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an Associate, Data Engineer to join our Digital Nexus technology organization. This is a hybrid work opportunity.
 Responsibilities:
* Perform a variety of tasks related to the governance, management and maintenance of data, including but not limited to standards development, metadata management and reporting
* Document data interfaces and data mappings; analyze and interpret data
* Develop business and technical requirement documents
* Support the Data Strategy \&amp; Operations leadership team in the overall operations of the data organization
* Identify and implement cross\-functional process improvement opportunities that support the organization
* Assist project managers in creating effective and achievable project plans, management of the team's execution of project tasks and secure acceptance and approval of deliverables from the project stakeholders
* Act with integrity, professionalism, and personal responsibility to uphold KPMG's respectful and courteous work environment
 Qualifications:
* Minimum one year of recent experience working with data including data sourcing, data analysis and data integration
* Bachelor's degree from an accredited college or university is preferred; High School diploma or GED required
* Experience in statistical analysis, working in an IT environment supporting projects and strong experience using Microsoft suite (Excel, PowerPoint, Word and Outlook) preferred.
* Strong verbal/written communication, problem solving, organizational and independent judgment skills to support an environment driven by customer service and teamwork
* Ability to build productive relationships with peers and maintain confidentiality of sensitive and privileged information
* Work location may be in the office, at client sites, or virtual/remote depending on business need; client site locations may require travel and overnight/extended stay
*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https://kpmg.com/us/en/how\-we\-work/pay\-transparency.html/?id\=8149\_9\_26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145">
      <c r="A145" t="inlineStr">
        <is>
          <t>li-4376441265</t>
        </is>
      </c>
      <c r="B145" t="inlineStr">
        <is>
          <t>Associate, Data Engineer</t>
        </is>
      </c>
      <c r="C145" t="inlineStr">
        <is>
          <t>KPMG US</t>
        </is>
      </c>
      <c r="D145" t="inlineStr">
        <is>
          <t>linkedin</t>
        </is>
      </c>
      <c r="E145">
        <f>HYPERLINK("https://www.linkedin.com/jobs/view/4376441265", "https://www.linkedin.com/jobs/view/4376441265")</f>
        <v/>
      </c>
      <c r="F145" t="inlineStr"/>
      <c r="G145" t="inlineStr">
        <is>
          <t>Baltimore, MD</t>
        </is>
      </c>
      <c r="H145" t="inlineStr"/>
      <c r="I145"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an Associate, Data Engineer to join our Digital Nexus technology organization. This is a hybrid work opportunity.
 Responsibilities:
* Perform a variety of tasks related to the governance, management and maintenance of data, including but not limited to standards development, metadata management and reporting
* Document data interfaces and data mappings; analyze and interpret data
* Develop business and technical requirement documents
* Support the Data Strategy \&amp; Operations leadership team in the overall operations of the data organization
* Identify and implement cross\-functional process improvement opportunities that support the organization
* Assist project managers in creating effective and achievable project plans, management of the team's execution of project tasks and secure acceptance and approval of deliverables from the project stakeholders
* Act with integrity, professionalism, and personal responsibility to uphold KPMG's respectful and courteous work environment
 Qualifications:
* Minimum one year of recent experience working with data including data sourcing, data analysis and data integration
* Bachelor's degree from an accredited college or university is preferred; High School diploma or GED required
* Experience in statistical analysis, working in an IT environment supporting projects and strong experience using Microsoft suite (Excel, PowerPoint, Word and Outlook) preferred.
* Strong verbal/written communication, problem solving, organizational and independent judgment skills to support an environment driven by customer service and teamwork
* Ability to build productive relationships with peers and maintain confidentiality of sensitive and privileged information
* Work location may be in the office, at client sites, or virtual/remote depending on business need; client site locations may require travel and overnight/extended stay
*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https://kpmg.com/us/en/how\-we\-work/pay\-transparency.html/?id\=8149\_9\_26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146">
      <c r="A146" t="inlineStr">
        <is>
          <t>li-4376443214</t>
        </is>
      </c>
      <c r="B146" t="inlineStr">
        <is>
          <t>Associate, Data Engineer</t>
        </is>
      </c>
      <c r="C146" t="inlineStr">
        <is>
          <t>KPMG US</t>
        </is>
      </c>
      <c r="D146" t="inlineStr">
        <is>
          <t>linkedin</t>
        </is>
      </c>
      <c r="E146">
        <f>HYPERLINK("https://www.linkedin.com/jobs/view/4376443214", "https://www.linkedin.com/jobs/view/4376443214")</f>
        <v/>
      </c>
      <c r="F146">
        <f>HYPERLINK("https://www.kpmguscareers.com/jobdetail/?jobId=131998-B&amp;srcCat=Job+Boards&amp;specSrc=LinkedIn&amp;urlHash=vFnr", "https://www.kpmguscareers.com/jobdetail/?jobId=131998-B&amp;srcCat=Job+Boards&amp;specSrc=LinkedIn&amp;urlHash=vFnr")</f>
        <v/>
      </c>
      <c r="G146" t="inlineStr">
        <is>
          <t>Stamford, CT</t>
        </is>
      </c>
      <c r="H146" t="inlineStr"/>
      <c r="I146"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an Associate, Data Engineer to join our Digital Nexus technology organization. This is a hybrid work opportunity.
 Responsibilities:
* Perform a variety of tasks related to the governance, management and maintenance of data, including but not limited to standards development, metadata management and reporting
* Document data interfaces and data mappings; analyze and interpret data
* Develop business and technical requirement documents
* Support the Data Strategy \&amp; Operations leadership team in the overall operations of the data organization
* Identify and implement cross\-functional process improvement opportunities that support the organization
* Assist project managers in creating effective and achievable project plans, management of the team's execution of project tasks and secure acceptance and approval of deliverables from the project stakeholders
* Act with integrity, professionalism, and personal responsibility to uphold KPMG's respectful and courteous work environment
 Qualifications:
* Minimum one year of recent experience working with data including data sourcing, data analysis and data integration
* Bachelor's degree from an accredited college or university is preferred; High School diploma or GED required
* Experience in statistical analysis, working in an IT environment supporting projects and strong experience using Microsoft suite (Excel, PowerPoint, Word and Outlook) preferred.
* Strong verbal/written communication, problem solving, organizational and independent judgment skills to support an environment driven by customer service and teamwork
* Ability to build productive relationships with peers and maintain confidentiality of sensitive and privileged information
* Work location may be in the office, at client sites, or virtual/remote depending on business need; client site locations may require travel and overnight/extended stay
*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https://kpmg.com/us/en/how\-we\-work/pay\-transparency.html/?id\=8149\_9\_26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147">
      <c r="A147" t="inlineStr">
        <is>
          <t>li-4376443213</t>
        </is>
      </c>
      <c r="B147" t="inlineStr">
        <is>
          <t>Associate, Data Engineer</t>
        </is>
      </c>
      <c r="C147" t="inlineStr">
        <is>
          <t>KPMG US</t>
        </is>
      </c>
      <c r="D147" t="inlineStr">
        <is>
          <t>linkedin</t>
        </is>
      </c>
      <c r="E147">
        <f>HYPERLINK("https://www.linkedin.com/jobs/view/4376443213", "https://www.linkedin.com/jobs/view/4376443213")</f>
        <v/>
      </c>
      <c r="F147" t="inlineStr"/>
      <c r="G147" t="inlineStr">
        <is>
          <t>Tempe, AZ</t>
        </is>
      </c>
      <c r="H147" t="inlineStr"/>
      <c r="I147"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an Associate, Data Engineer to join our Digital Nexus technology organization. This is a hybrid work opportunity.
 Responsibilities:
* Perform a variety of tasks related to the governance, management and maintenance of data, including but not limited to standards development, metadata management and reporting
* Document data interfaces and data mappings; analyze and interpret data
* Develop business and technical requirement documents
* Support the Data Strategy \&amp; Operations leadership team in the overall operations of the data organization
* Identify and implement cross\-functional process improvement opportunities that support the organization
* Assist project managers in creating effective and achievable project plans, management of the team's execution of project tasks and secure acceptance and approval of deliverables from the project stakeholders
* Act with integrity, professionalism, and personal responsibility to uphold KPMG's respectful and courteous work environment
 Qualifications:
* Minimum one year of recent experience working with data including data sourcing, data analysis and data integration
* Bachelor's degree from an accredited college or university is preferred; High School diploma or GED required
* Experience in statistical analysis, working in an IT environment supporting projects and strong experience using Microsoft suite (Excel, PowerPoint, Word and Outlook) preferred.
* Strong verbal/written communication, problem solving, organizational and independent judgment skills to support an environment driven by customer service and teamwork
* Ability to build productive relationships with peers and maintain confidentiality of sensitive and privileged information
* Work location may be in the office, at client sites, or virtual/remote depending on business need; client site locations may require travel and overnight/extended stay
*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https://kpmg.com/us/en/how\-we\-work/pay\-transparency.html/?id\=8149\_9\_26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148">
      <c r="A148" t="inlineStr">
        <is>
          <t>li-4376425760</t>
        </is>
      </c>
      <c r="B148" t="inlineStr">
        <is>
          <t>Associate, Data Engineer</t>
        </is>
      </c>
      <c r="C148" t="inlineStr">
        <is>
          <t>KPMG US</t>
        </is>
      </c>
      <c r="D148" t="inlineStr">
        <is>
          <t>linkedin</t>
        </is>
      </c>
      <c r="E148">
        <f>HYPERLINK("https://www.linkedin.com/jobs/view/4376425760", "https://www.linkedin.com/jobs/view/4376425760")</f>
        <v/>
      </c>
      <c r="F148">
        <f>HYPERLINK("https://www.kpmguscareers.com/jobdetail/?jobId=131998-A&amp;srcCat=Job+Boards&amp;specSrc=LinkedIn&amp;urlHash=Odj3", "https://www.kpmguscareers.com/jobdetail/?jobId=131998-A&amp;srcCat=Job+Boards&amp;specSrc=LinkedIn&amp;urlHash=Odj3")</f>
        <v/>
      </c>
      <c r="G148" t="inlineStr">
        <is>
          <t>Jackson, MS</t>
        </is>
      </c>
      <c r="H148" t="inlineStr"/>
      <c r="I148"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an Associate, Data Engineer to join our Digital Nexus technology organization. This is a hybrid work opportunity.
 Responsibilities:
* Perform a variety of tasks related to the governance, management and maintenance of data, including but not limited to standards development, metadata management and reporting
* Document data interfaces and data mappings; analyze and interpret data
* Develop business and technical requirement documents
* Support the Data Strategy \&amp; Operations leadership team in the overall operations of the data organization
* Identify and implement cross\-functional process improvement opportunities that support the organization
* Assist project managers in creating effective and achievable project plans, management of the team's execution of project tasks and secure acceptance and approval of deliverables from the project stakeholders
* Act with integrity, professionalism, and personal responsibility to uphold KPMG's respectful and courteous work environment
 Qualifications:
* Minimum one year of recent experience working with data including data sourcing, data analysis and data integration
* Bachelor's degree from an accredited college or university is preferred; High School diploma or GED required
* Experience in statistical analysis, working in an IT environment supporting projects and strong experience using Microsoft suite (Excel, PowerPoint, Word and Outlook) preferred.
* Strong verbal/written communication, problem solving, organizational and independent judgment skills to support an environment driven by customer service and teamwork
* Ability to build productive relationships with peers and maintain confidentiality of sensitive and privileged information
* Work location may be in the office, at client sites, or virtual/remote depending on business need; client site locations may require travel and overnight/extended stay
*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https://kpmg.com/us/en/how\-we\-work/pay\-transparency.html/?id\=8149\_9\_26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149">
      <c r="A149" t="inlineStr">
        <is>
          <t>li-4374866827</t>
        </is>
      </c>
      <c r="B149" t="inlineStr">
        <is>
          <t>Data Platform Engineer</t>
        </is>
      </c>
      <c r="C149" t="inlineStr">
        <is>
          <t>Ramsey Solutions</t>
        </is>
      </c>
      <c r="D149" t="inlineStr">
        <is>
          <t>linkedin</t>
        </is>
      </c>
      <c r="E149">
        <f>HYPERLINK("https://www.linkedin.com/jobs/view/4374866827", "https://www.linkedin.com/jobs/view/4374866827")</f>
        <v/>
      </c>
      <c r="F149" t="inlineStr"/>
      <c r="G149" t="inlineStr">
        <is>
          <t>Nashville, TN</t>
        </is>
      </c>
      <c r="H149" t="inlineStr"/>
      <c r="I149" t="inlineStr">
        <is>
          <t>**Description**
**Team:** 
 Data Platform
**Location:** 
 Franklin, TN—on\-site, relocation assistance available, flexible schedules available
**Salary:** 
 $100,000–$115,000/year\* \+ profit sharing \+ benefits
* Range depends on skill level and overall experience.
**A Little Bit About Us** 
 : You might know us from our founder and CEO, Dave Ramsey, who’s given no\-nonsense money advice on the radio since 1992\. Three decades later, Ramsey Solutions is a household name in personal finance, with a mission to change the toxic money culture for good.
***Our Mission: Ramsey Solutions provides biblically based, commonsense education and empowerment that give HOPE to everyone in every walk of life.***
**Here’s a Taste Of Our Benefits**
* Health insurance (includes plans eligible for an HSA—with a company match up to $500!)
* 401(k) retirement plan with 4% match/company contribution
* Annual wellness, counseling and grocery membership reimbursement
* On\-campus cafe with subsidized pricing for breakfast, lunch and coffee bar
* Dependent care FSA
* Tons of cultural activities, like weekly devotional, leadership development courses, Battle of the Bands, and one epic Christmas party!
**Where And How You’d Work**
 Ramsey Solutions Headquarters is located just outside of Nashville in Franklin, Tennessee. We value our strong, unified company culture because we believe the best work is done together. That’s why all of our team members work on\-site under the same roof. But work\-life balance is also important to us, so we offer flexible work schedules to take the stress out of appointments, family obligations and other needs that may pop up.
 While every team member has a designated workspace (with an electronic sit\-stand desk), our campus was designed to house a variety of unique work and play zones (e.g., quiet library space, coffee bar/lounge areas, recreational game zone, and outside/patio work and break areas).
**What You’d Do In This Role**
 In this role you’ll be producing business value through the creation of our Enterprise Data Warehouse and data platform ecosystems and related engineering capabilities and services, the goal of which is to enable optimal business insight generation. You’ll be collaborating with our business leaders, stakeholders, and technology teams across the company to deliver cutting\-edge, cloud\-based solutions that enable a performant and stable data platform ecosystem.
**You’re Probably a Match If**
* You have 2\+ years of experience with Python, Java, or another object\-oriented programing language.
* You are experienced with software engineering best practices such as CI/CD, Infrastructure as code, containerization (e.g., Docker, GoCD, CloudFormation).
* You have worked with database technologies such as Redshift, Postgres, and MySQL RDBMS’s, and languages like SQL and procedural SQL.
* You have experience with cloud technologies (preferably AWS) and services such as Step Functions, S3, Lambda, DynamoDB, SNS/SES, SQS, IAM, AWS Glue, CDK, Kinesis Data Streams, Kinesis Firehouse, CloudWatch, Sagemaker.
* You can clearly communicate with both technical and non\-technical stakeholders.
**What Winning Looks Like**
* Partnering with product management to identify Ramsey\-wide analytic and business data problems and architecting solutions to solve them
* Assessing, scoping and prioritizing capability development while providing support for the Ramsey EDW, data platform, and related ecosystems
* Working with cloud platform components, services, and service providers to achieve maximum uptime and performance with optimal cost
* Partnering with and educating partners across Ramsey on EDW and platform best practices, including such things as performance tuning and optimal 3rd party tool integration
* Continually building your engineering craft and awareness of industry trends and technologies around enterprise data platforms and warehousing
**Other Stuff To Know**
 We’re looking for people who are passionate about our mission. This isn’t just a J\-O\-B. We experience resistance every day because what we believe is absolutely countercultural. We actually hate debt. We actually cut up our credit cards . . . like, for real. Some of us are still fighting our way out of debt, but we aren’t going back. If you don’t know much about Ramsey Solutions and our founder, Dave Ramsey, we encourage you to download the Ramsey Network mobile app and consume our content.
**If Ramsey Solutions sounds like a workplace where you can get excited about Mondays, apply today. We can’t wait to hear from you!**
 EOE, including disability/vets</t>
        </is>
      </c>
    </row>
    <row r="150">
      <c r="A150" t="inlineStr">
        <is>
          <t>li-4376467747</t>
        </is>
      </c>
      <c r="B150" t="inlineStr">
        <is>
          <t>Data Analytics Engineer with Active Secret Clearance</t>
        </is>
      </c>
      <c r="C150" t="inlineStr">
        <is>
          <t>Jobs via Dice</t>
        </is>
      </c>
      <c r="D150" t="inlineStr">
        <is>
          <t>linkedin</t>
        </is>
      </c>
      <c r="E150">
        <f>HYPERLINK("https://www.linkedin.com/jobs/view/4376467747", "https://www.linkedin.com/jobs/view/4376467747")</f>
        <v/>
      </c>
      <c r="F150">
        <f>HYPERLINK("https://click.appcast.io/t/dpvo4MMSuhCTTIhYa9HS5mT_wJTYDaqlQK4UO60XpE4=&amp;urlHash=MxRG", "https://click.appcast.io/t/dpvo4MMSuhCTTIhYa9HS5mT_wJTYDaqlQK4UO60XpE4=&amp;urlHash=MxRG")</f>
        <v/>
      </c>
      <c r="G150" t="inlineStr">
        <is>
          <t>Norfolk, VA</t>
        </is>
      </c>
      <c r="H150" t="inlineStr"/>
      <c r="I150" t="inlineStr">
        <is>
          <t>Dice is the leading career destination for tech experts at every stage of their careers. Our client, Delviom LLC, is seeking the following. Apply via Dice today!
**Position: ANALYTICS SPECIALIST – CAPABILITY LIFECYCLE (ENGINEERING)**
**Location: Norfolk, VA, USA (On\-site)**
**Duration: 4 years**
**Active Secret Or TOP Secret Or NATO Required**
**Responsibilities:**
* Design, develop, and maintain analytic products providing insight into requirements definition, maturity, completeness, and alignment across the capability lifecycle.
* Support decomposition and structuring of complex system and capability requirements to enable analytics, traceability, and decision support.
* Develop reports assessing traceability between requirements, architectures, capabilities, verification artifacts, and delivery outcomes.
* Integrate engineering and requirements data from multiple sources to enable unified analysis and reporting.
* Support configuration management and change control by tracking requirement baselines, version history, change impacts, and configuration status.
* Define, calculate, and maintain metrics for requirements quality, engineering progress, technical risk, and delivery readiness.
* Develop dashboards, reports, and visualizations that communicate engineering status, risks, and trends to stakeholders.
* Correlate engineering data with programmatic, schedule, and risk data to support holistic capability lifecycle analysis.
* Perform validation, consistency checks, and quality assurance on engineering and requirements data.
* Produce analytic products supporting engineering reviews, design trade\-offs, technical governance, and capability assurance.
* Collaborate with engineers, architects, analysts, program managers, and stakeholders to capture analytic requirements.
* Identify opportunities to automate analytics, reporting, and data preparation workflows.
* Support configuration and effective use of analytics tools and engineering workflows.
* Develop and maintain documentation describing analytic logic, data sources, assumptions, and limitations.
* Deliver training, user guides, and ad hoc support for effective adoption of analytics products.
* Support requirements\-based planning, capability development, verification, validation, and delivery assurance.
* Provide ongoing analytic support and troubleshooting for reports, dashboards, and analytics tools.
**Required Skills \&amp; Qualifications:**
* 8\+ years experience in requirements engineering, systems analysis, or engineering analytics supporting complex technical systems in regulated or defense\-related environments.
* Expertise in requirements lifecycle management, including capture, decomposition, traceability, validation, and verification.
* Experience developing analytics, metrics, and visualizations to support engineering decision\-making.
* Bachelor’s degree in Engineering, Computer Science, Information Systems, Mathematics, or related technical discipline.
* Experience integrating engineering and requirements data from multiple sources to enable traceability and reporting.
* Experience supporting configuration management, baselining, version control, and compliance with organizational or regulatory standards.
* Experience supporting full systems or software development lifecycle activities, including requirements analysis, system design, testing, verification, and deployment.
* Proficiency in business intelligence or analytics tools for translating engineering data into actionable insights.
* Experience operating in secure or classified environments with adherence to data protection and access control requirements.
* Ability to collaborate across multidisciplinary teams to produce actionable engineering analytics.
* Active security clearance (NATO or National SECRET) required.
* Proficiency in English (STANAG 6001 SLP 3333 or equivalent).
* Strong oral and written communication skills, including briefing stakeholders.</t>
        </is>
      </c>
    </row>
    <row r="151">
      <c r="A151" t="inlineStr">
        <is>
          <t>li-4376429617</t>
        </is>
      </c>
      <c r="B151" t="inlineStr">
        <is>
          <t>Associate, Data Engineer</t>
        </is>
      </c>
      <c r="C151" t="inlineStr">
        <is>
          <t>KPMG US</t>
        </is>
      </c>
      <c r="D151" t="inlineStr">
        <is>
          <t>linkedin</t>
        </is>
      </c>
      <c r="E151">
        <f>HYPERLINK("https://www.linkedin.com/jobs/view/4376429617", "https://www.linkedin.com/jobs/view/4376429617")</f>
        <v/>
      </c>
      <c r="F151" t="inlineStr"/>
      <c r="G151" t="inlineStr">
        <is>
          <t>Philadelphia, PA</t>
        </is>
      </c>
      <c r="H151" t="inlineStr"/>
      <c r="I151"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an Associate, Data Engineer to join our Digital Nexus technology organization. This is a hybrid work opportunity.
 Responsibilities:
* Perform a variety of tasks related to the governance, management and maintenance of data, including but not limited to standards development, metadata management and reporting
* Document data interfaces and data mappings; analyze and interpret data
* Develop business and technical requirement documents
* Support the Data Strategy \&amp; Operations leadership team in the overall operations of the data organization
* Identify and implement cross\-functional process improvement opportunities that support the organization
* Assist project managers in creating effective and achievable project plans, management of the team's execution of project tasks and secure acceptance and approval of deliverables from the project stakeholders
* Act with integrity, professionalism, and personal responsibility to uphold KPMG's respectful and courteous work environment
 Qualifications:
* Minimum one year of recent experience working with data including data sourcing, data analysis and data integration
* Bachelor's degree from an accredited college or university is preferred; High School diploma or GED required
* Experience in statistical analysis, working in an IT environment supporting projects and strong experience using Microsoft suite (Excel, PowerPoint, Word and Outlook) preferred.
* Strong verbal/written communication, problem solving, organizational and independent judgment skills to support an environment driven by customer service and teamwork
* Ability to build productive relationships with peers and maintain confidentiality of sensitive and privileged information
* Work location may be in the office, at client sites, or virtual/remote depending on business need; client site locations may require travel and overnight/extended stay
*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https://kpmg.com/us/en/how\-we\-work/pay\-transparency.html/?id\=8149\_9\_26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152">
      <c r="A152" t="inlineStr">
        <is>
          <t>li-4376436421</t>
        </is>
      </c>
      <c r="B152" t="inlineStr">
        <is>
          <t>Associate, Data Engineer</t>
        </is>
      </c>
      <c r="C152" t="inlineStr">
        <is>
          <t>KPMG US</t>
        </is>
      </c>
      <c r="D152" t="inlineStr">
        <is>
          <t>linkedin</t>
        </is>
      </c>
      <c r="E152">
        <f>HYPERLINK("https://www.linkedin.com/jobs/view/4376436421", "https://www.linkedin.com/jobs/view/4376436421")</f>
        <v/>
      </c>
      <c r="F152">
        <f>HYPERLINK("https://www.kpmguscareers.com/jobdetail/?jobId=131998-A&amp;srcCat=Job+Boards&amp;specSrc=LinkedIn&amp;urlHash=Odj3", "https://www.kpmguscareers.com/jobdetail/?jobId=131998-A&amp;srcCat=Job+Boards&amp;specSrc=LinkedIn&amp;urlHash=Odj3")</f>
        <v/>
      </c>
      <c r="G152" t="inlineStr">
        <is>
          <t>Fort Worth, TX</t>
        </is>
      </c>
      <c r="H152" t="inlineStr"/>
      <c r="I152"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an Associate, Data Engineer to join our Digital Nexus technology organization. This is a hybrid work opportunity.
 Responsibilities:
* Perform a variety of tasks related to the governance, management and maintenance of data, including but not limited to standards development, metadata management and reporting
* Document data interfaces and data mappings; analyze and interpret data
* Develop business and technical requirement documents
* Support the Data Strategy \&amp; Operations leadership team in the overall operations of the data organization
* Identify and implement cross\-functional process improvement opportunities that support the organization
* Assist project managers in creating effective and achievable project plans, management of the team's execution of project tasks and secure acceptance and approval of deliverables from the project stakeholders
* Act with integrity, professionalism, and personal responsibility to uphold KPMG's respectful and courteous work environment
 Qualifications:
* Minimum one year of recent experience working with data including data sourcing, data analysis and data integration
* Bachelor's degree from an accredited college or university is preferred; High School diploma or GED required
* Experience in statistical analysis, working in an IT environment supporting projects and strong experience using Microsoft suite (Excel, PowerPoint, Word and Outlook) preferred.
* Strong verbal/written communication, problem solving, organizational and independent judgment skills to support an environment driven by customer service and teamwork
* Ability to build productive relationships with peers and maintain confidentiality of sensitive and privileged information
* Work location may be in the office, at client sites, or virtual/remote depending on business need; client site locations may require travel and overnight/extended stay
*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https://kpmg.com/us/en/how\-we\-work/pay\-transparency.html/?id\=8149\_9\_26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153">
      <c r="A153" t="inlineStr">
        <is>
          <t>li-4376465764</t>
        </is>
      </c>
      <c r="B153" t="inlineStr">
        <is>
          <t>Cloud Data Engineer (Apache Iceberg)</t>
        </is>
      </c>
      <c r="C153" t="inlineStr">
        <is>
          <t>Jobs via Dice</t>
        </is>
      </c>
      <c r="D153" t="inlineStr">
        <is>
          <t>linkedin</t>
        </is>
      </c>
      <c r="E153">
        <f>HYPERLINK("https://www.linkedin.com/jobs/view/4376465764", "https://www.linkedin.com/jobs/view/4376465764")</f>
        <v/>
      </c>
      <c r="F153" t="inlineStr"/>
      <c r="G153" t="inlineStr">
        <is>
          <t>Westlake, TX</t>
        </is>
      </c>
      <c r="H153" t="inlineStr"/>
      <c r="I153" t="inlineStr">
        <is>
          <t>Dice is the leading career destination for tech experts at every stage of their careers. Our client, Spark Infotech, is seeking the following. Apply via Dice today!
**Job Title :** 
 Cloud Data Engineer (Apache Iceberg)
**Location:** 
**Westlake, TX (Local only)**
**Duration: 12\+ Months**
 Description:
**Role Summary**
 We are seeking a highly skilled
 **Data Engineer** 
 to design, build, and optimize our modern data platform leveraging
 **Apache Iceberg** 
 on
 **AWS** 
 , with strong expertise in
 **Spark** 
 ,
 **Kafka** 
 and
 **Python** 
 . The ideal candidate has deep experience building scalable, high?quality data pipelines, distributed data processing systems, and table\-format\-based lakehouse architectures.
 This role is ideal for engineers who love building robust data foundations, enabling fast and reliable analytics, and working with cutting?edge open data lake technologies.
**Key Responsibilities**
* Lakehouse Architecture (Apache Iceberg)
* Design and build Iceberg\-based data lakes with ACID\-compliant, versioned datasets.
* Implement Iceberg table evolution (schema evolution, partition spec, snapshot management).
* Develop best practices for Iceberg governance, metadata compaction, and performance tuning.
* Data Pipelines \&amp; Distributed Processing
* Build scalable batch and streaming pipelines using AWS services (S3, EMR, Glue, Lambda, Step Functions).
* Develop ingestion and transformation workflows using Python, Spark, or Flink.
* Implement CDC pipelines using Kafka Connect or equivalent tooling.
* Ensure robust CI/CD integration with GitHub Actions or similar.
* Streaming Data Engineering (Kafka)
* Design and operate Kafka\-based streaming pipelines (Kafka/MSK).
* Build producers/consumers using Python or JVM languages.
* Implement patterns such as topic partitioning, compaction, schema registry, and event versioning.
* Data Modeling, Quality, and Observability
* Design data models for analytical and operational use cases using Iceberg tables.
* Implement automated data quality checks, validation rules, and anomaly detection.
* Build lineage, monitoring, alerting, and pipeline observability.
* AWS Architecture \&amp; Operations
* Apply best practices for AWS security, cost optimization, and data governance.
* Manage IAM, KMS, S3 object lifecycle management, networking, and data encryption.
* Operationalize EMR/Glue jobs, containerized workloads, or serverless workloads.
* Cross?Functional Collaboration
* Partner with analytics, platform, and product teams to deliver high\-quality data products.
* Participate in design reviews, architecture discussions, and roadmap planning.
* Mentor junior engineers and contribute to engineering standards.
**Required Qualifications** 
* 4\-10\+ years of experience in Data Engineering or similar roles.
* Strong hands\-on experience with Apache Iceberg (table design, evolution, metadata, partitioning).
* Deep experience with AWS data stack:
+ S3, EMR, Lambda, Glue, IAM, Step Functions, CloudWatch
* Strong proficiency in Kafka (producers/consumers, schema registry, partitioning strategies).
* Fluency in Python for data pipelines, automation, and APIs.
* Experience with distributed engines such as Spark, Flink, or PySpark.
* Expertise in scalable ETL/ELT pipelines and real\-time streaming architectures.
 Strong SQL and data modeling expertise</t>
        </is>
      </c>
    </row>
    <row r="154">
      <c r="A154" t="inlineStr">
        <is>
          <t>li-4376486475</t>
        </is>
      </c>
      <c r="B154" t="inlineStr">
        <is>
          <t>Lead Data Engineer - Mainframe/DB2/QREP</t>
        </is>
      </c>
      <c r="C154" t="inlineStr">
        <is>
          <t>hackajob</t>
        </is>
      </c>
      <c r="D154" t="inlineStr">
        <is>
          <t>linkedin</t>
        </is>
      </c>
      <c r="E154">
        <f>HYPERLINK("https://www.linkedin.com/jobs/view/4376486475", "https://www.linkedin.com/jobs/view/4376486475")</f>
        <v/>
      </c>
      <c r="F154" t="inlineStr"/>
      <c r="G154" t="inlineStr">
        <is>
          <t>Wilmington, DE</t>
        </is>
      </c>
      <c r="H154" t="inlineStr"/>
      <c r="I154" t="inlineStr">
        <is>
          <t>***hackajob** 
 is collaborating with
 **J.P. Morgan** 
 to connect them with exceptional tech professionals for this role.*
**Job Description**
 Join us as we embark on a journey of collaboration and innovation, where your unique skills and talents will be valued and celebrated. Together we will create a brighter future and make a meaningful difference.
 As a Lead Data Engineer \- Mainframe/DB2/QREP at JPMorgan Chase within the Consumer \&amp; Community Banking \- Card Platform Services Team, you are an integral part of an agile team that works to enhance, build, and deliver database requirements to meet product business deliverables by ensuring the data is always available, accessible , reliable and recoverable. As a core technical contributor, you are responsible for maintaining the critical database and architectures across multiple technical areas within various business functions in support of the firm’s business objectives.
**Job Responsibilities**
* Administer, design, implement and support highly available and scalable Mainframe DB2 \&amp; IMS database solutions
* Implement data models, database designs, data access and table maintenance codes.
* Implement and maintaining the DB2/IMS Databases with High Availability features using Data Partitioning and Database replications.
* Resolve database performance issues, database capacity issues, replication and other data issues.
* Work with Information Architects and Database Designers to implement the physical data model.
* Develop the database performance monitoring process and analyze data for optimization opportunities.
* Provide up to Level 2 on call support for the 24/7 DB2/IMS database environment.
* Manage on\-site backup and recovery process.
* Plan for and execute required database upgrades or migrations.
* Work with database admin tools like CA Platinum/ BMC/ IBM Admin tools, Mainview, IBM Data Studio, BMC Recovery management etc.
**Required Qualifications, Capabilities, And Skills**
* Formal training or certification on software engineering concepts and 5\+ years applied experience
* Database design/development, integration, performance monitoring \&amp; tuning, systems re\-engineering and Operations support.
* Knowledge of DB2 for z/OS along with mainframe related tools such as BMC, CA Platinum for monitoring, SMPE, ISPF, SMS, SMF.
* Expertise with IMS Full Function/Fast Path database implementation, REXX programming and MQ
* Experience in IBM Replication CDC , QREP.
* Capable of creating the roadmap, processes, best practices, standards, and strategies for continuous improvement, resiliency, and scalability.
* Experience with Atlassian tools like Jira, Confluence.
* Proven background on database engineering, automation, monitoring, performance engineering design and implementations.
* Strong execution mind\-set to manage and track progress against transformation goals.
* Knowledge of industry\-wide technology trends and best practices.
**Preferred Qualifications, Capabilities, And Skills**
* Experience providing 24x7 rotational support.
* Understanding of Distributed and Static SQL workloads
* Familiar with IDAA (Data Analytics Accelerators)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155">
      <c r="A155" t="inlineStr">
        <is>
          <t>li-4376480062</t>
        </is>
      </c>
      <c r="B155" t="inlineStr">
        <is>
          <t>SQL Server Data Engineer - DBA - Richardson, TX - Hybrid - 67508</t>
        </is>
      </c>
      <c r="C155" t="inlineStr">
        <is>
          <t>Jobs via Dice</t>
        </is>
      </c>
      <c r="D155" t="inlineStr">
        <is>
          <t>linkedin</t>
        </is>
      </c>
      <c r="E155">
        <f>HYPERLINK("https://www.linkedin.com/jobs/view/4376480062", "https://www.linkedin.com/jobs/view/4376480062")</f>
        <v/>
      </c>
      <c r="F155">
        <f>HYPERLINK("https://click.appcast.io/t/94UXkcNPyfpEXxAwKYrlHXeEih3SKxmyqC0hlizkSvo=&amp;urlHash=mdpM", "https://click.appcast.io/t/94UXkcNPyfpEXxAwKYrlHXeEih3SKxmyqC0hlizkSvo=&amp;urlHash=mdpM")</f>
        <v/>
      </c>
      <c r="G155" t="inlineStr">
        <is>
          <t>Richardson, TX</t>
        </is>
      </c>
      <c r="H155" t="inlineStr"/>
      <c r="I155" t="inlineStr">
        <is>
          <t>Dice is the leading career destination for tech experts at every stage of their careers. Our client, PRIMUS Global Services Inc., is seeking the following. Apply via Dice today!
**SQL Server Data Engineer Database Administration (MS SQL Server, VBA \&amp; MS Access) \- 67508**
**Pay Rate: $55 $60/hr**
 We have an immediate need for a SQL Server Data Engineer based in Richardson, TX , USA. This role focuses on supporting and modernizing database\-driven applications, with a strong emphasis on MS SQL Server and legacy MS Access/VBA environments, while working closely with cross\-functional teams.
 In this role, you will be responsible for developing, supporting, and maintaining SQL Server based solutions and legacy MS Access applications. You will work on stored procedures, performance tuning, indexing, and data modeling, while also documenting and reverse engineering existing database and application logic. The position requires the ability to quickly analyze and simplify complex VBA code and Access form structures, support data architecture initiatives, and contribute to migration and modernization efforts. Strong communication is essential, as you will collaborate across teams and support effective knowledge transfer.
 The ideal candidate will have solid hands\-on experience with SQL Server, MS Access, and VBA, along with a strong understanding of data architecture principles. You should be comfortable working in legacy environments, interpreting complex logic, and improving performance and maintainability. Strong analytical, problem\-solving, and communication skills are key to success in this role.
 Interested candidates are requested to connect with our recruiter
 Mahalakshmi
**PRIMUS Global Services**
 Desk Ext. 216
 Email:</t>
        </is>
      </c>
    </row>
    <row r="156">
      <c r="A156" t="inlineStr">
        <is>
          <t>li-4376468678</t>
        </is>
      </c>
      <c r="B156" t="inlineStr">
        <is>
          <t>Cloud Data Engineer (Apache Iceberg)</t>
        </is>
      </c>
      <c r="C156" t="inlineStr">
        <is>
          <t>Jobs via Dice</t>
        </is>
      </c>
      <c r="D156" t="inlineStr">
        <is>
          <t>linkedin</t>
        </is>
      </c>
      <c r="E156">
        <f>HYPERLINK("https://www.linkedin.com/jobs/view/4376468678", "https://www.linkedin.com/jobs/view/4376468678")</f>
        <v/>
      </c>
      <c r="F156">
        <f>HYPERLINK("https://click.appcast.io/t/qERsAq0XTO4Y6XgJ_H6OUFk5w_ArwTtE2-9UfhANxKU=&amp;urlHash=DWmk", "https://click.appcast.io/t/qERsAq0XTO4Y6XgJ_H6OUFk5w_ArwTtE2-9UfhANxKU=&amp;urlHash=DWmk")</f>
        <v/>
      </c>
      <c r="G156" t="inlineStr">
        <is>
          <t>Westlake, TX</t>
        </is>
      </c>
      <c r="H156" t="inlineStr"/>
      <c r="I156" t="inlineStr">
        <is>
          <t>Dice is the leading career destination for tech experts at every stage of their careers. Our client, TrueHire Staffing LLC, is seeking the following. Apply via Dice today!
**Title: Cloud Data Engineer (Apache Iceberg)**
**Location: Westlake, TX (Local only)**
**Duration: 12\+ Months Contrac**
 \&lt;span style\="font\-size: 11\.
**Video Interview**
**MUST:**
**Need Genuine LinkedIn\- NO RECENT OR MULTIPLE LINKEDIN**
 \&lt;span style\="font\-size: 11\.
**Must have full educational details with University Name and year of completion in resume.**
**Job Description**
**Apache Iceberg** 
 is the key skill here. Must have it. Must haves: Strong hands\-on experience with Apache Iceberg (table design, evolution, metadata, partitioning). Deep experience with AWS data stack: S3, EMR, Lambda, Glue, IAM, Step Functions, CloudWatch Fluency in Python for data pipelines, automation, and APIs. Experience with distributed engines such as Spark, Flink, or PySpark. Expertise in scalable ETL/ELT pipelines and real\-time streaming architectures. Strong SQL and data modeling expertise. Kafka can be a nice to have skill
 Description:
**Role Summary**
 We are seeking a highly skilled
 **Data Engineer** 
 to design, build, and optimize our modern data platform leveraging
 **Apache Iceberg** 
 on
 **AWS** 
 , with strong expertise in
 **Spark** 
 ,
 **Kafka** 
 and
 **Python** 
 . The ideal candidate has deep experience building scalable, high?quality data pipelines, distributed data processing systems, and table\-format–based lakehouse architectures.
 This role is ideal for engineers who love building robust data foundations, enabling fast and reliable analytics, and working with cutting?edge open data lake technologies.
**Key Responsibilities**
* Lakehouse Architecture (Apache Iceberg)
* Design and build Iceberg\-based data lakes with ACID\-compliant, versioned datasets.
* Implement Iceberg table evolution (schema evolution, partition spec, snapshot management).
* Develop best practices for Iceberg governance, metadata compaction, and performance tuning.
* Data Pipelines \&amp; Distributed Processing
* Build scalable batch and streaming pipelines using AWS services (S3, EMR, Glue, Lambda, Step Functions).
* Develop ingestion and transformation workflows using Python, Spark, or Flink.
* Implement CDC pipelines using Kafka Connect or equivalent tooling.
* Ensure robust CI/CD integration with GitHub Actions or similar.
* Streaming Data Engineering (Kafka)
* Design and operate Kafka\-based streaming pipelines (Kafka/MSK).
* Build producers/consumers using Python or JVM languages.
* Implement patterns such as topic partitioning, compaction, schema registry, and event versioning.
* Data Modeling, Quality, and Observability
* Design data models for analytical and operational use cases using Iceberg tables.
* Implement automated data quality checks, validation rules, and anomaly detection.
* Build lineage, monitoring, alerting, and pipeline observability.
* AWS Architecture \&amp; Operations
* Apply best practices for AWS security, cost optimization, and data governance.
* Manage IAM, KMS, S3 object lifecycle management, networking, and data encryption.
* Operationalize EMR/Glue jobs, containerized workloads, or serverless workloads.
* Cross?Functional Collaboration
* Partner with analytics, platform, and product teams to deliver high\-quality data products.
* Participate in design reviews, architecture discussions, and roadmap planning.
* Mentor junior engineers and contribute to engineering standards.
**Required Qualifications**
* 4–10\+ years of experience in Data Engineering or similar roles.
* Strong hands\-on experience with Apache Iceberg (table design, evolution, metadata, partitioning).
* Deep experience with AWS data stack:
+ S3, EMR, Lambda, Glue, IAM, Step Functions, CloudWatch
* Strong proficiency in Kafka (producers/consumers, schema registry, partitioning strategies).
* Fluency in Python for data pipelines, automation, and APIs.
* Experience with distributed engines such as Spark, Flink, or PySpark.
* Expertise in scalable ETL/ELT pipelines and real\-time streaming architectures.
* Strong SQL and data modeling expertise.</t>
        </is>
      </c>
    </row>
    <row r="157">
      <c r="A157" t="inlineStr">
        <is>
          <t>li-4377508518</t>
        </is>
      </c>
      <c r="B157" t="inlineStr">
        <is>
          <t>Data Engineer</t>
        </is>
      </c>
      <c r="C157" t="inlineStr">
        <is>
          <t>The Lab Consulting</t>
        </is>
      </c>
      <c r="D157" t="inlineStr">
        <is>
          <t>linkedin</t>
        </is>
      </c>
      <c r="E157">
        <f>HYPERLINK("https://www.linkedin.com/jobs/view/4377508518", "https://www.linkedin.com/jobs/view/4377508518")</f>
        <v/>
      </c>
      <c r="F157" t="inlineStr"/>
      <c r="G157" t="inlineStr">
        <is>
          <t>Houston, TX</t>
        </is>
      </c>
      <c r="H157" t="inlineStr"/>
      <c r="I157" t="inlineStr">
        <is>
          <t>We are a mid\-sized Management Consulting, Automation, and Data/Process Science firm, established in 1993, serving Fortune 1000 companies throughout North America. We have developed a unique, template\-based and data\-centric approach to our client projects, which are conducted off\-site from our Houston office. The Lab is proud to announce we have invested in a new office build out in the Galleria area. We are mindful of employee experience and currently operate at 50% capacity in the office.
 We are seeking a data scientist who is passionate about business processes, automation, operational data measurement, and the intellectual challenge analyzing them offers. The person we seek has previous experience in successful data science roles, performing strategic analysis and, or, operations improvement projects. The data scientist will be part of a management consulting and data science team that performs analysis on client data and assists with the development, implementation and integration of pioneering solutions using different methods, techniques and tools. You will ensure the rigor and underlying logic of the team's findings, optimize the analytical storyline and develop superior, easy to comprehend documentation operational analysis.
 The data engineer will be responsible for gathering, analyzing and documenting business processes, developing business cases, developing analytics dashboards and providing domain knowledge to the team. The ideal candidate's favorite words are learning, data, scale, and agility. You will leverage your strong collaboration skills and ability to extract valuable insights from highly complex data sets to ask the right questions and find the right answers.
 Simultaneously, you will help senior management further standardize the consulting tasks and related work product with the objectives of: reducing analytical cycle time, lowering labor costs and reducing document rework and editing. As you become more familiar with our product offering, you will also contribute to the refinement and extension of our findings and tools database/website which includes benchmarks, best practices and thousands of business process maps.
**Responsibilities** 
* Interface with clients to gather operational data for analysis
* Analyze raw data from consulting client projects across multiple industries: assessing quality, cleansing, structuring for downstream processing
* Develop Power BI and Tableau dashboards
* Design accurate and scalable prediction algorithms
* Collaborate with team to bring analytical prototypes to production
* Generate actionable insights for business improvements
* Work alongside clients and internal team members to develop interactive, customer\-facing business dashboards
* Work with internal team members to develop methods to transform data to prepare for analysis and reporting
* Manage the structure and functionality of our internal databases
* Maintain and build tools to assist our research teams in updating, organizing and expanding existing database content
* Navigate client roadblocks that slow down projects
* Proactively report to internal team and clients on overall progress, potential issues, areas of potential improvement, etc.
**Qualifications** 
* Bachelor's degree or equivalent experience in quantitative field (Statistics, Mathematics, Computer Science, Engineering, etc.)
* At least 1 \- 2 years' of experience in quantitative analytics or data modeling
* Deep understanding of predictive modeling, machine\-learning, clustering and classification techniques, and algorithms
* Fluency in a programming language (Python, C,C\+\+, Java, SQL)
* Familiarity with Big Data frameworks and visualization tools (Cassandra, Hadoop, Spark, Tableau)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2026-02-25T03:34:22Z</dcterms:created>
  <dcterms:modified xsi:type="dcterms:W3CDTF">2026-02-25T03:34:22Z</dcterms:modified>
</cp:coreProperties>
</file>