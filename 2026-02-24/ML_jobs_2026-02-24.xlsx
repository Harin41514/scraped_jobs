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7"/>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in-d2ff1f4d8b5a29c6</t>
        </is>
      </c>
      <c r="B2" t="inlineStr">
        <is>
          <t>Senior Lead AI Engineer (AI Foundations, LLM Core and Agentic AI)</t>
        </is>
      </c>
      <c r="C2" t="inlineStr">
        <is>
          <t>Capital One</t>
        </is>
      </c>
      <c r="D2" t="inlineStr">
        <is>
          <t>indeed</t>
        </is>
      </c>
      <c r="E2" t="inlineStr"/>
      <c r="F2" t="inlineStr"/>
      <c r="G2" t="inlineStr">
        <is>
          <t>New York, NY, US</t>
        </is>
      </c>
      <c r="H2" s="1" t="n">
        <v>46076</v>
      </c>
      <c r="I2" t="inlineStr">
        <is>
          <t>Senior Lead AI Engineer (AI Foundations, LLM Core and Agentic AI)**Overview:**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$229,900 \- $262,400 for Sr. Lead AI Engineer  
McLean, VA: $229,900 \- $262,400 for Sr. Lead AI Engineer  
New York, NY: $250,800 \- $286,200 for Sr. Lead AI Engineer  
San Francisco, CA: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
      <c r="A3" t="inlineStr">
        <is>
          <t>in-03889315af72efca</t>
        </is>
      </c>
      <c r="B3" t="inlineStr">
        <is>
          <t>Sr Machine Learning Engineer</t>
        </is>
      </c>
      <c r="C3" t="inlineStr"/>
      <c r="D3" t="inlineStr">
        <is>
          <t>indeed</t>
        </is>
      </c>
      <c r="E3" t="inlineStr"/>
      <c r="F3" t="inlineStr"/>
      <c r="G3" t="inlineStr">
        <is>
          <t>Seattle, WA, US</t>
        </is>
      </c>
      <c r="H3" s="1" t="n">
        <v>46076</v>
      </c>
      <c r="I3"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Ad Platforms is responsible for Disney’s industry\-leading ad technology and products – driving advertising performance, innovation, and value in Disney’s sports, news, and entertainment content, across all media platforms.
Our mission is to advance AI and machine learning capabilities across Ad Platform by delivering scalable, high impact AI/ML and data science solutions that enhance Ad decisioning, forecasting, experimentation and Ad experience. We are seeking a Senior Machine Learning Engineer to join this innovative team. This role offers a unique leadership opportunity for an experienced ML engineer who thrives at the intersection of technical excellence, strategic impact, and cross\-functional collaboration.
**WHAT YOU’LL DO**
* Drive innovation and apply state of the art AI and machine learning across advertising domains, including inventory forecasting, ad experience, ad pacing, pricing, targeting, and efficient ad delivery.
* Invent and iterate on novel solutions to complex advertising challenges with rapid prototyping and deployment cycles.
* Design, build, and scale robust ML systems that power core ad platform capabilities
* Champion engineering excellence through best practices in code quality, system design, and operational reliability.
* Mentor and support junior engineers, fostering a culture of continuous learning and technical growth.
**WHAT TO BRING**
* Bachelor's in computer science or equivalent experience.
* Minimum 5 years of hands\-on experience developing and deploying large\-scale machine learning systems.
* Strong knowledge of AI/ML technologies, mathematics and statistics.
* Excellent communication, collaboration skills, and a strong teamwork ethic with both technical and non\-technical audiences
* Strong foundations in algorithms, data structures, and numerical optimization with experience in programming languages such as Python (primary), Java and SQL
* Familiarity with tools and frameworks such as TensorFlow, Pytorch, Hugging libraries etc
* Proven proficiency in deep learning methodologies, including recurrent and sequence\-based models.
* Hands\-on experience with transformer architectures (e.g., BERT, GPT, ViT) for natural language and vision tasks.
* Strong understanding of multimodal embedding techniques for integrating text, image, audio, and structured data.
* Experience with LLM models such as GPT models, Claude, Gemini, Llama, etc.
* Strong grasp of LLM evaluation methodologies, experience with RAG architectures.
* A proven track record of thriving in a fast\-paced, data\-driven, and collaborative work environment is required.
**NICE\-TO\-HAVES**
* MS or PhD(preferred) in computer science or equivalent experience.
* Experience in digital video advertising or digital marketing domain.
* Experience with Databricks and AWS Sagemaker.
**Location**: Seattle / Santa Monica
The hiring range for this position in Los Angeles, CA area is $141,900 to $190,300 per year and in Seattle, WA is $148,700 \- $199,400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4">
      <c r="A4" t="inlineStr">
        <is>
          <t>in-fb94a2657ce49239</t>
        </is>
      </c>
      <c r="B4" t="inlineStr">
        <is>
          <t>AI Engineer (Agentic Operations) - NLP</t>
        </is>
      </c>
      <c r="C4" t="inlineStr">
        <is>
          <t>Rocket Software</t>
        </is>
      </c>
      <c r="D4" t="inlineStr">
        <is>
          <t>indeed</t>
        </is>
      </c>
      <c r="E4" t="inlineStr"/>
      <c r="F4" t="inlineStr"/>
      <c r="G4" t="inlineStr">
        <is>
          <t>US</t>
        </is>
      </c>
      <c r="H4" s="1" t="n">
        <v>46076</v>
      </c>
      <c r="I4" t="inlineStr">
        <is>
          <t>**It's fun to work in a company where people truly BELIEVE in what they're doing!**
**Job Description Summary:**
Rocket's Data Modernization Business Unit aids customers in managing, governing, and maximizing the value of their enterprise data assets. Our clientele comprises many Fortune 500 companies, including some of the world's largest banks, insurance companies, and manufacturing organizations. We are currently seeking motivated and innovative individuals to join our applied machine learning team. This is an opportunity to play a crucial role in the continued evolution of our world\-class solutions.
Data Scientist is a highly motivated and experienced individual proficient in advanced machine learning models, particularly language models, document understanding and analysis, and code generation. They will be responsible for understanding and adapting current research. The position requires a deep understanding of computational linguistics, image processing, and Python programming. The selected candidate will be part of a collaborative team dedicated to building, fine\-tuning, and deploying state\-of\-the\-art models to solve real\-world problems in information management, data intelligence, content automation, audit, and analytics. This presents an opportunity to create tremendous business value as we assemble a world\-class applied machine learning team.
**Essential Duties and Responsibilities:**
* Consult with key internal and external stakeholders to understand and frame model requirements and potential applications.
* Design, develop, and deploy machine learning models using tools and platforms optimized for distributed machine learning.
* Recommend ongoing improvements to methods and algorithms that lead to findings, including new information.
* Evaluate the applicability of current research to our problem domain and software solutions.
* Collaborate closely with software engineers to integrate the trained models into end\-user applications.
* Develop sound analytic plans based on available data sources, business partner needs, and required timelines.
* Manage deliverables across multiple projects in a deadline\-driven environment and projects related to a wide variety of business settings.
* Present results, insights, and recommendations to both technical and non\-technical stakeholders.
**Required Qualifications:**
* 5\+ years of industry experience.
* Experience in the professional management of junior data scientists within projects and their continuous professional development.
* Expertise in Python, Linux, and ML, familiarity with SQL.
* Demonstrated ability to find creative and practical solutions to complex problems.
* Proven experience in applying Data Science methodologies to extract, process, and transform data from multiple sources.
* Demonstrated ability to deliver outputs in a comprehensive format that highlights major trends, avoids misinterpretations, and values the conclusions.
* A quick learner, highly adaptable to the needs of internal collaborators in a dynamic environment.
* Efficiency in managing multiple projects.
* Excellent communication and interpersonal skills.
* Must be comfortable working in a team\-oriented environment.
**Preferred Qualifications:**
* Master’s degree in Statistics, Computer Science, Mathematics, Economics, or directly related fields.
While all the above qualifications are important, we also value candidates who display a strong passion for continued learning, possess a spirit of innovation, and show high adaptability in a fast\-paced work environment.
**Diversity, Inclusion \&amp; Equity:**
At Rocket we are committed to an inclusive workplace environment, where every Rocketeer can thrive by bringing their full selves to work. Being a Rocketeer means you are part of our movement to continually drive inclusivity, diversity and equity in our workforce.
.
Rocket Software Inc.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Rocket Software Inc. is also committed to compliance with all fair employment practices regarding citizenship and immigration status.
As part of our commitment to a safe and trustworthy workplace, we include background and reference checks in our hiring process.
Rocket is committed to working with and providing reasonable accommodation to individuals with physical and mental disabilities. If you need special assistance or an accommodation while seeking employment, please call: 781\-577\-4321 or send an email to people@rocketsoftware.com. We will make a determination on your request for reasonable accommodation on a case\-by\-case basis.
*If you like wild growth and working with happy, enthusiastic over\-achievers, you'll enjoy your career with us!*</t>
        </is>
      </c>
    </row>
    <row r="5">
      <c r="A5" t="inlineStr">
        <is>
          <t>in-32573ed947476e98</t>
        </is>
      </c>
      <c r="B5" t="inlineStr">
        <is>
          <t>Machine Learning Engineer - Remote</t>
        </is>
      </c>
      <c r="C5" t="inlineStr">
        <is>
          <t>YO IT CONSULTING</t>
        </is>
      </c>
      <c r="D5" t="inlineStr">
        <is>
          <t>indeed</t>
        </is>
      </c>
      <c r="E5" t="inlineStr"/>
      <c r="F5" t="inlineStr"/>
      <c r="G5" t="inlineStr">
        <is>
          <t>US</t>
        </is>
      </c>
      <c r="H5" s="1" t="n">
        <v>46077</v>
      </c>
      <c r="I5" t="inlineStr">
        <is>
          <t>**Engagement Type:** Independent Contractor  
**Work Mode:** Fully Remote  
**Contract Type:** Project\-Based (Short\-Term, Extendable)
**Role Overview:**
collaborating with a leading AI research lab to support the evaluation of advanced machine learning systems. We are seeking experienced machine learning engineers and researchers to contribute to the design of high\-quality evaluation suites that measure AI performance on real\-world machine learning engineering tasks. The work focuses on translating practical ML research and engineering workflows into structured benchmarks for frontier models. This is a project\-based, remote opportunity suited for experts with hands\-on ML research experience.
**Key responsibilities**
* Design and write detailed evaluation suites for machine learning engineering tasks
* Assess AI\-generated solutions across areas such as model training, debugging, optimization, and experimentation
**Ideal qualifications**
* 3\+ years of experience in machine learning engineering or applied ML research
* Hands\-on experience with model development, experimentation, and evaluation
* Background in ML research (industry lab or academic setting strongly preferred)
* Strong ability to reason about ML system design choices and tradeoffs
* Clear written communication and high attention to technical detail
We consider all qualified applicants without regard to legally protected characteristics and provide reasonable accommodations upon request.
**Contract and Payment Terms**
------------------------------
* You will be engaged as an independent contractor.
* This is a fully remote role that can be completed on your own schedule.
* Projects can be extended, shortened, or concluded early depending on needs and performance.
* Your work at will not involve access to confidential or proprietary information from any employer, client, or institution.
* Payments are weekly on Stripe or Wise based on services rendered.</t>
        </is>
      </c>
    </row>
    <row r="6">
      <c r="A6" t="inlineStr">
        <is>
          <t>in-925b48f9ccab421f</t>
        </is>
      </c>
      <c r="B6" t="inlineStr">
        <is>
          <t>Sr. AI Engineer, AI.x</t>
        </is>
      </c>
      <c r="C6" t="inlineStr">
        <is>
          <t>Charles Schwab</t>
        </is>
      </c>
      <c r="D6" t="inlineStr">
        <is>
          <t>indeed</t>
        </is>
      </c>
      <c r="E6" t="inlineStr"/>
      <c r="F6" t="inlineStr"/>
      <c r="G6" t="inlineStr">
        <is>
          <t>San Francisco, CA, US</t>
        </is>
      </c>
      <c r="H6" s="1" t="n">
        <v>46076</v>
      </c>
      <c r="I6" t="inlineStr">
        <is>
          <t>**Your opportunity**
--------------------
At Schwab, your career is more than a job—it's an opportunity to impact the lives of millions. Innovation and creative problem solving thrive here, as we challenge conventional approaches and prioritize collaboration. We value in\-person teamwork, so this role is based on\-site at our San Francisco office.  
As part of Schwab’s AI Strategy \&amp; Transformation team (AI.x), you’ll join the central hub for Artificial Intelligence across the company. AI.x brings together product, engineering, strategy, and risk specialists to set enterprise AI vision, invest in transformative opportunities, and accelerate delivery organization\-wide. Our team builds the scalable core platform for AI and explores next\-generation GenAI initiatives that redefine client experiences.  
We’re seeking a Senior AI Engineer who will design and deliver cutting\-edge GenAI applications, enhancing the client journey and driving tangible business value. You’ll collaborate closely with architects, engineers, and business leaders to align solutions with Schwab’s strategic goals, and mentor junior team members—cultivating best engineering practices and a culture of continuous learning.  
In this pivotal role, you’ll not only advance technical standards and solve complex challenges, but also lead rapid iterations from concept to production. You will bring curiosity, creativity, and technical depth to help shape the next era of AI at Schwab, with a special emphasis on site reliability, monitoring, observability, and operations. You’ll ensure that the systems you build are robust, reliable, and well\-monitored, implementing best practices for observability and operational excellence to maintain high performance and uptime for mission\-critical AI applications.* Design, build, and deliver GenAI applications that elevate client experience and generate business impact.
* Champion reliability, monitoring, observability, and operational best practices for AI systems and data pipelines.
* Collaborate with cross\-functional teams to align solutions with enterprise strategy and technical standards.
* Mentor and coach junior engineers, fostering strong practices and continuous learning.
* Lead by example in solving complex technical challenges and driving rapid iteration from concept to deployment.
* Implement and maintain monitoring, alerting, and incident response frameworks to ensure system health and reliability.
* Advance engineering standards, focusing on operational excellence and quality across all deliverables.
**What you have**
-----------------
 **Required Qualifications*** 8\+ years of software development experience, with 4\+ years as a hands\-on senior engineer in startups and/or large organizations.
* Bachelor’s degree in Computer Science or related field.
* 5\+ years building complex products from scratch, running them in production, and ensuring operational reliability.
* 3\+ years building applications leveraging AI models for measurable business impact.
* 3\+ years developing applications and data pipelines interfacing with large datasets.
* 3\+ years working with containers and cloud\-native applications, operationalizing them in the public cloud with infrastructure as code.
**Preferred Qualifications*** Strong computer science fundamentals and experience across the tech stack.
* Experience with proprietary or open\-source LLMs (e.g., Gemini, Claude, OpenAI) and deploying LLM\-powered applications to production.
* Commitment to quality—driving high standards and writing tests at all levels.
* Experience writing and running evaluations for quality and consistency in LLM\-generated output.
* Strong written and verbal communication skills to clearly convey ideas and feedback.
* Mentoring junior engineers and supporting their technical growth through code reviews and guidance.
* Mindset of continuous learning and improvement.
* Ability to solve complex problems with ambiguous or incomplete data in distributed systems.
* Demonstrated business domain knowledge relevant to previous products.
* Curiosity about new technologies and processes, proactively sharing knowledge and seeking improvement.
* Experience with Python and front\-end development preferred but not required.
* Master’s or advanced degree in Computer Science or related field.
In addition to the salary range, this role is eligible for bonus or incentive opportunities.**What’s in it for you**
------------------------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7">
      <c r="A7" t="inlineStr">
        <is>
          <t>in-296b70730c29edd4</t>
        </is>
      </c>
      <c r="B7" t="inlineStr">
        <is>
          <t>Sr Machine Learning Engineer</t>
        </is>
      </c>
      <c r="C7" t="inlineStr">
        <is>
          <t>The Walt Disney Company</t>
        </is>
      </c>
      <c r="D7" t="inlineStr">
        <is>
          <t>indeed</t>
        </is>
      </c>
      <c r="E7" t="inlineStr"/>
      <c r="F7" t="inlineStr"/>
      <c r="G7" t="inlineStr">
        <is>
          <t>Lake Buena Vista, FL, US</t>
        </is>
      </c>
      <c r="H7" s="1" t="n">
        <v>46076</v>
      </c>
      <c r="I7" t="inlineStr">
        <is>
          <t>**Department Description:**
At Disney, we’re storytellers. We make the impossible, possible. The Walt Disney Company is a world\-class entertainment and technological leader. Walt’s passion was to continuously envision new ways to move audiences around the world—a passion that remains our touchstone in an enterprise that stretches from theme parks, resorts and a cruise line to sports, news, movies and a variety of other businesses. Uniting each endeavor is a commitment to creating and delivering unforgettable experiences — and we’re constantly looking for new ways to enhance these exciting experiences.
The Enterprise Technology mission is to deliver technology solutions that align to business strategies while enabling enterprise efficiency and promoting cross\-company collaborative innovation. Our group drives competitive advantage by enhancing our consumer experiences, enabling business growth, and advancing operational excellence.
**Team Description:**
Reporting to the Director of Automation, Tooling, and Observability within Global Network Engineering \&amp; Operations (GNEO), the Machine Learning / Software Engineer plays a critical role in designing, developing, and implementing self\-healing infrastructure management systems for enterprise\-wide, production environments. This role combines deep expertise in machine learning, AI technology, software engineering, and DevOps to create reusable patterns, frameworks, and services to improve reliability across Services and Platforms. The candidate will serve as a thought leader, identifying opportunities for and applying advanced analytics, predictive modeling, and AI to large\-scale telemetry, changes, events and incident data to derive actionable insights. The role focuses on building, deploying, and operating machine learning models that proactively detect issues, predict failures, and drive automated, self\-healing remediation across enterprise systems. The role is intentionally machine learning and AI heavy and is intended to be a strategic driver in that space.
**What You’ll Do:**
* Work alongside our first\-class applications, infrastructure \&amp; operations teams to understand current manual processes and business requirements
* Architect, design, and implement reusable machine learning frameworks, patterns, and services that integrate into the enterprise automation and observability platforms
* Design, train, and deploy machine learning models for anomaly detection, forecasting, predictive analytics, event correlation, pattern recognition, classification, causal analysis, and more in distributed environments that can be used to surface leading indicators of failure
* Build near\-real\-time inference pipelines that generate actionable insights from live telemetry, including continuous streams of metrics, logs, traces, and operational events
* Create data abstractions and perform feature engineering on high\-volume, high\-cardinality telemetry data
* Evaluate model performance using real production signals and continuously iterate to improve accuracy and reliability
* Build closed\-loop, event\-driven systems where model signals trigger automated remediation actions
* Partner with infrastructure and SRE teams to identify opportunities and integrate machine learning and AI\-driven insights into operational tools, workflows, and dashboards
* Analyze incident and historical data to uncover leading indicators and predictive signals
* Own the full machine learning lifecycle: experimentation, validation, deployment, monitoring, and retraining
* Breakdown targeted, manual processes into reusable software modules that leverage machine learning models
* Build emulation and simulation environments (digital twins) of the infrastructure to test AI/ML\-driven automation under realistic scenarios and allow for faster ideation and iteration for architects and engineers.
* Develop algorithms and frameworks to integrate machine learning and AI technologies into our orchestration platform
* Ensure service reliability, performance, and operational uptime through code\-driven solutions.
* Conduct root cause analysis, design fault\-tolerant architectures, and enable self\-healing automation.
* Implement monitoring dashboards and KPIs to provide visibility into automation and tooling performance.
* Collaborate with cross\-functional teams including network engineers, software developers, machine learning engineers, and operations teams across the enterprise.
* Support the integration of commercial and open\-source tools while maintaining a vendor\-agnostic implementation
**Required Qualifications \&amp; Skills:**
* 7\+ years of software engineering experience, with expertise in automation, machine learning, and AI technologies
* Proven hands\-on experience building production\-grade ML models and inference pipelines; strong proficiency with modern ML frameworks such as PyTorch, TensorFlow, Scikit\-learn, etc.
* Design, train, and deploy machine learning models for anomaly detection, forecasting, predictive analytics, event correlation, pattern recognition, classification, causal analysis, and more in distributed environments that can be used to surface leading indicators of failure
* Proven hands\-on experience using software to build frontend, APIs and backend functionality; strong proficiency with Python, JavaScript, TypeScript, Go, or Rust
* Build emulation and simulation environments (digital twins) of the infrastructure to test AI/ML\-driven automation under realistic scenarios and allow for faster ideation and iteration for architects and engineers.
* Strong hands\-on experience building and deploying event\-driven or streaming data, machine learning models in production
* Solid foundation in statistics, data analysis, and applied machine learning techniques
* Experience working with large\-scale, real\-world datasets (noisy, incomplete, non\-standardized, and evolving)
* Experience operationalizing models in distributed, production environments
* Ability to translate ambiguous operational problems into solvable machine learning use cases
* Experience with modern cloud platforms, container orchestration (Kubernetes/Docker), identity/auth frameworks, data and workflow orchestration.
* Experience with AI/ML technologies and data engineering concepts. Preferred: Proven hands\-on building AI agents.
* Demonstrated success designing and building enterprise\-scale systems and reusable software frameworks.
* Strong communication, collaboration and leadership skills
* Applies systems thinking to understand how individual components fit into larger, more holistic solutions.
* Capable of quickly shifting between detailed, hands\-on work and high\-level strategic thinking.
**Preferred Qualifications:**
* Certifications such as Kubernetes (CKA/CKAD), AWS/Azure/GCP certifications, CCNP/DevNet or NVIDIA AI engineer.
* Experience developing low\-code/no\-code automation platforms or reusable developer toolkits.
* Contributions to open\-source automation, machine learning, AI, observability, or DevOps communities.
* Applying unsupervised and semi\-supervised learning for anomaly detection and signal discovery
* Applying complex event processing and event correlation techniques
* Building time\-series forecasting models for capacity, latency, and failure prediction
* Experience with feature stores, offline/online feature pipelines, and feature reuse
* Implementing model monitoring for drift, bias, and performance degradation
* Experience with reinforcement learning or decision models for automated remediation and optimization
* Working with real\-time or near\-real\-time inference pipelines
* Experience labeling, curating, and managing training data derived from production telemetry
* Experience mentoring engineers, sharing knowledge, and fostering a learning culture
* Demonstrated curiosity and continuous learning mindset, with a passion for exploring emerging AI/ML, automation, and platform technologies
**Required Education:**
* Bachelor’s degree in Computer Science, Information Systems, Software, Electrical or Electronics Engineering, or comparable field of study, and/or equivalent work experience
**Preferred Education:**
* Master’s degree in Computer Science, Engineering, or related discipline.
\#DISNEYTECH
The hiring range for this position in Burbank, CA is $155,700 \- $208,700 per year and in Seattle is $163,100 \- $218,700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8">
      <c r="A8" t="inlineStr">
        <is>
          <t>in-8d3c13718eb1b5d3</t>
        </is>
      </c>
      <c r="B8" t="inlineStr">
        <is>
          <t>Lead Machine Learning Engineer</t>
        </is>
      </c>
      <c r="C8" t="inlineStr">
        <is>
          <t>Capital One</t>
        </is>
      </c>
      <c r="D8" t="inlineStr">
        <is>
          <t>indeed</t>
        </is>
      </c>
      <c r="E8" t="inlineStr"/>
      <c r="F8" t="inlineStr"/>
      <c r="G8" t="inlineStr">
        <is>
          <t>Chicago, IL, US</t>
        </is>
      </c>
      <c r="H8" s="1" t="n">
        <v>46075</v>
      </c>
      <c r="I8" t="inlineStr">
        <is>
          <t>Lead Machine Learning Engineer
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**Team Description:** As a Lead Machine Learning Engineer in our Luxury Travel organization, you will architect the intelligent systems that power Capital One Travel's vision for the high\-end market. You'll have the unique opportunity to transform complex data into bespoke, anticipatory experiences for our most discerning travelers.
If you are a visionary technologist who thrives at the intersection of cutting\-edge AI and human\-centric design, and you're driven to redefine the gold standard of travel through innovation, this is the perfect role for you.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6 years of experience designing and building data\-intensive solutions using distributed computing (Internship experience does not apply)
* At least 4 years of experience programming with Python, Scala, or Java
* At least 2 years of experience building, scaling, and optimizing ML systems
**Preferred Qualifications:**
* Master's or Doctoral Degree in computer science, electrical engineering, mathematics, or a similar field
* 3\+ years of experience building production\-ready data pipelines that feed ML models
* 3\+ years of on\-the\-job experience with an industry recognized ML framework such as scikit\-learn, PyTorch, Dask, Spark, or TensorFlow
* 2\+ years of experience developing performant, resilient, and maintainable code
* 2\+ years of experience with data gathering and preparation for ML models
* 2\+ years of people leader experience
* 1\+ years of experience leading teams developing ML solutions using industry best practices, patterns, and automation
* Experience developing and deploying ML solutions in a public cloud such as AWS, Azure, or Google Cloud Platform
* Experience designing, implementing, and scaling complex data pipelines for ML models and evaluating their performance
* ML industry impact through conference presentations, papers, blog posts, open source contributions, or patents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$179,400 \- $204,700 for Lead Machine Learning Engineer  
New York, NY: $215,200 \- $245,600 for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
      <c r="A9" t="inlineStr">
        <is>
          <t>in-38265d4ca21ad0af</t>
        </is>
      </c>
      <c r="B9" t="inlineStr">
        <is>
          <t>Machine Learning Engineer</t>
        </is>
      </c>
      <c r="C9" t="inlineStr">
        <is>
          <t>Micron Technology</t>
        </is>
      </c>
      <c r="D9" t="inlineStr">
        <is>
          <t>indeed</t>
        </is>
      </c>
      <c r="E9" t="inlineStr"/>
      <c r="F9" t="inlineStr"/>
      <c r="G9" t="inlineStr">
        <is>
          <t>Boise, ID, US</t>
        </is>
      </c>
      <c r="H9" s="1" t="n">
        <v>46071</v>
      </c>
      <c r="I9" t="inlineStr">
        <is>
          <t>**Our vision is to transform how the world uses information to enrich life for** ***all*****.**
Micron Technology is a world leader in innovating memory and storage solutions that accelerate the transformation of information into intelligence, inspiring the world to learn, communicate and advance faster than ever.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more about Micron, please visit**micron.com/careers**
For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AI alert**:** Candidates are encouraged to use AI tools to enhance their resume and/or application materials. However, all information provided must be accurate and reflect the candidate's true skills and experiences. Misuse of AI to fabricate or misrepresent qualifications will result in immediate disqualification.
Fraud alert: Micron advises job seekers to be cautious of unsolicited job offers and to verify the authenticity of any communication claiming to be from Micron by checking the official Micron careers website in the About Micron Technology, Inc.</t>
        </is>
      </c>
    </row>
    <row r="10">
      <c r="A10" t="inlineStr">
        <is>
          <t>in-77ea28bb19313647</t>
        </is>
      </c>
      <c r="B10" t="inlineStr">
        <is>
          <t>AI Engineer, Business Operations</t>
        </is>
      </c>
      <c r="C10" t="inlineStr">
        <is>
          <t>SK Life Science Inc.</t>
        </is>
      </c>
      <c r="D10" t="inlineStr">
        <is>
          <t>indeed</t>
        </is>
      </c>
      <c r="E10" t="inlineStr"/>
      <c r="F10" t="inlineStr"/>
      <c r="G10" t="inlineStr">
        <is>
          <t>Paramus, NJ, US</t>
        </is>
      </c>
      <c r="H10" s="1" t="n">
        <v>46076</v>
      </c>
      <c r="I10" t="inlineStr">
        <is>
          <t>Overview:
The AI Engineer, Biz Ops will build the AI‑powered services that form the backbone of our decision‑intelligence platform. In this role, you will take AI models developed by AI Scientists and transform them into scalable, production‑ready applications by designing inference pipelines, APIs, and supporting data flows.
You will work closely with Data Engineers to integrate model pipelines with the broader data ecosystem and collaborate with business operations and commercial teams to convert manual, step\-driven workflows into AI‑native services. This includes building reliable batch and real‑time inference systems that generate measurable impact across business operations—not limited to any specific domain.
This is a high‑impact role for engineers who enjoy turning research into products, hardening systems for real‑world use, and building the engineering layer that enables AI to operate at scale. While not required, an interest in or exposure to MLOps practices is strongly preferred.
Responsibilities:
* Productionize AI/ML models into scalable services (e.g., APIs, batch inference, streaming inference) with strong standards for reliability and performance.
* Collaborate with AI Scientists to convert research prototypes into production‑ready components (feature computation, preprocessing, post\-processing, evaluation loops).
* Integrate models with data pipelines built by Data Engineers and ensure seamless end‑to‑end flow from raw data to AI‑driven output.
* Build and maintain inference pipelines using Python and orchestration frameworks (e.g., Airflow), supporting deployment across cloud and on‑prem environments.
* Implement CI/CD, containerization, and automated testing to ensure safe, repeatable, and automated model deployments.
* Establish monitoring and observability for models and services (system metrics, data drift, performance regression, alerting).
* Partner with BizOps and Commercial stakeholders to transform manual workflows into AI‑enabled services that improve operational decision‑making.
* Optimize end\-to\-end model serving latency, throughput, and cost using packaging strategies, scaling policies, caching, and parallelization.
* Contribute to documentation, reusable templates, and engineering best practices to accelerate AI adoption across the organization.
Qualifications:
* **Education**: Bachelor’s degree or higher in Computer Science, Engineering, or related technical field.
* **Experience**: 3\+ years of software engineering experience, including building or deploying AI systems in production environments.
* **Skills**:
* + Strong proficiency in Python for services, pipelines, and ML tooling.
* Experience deploying AI models in production across on‑prem or cloud environments (AWS or Azure).
* Experience with big‑data and orchestration frameworks (e.g., Spark, Airflow) for scalable pipelines.
* Strong understanding of software engineering best practices including CI/CD, containerization (Docker, Kubernetes), automated testing, and version control.
* Experience with model optimization techniques such as ONNX / ONNX Runtime, model quantization, or other performance‑oriented inference tooling.
 **Strongly Preferred*** Interest or exposure to MLOps concepts (model registries, feature stores, experiment tracking, automated retraining, monitoring).
* Master’s degree or higher in a relevant field.
* Experience in regulated industries (e.g., biopharma, healthcare, and finance).
* A portfolio of launched AI/ML projects or contributions to production of AI systems.
* Proficiency in SQL and familiarity with modern data warehouses such as Snowflake.
 **Who Thrives in This Role**
* Engineers who enjoy transforming research into resilient, user‑facing products.
* Builders who balance rapid iteration with production‑grade engineering standards.
* Collaborators who can partner with business teams to convert manual workflows into scalable AI services.
* Pragmatic problem‑solvers who can operate autonomously and drive impact in ambiguous, cross‑functional settings.</t>
        </is>
      </c>
    </row>
    <row r="11">
      <c r="A11" t="inlineStr">
        <is>
          <t>in-144e6727ca38d104</t>
        </is>
      </c>
      <c r="B11" t="inlineStr">
        <is>
          <t>Identity AI / ML Engineer</t>
        </is>
      </c>
      <c r="C11" t="inlineStr">
        <is>
          <t>Openkyber</t>
        </is>
      </c>
      <c r="D11" t="inlineStr">
        <is>
          <t>indeed</t>
        </is>
      </c>
      <c r="E11" t="inlineStr"/>
      <c r="F11" t="inlineStr"/>
      <c r="G11" t="inlineStr">
        <is>
          <t>AK, US</t>
        </is>
      </c>
      <c r="H11" s="1" t="n">
        <v>46076</v>
      </c>
      <c r="I11" t="inlineStr">
        <is>
          <t>Hiring: W2 Candidates Only Visa: Open to any visa type with valid work authorization in the USA Summary A Machine Learning Engineer is responsible for designing, building, and deploying predictive models and AI\-driven solutions that support business objectives. This role focuses on developing scalable machine learning systems, optimizing model performance, and integrating intelligent solutions into production applications.
**Key Responsibilities:**
* Design, develop, and implement machine learning models and AI solutions for real\-world business use cases.
* Train, test, and evaluate models using large, complex datasets to ensure accuracy and reliability.
* Collaborate with data scientists, data engineers, and software developers to build end\-to\-end ML pipelines.
* Optimize algorithms and workflows for performance, scalability, and cost efficiency.
* Deploy machine learning models into production environments using MLOps best practices.
* Monitor model performance, drift, and accuracy; retrain and fine\-tune models as needed.
* Build and maintain feature engineering pipelines and data preprocessing workflows.
* Document models, assumptions, architectures, and methodologies for transparency and reproducibility.
* Research, evaluate, and apply emerging machine learning techniques, tools, and frameworks.
* Ensure compliance with ethical AI standards, data privacy policies, and regulatory requirements.
* Integrate ML solutions with enterprise applications, APIs, and cloud platforms.
* Conduct A/B testing and experimentation to validate model effectiveness.
* Troubleshoot model failures and collaborate with engineering teams to resolve production issues.
* Support automation and intelligent decision\-making across business processes.
* Provide technical guidance on best practices for developing, deploying, and maintaining ML systems.
* Mentor junior engineers and contribute to team knowledge sharing and innovation.
**Qualifications:**
Bachelor s or Master s degree in Data Science, Computer Science, Artificial Intelligence, or a related field. 3\-5 years of hands\-on experience in machine learning, AI, or advanced analytics roles. Proficiency in Python, R, and machine learning frameworks such as TensorFlow, PyTorch, or Scikit\-learn. Strong foundation in statistics, probability, and linear algebra. Experience working with large datasets and building production\-grade ML systems.
**Preferred Skills / Duties:**
* Knowledge of natural language processing (NLP), computer vision, deep learning, or reinforcement learning.
* Experience with cloud\-based ML platforms and services (AWS SageMaker, Azure ML, Google AI Platform).
* Familiarity with MLOps tools for model deployment, monitoring, and versioning.
* Ability to translate complex business problems into effective machine learning solutions.
* Strong communication, collaboration, and stakeholder engagement skills.
* Experience with data pipelines, feature stores, and model lifecycle management.
**For applications and inquiries, contact:** hirings@openkyber.com</t>
        </is>
      </c>
    </row>
    <row r="12">
      <c r="A12" t="inlineStr">
        <is>
          <t>in-8e1ec3d8bdc15665</t>
        </is>
      </c>
      <c r="B12" t="inlineStr">
        <is>
          <t>Identity AI / ML Engineer</t>
        </is>
      </c>
      <c r="C12" t="inlineStr">
        <is>
          <t>Openkyber</t>
        </is>
      </c>
      <c r="D12" t="inlineStr">
        <is>
          <t>indeed</t>
        </is>
      </c>
      <c r="E12" t="inlineStr"/>
      <c r="F12" t="inlineStr"/>
      <c r="G12" t="inlineStr">
        <is>
          <t>AK, US</t>
        </is>
      </c>
      <c r="H12" s="1" t="n">
        <v>46076</v>
      </c>
      <c r="I12" t="inlineStr">
        <is>
          <t>**job summary:** Has worked in an Agile environment that uses the Scrum Methodology and is experienced with the related events and artifacts Has effectively worked in a global, team\-based environment with team members in various locations and countries. Demonstrated ability to work across business, BI, ML, Data Ops, and Architecture teams to align on standards, data contracts, SLAs, and shared operating mechanisms.
**location:** Roanoke, Texas
**job type:** Contract
**salary:** $51 \- 52 per hour
**work hours:** 8am to 5pm
**education:** Bachelors
**responsibilities:** Collaborating with business stakeholders to gather and analyze business and functional requirements and confirm these via meaningful artifacts (Business Requirements documents, process flows and data flow diagrams, use cases, etc.) Translating business goals into end\-to\-end system and data requirements, including field\-level definitions, data rules, and non\-functional requirements. Partnering with BI engineers , Data engineers and ML Engineers to define and maintain detailed source\-to\-target data mappings, interface contracts, and data lineage from source systems through integration layers to downstream warehouses and reports. Contributing to the documentation and maintenance of end\-to\-end data and process lineage (from Oracle/Snowflake/S3 through transformations, BI assets and ML pipelines to operational workflows), and coordinating impact analysis for upstream schema or logic changes. Performing cost\-benefit analyses to ensure technology investments for the given business requirements are strategically aligned, financially sound, and deliver maximum business value Converting business requirements into actionable delivery plans with defined milestones and timelines for both system and data work Identifying and managing risks and dependencies for planned work Implementing delivery plans through quarterly planning and backlog management Managing product backlogs using collaborative tools including JIRA, Confluence, PowerPoint, Excel, and SharePoint Translating complex business and data requirements into user stories with well\-defined business value and acceptance criteria and test conditions (including data validation and report acceptance). Leading team refinement sessions to ensure stories are clear and ready for sprint planning Defining story acceptance tests in collaboration with the team, applying Acceptance Test Driven Development (ATDD) principles during refinement. Ownership of user story sign\-off, ensuring the delivery meets the requirements and has passed all tests (automated and manual) Proactively identifying opportunities for process and system improvements to extend the value delivered to your business partners Where Needed \- Participation in End\-to\-End test activities to ensure functionality is working per the requirements
**qualifications:** Financial services industry knowledge and experience is highly desirable, investment management and/or wealth management domain knowledge a plus Strong experience working with data in support of analytics and reporting use cases, including: Hands\-on experience with relational databases and SQL for analysis, profiling, and data validation. Understanding of data modeling concepts (e.g., star and snowflake schemas, dimensions and facts) and how they support BI/reporting. Experience defining or supporting BI/reporting solutions (e.g., Power BI, Tableau, or similar), including KPIs, drill\-downs, and filters. Experience working with or around ML/LLM solutions (or strong interest and aptitude to learn), including helping to define data requirements, success criteria, and basic monitoring/adoption needs for models and AI\-driven reports, in partnership with ML Engineers. Excellent written and verbal communication skills Strong analytical and problem\-solving skills with the ability to reason about complex systems and data flows. Able to understand the technology and software architecture of an application Experience with various tools that assist in analysis and testing including SQL Developer, Insomnia, Kafka \- Offset Explorer, and Datadog for data validation and debugging, Jira and Confluence. Willingness to dive in and understand code for analysis and support purposes Familiarity with modern AI tools and their application in analysis (e.g., using LLMs to support impact analysis, documentation, testing, or incident diagnostics) is desirable. Equal Opportunity Employer: Race, Color, Religion, Sex, Sexual Orientation, Gender Identity, National Origin, Age, Genetic Information, Disability, Protected Veteran Status, or any other legally protected group status. At OpenKyber,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OpenKyber offers a comprehensive benefits package, including: medical, prescription, dental, vision, AD\&amp;D, and life insurance offerings, short\-term disability, and a 401K plan (all benefits are based on eligibility). This posting is open for thirty (30\) days.
**For applications and inquiries, contact:** hirings@openkyber.com</t>
        </is>
      </c>
    </row>
    <row r="13">
      <c r="A13" t="inlineStr">
        <is>
          <t>in-19e9db4cea631abe</t>
        </is>
      </c>
      <c r="B13" t="inlineStr">
        <is>
          <t>Artificial Intelligence &amp; Machine Learning Engineer, Junior</t>
        </is>
      </c>
      <c r="C13" t="inlineStr">
        <is>
          <t>Booz Allen Hamilton</t>
        </is>
      </c>
      <c r="D13" t="inlineStr">
        <is>
          <t>indeed</t>
        </is>
      </c>
      <c r="E13" t="inlineStr"/>
      <c r="F13" t="inlineStr"/>
      <c r="G13" t="inlineStr">
        <is>
          <t>Charleston, SC, US</t>
        </is>
      </c>
      <c r="H13" s="1" t="n">
        <v>46076</v>
      </c>
      <c r="I13" t="inlineStr">
        <is>
          <t>Artificial Intelligence \&amp; Machine Learning Engineer, Junior**The Opportunity:**
Machine learning (ML) is critical to understanding and processing massive datasets. Your ability to conduct statistical analyses on business processes using ML techniques makes you an integral part of delivering a customer\-focused solution. We need your technical knowledge and desire to solve problems to support the next generation of systems. As a machine learning engineer on our team, you’ll train, test, deploy, and maintain models that learn from data.
In this role, you’ll own and define the direction of mission\-critical solutions by applying best\-fit ML algorithms and technologies. You’ll be part of a large community of machine learning engineers across the company and collaborate with data engineers, data scientists, solutions architects, and subject matter experts to deliver world\-class solutions to process data and information to provide near real\-time analysis. Your advanced and extensive technical expertise will guide clients as they navigate the landscape of ML algorithms, tools, and frameworks.
Work with us to solve real\-world challenges and define ML strategy.
Join us. The world can’t wait.
**You Have:**
* Experience in AI, Python programming, and deep learning frameworks such as PyTorch, MXNet, TensorFlow, or Keras, and big data technologies such as Hive, PySpark, Synapse, or Databricks
* Experience developing Natural Language Processing (NLP), Large Language Model (LLM), or Retrieval\-Augmented Generation (RAG) enabled solutions
* Knowledge of AI\-enabled systems
* Knowledge of AI concepts such as clustering, regression, algorithm selection, and evaluation
* Ability to address unbounded technical issues
* Ability to obtain and maintain a Public Trust or Suitability/Fitness determination based on client requirements
* HS diploma or GED
**Nice If You Have:**
* Experience working with API services for serving NLP and analytical models such as Flask or Fast API
* Experience with DevOps tools such as Docker, K8s, or Gitlab CI/CD
* Experience with HTML, CSS, and front\-end web frameworks
* Experience with Amazon Web Services (AWS) or Azure AI ML Services such as Bedrock and Sagemaker
* Experience working in enterprise systems
* Experience with Data Operations such as analytics, engineering, or platform
* Knowledge of artificial intelligence principles and practices, including deploying ML models into production
* Ability to evaluate algorithm performance
* Bachelor's degree
* Security\+, Cloud, Software Development, AI and ML, Computer Vision, Deep Learning, or NLP Certification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$55,300\.00 to $126,000\.00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4">
      <c r="A14" t="inlineStr">
        <is>
          <t>in-2b37a599430fcece</t>
        </is>
      </c>
      <c r="B14" t="inlineStr">
        <is>
          <t>Sr. AI/ML Engineer-5</t>
        </is>
      </c>
      <c r="C14" t="inlineStr">
        <is>
          <t>Realign</t>
        </is>
      </c>
      <c r="D14" t="inlineStr">
        <is>
          <t>indeed</t>
        </is>
      </c>
      <c r="E14" t="inlineStr"/>
      <c r="F14" t="inlineStr"/>
      <c r="G14" t="inlineStr">
        <is>
          <t>San Francisco, CA, US</t>
        </is>
      </c>
      <c r="H14" s="1" t="n">
        <v>46077</v>
      </c>
      <c r="I14" t="inlineStr">
        <is>
          <t>San Francisco, California 94016 Posted February 25th, 2026
 Looking for more job opportunities? Click here!
Job Type: Contract
Job Category: IT
Job Description
**Role: Sr. AI/ML Engineer**
* **Experience** – 10\+ Years
* **Location** \- San Francisco, CA – LOCALS Only
**Required Qualifications**  
* Deep expertise in Machine Learning, Generative AI, LLMs, RAG, and AI orchestration.
* Strong understanding of Azure OpenAI, AWS Bedrock, or similar platforms.
* Experience deploying AI in regulated environments.
* Hands\-on architectural and engineering leadership capabilities.
* Strong communication skills with VP/Senior Director stakeholders.
 Preferred Qualifications  
* 12\+ years in AI/ML, data engineering, or digital transformation.
* Prior experience leading enterprise AI programs.
* Utility domain experience (wildfire, grid, operations).
* Knowledge of Responsible AI frameworks (NIST AI RMF, ISO 42001\).
**Roles \&amp; Responsibilities**  
**Role Overview**  
Utilities are accelerating their enterprise AI adoption across Operations, Customer Experience, Wildfire Safety, Regulatory, and IT. The AI Lead will serve as the strategic driver for enterprise AI transformation—defining vision, governance, enterprise architecture, and leading delivery of high\-impact GenAI and ML solutions. **Key Responsibilities**  
* Define the enterprise AI vision, roadmap, and operating model.
* Identify and prioritize AI/ML/GenAI opportunities across business units.
* Drive design and deployment of AI solutions including consultation agents, hazard detection, regulatory Q\&amp;A automation, and contact center assistants.
* Establish AI governance, compliance, model risk management, and auditability frameworks.
* Lead cross\-functional AI programs spanning IT, Operations, Customer Care, Regulatory, Safety, and Field Ops.
* Mentor and guide data scientists, ML engineers, architects, and product owners.
* Promote AI literacy, change management, and best practices across the enterprise.
Required Skills
DEVOPS ENGINEER
 SENIOR EMAIL SECURITY ENGINEER</t>
        </is>
      </c>
    </row>
    <row r="15">
      <c r="A15" t="inlineStr">
        <is>
          <t>in-a978f7ef0b767bb9</t>
        </is>
      </c>
      <c r="B15" t="inlineStr">
        <is>
          <t>Principal Applied Scientist</t>
        </is>
      </c>
      <c r="C15" t="inlineStr">
        <is>
          <t>Oracle</t>
        </is>
      </c>
      <c r="D15" t="inlineStr">
        <is>
          <t>indeed</t>
        </is>
      </c>
      <c r="E15" t="inlineStr"/>
      <c r="F15" t="inlineStr"/>
      <c r="G15" t="inlineStr">
        <is>
          <t>US</t>
        </is>
      </c>
      <c r="H15" s="1" t="n">
        <v>46076</v>
      </c>
      <c r="I15" t="inlineStr">
        <is>
          <t>Responsible AI: Principal Applied Scientist. We are seeking an exceptional Principal Applied Scientist with deep expertise in Responsible AI to join our fast\-growing AI/ML research team. In this role, you will drive the development and evaluation of scalable safeguards for foundation models, with a focus on large language or multi\-modal models (LLMs/ LMMs). Your work will directly influence how we design, deploy, and monitor trustworthy AI systems across a broad range of products.
**What You’ll Do**
* Conduct cutting\-edge research and development in Responsible AI, including fairness, robustness, explainability, and safety for generative models
* Design and implement safeguards, red teaming pipelines, and bias mitigation strategies for LLMs and other foundation models
* Contribute to the fine\-tuning and alignment of LLMs using techniques such as prompt engineering, instruction tuning, and RLHF/DPO
* Define and implement rigorous evaluation protocols (e.g., bias audits, toxicity analysis, robustness benchmarks)
* Collaborate cross\-functionally with product, policy, legal, and engineering teams to ensure Responsible AI principles are embedded throughout the model lifecycle
* Publish in top\-tier venues (e.g., NeurIPS, ICML, ICLR, ACL, CVPR) and represent the company in academic and industry forums
**Minimum Qualifications**
* Ph.D. in Computer Science, Machine Learning, NLP, or a related field, with publications in top\-tier AI/ML conferences or journals
* Hands\-on experience with LLMs including fine\-tuning, evaluation, and prompt engineering
* Demonstrated expertise in building or evaluating Responsible AI systems (e.g., fairness, safety, interpretability)
* Proficiency in Python and ML/DL frameworks such as PyTorch or TensorFlow
* Strong understanding of model evaluation techniques and metrics related to bias, robustness, and toxicity
* Creative problem\-solving skills with a rapid prototyping mindset and a collaborative attitude
**Preferred Qualifications (Nice to Have)**
* Experience with RLHF (Reinforcement Learning from Human Feedback) or other alignment methods
* Open\-source contributions in the AI/ML community
* Experience working with model guardrails, safety filters, or content moderation systems
**Why Join Us**
You’ll be working at the intersection of AI innovation and Responsible AI, helping shape the next generation of safe and trustworthy machine learning systems. If you’re passionate about ensuring AI benefits everyone—and you have the technical depth to back it up—we want to hear from you.  
\#LI\-AH4</t>
        </is>
      </c>
    </row>
    <row r="16">
      <c r="A16" t="inlineStr">
        <is>
          <t>in-fcd4d824813f7cb9</t>
        </is>
      </c>
      <c r="B16" t="inlineStr">
        <is>
          <t>Machine Learning Engineer - AI team</t>
        </is>
      </c>
      <c r="C16" t="inlineStr">
        <is>
          <t>Target</t>
        </is>
      </c>
      <c r="D16" t="inlineStr">
        <is>
          <t>indeed</t>
        </is>
      </c>
      <c r="E16" t="inlineStr"/>
      <c r="F16" t="inlineStr"/>
      <c r="G16" t="inlineStr">
        <is>
          <t>Brooklyn Park, MN, US</t>
        </is>
      </c>
      <c r="H16" s="1" t="n">
        <v>46076</v>
      </c>
      <c r="I16" t="inlineStr">
        <is>
          <t>The pay range is $75,400\.00 \- $135,700\.00
Pay is based on several factors which vary based on position. These include labor markets and in some instances may include education, work experience and certifications. In addition to your pay, Target cares about and invests in you as a team member, so that you can take care of yourself and your family. Target offers eligible team members and their dependents comprehensive health benefits and programs, which may include medical, vision, dental, life insurance and more, to help you and your family take care of your whole selves. Other benefits for eligible team members include 401(k), employee discount, short term disability, long term disability, paid sick leave, paid national holidays, and paid vacation. Find competitive benefits from financial and education to well\-being and beyond at https://corporate.target.com/careers/benefits.
**JOIN TARGET AS A MACHINE LEARNING ENGINEER**
**About Us****:**
Working at Target means helping all families discover the joy of everyday life. We bring that vision to life through our values and culture. Learn more about Target here.
Join our global in\-house Tech and Data Sciences team of more than 5,000 software engineers, applied data scientists, ML engineers and product managers striving to make Target the most convenient, safe and joyful place to shop. We use agile practices and leverage open\-source software to adapt and build best\-in\-class technology for our team members and guests.
As a ML/AI Engineer, you will join a Data Sciences team responsible for creating personalized recommendations on Target.com and the Target mobile app. You will play a crucial role in designing, implementing, and optimizing production machine learning solutions and the platforms supporting them. We will expect you to understand best practice software design, participate in code reviews, and create a maintainable well\-tested codebase with relevant documentation. At an organizational level, you will work in partnership with data scientists, engineers, and product managers to understand the business requirements and build solutions to meet business needs.
Core responsibilities of this job are articulated within this job description. Job duties may change at any time due to business needs.
**About you:**
* 4\-year degree in Quantitative disciplines (Science, Technology, Engineering, Mathematics) or equivalent work experience
* Demonstrated proficiency in Python or Java programming
* Familiarity with ML frameworks such as PyTorch, TensorFlow, XGBoost, and Scikit learning
* Familiarity with software design on Linux/Mac
* Familiarity with software version control such as Git, software test coverage practices and frameworks such as PyTest
* Extensive SQL querying experience
* Experience with CI/CD – Docker, Drone and Kubernetes
* Understanding the end\-to\-end model lifecycle including data ingestion and processing, feature extraction and selection, model training and tuning, model evaluation, and model deployment
* Excellent communication skills with the ability to clearly tell data driven stories through appropriate visualizations, graphs, and narratives
* Self\-driven and results oriented; able to meet deadlines
* Motivated team player with ability to collaborate effectively across global team
**Bonus Points:**
* MS in Computer Science, Applied Mathematics, Stats, Physics or equivalent industry experience
* Familiarity with cloud ML Ops services such as Vertex AI/Azure ML/Sagemaker
* Proficiency in Python, PySpark, and/or Scala
* Experience in end\-to\-end Machine Learning application development, including data pipelining, model optimization, deployment, and API design
This position will operate as a Hybrid/Flex for Your Day work arrangement based on Target’s needs. A Hybrid/Flex for Your Day work arrangement means the team member’s core role will need to be performed both onsite at the Target HQ MN location the role is assigned to and virtually, depending upon what your role, team and tasks require for that day. Work duties cannot be performed outside of the country of the primary work location, unless otherwise prescribed by Target. Click here if you are curious to learn more about Minnesota.
**Benefits Eligibility**
Please paste this url into your preferred browser to learn about benefits eligibility for this role: https://tgt.biz/BenefitsForYou\_D**Americans with Disabilities Act (ADA)**
In compliance with state and federal laws, Target will make reasonable accommodations for applicants with disabilities. If a reasonable accommodation is needed to participate in the job application or interview process, please reach out to candidate.accommodations@HRHelp.Target.com. Non\-accommodation\-related requests, such as application follow\-ups or technical issues, will not be addressed through this channel.
Application deadline is : 03/22/2026</t>
        </is>
      </c>
    </row>
    <row r="17">
      <c r="A17" t="inlineStr">
        <is>
          <t>in-bf08b684bc9d8d1a</t>
        </is>
      </c>
      <c r="B17" t="inlineStr">
        <is>
          <t>AI Engineer</t>
        </is>
      </c>
      <c r="C17" t="inlineStr">
        <is>
          <t>Archarithms Inc</t>
        </is>
      </c>
      <c r="D17" t="inlineStr">
        <is>
          <t>indeed</t>
        </is>
      </c>
      <c r="E17" t="inlineStr"/>
      <c r="F17" t="inlineStr"/>
      <c r="G17" t="inlineStr">
        <is>
          <t>Huntsville, AL, US</t>
        </is>
      </c>
      <c r="H17" s="1" t="n">
        <v>46076</v>
      </c>
      <c r="I17" t="inlineStr">
        <is>
          <t>**WE ARE ARCARITHM**, **and we are changing the world!**
If you are ready to grow your career and change the world with us, then join the Arcarithm team!
We are located in beautiful, downtown Huntsville, AL, one of the fastest growing cities in the U.S.! At Arcarithm, we cultivate and foster an environment of integrity, open communication, work life balance, and career development. We are committed to investing in our employees by offering comprehensive health insurance options, a generous 401K plan, competitive salaries, continuous career growth opportunities, flexible schedules including remote work, mentoring and performance incentives.
 Arcarithm is currently seeking top talent in the areas of full stack software development, artificial intelligence, optimization, and data analytics. You will work in a dynamic and challenging environment alongside our customers which include Lockheed Martin, General Dynamics, Northrop Grumman, Raytheon, US Army, US Navy, US Air Force, the Missile Defense Agency, and NASA on cutting edge technologies including machine learning, augmented and virtual reality, big data analytics, and more!
 We are excited to continue to change and improve the world through innovation and technology!
Contact us today to hear more about Arcarithm and all we offer!
**Job Title: AI Engineer**
**Job Location: Huntsville, AL**
**Job Summary:**
The successful candidate will work as a team member to Develop and utilizes simulations and models. Evaluates tools, technologies, architectures, models, and test results. Heads meetings regarding AI with external parties and internal business\-embedded innovation teams. Collaborates with lead engineers to define subsystem requirements and acceptance criteria.
**Job Duties:**
* Support the Project Managers managing large and complex capital improvement projects in an assigned branch.
* Prepare and provide reports for that assist the Project Managers with tracking and control of the scope of work, resource utilization, schedules, and work accomplishments.
 The AI Engineer is responsible for designing, developing, testing, and maintaining artificial intelligence (AI) systems and applications. General responsibilities include:
* Designing and implementing machine learning models using various programming languages such as Python, R, Java, JavaScript or C\+\+.
* Collaborating with data scientists to develop algorithms for training AI models.
* Conducting research on new technologies in the field of AI and applying them to improve existing systems.
* Optimizing AI models for performance, scalability, and efficiency.
* Integrating AI solutions into various software applications or platforms.
* Collaborating with cross\-functional teams such as product managers, UX designers, and data analysts to ensure the successful deployment of AI projects.
* Ensuring that AI systems are secure, reliable, and adhere to ethical guidelines.
* Staying up\-to\-date on industry trends and best practices in AI development.
* Providing technical guidance and mentorship to junior engineers or interns.
* Documenting code, models, and processes for future reference and collaboration with other team members.
* Perform other related duties as required.
**Basic Qualifications:**
* BS Degree: AI Engineers candidates should hold a Bachelor's or Master's Degree in Computer Science, Electrical Engineering, Mathematics, Statistics, Robotics, Artificial Intelligence, Machine Learning, Data Science, or related technical field from an accredited university.
* 1 to 3 years of relevant experience or any equivalent combination of relevant education and experience.
* Current U. S. Citizenship is required.
* DoD Secret security clearance
* Strong written and verbal communication skills.
* Strong Microsoft Office skills.</t>
        </is>
      </c>
    </row>
    <row r="18">
      <c r="A18" t="inlineStr">
        <is>
          <t>in-0270ac4b349b6312</t>
        </is>
      </c>
      <c r="B18" t="inlineStr">
        <is>
          <t>Machine Learning Engineer</t>
        </is>
      </c>
      <c r="C18" t="inlineStr">
        <is>
          <t>SAP</t>
        </is>
      </c>
      <c r="D18" t="inlineStr">
        <is>
          <t>indeed</t>
        </is>
      </c>
      <c r="E18" t="inlineStr"/>
      <c r="F18" t="inlineStr"/>
      <c r="G18" t="inlineStr">
        <is>
          <t>Palo Alto, CA, US</t>
        </is>
      </c>
      <c r="H18" s="1" t="n">
        <v>46076</v>
      </c>
      <c r="I18"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do:**
Summary:
At SAP, we amplify the strength of AI technology, fusing it with our robust industry\-focused data and profound process knowledge. Our vision is to infuse every SAP application with sophisticated AI capabilities, revolutionizing the way businesses operate. Large Language Models (LLMs) hold immense potential to change the way we work and develop products. They are reshaping the landscape of Machine Learning across various domains. Our goal is to combine the power of LLMs with Knowledge Graphs for business AI problems in SAP applications.
We are building a nimble and versatile engineering team to empower our Data Scientists within the AI Foundations and Research team. This team will be responsible for developing cutting\-edge tools, providing development resources for proof\-of\-concept projects, and collaborating on groundbreaking Gen AI initiatives. Our ultimate objective is to expedite the development and implementation of innovative Gen AI features throughout SAP. Join us in this exciting journey of revolutionizing the future of AI!
As an ML Engineer on this team you will be responsible for helping to design and implement a variety of projects around the GenAI space.
The Role:
* Collaborate with the team to craft solutions to the many challenges facing our Data Scientist partners.
* Work closely with SAP data scientists to understand their projects and their needs.
* Follow and help define architectural / coding best practices and participate in software design and code reviews with the development team consisting of frontend\-, backend\-, full\-stack, Dev\-Ops and AI engineers.
* Support the product team with technical feasibility analysis, solution proposals, and ballpark effort estimations.
 **What you bring:**
Required:
* Bachelor, degree in Computer Science, Artificial Intelligence, or other relevant disciplines.
* Experience in developing data\-driven microservices, APIs, CI/CD pipelines, Data pipelines, TDD, hands\-on experience with docker containers and Kubernetes, familiar with one of the cloud providers.
* At least 3\+ years of professional experience as developer.
* Strong knowledge in Java, Python and NodeJs.
* Experience with Python in Linux\-based environments, Git, and ML frameworks (PyTorch/TensorFlow)
* Experience in data analysis and visualization and strong knowledge in SQL or Postgres.
* Ability to work in an agile environment using SCRUM methodology.
* Strong communication and collaboration skills, with the ability to work effectively in cross\-cultural teams.
Preferred:
* Experience in designing, developing, deploying, and testing multi\-tenant business applications in the cloud with a focus on backend infrastructure.
* Experience in developing data\-driven microservices, APIs, CI/CD pipelines, TDD, hands\-on experience with docker containers and Kubernetes, familiar with one of the cloud providers.
* Experience in data science or data engineering
* Knowledge about the SAP Business Technology Platform
* Familiarity with JSON, Git, docker, Kubernetes, AWS, GCP.
 **Meet your team:**
* The SAP's Business AI organization is dedicated to seamlessly infusing AI into all enterprise applications, enabling customers, partners, and developers to enhance business processes and generate remarkable business value. Join our international AI team where innovation thrives, opportunities for personal development abound, and exceptional colleagues collaborate globally.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122400 \- 208000(USD)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447793 \| Work Area: Software\-Design and Development \| Expected Travel: 0 \- 10% \| Career Status: Professional \| Employment Type: Regular Full Time \| Additional Locations: \#LI\-Hybrid</t>
        </is>
      </c>
    </row>
    <row r="19">
      <c r="A19" t="inlineStr">
        <is>
          <t>in-75b1040dc0689b71</t>
        </is>
      </c>
      <c r="B19" t="inlineStr">
        <is>
          <t>Principal Machine Learning Engineer</t>
        </is>
      </c>
      <c r="C19" t="inlineStr">
        <is>
          <t>SAP</t>
        </is>
      </c>
      <c r="D19" t="inlineStr">
        <is>
          <t>indeed</t>
        </is>
      </c>
      <c r="E19" t="inlineStr"/>
      <c r="F19" t="inlineStr"/>
      <c r="G19" t="inlineStr">
        <is>
          <t>Palo Alto, CA, US</t>
        </is>
      </c>
      <c r="H19" s="1" t="n">
        <v>46076</v>
      </c>
      <c r="I1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do:**
Summary:
At SAP, we amplify the strength of AI technology, fusing it with our robust industry\-focused data and profound process knowledge. Our vision is to infuse every SAP application with sophisticated AI capabilities, revolutionizing the way businesses operate. Large Language Models (LLMs) hold immense potential to change the way we work and develop products. They are reshaping the landscape of Machine Learning across various domains. Our goal is to combine the power of LLMs with Knowledge Graphs for business AI problems in SAP applications.
We are building a nimble and versatile engineering team to empower our Data Scientists within the AI Foundations and Research team. This team will be responsible for developing cutting\-edge tools, providing development resources for proof\-of\-concept projects, and collaborating on groundbreaking Gen AI initiatives. Our ultimate objective is to expedite the development and implementation of innovative Gen AI features throughout SAP. Join us in this exciting journey of revolutionizing the future of AI!
As a Machine Learning Engineer Expert you will be responsible for guiding the team, providing direction and designs and support while also being a hands on developer.
The Role:
* Work closely with SAP data scientists to understand their projects and their needs.
* Create high level requirements and designs.
* Define and implement architectural / coding best practices and participate in software design and code reviews with the development team consisting of frontend\-, backend\-, full\-stack, Dev\-Ops and ML engineers.
* Guide developers while giving them space to learn and grow
* Support the product team with technical feasibility analysis, solution proposals, and ballpark effort estimations.
* Support customer workshops and engagements with holistic architecture and solution integration expertise
* Communicate with central architecture teams inside SAP for software design and integration tasks
* Stay on top of technology trends and actively participate in the SAP Expert community to share knowledge.
 **What you bring:**
Required:
* Bachelor, Master or Ph.D. degree in Computer Science, Artificial Intelligence, or other relevant disciplines.
* Proven experience in designing, developing, deploying, and testing multi\-tenant business applications in the cloud with a focus on backend infrastructure.
* Experience in developing data\-driven microservices, APIs, CI/CD pipelines, TDD, hands\-on experience with docker containers and Kubernetes, familiar with one of the cloud providers.
* At least 8\+ years of professional experience as developer.
* Proven ability to work in an agile environment using SCRUM methodology
* Strong communication and collaboration skills, with the ability to work effectively in cross\-cultural teams.
Preferred:
* Experience in designing, developing, deploying, and testing multi\-tenant business applications in the cloud with a focus on backend infrastructure.
* Experience in developing data\-driven microservices, APIs, CI/CD pipelines, TDD, hands\-on experience with docker containers and Kubernetes, familiar with one of the cloud providers.
* Experience in data science or data engineering
* Knowledge about the SAP Business Technology Platform
* Familiarity with JSON, Git, docker, Kubernetes, AWS, GCP.
 **Meet your team:**
* The SAP's Business AI organization is dedicated to seamlessly infusing AI into all enterprise applications, enabling customers, partners, and developers to enhance business processes and generate remarkable business value. Join our international AI team where innovation thrives, opportunities for personal development abound, and exceptional colleagues collaborate globally.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247000 \- 420000(USD)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447794 \| Work Area: Software\-Design and Development \| Expected Travel: 0 \- 10% \| Career Status: Professional \| Employment Type: Regular Full Time \| Additional Locations: \#LI\-Hybrid</t>
        </is>
      </c>
    </row>
    <row r="20">
      <c r="A20" t="inlineStr">
        <is>
          <t>in-2e29df47a48a09ab</t>
        </is>
      </c>
      <c r="B20" t="inlineStr">
        <is>
          <t>AI/ML Engineer</t>
        </is>
      </c>
      <c r="C20" t="inlineStr">
        <is>
          <t>KBR</t>
        </is>
      </c>
      <c r="D20" t="inlineStr">
        <is>
          <t>indeed</t>
        </is>
      </c>
      <c r="E20" t="inlineStr"/>
      <c r="F20" t="inlineStr"/>
      <c r="G20" t="inlineStr">
        <is>
          <t>Lexington Park, MD, US</t>
        </is>
      </c>
      <c r="H20" s="1" t="n">
        <v>46076</v>
      </c>
      <c r="I20" t="inlineStr">
        <is>
          <t>KBR’s Advanced Analytics and Cloud Program is seeking a **AI/ML Engineer \- Data Scientist** in **Fort Belvoir, VA** to support the Defense Technical Information Center (DTIC) on initiatives advancing knowledge graph engineering, retrieval\-augmented generation (RAG), GraphRAG, and AI/ML\-driven data discovery. This role is ideal for someone passionate about building cutting\-edge analytics capabilities for Department of War missions. As part of a multidisciplinary team of AI engineers, developers, and data scientists, you will collaborate directly with government stakeholders to design, prototype, and implement solutions using modern graph technologies, embeddings, and machine learning methods. Your work will shape the next generation of intelligent information systems across DoW environments.
**Roles \&amp; Responsibilities**
* Develop, optimize, and maintain knowledge graphs, ontologies, and graph\-based data pipelines.
* Build and deploy RAG and GraphRAG solutions enabling advanced semantic search and intelligent retrieval.
* Design and generate vector embeddings supporting entity linking, document similarity, and data enrichment.
* Conduct exploratory data analysis, model development, evaluation, and tuning.
* Work with government stakeholders to capture requirements and translate them into technical solutions.
* Contribute to the development of advanced AI/ML prototypes leveraging DoD data.
* Collaborate with cloud engineers, software developers, and fellow data scientists in an Agile environment.
* Prepare clear technical documentation, presentations, and demonstrations of analytics capabilities.
**Basic Qualifications**
* **Active SECRET clearance** (U.S. citizenship required; no visa sponsorship available).
* Bachelors degree in a technical field (Computer Science, Data Science, Engineering, Mathematics, etc.).
* 3\+ years of experience
* Security\+ Certification
* Experience with Bibliometric Analysis System \&amp; Research Organization Registrys (ROR)
* Experience with: Knowledge graphs (e.g., Neo4j, RDF, SPARQL, Property Graphs), RAG frameworks (ex: GraphRAG workflows, or LLM\-augmented semantic retrieval), Embeddings (e.g., sentence transformers, vector search, FAISS, Pinecone, Milvus)
* Proficiency with Python and common ML/AI libraries (e.g., PyTorch, TensorFlow, scikit\-learn).
* Experience developing APIs and integrating AI/ML solutions into operational systems.
**Preferred Quals**
* Experience supporting DoD, DTIC, or other government research/data missions
* Knowledge of cloud environments (AWS, Azure, or GovCloud)
* Familiarity with LLM\-based architectures, vector databases (FAISS, Pinecone, Milvus), or semantic search systems
* Experience with big data or distributed processing frameworks (Spark, Ray, Databricks)
* Background in NLP, document intelligence, information retrieval, or knowledge engineering
* Experience working in Agile or cross\-functional technical teams
* Master’s degree or higher in a relevant technical field
KBR may offer bonuses, commissions, or other forms of compensation to certain job titles or levels, per internal policy or contractual designation. Additional compensation may be in the form of sign on bonus, relocation benefits, short term incentives, long term incentives, or discretionary payments for exceptional performance.
**Benefits:** KBR offers a selection of competitive lifestyle benefits which could include a 401K plan with company match, medical, dental, vision, life insurance, AD\&amp;D, flexible spending account, disability, paid time off, or flexible work schedule. We support career advancement through professional training and development.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21">
      <c r="A21" t="inlineStr">
        <is>
          <t>in-d6082f020885d6fa</t>
        </is>
      </c>
      <c r="B21" t="inlineStr">
        <is>
          <t>Applied Scientist II</t>
        </is>
      </c>
      <c r="C21" t="inlineStr">
        <is>
          <t>Uber</t>
        </is>
      </c>
      <c r="D21" t="inlineStr">
        <is>
          <t>indeed</t>
        </is>
      </c>
      <c r="E21" t="inlineStr"/>
      <c r="F21" t="inlineStr"/>
      <c r="G21" t="inlineStr">
        <is>
          <t>New York, NY, US</t>
        </is>
      </c>
      <c r="H21" s="1" t="n">
        <v>46076</v>
      </c>
      <c r="I21" t="inlineStr">
        <is>
          <t>**About the Role**
This role is for the Brand Marketing Science team as an Applied Scientist. In this role, you will bridge the gap between complex data science and global business strategy, providing the measurement and optimization frameworks necessary to scale the Uber brand worldwide.
You will collaborate within a cross\-functional team\-partnering with Marketing, Research, Media, and Creative teams\-to transform data into actionable strategic insights. This is an opportunity to shape the future of how Uber communicates with its audience.
**Problems We Are Solving**  
* Long\-Term Quantification: How do we accurately isolate and quantify the multi\-year impact of brand\-building efforts on business health?
* Difficult\-to\-Measure Spaces: How can we apply scientific rigor to "black box" marketing channels like influencers, podcasts, and linear TV?
Geospatial Media Impact: What is the true incremental lift of high\-visibility media (e.g., billboards, airport takeovers) across varying suburban and urban contexts?  
* 
Ideal candidate combines deep technical expertise in experimentation, econometrics, and inference with the business acumen to align scientific roadmaps with top\-tier priorities.
**What the Candidate Will Need / Bonus Points**
\- What the Candidate Will Do \-  
* Develop and apply statistical and causal inference models to estimate the impact of marketing across various channels, markets, and test designs.
* Design custom tests and analyze results from complex experiments, including multi\-cell, market\-level (geo\-testing), and longitudinal designs.
* Contribute to foundational modeling efforts, such as hierarchical smoothing, aggregation across disparate tests, and developing robust methods for handling low\-signal or sparse data.
* Work closely with media, research, and marketing teams to develop actionable customer insights and inform campaign improvements throughout the course of the lifecycle by identifying optimization opportunities for creative and media teams.
* Design measurement frameworks for "hard\-to\-measure" spaces, developing scientific proxies for channels like influencers, podcasts, and linear TV.
* Evaluate and validate third\-party measurement vendors, ensuring their methodologies (e.g., natural, simulated, or forced exposure) meet Uber's internal standards for statistical rigor and representativeness.
\- Basic Qualifications \-  
* Bachelor's degree or higher in a quantitative field such as Statistics, Economics, Mathematics, Computer Science, or a related discipline.
* 2\+ years of experience applying statistical and causal inference methods to real\-world data in an applied setting.
* Strong foundation in statistical modeling, hypothesis testing, and experimental design, including A/B testing and synthetic control methods.
* Hands\-on experience designing, analyzing, and interpreting experiments, including evaluation of uncertainty, limitations, and tradeoffs.
* Proficiency in Python or R and SQL
* Ability to clearly communicate analytical insights to technical and non\-technical stakeholders and collaborate effectively in cross\-functional teams.
* Demonstrated ability to collaborate effectively in cross\-functional, fast\-moving environments.
* Curiosity and learning mindset, with demonstrated ability to ramp quickly on new domains, tools, or methodologies.
\- Preferred Qualifications \-  
* Bachelor's, Master's or PhD in a quantitative discipline (e.g., Statistics, Economics, Mathematics, Physics), or equivalent applied industry experience.
* Experience with advanced statistical or modeling techniques such as hierarchical / multi\-level models, time\-series analysis, or meta\-analysis.
* Experience with incrementality testing, geo\-experiments, or marketing measurement use cases (e.g., attribution, MMM, or related frameworks).
* Familiarity with marketing investment concepts such as elasticity, budget allocation, or cross\-channel tradeoffs.
Ability to independently drive scoped projects end\-to\-end with guidance, and operate effectively in ambiguous or evolving problem spaces.  
* 
For New York, NY\-based roles: The base salary range for this role is USD$161,000 per year \- USD$179,000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2">
      <c r="A22" t="inlineStr">
        <is>
          <t>in-c44f6e27671d0751</t>
        </is>
      </c>
      <c r="B22" t="inlineStr">
        <is>
          <t>Applied Scientist II</t>
        </is>
      </c>
      <c r="C22" t="inlineStr">
        <is>
          <t>Coalition Inc.</t>
        </is>
      </c>
      <c r="D22" t="inlineStr">
        <is>
          <t>indeed</t>
        </is>
      </c>
      <c r="E22" t="inlineStr"/>
      <c r="F22" t="inlineStr"/>
      <c r="G22" t="inlineStr">
        <is>
          <t>Austin, TX, US</t>
        </is>
      </c>
      <c r="H22" s="1" t="n">
        <v>46076</v>
      </c>
      <c r="I22" t="inlineStr">
        <is>
          <t>#### **About us**
Coalition is the world's first Active Insurance provider designed to help prevent digital risk before it strikes. Founded in 2017, Coalition combines comprehensive insurance coverage and innovative cybersecurity tools to help businesses manage and mitigate potential cyberattacks.
Opportunities to make an impact with bold thinking are real—and happening daily at Coalition.
#### **About the role**
We are hiring an Applied Scientist II to build and improve the machine learning and GenAI models that power our underwriting decisions. You will take ownership of high\-impact modeling problems end\-to\-end. This includes framing and data exploration through model design, evaluation, deployment, and monitoring, directly influencing how we assess and price cyber risk.
You'll work closely with underwriters, product managers, and engineers to design robust pipelines, experiment with state\-of\-the\-art ML/GenAI techniques, and ship models that meaningfully move business metrics. Your work will turn complex insurance and security signals into reliable decisioning systems, helping Coalition write better business at scale while pushing the frontier of AI in underwriting.
#### **Responsibilities**
* Build and advance our most sensitive and business\-critical ML and GenAI models that power underwriting decisions and risk selection.
* Drive and execute ML projects end\-to\-end: problem framing, data exploration, feature engineering, model design, prototyping, offline/online evaluation, deployment, and monitoring.
* Design and implement ML pipelines for data preprocessing, feature engineering, model training, hyperparameter tuning, and model evaluation, enabling rapid and reproducible experimentation.
* Apply state\-of\-the\-art ML and GenAI workflows (e.g., gradient\-boosted trees, deep learning, LLMs, prompt engineering, transfer learning) to improve underwriting accuracy, automation, and decision support.
* Own model quality and robustness by defining success metrics, running ablations and diagnostics, and iterating to outperform prior baselines.
* Survey and incorporate recent advances in ML/GenAI research into our core underwriting capabilities, balancing scientific rigor with practical constraints.
* Collaborate closely with underwriters, product, data, and engineering partners to clarify requirements, align on tradeoffs, and ensure models integrate cleanly into production workflows.
* Communicate methods and results clearly through documentation, presentations, and design reviews; share learnings and patterns that level up the broader team.
* Contribute to a culture of scientific and data excellence by bringing mature empathy, best practices, and lightweight processes to experimentation, code review, and model governance.
#### **Skills and Qualifications**
* Ph.D. or MS in a quantitative or computational field (e.g., Computer Science, Statistics, Applied Math, Electrical Engineering) or equivalent practical experience.
* 5\+ years of full\-time experience developing and deploying ML\- and data\-based solutions in production.
* Practical, hands\-on experience with supervised and unsupervised learning methods, including model selection, regularization, and calibration.
* Expertise in statistical analysis methods, especially regression analysis, statistical inference, and forecasting / time\-series methods.
* Strong proficiency in Python and core ML libraries (e.g., scikit\-learn, XGBoost/LightGBM, PyTorch/TensorFlow) and SQL for working with large, messy datasets.
* Experience with experiment design and evaluation (e.g., A/B tests, offline metrics vs. online KPIs, guardrails) and with ensuring reproducible results.
* Comfortable and effective in ambiguous problem spaces; demonstrated ability to own and drive projects with minimal oversight and process.
* Exceptional written and oral communication skills, with the ability to explain complex modeling choices and tradeoffs to technical and non\-technical stakeholders.
* Minimum 1\+ year of experience in insurance underwriting modeling (pricing, risk scoring, eligibility, or related applications).
#### **Bonus Points**
* Experience with modern GenAI techniques relevant to underwriting (e.g., using LLMs for document understanding, unstructured\-to\-structured extraction, or underwriter copilot workflows).
* Familiarity with model governance in regulated environments, including documentation, validation, monitoring, and change management.
* Experience with ML orchestration and MLOps tools (e.g., Airflow, Prefect, MLflow, SageMaker) for managing training, deployment, and monitoring at scale.
* Exposure to causal inference or uplift modeling for understanding the impact of underwriting or guideline changes.
* Experience working with cyber or P\&amp;C insurance data (exposures, limits, deductibles, claims, external risk signals).
#### **Compensation**
Our compensation reflects the cost of labor across several US geographic markets. The US base salary for this position ranges from $115,900/year in our lowest geographic market up to $155,250/year in our highest geographic market. Consistent with applicable laws, an employee's pay within this range is based on a number of factors, which include but are not limited to relevant education, skills, job\-related knowledge, qualifications, work experience, credentials, and/or geographic location. Your recruiter can share more on target salary for your location during the interview process. Coalition, Inc. reserves the right to modify this range as needed.
#### **Perks**
* 100% medical, dental and vision coverage
* Flexible PTO policy
* Annual home office stipend and WeWork access
* Mental \&amp; physical health wellness programs (One Medical, Headspace, Wellhub, and more)!
* Competitive compensation and opportunity for advancement
#### **Why Coalition?**
Work at Coalition is centered on the joint mission to Protect the Unprotected. We have built a remote\-first, highly inclusive culture that welcomes people from diverse backgrounds. We trust each other to take responsibility, share ownership of outcomes, and put in the work together to protect businesses from digital risk. Coalition's exceptional growth stems from its ability to address real\-world problems for organizations of all sizes while remaining true to our founding values of character, humility, responsibility, purpose, authenticity, and inclusion.
We're always looking for collaborative, inquisitive individuals to join \#OurCoalition.
Visit our Newsroom \&gt;
#### **Privacy Notice**
Coalition is committed to protecting your privacy and handling your personal information responsibly. We collect, use, and store personal information as necessary for the recruitment process and in compliance with applicable privacy laws and regulations in all regions where we operate. We want you to understand what personal information we collect, how we use it, and your rights regarding access, correction, and deletion of your data where applicable. Information submitted, collected, and processed as part of your application is subject to Coalition's Privacy Policy. For further details, please review our full Privacy Policy or contact us with any questions regarding how your information is handled.
Our Privacy Policy \&gt;
#### **Safe Hiring Notice**
All legitimate communication from Coalition comes from @coalitioninc.com emails, and open roles are listed only on our Careers page. We never ask for payment, banking details, or personal identification before an offer is accepted through our secure systems. If you believe you've been a victim of fraudulent recruiting, follow guidance from the Federal Trade Commission (FTC).
#### **Anti\-Discrimination Notice**
Coalition is proud to be an Equal Opportunity employer. Our policy is to provide equal employment opportunities to all individuals, without discrimination or harassment on the basis of any characteristic protected by applicable laws in each country where we operate. This commitment includes, but is not limited to, ensuring equal treatment in recruitment, selection, training, promotion, transfer, compensation, and all other aspects of employment. Coalition does not tolerate discrimination or harassment of any kind, and we are dedicated to fostering an inclusive and supportive workplace.
#### **Accommodations**
Coalition is committed to providing reasonable accommodations to qualified individuals with disabilities, including applicants and employees, in accordance with applicable laws and regulations in each country where we operate. Our policy is to support equal opportunity in the hiring process by considering qualified applicants regardless of disability or other protected characteristics, unless providing accommodation would impose an undue hardship or disproportionate burden. If you require accommodation to complete an application, interview, pre\-employment testing, or participate in the selection process, please contact us at candidateaccommodations@coalitioninc.com. We also consider all qualified applicants, including those with criminal histories, in line with applicable laws and regulations in each jurisdiction.
**To all recruitment agencies:** Coalition does not accept unsolicited agency resumes. Do not forward resumes to our email alias, employees, or other physical or virtual organization locations. Coalition is not responsible for any fees related to unsolicited resumes.</t>
        </is>
      </c>
    </row>
    <row r="23">
      <c r="A23" t="inlineStr">
        <is>
          <t>in-6c988cf5e8e74111</t>
        </is>
      </c>
      <c r="B23" t="inlineStr">
        <is>
          <t>Machine Learning Engineer III - Generative AI - Windreich Department of Artificial Intelligence &amp; Human Health Research</t>
        </is>
      </c>
      <c r="C23" t="inlineStr">
        <is>
          <t>Mount Sinai Health System</t>
        </is>
      </c>
      <c r="D23" t="inlineStr">
        <is>
          <t>indeed</t>
        </is>
      </c>
      <c r="E23" t="inlineStr"/>
      <c r="F23" t="inlineStr"/>
      <c r="G23" t="inlineStr">
        <is>
          <t>New York, NY, US</t>
        </is>
      </c>
      <c r="H23" s="1" t="n">
        <v>46076</v>
      </c>
      <c r="I23" t="inlineStr">
        <is>
          <t>**Description**
The Windreich Department of AI \&amp; Human Health is rapidly advancing the use of technology to improve health outcomes and is at the forefront of AI implementation within the Mount Sinai Health.
Machine Learning Engineer III will oversee the design and development of sophisticated machine learning systems. They will collaborate closely with cross\-functional teams to drive innovation and ensure the successful implementation of machine learning solutions.
 **Responsibilities****End\-to\-End System Responsibility:**
* Assume complete ownership of the entire machine learning system development process.
* Coordinate closely with other team members and other engineering teams to ensure seamless integration and alignment with broader organizational goals and workflows.
* Lead the collaborative efforts with cross\-functional teams, including data scientists and product managers, to ensure the successful deployment and robust maintenance of machine learning models.
* Oversee the continuous monitoring and timely updating of deployed models to guarantee enduring performance and reliability.
**Technical Leadership:**
* Exhibit technical leadership and mentorship to Machine Learning Engineer I, II, and other team members.
* Encourage knowledge exchange and promote professional growth within the team.
* Establish and enforce best practices for machine learning system development, including coding standards, code reviews, and comprehensive documentation.
* Serve as the primary contact for technical inquiries related to machine learning within the team, providing expert guidance and solutions.
**Problem\-Solving:**
* Utilize advanced problem\-solving skills to navigate and resolve complex technical challenges and obstacles.
* Foster a collaborative environment for brainstorming and implementing effective solutions with the team and other departments.
**Research and Development:**
* Remain up\-to\-date with the latest advancements and trends in the fields of software engineering and machine learning.
* Conduct proactive research to uncover new methods and techniques applicable to future projects.
* Lead initiatives to explore, test, and implement new technologies and frameworks, ensuring the team is always at the forefront of industry innovations.
**Collaboration and Communication:**
* Engage in effective communication and collaboration across various teams within the organization to ensure alignment and coordination in the execution of machine learning projects.
* Facilitate transparent and timely communication with all relevant stakeholders, ensuring that all are kept informed of project statuses, challenges, and achievements.
* Work collaboratively with cross\-functional teams, fostering a cooperative environment for the seamless integration of machine learning systems into diverse organizational processes and workflows.
* Contribute to building strong interdepartmental relationships, enabling the efficient exchange of knowledge and expertise, and ensuring the successful realization of machine learning initiatives.
**Additional Responsibilities:**
* Develop and maintain project work plans, including critical tasks, milestones, timelines, interdependencies, and contingencies. Tracks and reports progress. Keeps stakeholders apprised of project status and implications for completion.
* Prepare clear, well\-organized project\-specific documentation, including, at a minimum, analytic methods used, key decision points and caveats, with sufficient detail to support comprehension and replication.
* Mentor other analysts on how to a) determine appropriate statistical analysis methods, b) leverage appropriate programing languages and tools, and c) generate and interpret statistical analysis outputs.
* Share development and process knowledge with other analysts in order to assure redundancy and continuously builds a core of analytical strength within the organization.
* Adheres to corporate standards for performance metrics, data collection, data integrity, query design, and reporting format to ensure high quality, meaningful analytic output.
* Works closely with IT on the ongoing improvement of Mount Sinai’s integrated data warehouse, driven by strategic and business needs, and designed to ensure data and reporting consistency throughout the organization.
* Demonstrates advanced level proficiency with the principles and methodologies of process improvement. Applies these in the execution of responsibilities in support of a process focused approach.
* Other duties as assigned.
**Qualifications*** Bachelor’s degree in Computer Science, Data Science, or a related field.
* 4\+ years of relevant experience in machine learning and back\-end software development.
* Demonstrated end\-to\-end machine learning system development and operation experience, covering the complete Software Development Life Cycle (SDLC).
* Proficiency in multiple programming languages and machine learning frameworks and tools.
* Solid experience with both SQL and NoSQL databases.
* Extensive experience with Big Data technologies like Apache Spark.
* Hands\-on experience in Unix environments.
* Practical knowledge and experience with at least one cloud system among AWS, Azure, or Google Cloud.
* Familiarity with continuous development and integration systems such as Jenkins, Git, Azure DevOps, and Terraform.
* A proven history in developing, deploying, and operating efficient and reliable machine learning systems.
* Strong leadership and effective communication skills to facilitate cross\-functional collaboration throughout the organization.
* Experience in providing mentorship
 **Employer Description****Strength through Unity and Inclusion**
The Mount Sinai Health System is committed to fostering an environment where everyone can contribute to excellence. We share a common dedication to delivering outstanding patient care. When you join us, you become part of Mount Sinai’s unparalleled legacy of achievement, education, and innovation as we work together to transform healthcare. We encourage all team members to actively participate in creating a culture that ensures fair access to opportunities, promotes inclusive practices, and supports the success of every individual.
At Mount Sinai, our leaders are committed to fostering a workplace where all employees feel valued, respected, and empowered to grow. We strive to create an environment where collaboration, fairness, and continuous learning drive positive change, improving the well\-being of our staff, patients, and organization. Our leaders are expected to challenge outdated practices, promote a culture of respect, and work toward meaningful improvements that enhance patient care and workplace experiences. We are dedicated to building a supportive and welcoming environment where everyone has the opportunity to thrive and advance professionally. Explore this opportunity and be part of the next chapter in our history.
**About the Mount Sinai Health System:**
Mount Sinai Health System is one of the largest academic medical systems in the New York metro area, with more than 48,000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 medical and emotional needs at the center of all treatment. The Health System includes more than 9,000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top 5 in Cardiology/Heart Surgery, and top 20 in Diabetes/Endocrinology, Gastroenterology/GI Surgery, Neurology/Neurosurgery, Orthopedics, Pulmonology/Lung Surgery, Rehabilitation, and Urology. New York Eye and Ear Infirmary of Mount Sinai is ranked No. 12 in Ophthalmology. U.S. News \&amp; World Report’s “Best Children’s Hospitals” ranks Mount Sinai Kravis Children's Hospital among the country’s best in several pediatric specialties. The Icahn School of Medicine at Mount Sinai is ranked No. 11 nationwide in National Institutes of Health funding and in the 99th percentile in research dollars per investigator according to the Association of American Medical Colleges. Newsweek’s “The World’s Best Smart Hospitals” ranks The Mount Sinai Hospital as No. 1 in New York and in the top five globally, and Mount Sinai Morningside in the top 20 globally.
**Equal Opportunity Employer**
The Mount Sinai Health System is an equal opportunity employer, complying with all applicable federal civil rights laws. We do not discriminate, exclude, or treat individuals differently based on race, color, national origin, age, religion, disability, sex, sexual orientation, gender, veteran status, or any other characteristic protected by law. We are deeply committed to fostering an environment where all faculty, staff, students, trainees, patients, visitors, and the communities we serve feel respected and supported. Our goal is to create a healthcare and learning institution that actively works to remove barriers, address challenges, and promote fairness in all aspects of our organization.
 **Compensation**
The Mount Sinai Health System (MSHS) provides salary ranges that comply with the New York City Law on Salary Transparency in Job Advertisements. The salary range for the role is $132000 \- $198065 Annually. Actual salaries depend on a variety of factors, including experience, education, and operational need. The salary range or contractual rate listed does not include bonuses/incentive, differential pay or other forms of compensation or benefits.</t>
        </is>
      </c>
    </row>
    <row r="24">
      <c r="A24" t="inlineStr">
        <is>
          <t>in-92e67732b8017d7e</t>
        </is>
      </c>
      <c r="B24" t="inlineStr">
        <is>
          <t>Identity AI / ML Engineer</t>
        </is>
      </c>
      <c r="C24" t="inlineStr">
        <is>
          <t>Openkyber</t>
        </is>
      </c>
      <c r="D24" t="inlineStr">
        <is>
          <t>indeed</t>
        </is>
      </c>
      <c r="E24" t="inlineStr"/>
      <c r="F24" t="inlineStr"/>
      <c r="G24" t="inlineStr">
        <is>
          <t>AK, US</t>
        </is>
      </c>
      <c r="H24" s="1" t="n">
        <v>46076</v>
      </c>
      <c r="I24" t="inlineStr">
        <is>
          <t>**Job Summary** We are seeking an experienced AI Solutions Architect to design and deliver scalable, enterprise\-grade AI and machine learning solutions. The ideal candidate will bridge business objectives with advanced AI technologies, architecting robust systems that leverage data, automation, and intelligent decision\-making capabilities.
**Key Responsibilities**
* Design end\-to\-end AI/ML architectures for enterprise applications
* Lead solution design for predictive analytics, NLP, computer vision, or generative AI use cases
* Architect scalable AI platforms on cloud environments (AWS, Azure, or Google Cloud Platform)
* Define data pipelines, model lifecycle management, and deployment strategies
* Integrate AI solutions into existing enterprise systems (ERP, CRM, APIs, etc.)
* Ensure model governance, explainability, monitoring, and compliance
* Evaluate and select AI tools, frameworks, and platforms
* Collaborate with data scientists, engineers, product teams, and business stakeholders
* Provide technical leadership and best practices guidance
**Required Qualifications**
* Bachelor's or Master's degree in Computer Science, AI, Data Science, or related field
* 8\+ years of IT experience with 3 5\+ years in AI/ML architecture roles
* Strong experience with ML frameworks (TensorFlow, PyTorch, Scikit\-learn)
* Experience designing and deploying AI solutions in cloud environments
* Hands\-on experience with data engineering and large\-scale data processing
* Experience with API\-driven architectures and microservices
* Strong understanding of MLOps and model lifecycle management
* Excellent stakeholder communication and architectural documentation skills
**For applications and inquiries, contact:** hirings@openkyber.com</t>
        </is>
      </c>
    </row>
    <row r="25">
      <c r="A25" t="inlineStr">
        <is>
          <t>in-21d02cf905324c4e</t>
        </is>
      </c>
      <c r="B25" t="inlineStr">
        <is>
          <t>Identity AI / ML Engineer</t>
        </is>
      </c>
      <c r="C25" t="inlineStr">
        <is>
          <t>Openkyber</t>
        </is>
      </c>
      <c r="D25" t="inlineStr">
        <is>
          <t>indeed</t>
        </is>
      </c>
      <c r="E25" t="inlineStr"/>
      <c r="F25" t="inlineStr"/>
      <c r="G25" t="inlineStr">
        <is>
          <t>AK, US</t>
        </is>
      </c>
      <c r="H25" s="1" t="n">
        <v>46076</v>
      </c>
      <c r="I25" t="inlineStr">
        <is>
          <t>**AI/ML Architect Plano, TX (Hybrid):** An AI/ML Architect designs and leads the development of artificial intelligence and machine learning solutions that align with business objectives. This role involves creating scalable AI/ML architectures, selecting appropriate algorithms and technologies, and guiding data science and engineering teams to deliver impactful AI\-driven products.  
The opportunity: Hybrid: In office Design end\-to\-end AI and machine learning system architectures, including data pipelines, model development, deployment, and monitoring.  
Collaborate with business stakeholders to understand requirements and translate them into technical AI/ML solutions.  
Evaluate and select appropriate AI/ML frameworks, tools, and platforms.  
Define best practices and standards for AI/ML model development, testing, and deployment.  
Lead and mentor data scientists, ML engineers, and software developers in implementing AI solutions.  
Ensure AI/ML systems are scalable, secure, and maintainable.  
Oversee integration of AI/ML models with existing IT infrastructure and applications.  
This position description identifies the responsibilities and tasks typically associated with the performance of the position. Other relevant essential functions may be required.  
**What you need: Required Skills and Qualifications:** Bachelor's or master s degree in computer science, Data Science, Artificial Intelligence, or related field.  
Proven experience as an AI/ML Architect, Data Scientist, or Machine Learning Engineer.  
Strong expertise in machine learning algorithms, deep learning, natural language processing, and computer vision.  
Proficiency with AI/ML frameworks and libraries such as TensorFlow, PyTorch, Scikit\-learn, or similar.  
Experience with cloud AI/ML services (AWS SageMaker, Google AI Platform, Azure ML).  
Knowledge of data engineering, big data technologies, and data pipeline design.  
Strong programming skills in Python, R, or Java.  
Familiarity with containerization (Docker, Kubernetes) and CI/CD for ML workflows.
**For applications and inquiries, contact:** hirings@openkyber.com</t>
        </is>
      </c>
    </row>
    <row r="26">
      <c r="A26" t="inlineStr">
        <is>
          <t>in-fbfbe41c575f4d54</t>
        </is>
      </c>
      <c r="B26" t="inlineStr">
        <is>
          <t>Identity AI / ML Engineer</t>
        </is>
      </c>
      <c r="C26" t="inlineStr">
        <is>
          <t>Openkyber</t>
        </is>
      </c>
      <c r="D26" t="inlineStr">
        <is>
          <t>indeed</t>
        </is>
      </c>
      <c r="E26" t="inlineStr"/>
      <c r="F26" t="inlineStr"/>
      <c r="G26" t="inlineStr">
        <is>
          <t>AK, US</t>
        </is>
      </c>
      <c r="H26" s="1" t="n">
        <v>46076</v>
      </c>
      <c r="I26" t="inlineStr">
        <is>
          <t>**Role: AI/ML Architect (21517\-1\)**  
**Location:** Plano, TX (Hybrid)  
**Duration:** 12\+ Months  
**Requirements:**
Job Description Position Overview: An AI/ML Architect designs and leads the development of artificial intelligence and machine learning solutions that align with business objectives. This role involves creating scalable AI/ML architectures, selecting appropriate algorithms and technologies, and guiding data science and engineering teams to deliver impactful AI\-driven products.
**Responsibilities :**
* Design end\-to\-end AI and machine learning system architectures, including data pipelines, model development, deployment, and monitoring.
* Collaborate with business stakeholders to understand requirements and translate them into technical AI/ML solutions.
* Evaluate and select appropriate AI/ML frameworks, tools, and platforms.
* Define best practices and standards for AI/ML model development, testing, and deployment.
* Lead and mentor data scientists, ML engineers, and software developers in implementing AI solutions.
* Ensure AI/ML systems are scalable, secure, and maintainable.
* Oversee integration of AI/ML models with existing IT infrastructure and applications.
* Monitor model performance and implement strategies for continuous improvement and retraining.
* Stay updated on the latest AI/ML research, tools, and industry trends to drive innovation.
* Manage technical risks and troubleshoot complex AI/ML system issues.
**Requirements:**
* Bachelor s or master s degree in computer science, Data Science, Artificial Intelligence, or related field.
* Proven experience as an AI/ML Architect, Data Scientist, or Machine Learning Engineer.
* Strong expertise in machine learning algorithms, deep learning, natural language processing, and computer vision.
* Proficiency with AI/ML frameworks and libraries such as TensorFlow, PyTorch, Scikit\-learn, or similar.
* Experience with cloud AI/ML services (AWS SageMaker, Google AI Platform, Azure ML).
* Knowledge of data engineering, big data technologies, and data pipeline design.
* Strong programming skills in Python, R, or Java.
* Familiarity with containerization (Docker, Kubernetes) and CI/CD for ML workflows.
**Core AI/ML Technical Expertise These are non\-negotiable for the role:**
* Strong knowledge of machine learning algorithms
* Proven experience with deep learning
* Expertise in Natural Language Processing (NLP)
* Expertise in Computer Vision
* Experience building end to end AI/ML models (data prep training deployment monitoring)
**AI/ML Tools, Frameworks \&amp; Libraries Candidates must have hands\-on proficiency with:**
* TensorFlow
* PyTorch
* Scikit\-learn
* Other modern ML libraries as needed
**Cloud AI/ML Platforms Experience with at least one major cloud ecosystem:**
* AWS SageMaker
* Google AI Platform
* Azure ML (important if your company is MS driven)
**Programming Skills Strong coding background in:**
* Python (must\-have)
* R or Java (secondary but required in the JD)
**5\. Data Engineering \&amp; Big Data Mandatory understanding of data workflows:**
* Data pipeline design \&amp; orchestration
* Big data technologies (e.g., Spark, Hadoop, Kafka)
* Data preprocessing and feature engineering at scale
**Architecture \&amp; System Design Clear ability to architect:**
* Scalable AI/ML systems
* Model deployment pipelines
* Real\-time or batch inference systems
* Integration with existing enterprise infrastructure
**Years of Experience \- 10 years Plus**
In compliance with the salary transparency law, the expected pay range for this role is $60\-$70\. Actual compensation depends on experience and interview evaluation.
**For applications and inquiries, contact:** hirings@openkyber.com</t>
        </is>
      </c>
    </row>
    <row r="27">
      <c r="A27" t="inlineStr">
        <is>
          <t>in-1dd57b7451a98e25</t>
        </is>
      </c>
      <c r="B27" t="inlineStr">
        <is>
          <t>Identity AI / ML Engineer</t>
        </is>
      </c>
      <c r="C27" t="inlineStr">
        <is>
          <t>Openkyber</t>
        </is>
      </c>
      <c r="D27" t="inlineStr">
        <is>
          <t>indeed</t>
        </is>
      </c>
      <c r="E27" t="inlineStr"/>
      <c r="F27" t="inlineStr"/>
      <c r="G27" t="inlineStr">
        <is>
          <t>AK, US</t>
        </is>
      </c>
      <c r="H27" s="1" t="n">
        <v>46076</v>
      </c>
      <c r="I27" t="inlineStr">
        <is>
          <t>**Position :** Data Scientist /AI/ML Engineer Fremont, CA (Hybrid)
Skills would be AI/ML, PHP, Python and SQL
**Key Skills:**
* Track record of successfully leading AI\-driven products or large\-scale ML projects.
* Proficiency in Python, AI/ML, PHP, SQL and modern DevOps/ML Ops practices.
* Familiarity with agentic AI, AI orchestration frameworks, and toolchain design.
* Ability to operate in a fast\-paced, product\-focused environment with end\-to\-end accountability.
**For applications and inquiries, contact:** hirings@openkyber.com</t>
        </is>
      </c>
    </row>
    <row r="28">
      <c r="A28" t="inlineStr">
        <is>
          <t>in-768aeb852974e7db</t>
        </is>
      </c>
      <c r="B28" t="inlineStr">
        <is>
          <t>AI/ML Engineer</t>
        </is>
      </c>
      <c r="C28" t="inlineStr">
        <is>
          <t>KBR</t>
        </is>
      </c>
      <c r="D28" t="inlineStr">
        <is>
          <t>indeed</t>
        </is>
      </c>
      <c r="E28" t="inlineStr"/>
      <c r="F28" t="inlineStr"/>
      <c r="G28" t="inlineStr">
        <is>
          <t>Lexington Park, MD, US</t>
        </is>
      </c>
      <c r="H28" s="1" t="n">
        <v>46076</v>
      </c>
      <c r="I28" t="inlineStr">
        <is>
          <t>**Title:**
AI/ML Engineer
KBR’s Advanced Analytics and Cloud Program is seeking a **AI/ML Engineer \- Data Scientist** in **Fort Belvoir, VA** to support the Defense Technical Information Center (DTIC) on initiatives advancing knowledge graph engineering, retrieval\-augmented generation (RAG), GraphRAG, and AI/ML\-driven data discovery. This role is ideal for someone passionate about building cutting\-edge analytics capabilities for Department of War missions. As part of a multidisciplinary team of AI engineers, developers, and data scientists, you will collaborate directly with government stakeholders to design, prototype, and implement solutions using modern graph technologies, embeddings, and machine learning methods. Your work will shape the next generation of intelligent information systems across DoW environments.
**Roles \&amp; Responsibilities**
* Develop, optimize, and maintain knowledge graphs, ontologies, and graph\-based data pipelines.
* Build and deploy RAG and GraphRAG solutions enabling advanced semantic search and intelligent retrieval.
* Design and generate vector embeddings supporting entity linking, document similarity, and data enrichment.
* Conduct exploratory data analysis, model development, evaluation, and tuning.
* Work with government stakeholders to capture requirements and translate them into technical solutions.
* Contribute to the development of advanced AI/ML prototypes leveraging DoD data.
* Collaborate with cloud engineers, software developers, and fellow data scientists in an Agile environment.
* Prepare clear technical documentation, presentations, and demonstrations of analytics capabilities.
**Basic Qualifications**
* **Active SECRET clearance** (U.S. citizenship required; no visa sponsorship available).
* Bachelors degree in a technical field (Computer Science, Data Science, Engineering, Mathematics, etc.).
* 3\+ years of experience
* Security\+ Certification
* Experience with Bibliometric Analysis System \&amp; Research Organization Registrys (ROR)
* Experience with: Knowledge graphs (e.g., Neo4j, RDF, SPARQL, Property Graphs), RAG frameworks (ex: GraphRAG workflows, or LLM\-augmented semantic retrieval), Embeddings (e.g., sentence transformers, vector search, FAISS, Pinecone, Milvus)
* Proficiency with Python and common ML/AI libraries (e.g., PyTorch, TensorFlow, scikit\-learn).
* Experience developing APIs and integrating AI/ML solutions into operational systems.
**Preferred Quals**
* Experience supporting DoD, DTIC, or other government research/data missions
* Knowledge of cloud environments (AWS, Azure, or GovCloud)
* Familiarity with LLM\-based architectures, vector databases (FAISS, Pinecone, Milvus), or semantic search systems
* Experience with big data or distributed processing frameworks (Spark, Ray, Databricks)
* Background in NLP, document intelligence, information retrieval, or knowledge engineering
* Experience working in Agile or cross\-functional technical teams
* Master’s degree or higher in a relevant technical field
KBR may offer bonuses, commissions, or other forms of compensation to certain job titles or levels, per internal policy or contractual designation. Additional compensation may be in the form of sign on bonus, relocation benefits, short term incentives, long term incentives, or discretionary payments for exceptional performance.
**Benefits:** KBR offers a selection of competitive lifestyle benefits which could include a 401K plan with company match, medical, dental, vision, life insurance, AD\&amp;D, flexible spending account, disability, paid time off, or flexible work schedule. We support career advancement through professional training and development.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29">
      <c r="A29" t="inlineStr">
        <is>
          <t>in-2c5786d7bb58dc45</t>
        </is>
      </c>
      <c r="B29" t="inlineStr">
        <is>
          <t>Applied Scientist, Safety ML</t>
        </is>
      </c>
      <c r="C29" t="inlineStr">
        <is>
          <t>Amazon.com</t>
        </is>
      </c>
      <c r="D29" t="inlineStr">
        <is>
          <t>indeed</t>
        </is>
      </c>
      <c r="E29" t="inlineStr"/>
      <c r="F29" t="inlineStr"/>
      <c r="G29" t="inlineStr">
        <is>
          <t>San Francisco, CA, US</t>
        </is>
      </c>
      <c r="H29" s="1" t="n">
        <v>46037</v>
      </c>
      <c r="I2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30">
      <c r="A30" t="inlineStr">
        <is>
          <t>in-9f7f02d25aa5ec20</t>
        </is>
      </c>
      <c r="B30" t="inlineStr">
        <is>
          <t>Applied Scientist, Safety ML</t>
        </is>
      </c>
      <c r="C30" t="inlineStr">
        <is>
          <t>Amazon.com</t>
        </is>
      </c>
      <c r="D30" t="inlineStr">
        <is>
          <t>indeed</t>
        </is>
      </c>
      <c r="E30" t="inlineStr"/>
      <c r="F30" t="inlineStr"/>
      <c r="G30" t="inlineStr">
        <is>
          <t>Seattle, WA, US</t>
        </is>
      </c>
      <c r="H30" s="1" t="n">
        <v>46037</v>
      </c>
      <c r="I3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31">
      <c r="A31" t="inlineStr">
        <is>
          <t>in-0c716d76e96398b6</t>
        </is>
      </c>
      <c r="B31" t="inlineStr">
        <is>
          <t>Applied Scientist, LLM Code Agents, Kiro Science</t>
        </is>
      </c>
      <c r="C31" t="inlineStr">
        <is>
          <t>Amazon.com</t>
        </is>
      </c>
      <c r="D31" t="inlineStr">
        <is>
          <t>indeed</t>
        </is>
      </c>
      <c r="E31" t="inlineStr"/>
      <c r="F31" t="inlineStr"/>
      <c r="G31" t="inlineStr">
        <is>
          <t>Santa Clara, CA, US</t>
        </is>
      </c>
      <c r="H31" s="1" t="n">
        <v>46035</v>
      </c>
      <c r="I31"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32">
      <c r="A32" t="inlineStr">
        <is>
          <t>in-63a6c13b3b9e1842</t>
        </is>
      </c>
      <c r="B32" t="inlineStr">
        <is>
          <t>Principal Applied Scientist, Kiro Science</t>
        </is>
      </c>
      <c r="C32" t="inlineStr">
        <is>
          <t>Amazon Web Services</t>
        </is>
      </c>
      <c r="D32" t="inlineStr">
        <is>
          <t>indeed</t>
        </is>
      </c>
      <c r="E32" t="inlineStr"/>
      <c r="F32" t="inlineStr"/>
      <c r="G32" t="inlineStr">
        <is>
          <t>New York, NY, US</t>
        </is>
      </c>
      <c r="H32" s="1" t="n">
        <v>45999</v>
      </c>
      <c r="I32"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33">
      <c r="A33" t="inlineStr">
        <is>
          <t>in-71135e681349dd5e</t>
        </is>
      </c>
      <c r="B33" t="inlineStr">
        <is>
          <t>Principal Applied Scientist, Kiro Science</t>
        </is>
      </c>
      <c r="C33" t="inlineStr">
        <is>
          <t>Amazon Web Services</t>
        </is>
      </c>
      <c r="D33" t="inlineStr">
        <is>
          <t>indeed</t>
        </is>
      </c>
      <c r="E33" t="inlineStr"/>
      <c r="F33" t="inlineStr"/>
      <c r="G33" t="inlineStr">
        <is>
          <t>Santa Clara, CA, US</t>
        </is>
      </c>
      <c r="H33" s="1" t="n">
        <v>45999</v>
      </c>
      <c r="I33"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34">
      <c r="A34" t="inlineStr">
        <is>
          <t>in-ff4880a5a3a9036e</t>
        </is>
      </c>
      <c r="B34" t="inlineStr">
        <is>
          <t>Sr. Applied Scientist, Amazon Ads</t>
        </is>
      </c>
      <c r="C34" t="inlineStr">
        <is>
          <t>Amazon.com</t>
        </is>
      </c>
      <c r="D34" t="inlineStr">
        <is>
          <t>indeed</t>
        </is>
      </c>
      <c r="E34" t="inlineStr"/>
      <c r="F34" t="inlineStr"/>
      <c r="G34" t="inlineStr">
        <is>
          <t>New York, NY, US</t>
        </is>
      </c>
      <c r="H34" s="1" t="n">
        <v>45998</v>
      </c>
      <c r="I3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5">
      <c r="A35" t="inlineStr">
        <is>
          <t>in-370feab9453a8f7a</t>
        </is>
      </c>
      <c r="B35" t="inlineStr">
        <is>
          <t>Sr. Applied Scientist, Amazon Ads</t>
        </is>
      </c>
      <c r="C35" t="inlineStr">
        <is>
          <t>Amazon.com</t>
        </is>
      </c>
      <c r="D35" t="inlineStr">
        <is>
          <t>indeed</t>
        </is>
      </c>
      <c r="E35" t="inlineStr"/>
      <c r="F35" t="inlineStr"/>
      <c r="G35" t="inlineStr">
        <is>
          <t>Corvallis, OR, US</t>
        </is>
      </c>
      <c r="H35" s="1" t="n">
        <v>45998</v>
      </c>
      <c r="I3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6">
      <c r="A36" t="inlineStr">
        <is>
          <t>in-b72b62195cc436c4</t>
        </is>
      </c>
      <c r="B36" t="inlineStr">
        <is>
          <t>Sr. Applied Scientist, Amazon Ads</t>
        </is>
      </c>
      <c r="C36" t="inlineStr">
        <is>
          <t>Amazon.com</t>
        </is>
      </c>
      <c r="D36" t="inlineStr">
        <is>
          <t>indeed</t>
        </is>
      </c>
      <c r="E36" t="inlineStr"/>
      <c r="F36" t="inlineStr"/>
      <c r="G36" t="inlineStr">
        <is>
          <t>Palo Alto, CA, US</t>
        </is>
      </c>
      <c r="H36" s="1" t="n">
        <v>45998</v>
      </c>
      <c r="I3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7">
      <c r="A37" t="inlineStr">
        <is>
          <t>in-2587f32a3d88bef5</t>
        </is>
      </c>
      <c r="B37" t="inlineStr">
        <is>
          <t>Sr. Applied Scientist, Amazon Ads</t>
        </is>
      </c>
      <c r="C37" t="inlineStr">
        <is>
          <t>Amazon.com</t>
        </is>
      </c>
      <c r="D37" t="inlineStr">
        <is>
          <t>indeed</t>
        </is>
      </c>
      <c r="E37" t="inlineStr"/>
      <c r="F37" t="inlineStr"/>
      <c r="G37" t="inlineStr">
        <is>
          <t>Boston, MA, US</t>
        </is>
      </c>
      <c r="H37" s="1" t="n">
        <v>45998</v>
      </c>
      <c r="I3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8">
      <c r="A38" t="inlineStr">
        <is>
          <t>in-9418a52a9250a838</t>
        </is>
      </c>
      <c r="B38" t="inlineStr">
        <is>
          <t>Sr. Applied Scientist, Amazon Ads</t>
        </is>
      </c>
      <c r="C38" t="inlineStr">
        <is>
          <t>Amazon.com</t>
        </is>
      </c>
      <c r="D38" t="inlineStr">
        <is>
          <t>indeed</t>
        </is>
      </c>
      <c r="E38" t="inlineStr"/>
      <c r="F38" t="inlineStr"/>
      <c r="G38" t="inlineStr">
        <is>
          <t>Tukwila, WA, US</t>
        </is>
      </c>
      <c r="H38" s="1" t="n">
        <v>45998</v>
      </c>
      <c r="I3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9">
      <c r="A39" t="inlineStr">
        <is>
          <t>in-ae4a0c7527d29b53</t>
        </is>
      </c>
      <c r="B39" t="inlineStr">
        <is>
          <t>Sr. Applied Scientist, Amazon Ads</t>
        </is>
      </c>
      <c r="C39" t="inlineStr">
        <is>
          <t>Amazon.com</t>
        </is>
      </c>
      <c r="D39" t="inlineStr">
        <is>
          <t>indeed</t>
        </is>
      </c>
      <c r="E39" t="inlineStr"/>
      <c r="F39" t="inlineStr"/>
      <c r="G39" t="inlineStr">
        <is>
          <t>Santa Monica, CA, US</t>
        </is>
      </c>
      <c r="H39" s="1" t="n">
        <v>45998</v>
      </c>
      <c r="I3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0">
      <c r="A40" t="inlineStr">
        <is>
          <t>in-69f139491c668403</t>
        </is>
      </c>
      <c r="B40" t="inlineStr">
        <is>
          <t>Sr. Applied Scientist, Amazon Ads</t>
        </is>
      </c>
      <c r="C40" t="inlineStr">
        <is>
          <t>Amazon.com</t>
        </is>
      </c>
      <c r="D40" t="inlineStr">
        <is>
          <t>indeed</t>
        </is>
      </c>
      <c r="E40" t="inlineStr"/>
      <c r="F40" t="inlineStr"/>
      <c r="G40" t="inlineStr">
        <is>
          <t>Boulder, CO, US</t>
        </is>
      </c>
      <c r="H40" s="1" t="n">
        <v>45998</v>
      </c>
      <c r="I4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1">
      <c r="A41" t="inlineStr">
        <is>
          <t>in-de08fe40813dd954</t>
        </is>
      </c>
      <c r="B41" t="inlineStr">
        <is>
          <t>Sr. Applied Scientist, Amazon Ads</t>
        </is>
      </c>
      <c r="C41" t="inlineStr">
        <is>
          <t>Amazon.com</t>
        </is>
      </c>
      <c r="D41" t="inlineStr">
        <is>
          <t>indeed</t>
        </is>
      </c>
      <c r="E41" t="inlineStr"/>
      <c r="F41" t="inlineStr"/>
      <c r="G41" t="inlineStr">
        <is>
          <t>Seattle, WA, US</t>
        </is>
      </c>
      <c r="H41" s="1" t="n">
        <v>45998</v>
      </c>
      <c r="I4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2">
      <c r="A42" t="inlineStr">
        <is>
          <t>in-22c4d507e88a6e6f</t>
        </is>
      </c>
      <c r="B42" t="inlineStr">
        <is>
          <t>Sr. Applied Scientist, Amazon Ads</t>
        </is>
      </c>
      <c r="C42" t="inlineStr">
        <is>
          <t>Amazon.com</t>
        </is>
      </c>
      <c r="D42" t="inlineStr">
        <is>
          <t>indeed</t>
        </is>
      </c>
      <c r="E42" t="inlineStr"/>
      <c r="F42" t="inlineStr"/>
      <c r="G42" t="inlineStr">
        <is>
          <t>Brooklyn, NY, US</t>
        </is>
      </c>
      <c r="H42" s="1" t="n">
        <v>45998</v>
      </c>
      <c r="I4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3">
      <c r="A43" t="inlineStr">
        <is>
          <t>in-cf6a7d350e7eb18f</t>
        </is>
      </c>
      <c r="B43" t="inlineStr">
        <is>
          <t>Sr. Applied Scientist, Amazon Ads</t>
        </is>
      </c>
      <c r="C43" t="inlineStr">
        <is>
          <t>Amazon.com</t>
        </is>
      </c>
      <c r="D43" t="inlineStr">
        <is>
          <t>indeed</t>
        </is>
      </c>
      <c r="E43" t="inlineStr"/>
      <c r="F43" t="inlineStr"/>
      <c r="G43" t="inlineStr">
        <is>
          <t>Sunnyvale, CA, US</t>
        </is>
      </c>
      <c r="H43" s="1" t="n">
        <v>45998</v>
      </c>
      <c r="I4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4">
      <c r="A44" t="inlineStr">
        <is>
          <t>in-00c60941b12fa0ab</t>
        </is>
      </c>
      <c r="B44" t="inlineStr">
        <is>
          <t>Principal Applied Scientist, Sponsored Products and Brands</t>
        </is>
      </c>
      <c r="C44" t="inlineStr">
        <is>
          <t>Amazon.com</t>
        </is>
      </c>
      <c r="D44" t="inlineStr">
        <is>
          <t>indeed</t>
        </is>
      </c>
      <c r="E44" t="inlineStr"/>
      <c r="F44" t="inlineStr"/>
      <c r="G44" t="inlineStr">
        <is>
          <t>New York, NY, US</t>
        </is>
      </c>
      <c r="H44" s="1" t="n">
        <v>45979</v>
      </c>
      <c r="I4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in-446fcc3f02953be2</t>
        </is>
      </c>
      <c r="B45" t="inlineStr">
        <is>
          <t>Principal Applied Scientist, Sponsored Products and Brands</t>
        </is>
      </c>
      <c r="C45" t="inlineStr">
        <is>
          <t>Amazon.com</t>
        </is>
      </c>
      <c r="D45" t="inlineStr">
        <is>
          <t>indeed</t>
        </is>
      </c>
      <c r="E45" t="inlineStr"/>
      <c r="F45" t="inlineStr"/>
      <c r="G45" t="inlineStr">
        <is>
          <t>Seattle, WA, US</t>
        </is>
      </c>
      <c r="H45" s="1" t="n">
        <v>45979</v>
      </c>
      <c r="I45"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in-b197b2f183bb0526</t>
        </is>
      </c>
      <c r="B46" t="inlineStr">
        <is>
          <t>Senior Applied Scientist, Sponsored Products and Brands</t>
        </is>
      </c>
      <c r="C46" t="inlineStr">
        <is>
          <t>Amazon.com</t>
        </is>
      </c>
      <c r="D46" t="inlineStr">
        <is>
          <t>indeed</t>
        </is>
      </c>
      <c r="E46" t="inlineStr"/>
      <c r="F46" t="inlineStr"/>
      <c r="G46" t="inlineStr">
        <is>
          <t>New York, NY, US</t>
        </is>
      </c>
      <c r="H46" s="1" t="n">
        <v>45979</v>
      </c>
      <c r="I4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47">
      <c r="A47" t="inlineStr">
        <is>
          <t>in-cf9485e163868da9</t>
        </is>
      </c>
      <c r="B47" t="inlineStr">
        <is>
          <t>Senior Applied Scientist, Sponsored Products and Brands</t>
        </is>
      </c>
      <c r="C47" t="inlineStr">
        <is>
          <t>Amazon.com</t>
        </is>
      </c>
      <c r="D47" t="inlineStr">
        <is>
          <t>indeed</t>
        </is>
      </c>
      <c r="E47" t="inlineStr"/>
      <c r="F47" t="inlineStr"/>
      <c r="G47" t="inlineStr">
        <is>
          <t>Seattle, WA, US</t>
        </is>
      </c>
      <c r="H47" s="1" t="n">
        <v>45979</v>
      </c>
      <c r="I4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48">
      <c r="A48" t="inlineStr">
        <is>
          <t>in-8ca1f6cc86a7f662</t>
        </is>
      </c>
      <c r="B48" t="inlineStr">
        <is>
          <t>Applied Scientist, AWS Agentic AI</t>
        </is>
      </c>
      <c r="C48" t="inlineStr">
        <is>
          <t>Amazon Web Services</t>
        </is>
      </c>
      <c r="D48" t="inlineStr">
        <is>
          <t>indeed</t>
        </is>
      </c>
      <c r="E48" t="inlineStr"/>
      <c r="F48" t="inlineStr"/>
      <c r="G48" t="inlineStr">
        <is>
          <t>New York, NY, US</t>
        </is>
      </c>
      <c r="H48" s="1" t="n">
        <v>45962</v>
      </c>
      <c r="I4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in-b59da374a52d05a9</t>
        </is>
      </c>
      <c r="B49" t="inlineStr">
        <is>
          <t>Applied Scientist, AWS Agentic AI</t>
        </is>
      </c>
      <c r="C49" t="inlineStr">
        <is>
          <t>Amazon Web Services</t>
        </is>
      </c>
      <c r="D49" t="inlineStr">
        <is>
          <t>indeed</t>
        </is>
      </c>
      <c r="E49" t="inlineStr"/>
      <c r="F49" t="inlineStr"/>
      <c r="G49" t="inlineStr">
        <is>
          <t>Seattle, WA, US</t>
        </is>
      </c>
      <c r="H49" s="1" t="n">
        <v>45962</v>
      </c>
      <c r="I4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in-2823d2170b54f971</t>
        </is>
      </c>
      <c r="B50" t="inlineStr">
        <is>
          <t>Applied Scientist, AWS Agentic AI</t>
        </is>
      </c>
      <c r="C50" t="inlineStr">
        <is>
          <t>Amazon Web Services</t>
        </is>
      </c>
      <c r="D50" t="inlineStr">
        <is>
          <t>indeed</t>
        </is>
      </c>
      <c r="E50" t="inlineStr"/>
      <c r="F50" t="inlineStr"/>
      <c r="G50" t="inlineStr">
        <is>
          <t>Santa Clara, CA, US</t>
        </is>
      </c>
      <c r="H50" s="1" t="n">
        <v>45962</v>
      </c>
      <c r="I5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in-17b16e3c2bd0901f</t>
        </is>
      </c>
      <c r="B51" t="inlineStr">
        <is>
          <t>Principal Applied Scientist, Advertiser Growth, Amazon Sponsored Products &amp; Brands</t>
        </is>
      </c>
      <c r="C51" t="inlineStr">
        <is>
          <t>Amazon.com</t>
        </is>
      </c>
      <c r="D51" t="inlineStr">
        <is>
          <t>indeed</t>
        </is>
      </c>
      <c r="E51" t="inlineStr"/>
      <c r="F51" t="inlineStr"/>
      <c r="G51" t="inlineStr">
        <is>
          <t>Palo Alto, CA, US</t>
        </is>
      </c>
      <c r="H51" s="1" t="n">
        <v>45942</v>
      </c>
      <c r="I5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in-ab75a83376dd43a8</t>
        </is>
      </c>
      <c r="B52" t="inlineStr">
        <is>
          <t>Principal Applied Scientist, Advertiser Growth, Amazon Sponsored Products &amp; Brands</t>
        </is>
      </c>
      <c r="C52" t="inlineStr">
        <is>
          <t>Amazon.com</t>
        </is>
      </c>
      <c r="D52" t="inlineStr">
        <is>
          <t>indeed</t>
        </is>
      </c>
      <c r="E52" t="inlineStr"/>
      <c r="F52" t="inlineStr"/>
      <c r="G52" t="inlineStr">
        <is>
          <t>New York, NY, US</t>
        </is>
      </c>
      <c r="H52" s="1" t="n">
        <v>45942</v>
      </c>
      <c r="I5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in-c4ab200fee868aea</t>
        </is>
      </c>
      <c r="B53" t="inlineStr">
        <is>
          <t>Principal Applied Scientist, Advertiser Growth, Amazon Sponsored Products &amp; Brands</t>
        </is>
      </c>
      <c r="C53" t="inlineStr">
        <is>
          <t>Amazon.com</t>
        </is>
      </c>
      <c r="D53" t="inlineStr">
        <is>
          <t>indeed</t>
        </is>
      </c>
      <c r="E53" t="inlineStr"/>
      <c r="F53" t="inlineStr"/>
      <c r="G53" t="inlineStr">
        <is>
          <t>Seattle, WA, US</t>
        </is>
      </c>
      <c r="H53" s="1" t="n">
        <v>45942</v>
      </c>
      <c r="I5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in-eaf5a4e275a2b99b</t>
        </is>
      </c>
      <c r="B54" t="inlineStr">
        <is>
          <t>Applied Scientist II, Prime Video - Personalization and Discovery Science, Personalization and Discovery Science</t>
        </is>
      </c>
      <c r="C54" t="inlineStr">
        <is>
          <t>Amazon.com</t>
        </is>
      </c>
      <c r="D54" t="inlineStr">
        <is>
          <t>indeed</t>
        </is>
      </c>
      <c r="E54" t="inlineStr"/>
      <c r="F54" t="inlineStr"/>
      <c r="G54" t="inlineStr">
        <is>
          <t>Seattle, WA, US</t>
        </is>
      </c>
      <c r="H54" s="1" t="n">
        <v>45930</v>
      </c>
      <c r="I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in-34c188ac9fdf7430</t>
        </is>
      </c>
      <c r="B55" t="inlineStr">
        <is>
          <t>Applied Scientist II, Prime Video - Personalization and Discovery Science, Personalization and Discovery Science</t>
        </is>
      </c>
      <c r="C55" t="inlineStr">
        <is>
          <t>Amazon.com</t>
        </is>
      </c>
      <c r="D55" t="inlineStr">
        <is>
          <t>indeed</t>
        </is>
      </c>
      <c r="E55" t="inlineStr"/>
      <c r="F55" t="inlineStr"/>
      <c r="G55" t="inlineStr">
        <is>
          <t>New York, NY, US</t>
        </is>
      </c>
      <c r="H55" s="1" t="n">
        <v>45930</v>
      </c>
      <c r="I5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in-cf8c2293de4d0316</t>
        </is>
      </c>
      <c r="B56" t="inlineStr">
        <is>
          <t>Applied Scientist II, Prime Video - Personalization and Discovery Science, Personalization and Discovery Science</t>
        </is>
      </c>
      <c r="C56" t="inlineStr">
        <is>
          <t>Amazon.com</t>
        </is>
      </c>
      <c r="D56" t="inlineStr">
        <is>
          <t>indeed</t>
        </is>
      </c>
      <c r="E56" t="inlineStr"/>
      <c r="F56" t="inlineStr"/>
      <c r="G56" t="inlineStr">
        <is>
          <t>Sunnyvale, CA, US</t>
        </is>
      </c>
      <c r="H56" s="1" t="n">
        <v>45930</v>
      </c>
      <c r="I5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in-468acf7fe841f7cd</t>
        </is>
      </c>
      <c r="B57" t="inlineStr">
        <is>
          <t>Applied Scientist, Workplace Health &amp; Safety</t>
        </is>
      </c>
      <c r="C57" t="inlineStr">
        <is>
          <t>Amazon.com</t>
        </is>
      </c>
      <c r="D57" t="inlineStr">
        <is>
          <t>indeed</t>
        </is>
      </c>
      <c r="E57" t="inlineStr"/>
      <c r="F57" t="inlineStr"/>
      <c r="G57" t="inlineStr">
        <is>
          <t>Bellevue, WA, US</t>
        </is>
      </c>
      <c r="H57" s="1" t="n">
        <v>45917</v>
      </c>
      <c r="I57"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in-5ca0d9cf2636da61</t>
        </is>
      </c>
      <c r="B58" t="inlineStr">
        <is>
          <t>Applied Scientist, Workplace Health &amp; Safety</t>
        </is>
      </c>
      <c r="C58" t="inlineStr">
        <is>
          <t>Amazon.com</t>
        </is>
      </c>
      <c r="D58" t="inlineStr">
        <is>
          <t>indeed</t>
        </is>
      </c>
      <c r="E58" t="inlineStr"/>
      <c r="F58" t="inlineStr"/>
      <c r="G58" t="inlineStr">
        <is>
          <t>Nashville, TN, US</t>
        </is>
      </c>
      <c r="H58" s="1" t="n">
        <v>45917</v>
      </c>
      <c r="I58"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in-ff29e12e91d39e3c</t>
        </is>
      </c>
      <c r="B59" t="inlineStr">
        <is>
          <t>Sr. Applied Scientist, Prime Video - Personalization and Discovery Science</t>
        </is>
      </c>
      <c r="C59" t="inlineStr">
        <is>
          <t>Amazon.com</t>
        </is>
      </c>
      <c r="D59" t="inlineStr">
        <is>
          <t>indeed</t>
        </is>
      </c>
      <c r="E59" t="inlineStr"/>
      <c r="F59" t="inlineStr"/>
      <c r="G59" t="inlineStr">
        <is>
          <t>Sunnyvale, CA, US</t>
        </is>
      </c>
      <c r="H59" s="1" t="n">
        <v>45881</v>
      </c>
      <c r="I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in-ac360dbec8e429df</t>
        </is>
      </c>
      <c r="B60" t="inlineStr">
        <is>
          <t>Sr. Applied Scientist, Prime Video - Personalization and Discovery Science</t>
        </is>
      </c>
      <c r="C60" t="inlineStr">
        <is>
          <t>Amazon.com</t>
        </is>
      </c>
      <c r="D60" t="inlineStr">
        <is>
          <t>indeed</t>
        </is>
      </c>
      <c r="E60" t="inlineStr"/>
      <c r="F60" t="inlineStr"/>
      <c r="G60" t="inlineStr">
        <is>
          <t>New York, NY, US</t>
        </is>
      </c>
      <c r="H60" s="1" t="n">
        <v>45881</v>
      </c>
      <c r="I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in-080e041012f3bc98</t>
        </is>
      </c>
      <c r="B61" t="inlineStr">
        <is>
          <t>Applied Scientist II, Prime Video - Personalization and Discovery Science</t>
        </is>
      </c>
      <c r="C61" t="inlineStr">
        <is>
          <t>Amazon.com</t>
        </is>
      </c>
      <c r="D61" t="inlineStr">
        <is>
          <t>indeed</t>
        </is>
      </c>
      <c r="E61" t="inlineStr"/>
      <c r="F61" t="inlineStr"/>
      <c r="G61" t="inlineStr">
        <is>
          <t>Seattle, WA, US</t>
        </is>
      </c>
      <c r="H61" s="1" t="n">
        <v>45881</v>
      </c>
      <c r="I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in-163b4946aa95a468</t>
        </is>
      </c>
      <c r="B62" t="inlineStr">
        <is>
          <t>Sr. Applied Scientist, Prime Video - Personalization and Discovery Science</t>
        </is>
      </c>
      <c r="C62" t="inlineStr">
        <is>
          <t>Amazon.com</t>
        </is>
      </c>
      <c r="D62" t="inlineStr">
        <is>
          <t>indeed</t>
        </is>
      </c>
      <c r="E62" t="inlineStr"/>
      <c r="F62" t="inlineStr"/>
      <c r="G62" t="inlineStr">
        <is>
          <t>Seattle, WA, US</t>
        </is>
      </c>
      <c r="H62" s="1" t="n">
        <v>45881</v>
      </c>
      <c r="I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in-8b36194ea169f965</t>
        </is>
      </c>
      <c r="B63" t="inlineStr">
        <is>
          <t>Applied Scientist II, Prime Video - Personalization and Discovery Science</t>
        </is>
      </c>
      <c r="C63" t="inlineStr">
        <is>
          <t>Amazon.com</t>
        </is>
      </c>
      <c r="D63" t="inlineStr">
        <is>
          <t>indeed</t>
        </is>
      </c>
      <c r="E63" t="inlineStr"/>
      <c r="F63" t="inlineStr"/>
      <c r="G63" t="inlineStr">
        <is>
          <t>New York, NY, US</t>
        </is>
      </c>
      <c r="H63" s="1" t="n">
        <v>45881</v>
      </c>
      <c r="I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in-d9beec3973aa7800</t>
        </is>
      </c>
      <c r="B64" t="inlineStr">
        <is>
          <t>Applied Scientist II, Prime Video - Personalization and Discovery Science</t>
        </is>
      </c>
      <c r="C64" t="inlineStr">
        <is>
          <t>Amazon.com</t>
        </is>
      </c>
      <c r="D64" t="inlineStr">
        <is>
          <t>indeed</t>
        </is>
      </c>
      <c r="E64" t="inlineStr"/>
      <c r="F64" t="inlineStr"/>
      <c r="G64" t="inlineStr">
        <is>
          <t>Sunnyvale, CA, US</t>
        </is>
      </c>
      <c r="H64" s="1" t="n">
        <v>45881</v>
      </c>
      <c r="I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in-9aa1d5ed5c575431</t>
        </is>
      </c>
      <c r="B65" t="inlineStr">
        <is>
          <t>Applied Scientist III, StoreGen</t>
        </is>
      </c>
      <c r="C65" t="inlineStr">
        <is>
          <t>Amazon.com</t>
        </is>
      </c>
      <c r="D65" t="inlineStr">
        <is>
          <t>indeed</t>
        </is>
      </c>
      <c r="E65" t="inlineStr"/>
      <c r="F65" t="inlineStr"/>
      <c r="G65" t="inlineStr">
        <is>
          <t>Seattle, WA, US</t>
        </is>
      </c>
      <c r="H65" s="1" t="n">
        <v>45868</v>
      </c>
      <c r="I65"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in-6d23731c23a811c6</t>
        </is>
      </c>
      <c r="B66" t="inlineStr">
        <is>
          <t>Sr. Applied Scientist, Amazon Advertising</t>
        </is>
      </c>
      <c r="C66" t="inlineStr">
        <is>
          <t>Amazon.com</t>
        </is>
      </c>
      <c r="D66" t="inlineStr">
        <is>
          <t>indeed</t>
        </is>
      </c>
      <c r="E66" t="inlineStr"/>
      <c r="F66" t="inlineStr"/>
      <c r="G66" t="inlineStr">
        <is>
          <t>Arlington, VA, US</t>
        </is>
      </c>
      <c r="H66" s="1" t="n">
        <v>45851</v>
      </c>
      <c r="I6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in-36dc9d24aa92fc2e</t>
        </is>
      </c>
      <c r="B67" t="inlineStr">
        <is>
          <t>Sr. Applied Scientist, Amazon Advertising</t>
        </is>
      </c>
      <c r="C67" t="inlineStr">
        <is>
          <t>Amazon.com</t>
        </is>
      </c>
      <c r="D67" t="inlineStr">
        <is>
          <t>indeed</t>
        </is>
      </c>
      <c r="E67" t="inlineStr"/>
      <c r="F67" t="inlineStr"/>
      <c r="G67" t="inlineStr">
        <is>
          <t>Palo Alto, CA, US</t>
        </is>
      </c>
      <c r="H67" s="1" t="n">
        <v>45851</v>
      </c>
      <c r="I6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in-e1b85216c948fdd0</t>
        </is>
      </c>
      <c r="B68" t="inlineStr">
        <is>
          <t>Sr. Applied Scientist, Amazon Advertising</t>
        </is>
      </c>
      <c r="C68" t="inlineStr">
        <is>
          <t>Amazon.com</t>
        </is>
      </c>
      <c r="D68" t="inlineStr">
        <is>
          <t>indeed</t>
        </is>
      </c>
      <c r="E68" t="inlineStr"/>
      <c r="F68" t="inlineStr"/>
      <c r="G68" t="inlineStr">
        <is>
          <t>Austin, TX, US</t>
        </is>
      </c>
      <c r="H68" s="1" t="n">
        <v>45851</v>
      </c>
      <c r="I6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in-1284c1f6a150e3bf</t>
        </is>
      </c>
      <c r="B69" t="inlineStr">
        <is>
          <t>Sr. Applied Scientist, Amazon Advertising</t>
        </is>
      </c>
      <c r="C69" t="inlineStr">
        <is>
          <t>Amazon.com</t>
        </is>
      </c>
      <c r="D69" t="inlineStr">
        <is>
          <t>indeed</t>
        </is>
      </c>
      <c r="E69" t="inlineStr"/>
      <c r="F69" t="inlineStr"/>
      <c r="G69" t="inlineStr">
        <is>
          <t>Simi Valley, CA, US</t>
        </is>
      </c>
      <c r="H69" s="1" t="n">
        <v>45851</v>
      </c>
      <c r="I6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in-e790681a95fbd37e</t>
        </is>
      </c>
      <c r="B70" t="inlineStr">
        <is>
          <t>Sr. Applied Scientist, Amazon Advertising</t>
        </is>
      </c>
      <c r="C70" t="inlineStr">
        <is>
          <t>Amazon.com</t>
        </is>
      </c>
      <c r="D70" t="inlineStr">
        <is>
          <t>indeed</t>
        </is>
      </c>
      <c r="E70" t="inlineStr"/>
      <c r="F70" t="inlineStr"/>
      <c r="G70" t="inlineStr">
        <is>
          <t>New York, NY, US</t>
        </is>
      </c>
      <c r="H70" s="1" t="n">
        <v>45851</v>
      </c>
      <c r="I7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in-85b515d10f42f0b6</t>
        </is>
      </c>
      <c r="B71" t="inlineStr">
        <is>
          <t>Sr. Applied Scientist, Amazon Advertising</t>
        </is>
      </c>
      <c r="C71" t="inlineStr">
        <is>
          <t>Amazon.com</t>
        </is>
      </c>
      <c r="D71" t="inlineStr">
        <is>
          <t>indeed</t>
        </is>
      </c>
      <c r="E71" t="inlineStr"/>
      <c r="F71" t="inlineStr"/>
      <c r="G71" t="inlineStr">
        <is>
          <t>Seattle, WA, US</t>
        </is>
      </c>
      <c r="H71" s="1" t="n">
        <v>45851</v>
      </c>
      <c r="I7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in-c5543a5565d6e852</t>
        </is>
      </c>
      <c r="B72" t="inlineStr">
        <is>
          <t>Sr. Applied Scientist, Amazon Advertising</t>
        </is>
      </c>
      <c r="C72" t="inlineStr">
        <is>
          <t>Amazon.com</t>
        </is>
      </c>
      <c r="D72" t="inlineStr">
        <is>
          <t>indeed</t>
        </is>
      </c>
      <c r="E72" t="inlineStr"/>
      <c r="F72" t="inlineStr"/>
      <c r="G72" t="inlineStr">
        <is>
          <t>Los Angeles, CA, US</t>
        </is>
      </c>
      <c r="H72" s="1" t="n">
        <v>45851</v>
      </c>
      <c r="I7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in-da4799e8b4666721</t>
        </is>
      </c>
      <c r="B73" t="inlineStr">
        <is>
          <t>Sr. Applied Scientist, Amazon Advertising</t>
        </is>
      </c>
      <c r="C73" t="inlineStr">
        <is>
          <t>Amazon.com</t>
        </is>
      </c>
      <c r="D73" t="inlineStr">
        <is>
          <t>indeed</t>
        </is>
      </c>
      <c r="E73" t="inlineStr"/>
      <c r="F73" t="inlineStr"/>
      <c r="G73" t="inlineStr">
        <is>
          <t>West Hollywood, CA, US</t>
        </is>
      </c>
      <c r="H73" s="1" t="n">
        <v>45851</v>
      </c>
      <c r="I7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in-8950290e021ad868</t>
        </is>
      </c>
      <c r="B74" t="inlineStr">
        <is>
          <t>Senior Applied Scientist, Delivery Foundation Model</t>
        </is>
      </c>
      <c r="C74" t="inlineStr">
        <is>
          <t>Amazon.com</t>
        </is>
      </c>
      <c r="D74" t="inlineStr">
        <is>
          <t>indeed</t>
        </is>
      </c>
      <c r="E74" t="inlineStr"/>
      <c r="F74" t="inlineStr"/>
      <c r="G74" t="inlineStr">
        <is>
          <t>Santa Clara, CA, US</t>
        </is>
      </c>
      <c r="H74" s="1" t="n">
        <v>45806</v>
      </c>
      <c r="I7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in-b36a69a4e6a8cbc5</t>
        </is>
      </c>
      <c r="B75" t="inlineStr">
        <is>
          <t>Senior Applied Scientist, Delivery Foundation Model</t>
        </is>
      </c>
      <c r="C75" t="inlineStr">
        <is>
          <t>Amazon.com</t>
        </is>
      </c>
      <c r="D75" t="inlineStr">
        <is>
          <t>indeed</t>
        </is>
      </c>
      <c r="E75" t="inlineStr"/>
      <c r="F75" t="inlineStr"/>
      <c r="G75" t="inlineStr">
        <is>
          <t>Bellevue, WA, US</t>
        </is>
      </c>
      <c r="H75" s="1" t="n">
        <v>45806</v>
      </c>
      <c r="I7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in-faefdfe15338b0a2</t>
        </is>
      </c>
      <c r="B76" t="inlineStr">
        <is>
          <t>Senior Applied Scientist, Delivery Foundation Model</t>
        </is>
      </c>
      <c r="C76" t="inlineStr">
        <is>
          <t>Amazon.com</t>
        </is>
      </c>
      <c r="D76" t="inlineStr">
        <is>
          <t>indeed</t>
        </is>
      </c>
      <c r="E76" t="inlineStr"/>
      <c r="F76" t="inlineStr"/>
      <c r="G76" t="inlineStr">
        <is>
          <t>New York, NY, US</t>
        </is>
      </c>
      <c r="H76" s="1" t="n">
        <v>45806</v>
      </c>
      <c r="I7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in-1ef9988b3b6827fe</t>
        </is>
      </c>
      <c r="B77" t="inlineStr">
        <is>
          <t>Senior Machine Learning Engineer - Azure</t>
        </is>
      </c>
      <c r="C77" t="inlineStr">
        <is>
          <t>Logic20/20</t>
        </is>
      </c>
      <c r="D77" t="inlineStr">
        <is>
          <t>indeed</t>
        </is>
      </c>
      <c r="E77" t="inlineStr"/>
      <c r="F77" t="inlineStr"/>
      <c r="G77" t="inlineStr">
        <is>
          <t>Seattle, WA, US</t>
        </is>
      </c>
      <c r="H77" s="1" t="n">
        <v>46077</v>
      </c>
      <c r="I77" t="inlineStr">
        <is>
          <t>**Company Description**  
We’re a ten\-time “Best Company to Work For,” where intelligent, talented people come together to do outstanding work—and have a lot of fun while they’re at it. We offer a solution\-focused environment full of collaboration and dedication, to our goals and to each other. You’ll have the opportunity to drive your own success in a supportive, globally connected environment. From advanced tools and technology to an immersive company culture, working at Logic20/20 means working on the leading edge, with a community of the right people around you.
 **Job Description**  
Logic20/20 is seeking a Senior Machine Learning Engineer to support data science teams utilizing artificial intelligence and machine learning to predict and analyze computer vision or customer intent models. This is an exciting opportunity to make an impact by leveraging AI and ML techniques to create production\-level systems through the application of machine learning models.
**What you’ll do:**
* Create frameworks to predict a variety of outcomes in different scenarios
* Create models of customer satisfaction that provide detailed insight into what causes a customer to take different actions
* Collaborate with other data scientists and stakeholders on projects
* Develop solutions in Python
* Develop production\-grade solutions
* Work in Hadoop, Redshift, and Spark
* Translate business and product questions into analytics projects
* Communicate clearly over written and oral channels while translating complex methodologies and analytical results into high\-level insights
**Qualifications**  
* 5\-10 years of experience in a data science and/or machine learning role with deep expertise in Python.
* Strong experience with Azure, Azure ML, and Terraform.
* Experience building and managing robust CI/CD pipelines for machine learning workflows, including model training, evaluation, and deployment.
* Knowledge of professional enterprise software development and practices, including software lifecycle, best coding practices, version control, architecture, testing, and deployment.
* Familiarity with popular machine learning libraries and frameworks, including TensorFlow, Keras, etc.
* Knowledge of statistics and Machine Learning techniques.
* Experience with GitHub.
* Experience building data pipelines.
**Preferred qualifications**
* Experience with PyTorch.
* Experience developing and deploying image models.
* Master's degree/PhD in computer science or related field.
**Additional Information**  
At Logic20/20, we believe in recognizing and rewarding exceptional talent. Logic20/20 offers a competitive compensation package, with a target base salary range of $125,865 \- $141,150 for this role. The final base salary offered is dependent on factors such as relevant experience, skills, qualifications, and location. Eligible employees may also qualify for performance\-based bonuses and other incentives.
All your information will be kept confidential according to EEO guidelines.
**Learn more about life at Logic20/20!**
Visit our Life at Logic page to explore our culture, benefits, and what makes Logic20/20 a great place to grow your career!
**Core Values**
At Logic20/20, we are guided by three core values: Drive toward Excellence, Act with Integrity \&amp; Foster a Culture of We. These values were generated and agreed upon by our employees—and they help us pursue our goal of being one of the best companies to work for and to work with. Learn more at https://www.logic2020\.com/company/our\-values.
**Equal Opportunity Statement**
We believe that people should be celebrated: for their talents, ideas, and skills, but most of all, for what makes them unique. We prohibit harassment and/or discrimination based on age, race, creed, color, religion, sex, national origin, ancestry, disability status, veteran status, sexual orientation, gender identity or expression, genetic information, marital status, citizenship status, or any other basis as protected by federal, state, or local law.
To learn more about our DE\&amp;I initiatives, please visit: https://www.logic2020\.com/company/diversity\-equity\-inclusion
**Privacy Policy**
During the recruitment and hiring process, we gather, process, and store some of your personal data. We consider data privacy a priority. For further information, please view our company privacy policy.</t>
        </is>
      </c>
    </row>
    <row r="78">
      <c r="A78" t="inlineStr">
        <is>
          <t>in-d6bb9ddda64f1905</t>
        </is>
      </c>
      <c r="B78" t="inlineStr">
        <is>
          <t>Senior ML Engineer, Enrichment</t>
        </is>
      </c>
      <c r="C78" t="inlineStr">
        <is>
          <t>Flock Safety</t>
        </is>
      </c>
      <c r="D78" t="inlineStr">
        <is>
          <t>indeed</t>
        </is>
      </c>
      <c r="E78" t="inlineStr"/>
      <c r="F78" t="inlineStr"/>
      <c r="G78" t="inlineStr">
        <is>
          <t>Remote, US</t>
        </is>
      </c>
      <c r="H78" s="1" t="n">
        <v>46076</v>
      </c>
      <c r="I78" t="inlineStr">
        <is>
          <t>Location
Remote \- USA
Employment Type
Full time
Location Type
Remote
Department
Engineering
Compensation
$160K – $175K • Offers Equity
Where you fall within the compensation range is based on how you demonstrate the attributes and competencies required for the role. We mostly reserve the upper half of our compensation bands for internal growth. During your call with one of our recruiters, they can further clarify the salary range and our total compensation.
Overview
**Who is Flock?**
Flock Safety is the leading safety technology platform, helping communities thrive by taking a proactive approach to crime prevention and security. Our hardware and software suite connects cities, law enforcement, businesses, schools, and neighborhoods in a nationwide public\-private safety network. Trusted by over 5,000 communities, 4,500 law enforcement agencies, and 1,000 businesses, Flock delivers real\-time intelligence while prioritizing privacy and responsible innovation.
We’re a high\-performance, low\-ego team driven by urgency, collaboration, and bold thinking. Working at Flock means tackling big challenges, moving fast, and continuously improving. It’s intense but deeply rewarding for those who want to make an impact.
With nearly $700M in venture funding and a $7\.5B valuation, we’re scaling intentionally and seeking top talent to help build the impossible. If you value teamwork, ownership, and solving tough problems, Flock could be the place for you.
**The Opportunity**
As a Senior Machine Learning Engineer on the Vision Team, you will support the machine learning model lifecycle that allows our devices to decode evidence like a detective and define how crime is eliminated. You will play a key role in improving model performance and addressing model drift. The ideal candidate is someone who is passionate about taking cutting edge research and technology to solve new problems, and enjoys working with the entire lifecycle of Machine Learning software.
**How you'll make an impact:**
* Frame open\-ended, real\-world problems into well defined ML problems
* Make use of and improve on existing data acquisition and model training/evaluation pipelines to create appropriate datasets and obtain model feedback
* Leverage cutting\-edge research and technology to create custom solutions
* Design and run experiments to test new ideas or improvements to existing models
* Build visualization and monitoring tools to evaluate the quality of our data and models
* Collaborate across teams and product to deliver solutions that fit within business and organizational requirements
* Review code of other Machine Learning Engineers
**The Skillset**
* 6\+ years of experience
* BS/MS in Computer Science, Mathematics, Physics, Engineering, or proof of equivalent software engineering experience (PhD’s welcome)
* Experience solving problems using Machine Learning frameworks (Tensorflow, PyTorch, scikit\-learn, etc.)
* Good understanding of Deep Learning and Traditional ML (supervised and unsupervised) algorithms
* Experience writing Python in a team environment
* Able to take on complex problems, learn quickly, iterate, and persist towards a good solution
* Effectively communicate, at the level of your audience, and seek to understand and be understood
* Basic SQL knowledge
* Basic Git knowledge
* Experience with linear algebra, probability, and statistics preferred
*Feeling uneasy that you haven’t ticked every box? That’s okay; we’ve felt that way too. Studies have shown women and minorities are less likely to apply unless they meet all qualifications. We encourage you to break the status quo and apply to roles that would make you excited to come to work every day.*
**90 Days at Flock**
We are a results\-oriented culture and believe job descriptions are a thing of the past. We prescribe 90 day plans and believe that good days lead to good weeks, which lead to good months. This serves as a preview of the 90 day plan you will receive if you were to be hired in this role at Flock Safety.
**The First 30 Days**
* Learn our tech stack, internal toolkit, and standard operating procedures for training, evaluating, and deploying our machine learning models
* Get to know the technical teams and stakeholder groups you’ll be working closely with
* Begin making a meaningful impact by adding an incremental improvement to our model evaluation reports
**The First 60 Days**
* Curate our holdout data to improve representation and address certain challenging strata
* Improve statistical reporting metrics in our evaluation reports
* Get acquainted with downstream repositories that support our predictive capabilities.
**90 Days \&amp; Beyond**
* Improve understanding of the impact of data augmentations in our training pipeline.
* Introduce new augmentations within our modeling framework
* Gauge model robustness by building holdout datasets for various adversarial conditions
* Become fully independent within our end\-to\-end training and deployment pipeline
**Salary \&amp; Equity**
In this role, you’ll receive a starting salary between $160,000 and $175,000 as well as Flock Safety Stock Options. Base salary is determined by job\-related experience, education/training, as well as market indicators. Your recruiter will discuss this in\-depth with you during our first chat.
**Location**
We’re building the impossible, together. To drive innovation through in\-person collaboration, we’re prioritizing candidates in our key hubs: Atlanta, Boston, Chicago, Denver, Los Angeles, New York City, San Francisco, and Austin. While we value the energy of our hub communities, we embrace remote work and welcome applications from exceptional talent across the United States.
**The Perks**
**Flexible PTO**: We offer non\-accrual PTO, plus 11 company holidays.
* ️**Fully\-paid** **health benefits** **plan for employees**: including Medical, Dental, and Vision and an HSA match.
**Family Leave**: All employees receive 12 weeks of 100% paid parental leave. Birthing parents are eligible for an additional 6\-8 weeks of physical recovery time.
**Fertility \&amp; Family Benefits:** We have partnered with Maven, a complete digital health benefit for starting and raising a family. Flock will provide a $50,000\-lifetime maximum benefit related to eligible adoption, surrogacy, or fertility expenses.
**Spring Health:** Spring Health offers a variety of mental health benefits, including therapy, coaching, medication management, and digital tools, all tailored to each individual's needs.
**Caregiver Support:** We have partnered with Cariloop to provide our employees with caregiver support
**Carta Tax Advisor:** Employees receive 1:1 sessions with Equity Tax Advisors who can address individual grants, model tax scenarios, and answer general questions.
**ERGs:** We want all employees to thrive and feel like they belong at Flock. We offer four ERGs today \- Women of Flock, Flock Proud, LEOs and Melanin Motion. If you are interested in talking to a representative from one of these, please let your recruiter know.
**WFH Stipend:** $150 per month to cover the costs of working from home.
**Productivity Stipend:** $300 per year to use on Audible, Calm, Masterclass, Duolingo and so much more.
**Home Office Stipend:** A one\-time $750 to help you create your dream office.
*If an offer is extended and accepted, this position requires the ability to obtain and maintain Criminal Justice Information Services (CJIS) certification as a condition of employment. Applicants must meet all FBI CJIS Security Policy requirements, including a fingerprint\-based background check.*
*Flock is an equal opportunity employer. We celebrate diverse backgrounds and thoughts and welcome everyone to apply for employment with us. We are committed to fostering an environment that is inclusive, transparent, and collaborative. Mutual respect is central to how Flock operates, and we believe the best solutions come from diverse perspectives, experiences, and skills. We embrace our differences and know that we are stronger working together.*
*If you need assistance or an accommodation due to a disability, please email us at recruiting@flocksafety.com. This information will be treated as confidential and used only to determine an appropriate accommodation for the interview process.*
*At Flock Safety, we compensate our employees fairly for their work. Base salary is determined by job\-related experience, education/training, as well as market indicators. The range above is representative of base salary only and does not include equity, sales bonus plans (when applicable) and benefits. This range may be modified in the future. This job posting may span more than one career level.*
*Flock Safety is aware of fraudulent individuals and agencies falsely claiming to represent our company. All legitimate communication from Flock Safety will come from an email address ending in* ***@******flocksafety.com****. We do not make job offers through messaging apps, social platforms, or unauthorized third parties, and we will never request payment or sensitive personal information during the hiring process. If you encounter suspicious outreach related to a Flock Safety role, please report it to* *recruiting@flocksafety.com*</t>
        </is>
      </c>
    </row>
    <row r="79">
      <c r="A79" t="inlineStr">
        <is>
          <t>in-524a6c528069c1e7</t>
        </is>
      </c>
      <c r="B79" t="inlineStr">
        <is>
          <t>Senior AI Engineer</t>
        </is>
      </c>
      <c r="C79" t="inlineStr">
        <is>
          <t>Cellebrite</t>
        </is>
      </c>
      <c r="D79" t="inlineStr">
        <is>
          <t>indeed</t>
        </is>
      </c>
      <c r="E79" t="inlineStr"/>
      <c r="F79" t="inlineStr"/>
      <c r="G79" t="inlineStr">
        <is>
          <t>Tysons, VA, US</t>
        </is>
      </c>
      <c r="H79" s="1" t="n">
        <v>46076</v>
      </c>
      <c r="I79" t="inlineStr">
        <is>
          <t>**About Cellebrite:**
Cellebrite’s (Nasdaq: CLBT) mission is to enable its global customers to protect and save lives by enhancing digital investigations and intelligence gathering to accelerate justice in communities around the world. Cellebrite’s AI\-powered Digital Investigation Platform enables customers to lawfully access, collect, analyze and share digital evidence in legally sanctioned investigations while preserving data privacy. Thousands of public safety organizations, intelligence agencies and businesses rely on Cellebrite’s digital forensic and investigative solutions\-available via cloud, on\-premises and hybrid deployments\-to close faster and safeguard communities. To learn more, visit us at www.cellebrite.com, https://investors.cellebrite.com/investors and find us on social media @Cellebrite.
 **﻿What is your mission?**
We are seeking a talented and driven developer to join our team and help build scalable, cloud\-native solutions on AWS. This role sits at the intersection of modern software engineering and applied AI — leveraging AI\-powered development tools to enhance engineering productivity while also designing and delivering AI\-driven capabilities within our product.
You will be developing and maintaining a product to transform complex forensic data from diverse sources into meaningful investigative leads and intelligence insights. This platform will analyze large\-scale datasets to uncover patterns, anomalies, and relationships across entities — enabling users to see the bigger picture and act with confidence.
 **Responsibilities:**
* Design and implement features for our AWS\-based AI solution, including job orchestration, manifest generation, and API integrations.
* Build and maintain AI\-powered product features that extract insights from complex, multi\-source forensic datasets.
* Leverage AI\-assisted development tools to accelerate delivery while maintaining high standards of quality, security, and performance.
* Ensure code quality and reliability through comprehensive unit testing, performance testing, and observability enhancements.
* Collaborate with cross\-functional teams to integrate AI services into broader investigation workflows and runtime environments.
* Troubleshoot deployment issues and contribute to the continuous improvement of dashboards and monitoring tools.
* Contribute to data modelling, algorithm exploration, and proof\-of\-concept development.
 **Requirements:**
* Strong proficiency in Python and TypeScript, with experience building APIs and cloud‑native architecture.
* Knowledge of Node.js, Next.js, and React preferred; experience with Go is a plus.
* Hands‑on experience with AWS services such as SageMaker and Lambda.
* Ability to produce clear, maintainable code and contribute to shared documentation and engineering standards.
* Working knowledge of GitHub workflows, secrets handling, and secure release practices.
* Experience with Amazon EKS and Kubernetes‑based deployment environments.
* Exposure to GenAI platforms, including LLM integration and semantic caching techniques.
* Familiarity with observability platforms such as Datadog and structured log aggregation.
 *Cellebrite is an equal opportunity/affirmative action employer. All qualified applicants will receive consideration for employment without regard to sex, gender identity, sexual orientation, race, colour, religion, national origin, disability, protected Veteran status, age, or any other characteristic protected by law.*
\#LI\-DT1
Office Location:
Greater Washington, DC Area</t>
        </is>
      </c>
    </row>
    <row r="80">
      <c r="A80" t="inlineStr">
        <is>
          <t>in-ba878f2c456e3228</t>
        </is>
      </c>
      <c r="B80" t="inlineStr">
        <is>
          <t>GEN AI Engineer</t>
        </is>
      </c>
      <c r="C80" t="inlineStr">
        <is>
          <t>Tata Consultancy Services (TCS)</t>
        </is>
      </c>
      <c r="D80" t="inlineStr">
        <is>
          <t>indeed</t>
        </is>
      </c>
      <c r="E80" t="inlineStr"/>
      <c r="F80" t="inlineStr"/>
      <c r="G80" t="inlineStr">
        <is>
          <t>Tampa, FL, US</t>
        </is>
      </c>
      <c r="H80" s="1" t="n">
        <v>46076</v>
      </c>
      <c r="I80" t="inlineStr">
        <is>
          <t>Must Have Technical/Functional Skills  
Technical Skills
Strong experience with Python (mandatory); exposure to Java/TypeScript is a plus.
Hands\-on experience with LLMs and GenAI frameworks (e.g., LangChain\-style orchestration, agent frameworks).
Experience with Agentic AI concepts: planning, tool use, memory, multi\-agent coordination.
Experience with vector databases and semantic search.
API integration and microservices architecture.
Cloud platforms (Azure / AWS / GCP).  
AI/ML Knowledge
Understanding of NLP, deep learning, and transformer\-based models.
Experience with model evaluation, hallucination mitigation, and prompt optimization.
Familiarity with Responsible AI, security, and data privacy principles.  
Roles \&amp; Responsibilities
GenAI Development
Design and implement GenAI solutions using LLMs for text, code, and knowledge\-based use cases.
Develop prompt engineering, prompt orchestration, and reusable prompt libraries.
Fine\-tune and evaluate LLMs for enterprise\-specific tasks.
Integrate GenAI capabilities into applications, APIs, and workflows.  
Agentic AI \&amp; Autonomous Systems
Design and implement agentic architectures (planner, executor, evaluator, memory).
Build multi\-agent systems with task decomposition, tool usage, and feedback loops.
Enable agents to interact with enterprise tools, APIs, databases, and knowledge stores.
Implement agent memory, reasoning chains, and self\-reflection mechanisms.  
Architecture \&amp; Engineering
Define end\-to\-end AI solution architecture (cloud, APIs, security, observability).
Implement Retrieval\-Augmented Generation (RAG) with vector databases.
Ensure scalability, performance, reliability, and cost efficiency.
Apply Responsible AI, governance, and compliance standards.  
Collaboration \&amp; Delivery
Work closely with product owners, domain experts, and engineering teams.
Translate business problems into AI\-driven solutions.
Support SDLC phases including design, development, testing, deployment, and support.
Mentor junior engineers and contribute to AI best practices.  
Salary Range: $100,000\-$130,000 a year  
\#LI\-DM1  
**Location**
Tampa, FL
**Job Function**
TECHNOLOGY
**Role**
Engineer
**Job Id**
398320
**Desired Skills**
Artificial Intelligence
**Salary Range**
$100,000\-$130,000 a year</t>
        </is>
      </c>
    </row>
    <row r="81">
      <c r="A81" t="inlineStr">
        <is>
          <t>in-1fd1edc9dcd1c862</t>
        </is>
      </c>
      <c r="B81" t="inlineStr">
        <is>
          <t>Lead AI Engineer</t>
        </is>
      </c>
      <c r="C81" t="inlineStr">
        <is>
          <t>Equifax</t>
        </is>
      </c>
      <c r="D81" t="inlineStr">
        <is>
          <t>indeed</t>
        </is>
      </c>
      <c r="E81" t="inlineStr"/>
      <c r="F81" t="inlineStr"/>
      <c r="G81" t="inlineStr">
        <is>
          <t>St. Louis, MO, US</t>
        </is>
      </c>
      <c r="H81" s="1" t="n">
        <v>46076</v>
      </c>
      <c r="I81" t="inlineStr">
        <is>
          <t>Equifax is actively seeking a highly motivated **Lead AI Engineer** to architect the future of our technological infrastructure. This role transcends mere tool implementation; the incumbent will serve as the catalyst for an **AI\-First Software Engineering** paradigm shift, transitioning from manual coding practices to the sophisticated orchestration of AI agents. The core mission is to significantly enhance development capacity, enabling the team to prioritize high\-value innovation over manual, repetitive tasks.
The successful candidate will operate at the vanguard of modern engineering, driving the transformation from manual coding to the command and control of AI agents. By leveraging Vibe coding methodologies in conjunction with AI\-powered assistants such as Gemini and GitHub Copilot, the role will accelerate innovation across our highly scalable APIs, microservices, and PaaS/SaaS platforms. This position entails leading the design and deployment of advanced AI agents within the Google Cloud Platform, ensuring that the integration of AI tools culminates in **secure, compliant, and standardized deployment pipelines** that define our 'Golden Path' to production. This individual will function not only as an engineer but also as an architect, a mentor, and a principal driver of the team's technical vision for adopting cutting\-edge, AI\-driven software development. Individuals demonstrating a profound passion for emerging AI technologies and their application in enhancing Software Product engineering are strongly encouraged to apply.
**This role requires being in the office 3 days/week on Tues \- Thurs.**
**This position does not offer immigration sponsorship (current or future) including F\-1 STEM OPT extension support.**
**What you’ll do**
* Champion modern software development practices by proactively utilizing AI code\-assist tools (e.g., Gemini code assists, GitHub Copilot, Claude code) to expedite development cycles, generate comprehensive documentation, and improve code quality, testing, and monitoring \&amp; observability protocols.
* Lead AI Research \&amp; Innovation efforts to maintain a position at the forefront of the field. This includes identifying, prototyping, and integrating the latest foundational models, RAG (Retrieval\-Augmented Generation) techniques, and agentic frameworks to address complex business challenges.
* Collaborate strategically with product leaders, architects, Site Reliability Engineers (SREs), and fellow engineers to translate business requirements into robust technical solutions. Drive innovation and efficacy in our AI solutions through close collaboration, ensuring a successful transition from the traditional Software Development Life Cycle (SDLC) to an "AI Development Life Cycle" (AI DLC).
* Maintain a data\- and metrics\-driven approach with a stringent focus on optimizing and creating highly efficient solutions, and quantifying the business and customer impact of those solutions.
* Engage in security and compliance approval processes, ensuring a "secure\-by\-design" methodology and adherence to Equifax’s best practices for security and compliance.
* Propose architectural and design recommendations for Production Scale on GCP: Engineer and operate our AI systems within a scalable, reliable production environment on the Google Cloud Platform.
* Ensure rigorous compliance with EFX secure software development guidelines and best practices.
* Collaborate with architects, SRE leads, and other technical leadership on strategic technical direction, guidelines, and best practices.
**What experience you need**
* **Visionary Leadership:** A minimum of 7 years of experience in software engineering, with a demonstrated capability to provide leadership through ambiguity and to effectively motivate cross\-functional teams.
* **AI Specialization:** At least 2 years of applying Generative AI (GenAI) to solve enterprise\-level business problems and a minimum of 1 year of experience with agentic AI frameworks.
* **Cloud Mastery:** Expert\-level proficiency in GCP, Kubernetes, Infrastructure\-as\-Code (IaC), CI/CD tools, and database knowledge.
* **Observability Mindset:** Experience with AI\-powered log analysis and troubleshooting using relevant tools.
* Bachelor's degree in Computer Science or an equivalent field.
* Proficiency in Python, JavaScript/TypeScript, and/or Java, along with a working knowledge of modern front\-end frameworks.
**What could set you apart**
* The ability to not merely utilize AI, but to engineer the ecosystems that optimize the efficiency of all other engineers.
* A collaborative disposition and a willingness to foster a "Me, We, Us" culture through mentorship and shared AI excellence.
* A strong commitment to Shift\-Left strategies that minimize rework and optimize resource utilization.
\#LI\-ES1
\#LI\-Hybrid</t>
        </is>
      </c>
    </row>
    <row r="82">
      <c r="A82" t="inlineStr">
        <is>
          <t>in-fcb8a030781599dc</t>
        </is>
      </c>
      <c r="B82" t="inlineStr">
        <is>
          <t>Senior Machine Learning Engineer</t>
        </is>
      </c>
      <c r="C82" t="inlineStr">
        <is>
          <t>VSCO</t>
        </is>
      </c>
      <c r="D82" t="inlineStr">
        <is>
          <t>indeed</t>
        </is>
      </c>
      <c r="E82" t="inlineStr"/>
      <c r="F82" t="inlineStr"/>
      <c r="G82" t="inlineStr">
        <is>
          <t>San Francisco, CA, US</t>
        </is>
      </c>
      <c r="H82" s="1" t="n">
        <v>46076</v>
      </c>
      <c r="I82" t="inlineStr">
        <is>
          <t>**About VSCO**
VSCO (pronounced vis–co) is a platform that equips photographers with the tools, community, and exposure they need to expand creatively and professionally. VSCO maintains a rich and authentic creative environment that serves photographers at all levels – preserving a home for creative opportunity, inspiration, and connection. Our mission is to champion photographers so they can make it. We empower photographers to connect with other creatives and businesses with our suite of creative tools that spans from mobile to desktop and across our global community.
We are looking for people who are driven and demonstrate initiative in taking our company mission to the next level. Employees here have the opportunity to make a big impact, and believe that when we build together, we achieve stronger outcomes than we could alone.
Our values are critical pillars to our team culture and shape the way we hire. Read more about what you can expect when working at VSCO on our Careers Page.
**About The Role**
In this role, you will turn AI and ML into exciting, reliable user\-facing product capabilities. You bring a strong technical background with deep machine learning expertise shaped by hands\-on experience shipping models into production and iterating based on real\-world feedback. You’re motivated by measurable impact and customer delight, and you balance innovation with practicality.
You’re fluent in Python, comfortable working across the data \+ ML stack, and able to build and ship models quickly in ways that are maintainable, observable, and scalable to large datasets. From lightweight heuristics and classical ML to modern deep learning and generative AI workflows, you can choose the right level of complexity for the problem and execute end\-to\-end: framing, experimentation, evaluation, deployment, and iteration.
You value the craft of software engineering and bring a thoughtful approach to system design for ML—data quality, pipelines, feature/embedding workflows, model serving, monitoring, and continuous improvement. Because ML has the most leverage when it’s deeply integrated into a cohesive product experience, you’re a strong cross\-functional partner: you collaborate closely with product, design, engineering, and data to align on goals, define success metrics, and deliver outcomes.
You stay current on the fast\-moving AI landscape with a grounded perspective—curious, discerning, and able to separate durable advances from hype—so the team can move quickly without chasing noise.
**The Day to Day**
* Design and implement ML\-powered features for search, discovery, personalization, and recommendation systems.
* Design and develop computer vision models powering the next generation of the photographer’s tool set
* Elevate our ML platform for model building, training, and deployment at scale.
* Research and implement machine learning best practices to elevate our creator platform.
* Utilize data and ML to optimize key business funnels and enhance user experiences.
* Collaborate cross\-functionally with technical and non\-technical teams, bringing strong business context to your decision\-making and using influence to build alignment and drive impact.
* Proactively assure progress with stakeholders and continually assess prioritization in order to move the business forward.
**Qualifications**
* 5\+ years of experience designing and developing ML systems for impactful product experiences.
* Proven track record in optimizing ML algorithms and building ML pipelines with a focus on reliability and scalability.
* Expertise in Python for writing production\-ready, testable code and conducting exploratory data analysis (EDA).
* Strong capabilities in SQL, statistics, and tools of effective data science.
* Hands\-on experience with computer vision models and familiarity with the latest trends in AI and ML.
* Prior experience with data engineering and infrastructure on cloud platforms (preferably AWS).
* Excellent written and verbal communication skills to articulate complex ideas and build alignment.
* Expertise in developing extensible code with LLM coding assistants
**Job Perks**
* Hybrid work with an office in San Francisco, CA
* Regular in\-person events events to connect and collaborate
* Competitive salary \&amp; equity
* Medical, dental, and vision insurance for employees and families
* Flexible Time Off
* Company\-paid parental, medical and caregiver leave
* Other perks including mental health resources and tech reimbursements
**Compensation**
The base salary for this position will vary based on several factors, such as relevant experience, location and your approved internal leveling assessed during the interview process. The base salary range for this role is $240,000 \- $260,000\. Salary is one component of our total compensation package. This position also qualifies for equity (i.e. stock options) and is eligible for discretionary bonuses based on performance.
The benefits available for this position include flexible time off, a 401K retirement plan, insurance (medical, dental, vision, life/AD\&amp;D, short and long term disability), and 11 paid holidays. We also provide paid sick time as required by state and local law. Additional benefits and perks contained in our standard employee benefits package are also offered for this position.
**Please note**:
The application window for this role will be open until at least 3/23/2026\. This opportunity will remain online based on business needs which may be before or after the specified date.
As part of our hiring process, we conduct pre\-employment background checks in compliance with federal, state, and local laws. Employment is contingent upon the successful completion of this background check, which includes state and federal criminal records checks, sex offender registry searches, and other relevant checks as permitted by law.
**Be careful of fraudulent job posts.**
If you receive outreach from someone claiming to work for VSCO, please verify they are communicating through the proper channels (vsco.co email domain or through Greenhouse).
Note that VSCO will never ask for financial information or sensitive personal information during the application process.</t>
        </is>
      </c>
    </row>
    <row r="83">
      <c r="A83" t="inlineStr">
        <is>
          <t>in-694c75517e319d9a</t>
        </is>
      </c>
      <c r="B83" t="inlineStr">
        <is>
          <t>Machine Learning Engineer - Statistician</t>
        </is>
      </c>
      <c r="C83" t="inlineStr">
        <is>
          <t>Brillient Corporation</t>
        </is>
      </c>
      <c r="D83" t="inlineStr">
        <is>
          <t>indeed</t>
        </is>
      </c>
      <c r="E83" t="inlineStr"/>
      <c r="F83" t="inlineStr"/>
      <c r="G83" t="inlineStr">
        <is>
          <t>Reston, VA, US</t>
        </is>
      </c>
      <c r="H83" s="1" t="n">
        <v>46076</v>
      </c>
      <c r="I83" t="inlineStr">
        <is>
          <t>**Job Description:**
* Prepare statistically based documentation for research studies, white papers, and technical analyses.
* Develop statistical analysis plans and sampling methodologies.
* Write and maintain computer code for:
	+ Data cleaning and preprocessing
	+ Database design and data structuring
	+ Exploratory and inferential data analysis
* Perform regression analysis, hypothesis testing, and model diagnostics.
* Produce clear technical documentation suitable for regulatory, audit, or stakeholder review.
**Required Qualifications:**
----------------------------
* Bachelor’s degree in Statistics, Mathematics, Computer Science, Engineering, or related quantitative discipline.
* US Citizenship required
* Strong foundation in probability theory, statistical inference, and regression modeling.
* Experience writing production\-quality analytical code.
* Ability to translate business or research problems into structured statistical approaches.
* Strong written communication skills for preparing white papers and formal documentation.</t>
        </is>
      </c>
    </row>
    <row r="84">
      <c r="A84" t="inlineStr">
        <is>
          <t>in-b3f03e22d717f43a</t>
        </is>
      </c>
      <c r="B84" t="inlineStr">
        <is>
          <t>Google ADK AI Engineer</t>
        </is>
      </c>
      <c r="C84" t="inlineStr">
        <is>
          <t>Infosys</t>
        </is>
      </c>
      <c r="D84" t="inlineStr">
        <is>
          <t>indeed</t>
        </is>
      </c>
      <c r="E84" t="inlineStr"/>
      <c r="F84" t="inlineStr"/>
      <c r="G84" t="inlineStr">
        <is>
          <t>Cupertino, CA, US</t>
        </is>
      </c>
      <c r="H84" s="1" t="n">
        <v>46076</v>
      </c>
      <c r="I84" t="inlineStr">
        <is>
          <t>Infosys is seeking **Google ADK AI Engineer.** In this role, you will interface with key stakeholders and apply your technical proficiency across different stages of the Software Development Life Cycle including Requirements Elicitation, Application Architecture definition and Design. You will play an important role in creating the high\-level design artifacts. You will also deliver high quality code deliverables for a module, lead validation for all types of testing and support activities related to implementation, transition, and warranty. You will be part of a learning culture, where teamwork and collaboration are encouraged, excellence is rewarded, and diversity is respected and valued.  
**Required Qualifications:*** Bachelor’s degree or foreign equivalent required from an accredited institution. Will also consider three years of progressive experience in the specialty in lieu of every year of education.
* Candidate must be located within commuting distance of **Cupertino, CA** or be willing to relocate to the area. This position may require travel within the US
* Candidates authorized to work for any employer in the United States without employer\-based visa sponsorship are welcome to apply. Infosys is unable to provide immigration sponsorship for this role at this time
* At least 4 years of Information Technology experience.
* Strong programming skills in Python and applied experience with a range of LLMs.
* Expert in applying and extending AI agent frameworks (Google ADK, LangChain, etc.)
* Hands\-on experience developing, deploying, and operating AI agents in production
* Experience deploying AI systems in large\-scale, hybrid environments with a focus on performance and reliability
* Experience in writing SQL
**Preferred Qualifications:*** A portfolio of deployed agentic systems that have delivered significant, measurable impact.
* Experience in evaluation frameworks for AI agents.
* Proven years of software development or machine learning experience.
* Proven expertise in optimizing AI agents for latency, scalability, and cost.
* Experience in Big data would be an added advantage
* A track record of thought leadership or contributions to the field of agentic AI.
* M.S. or PhD in computer science, machine learning, or a related field or equivalent practical experience
* Good understanding of Agile software development frameworks
* Strong communication and Analytical skills
* Ability to work in teams in a diverse, multi\-stakeholder environment comprising of Business and Technology teams
* Experience and desire to work in a global delivery environment
*The job entails sitting as well as working at a computer for extended periods of time. Should be able to communicate by telephone, email or face to face. Travel may be required as per the job requirements.*  
Along with competitive pay, as a full\-time Infosys employee you are also eligible for the following benefits: \-
* Medical/Dental/Vision/Life Insurance
* Long\-term/Short\-term Disability
* Health and Dependent Care Reimbursement Accounts
* Insurance (Accident, Critical Illness, Hospital Indemnity, Legal)
* 401(k) plan and contributions dependent on salary level
* Paid holidays plus Paid Time Off</t>
        </is>
      </c>
    </row>
    <row r="85">
      <c r="A85" t="inlineStr">
        <is>
          <t>in-759dbdae4d524e89</t>
        </is>
      </c>
      <c r="B85" t="inlineStr">
        <is>
          <t>Google ADK AI Engineer</t>
        </is>
      </c>
      <c r="C85" t="inlineStr">
        <is>
          <t>Infosys</t>
        </is>
      </c>
      <c r="D85" t="inlineStr">
        <is>
          <t>indeed</t>
        </is>
      </c>
      <c r="E85" t="inlineStr"/>
      <c r="F85" t="inlineStr"/>
      <c r="G85" t="inlineStr">
        <is>
          <t>Cupertino, CA, US</t>
        </is>
      </c>
      <c r="H85" s="1" t="n">
        <v>46076</v>
      </c>
      <c r="I85" t="inlineStr">
        <is>
          <t>Infosys is seeking **Google ADK AI Engineer.** In this role, you will interface with key stakeholders and apply your technical proficiency across different stages of the Software Development Life Cycle including Requirements Elicitation, Application Architecture definition and Design. You will play an important role in creating the high\-level design artifacts. You will also deliver high quality code deliverables for a module, lead validation for all types of testing and support activities related to implementation, transition, and warranty. You will be part of a learning culture, where teamwork and collaboration are encouraged, excellence is rewarded, and diversity is respected and valued.  
**Required Qualifications:*** Bachelor’s degree or foreign equivalent required from an accredited institution. Will also consider three years of progressive experience in the specialty in lieu of every year of education.
* Candidate must be located within commuting distance of **Cupertino, CA** or be willing to relocate to the area. This position may require travel within the US
* Candidates authorized to work for any employer in the United States without employer\-based visa sponsorship are welcome to apply. Infosys is unable to provide immigration sponsorship for this role at this time
* At least 2 years of Information Technology experience.
* Strong programming skills in Python and applied experience with a range of LLMs.
* Expert in applying and extending AI agent frameworks (Google ADK, LangChain, etc.)
* Hands\-on experience developing, deploying, and operating AI agents in production
* Experience deploying AI systems in large\-scale, hybrid environments with a focus on performance and reliability
* Experience in writing SQL
**Preferred Qualifications:*** A portfolio of deployed agentic systems that have delivered significant, measurable impact.
* Experience in evaluation frameworks for AI agents.
* Proven years of software development or machine learning experience.
* Proven expertise in optimizing AI agents for latency, scalability, and cost.
* Experience in Big data would be an added advantage
* A track record of thought leadership or contributions to the field of agentic AI.
* M.S. or PhD in computer science, machine learning, or a related field or equivalent practical experience
* Good understanding of Agile software development frameworks
* Strong communication and Analytical skills
* Ability to work in teams in a diverse, multi\-stakeholder environment comprising of Business and Technology teams
* Experience and desire to work in a global delivery environment
*The job entails sitting as well as working at a computer for extended periods of time. Should be able to communicate by telephone, email or face to face. Travel may be required as per the job requirements.*  
Along with competitive pay, as a full\-time Infosys employee you are also eligible for the following benefits: \-* Medical/Dental/Vision/Life Insurance
* Long\-term/Short\-term Disability
* Health and Dependent Care Reimbursement Accounts
* Insurance (Accident, Critical Illness, Hospital Indemnity, Legal)
* 401(k) plan and contributions dependent on salary level
* Paid holidays plus Paid Time Off</t>
        </is>
      </c>
    </row>
    <row r="86">
      <c r="A86" t="inlineStr">
        <is>
          <t>in-c2ce72bcf8af47df</t>
        </is>
      </c>
      <c r="B86" t="inlineStr">
        <is>
          <t>Applied AI Engineer (Mid-Level to Staff+)</t>
        </is>
      </c>
      <c r="C86" t="inlineStr">
        <is>
          <t>Squint</t>
        </is>
      </c>
      <c r="D86" t="inlineStr">
        <is>
          <t>indeed</t>
        </is>
      </c>
      <c r="E86" t="inlineStr"/>
      <c r="F86" t="inlineStr"/>
      <c r="G86" t="inlineStr">
        <is>
          <t>San Francisco, CA, US</t>
        </is>
      </c>
      <c r="H86" s="1" t="n">
        <v>46076</v>
      </c>
      <c r="I86" t="inlineStr">
        <is>
          <t>**About Us**
------------
At Squint, we're building technology that matters. While many tech companies focus on digital\-first industries, we've set our sights on empowering the 80% of the global workforce that keeps our world running: frontline manufacturing operators. From soda cans to tires, toothpaste to chocolate bars, chips to napkin holders, these are the people who build the things you touch and see every single day. Our platform transforms manufacturing operations by putting AI and AR capabilities directly at workers' fingertips, creating what we call "agentic manufacturing" – where every team member has the power to make informed decisions in real\-time using practical, applied artificial intelligence tools.
**Proven Impact with Industry Leaders**
---------------------------------------
Our technology serves Fortune 500 leaders across Automotive, Consumer Packaged Goods, and Life Sciences industries. These companies trust Squint to capture and activate their essential operational know\-how, resulting in measurable improvements: reduced downtime, minimized waste, and optimized productivity at scale.
**Backed and Built by the Best**
--------------------------------
We raised a $40m Series B at a $265m valuation and are backed by elite investors including Sequoia Capital, Menlo Ventures, TCV and The Westly Group. Our co\-founders have been recognized on Forbes' 30 Under 30 for Manufacturing and Industry, and Fast Company named us one of the most innovative augmented and virtual reality companies of 2025\.
**About the Job**
-----------------
Squint is looking for AI Engineers to turn the messy, fractured world of manufacturing knowledge into real intelligence that changes the industry. You’ll build the capabilities that transform real\-world inputs—tribal knowledge, video, images, documents, and more—into differentiated insights and structured workflows for frontline manufacturing teams. If you love shipping fast, owning problems end\-to\-end, and iterating with real users, you’ll fit right in. Whether you are a mid\-level engineer looking to own high\-impact features or a senior leader ready to architect complex systems, there is a place for you at Squint.
**What You’ll Do**
------------------
Ship AI\-powered features rapidly—from prototype to production to customer reality. This includes work such as:
* ***Leveling Note:*** *The scope of ownership for these initiatives will scale with seniority. Mid\-level engineers will focus on the end\-to\-end execution of specific features, while staff\+ level engineers will be expected to drive technical strategy and mentor the broader team.*
* **Transform unstructured manufacturing inputs into structured knowledge.**  
Build and iterate on systems capable of semantically understanding a wide variety of manufacturing material (documents, media, and more) and representing them with high fidelity on the Squint platform.
* **Develop best\-in\-class reasoning experiences.**  
Build systems that leverage this structured knowledge serve fast, accurate answers directly to the shop floor–where there is no margin for error.
* **Leverage differentiated data to produce novel, domain\-specific insights for manufacturers.**  
Create methods that synthesize information and surface meaningful signals for customers.
* **Build advanced photo\- and video\-based visual understanding.**  
Iterate on AI systems that interpret manufacturing environments and actions, improving accuracy, speed, and robustness across varied conditions.
* **Creating evaluation and feedback loops.**  
Build generic, reusable tooling for evaluating AI systems over time. Instrument product flows to gather automatic feedback and continually improve correctness, prevent regressions, and accelerate iteration.
**What You’ll Bring**
---------------------
* **Mid\-Level (4\+ years):** You are expected to own and execute specific AI features end\-to\-end, from prototyping and fine\-tuning models to productionizing code, while maintaining high reliability and performance in manufacturing environments.
* **Staff\-Level (8\+ years):** You are expected to architect the broader AI systems and evaluation frameworks that scale across our platform, mentoring others and making high\-stakes technical trade\-offs between RAG, fine\-tuning, and novel model architectures.
* **Deep understanding of the transformer architecture and modern LLM techniques.** You can explain how attention mechanisms work and stay current with the latest research and techniques.
* **Production experience with ML frameworks (PyTorch preferred).** You're comfortable with loss functions, training loops, optimization, and the practical details of getting models into production.
* **Experience fine\-tuning and deploying LLMs in production environments.** You've shipped LLM\-powered features and understand the tradeoffs between prompt engineering, fine\-tuning, and RAG approaches.
* **A builder’s mindset.** You move fast, pick up new skills, and take ownership from “why” to “shipped”.
* **Strong product intuition and customer empathy.** You care about trust, failure modes, and real\-world workflows.
* **Comfort with ambiguity and a bias toward action, iteration, and measurable results.**
**Why You’ll Love This Role**
-----------------------------
* **You are the limit of your impact.** You’ll own problems end\-to\-end, drive outcomes for the business, and change an industry.
* **Real\-world results.** You’ll build AI systems that are used in production every day at the world’s largest manufacturers.
* **High product ownership.** You’ll work closely with customers and GTM, iterating fast based on what matters most.
* **Unparalleled learning curve.** You’ll work across AI, product, and systems with huge ownership.
**Benefits**
------------
Based out of our office in San Francisco, we love the energy of in\-person collaboration.
* Competitive Salary and Equity
* Comprehensive Medical, Vision, and Dental care
* Flexible PTO Policy
* Lunch and Dinner Service
* Wellness Benefit
* Maven Family Planning Benefits
* Partnership with Care.com
* Mental Health Services
* 401(k) Retirement Plan
* Pre\-Tax Commuter Benefit for Parking \&amp; Public Transit
* Company\-wide Retreats
**A Final Note**
----------------
We are committed to creating a diverse and inclusive workplace. Squint is an equal opportunity employer, welcoming applicants from all backgrounds without regard to race, gender, age, or any other protected characteristic.
Ready to redefine the future? Join us at Squint and be a part of something revolutionary.
Compensation Range: $200K \- $270K</t>
        </is>
      </c>
    </row>
    <row r="87">
      <c r="A87" t="inlineStr">
        <is>
          <t>in-21d9c9866b0cf595</t>
        </is>
      </c>
      <c r="B87" t="inlineStr">
        <is>
          <t>Senior Applied Machine Learning Engineer, II</t>
        </is>
      </c>
      <c r="C87" t="inlineStr">
        <is>
          <t>GameChanger</t>
        </is>
      </c>
      <c r="D87" t="inlineStr">
        <is>
          <t>indeed</t>
        </is>
      </c>
      <c r="E87" t="inlineStr"/>
      <c r="F87" t="inlineStr"/>
      <c r="G87" t="inlineStr">
        <is>
          <t>New York, NY, US</t>
        </is>
      </c>
      <c r="H87" s="1" t="n">
        <v>46076</v>
      </c>
      <c r="I87" t="inlineStr">
        <is>
          <t>**About GameChanger:**
We believe in the life changing impact youth sports have on and off the field. Sports encourage leadership, teamwork, responsibility, and confidence – important life lessons that have the power to propel our youth toward meaningful futures. We recognize that without coaches, parents, and volunteers, organized youth sports could not exist. By building the first and best place to experience the youth sports moments important to our community, we are helping families elevate the next generation through youth sports.
So if you love sports and their community building potential, or building cool products is your sport, GameChanger is the team for you. We are a remote first, dynamic tech company based in New York City, and we are solving some of the biggest challenges in youth sports today.
**The Position:**
The Computer Vision Platform team at GameChanger builds and operates the real\-time inference infrastructure that delivers CV\-powered experiences to millions of users every weekend. You'll partner directly with researchers to shape their models and code for production, steer them toward existing platform capabilities, and collaborate with MLOps engineers to evolve infrastructure where gaps exist. You'll also influence the technical direction of the platform itself, identifying which capabilities to build next based on patterns you see across research efforts. You'll report directly to the Engineering Manager, CV Platform.
**What You'll Do:**
* Work directly with CV researchers to understand their goals, review their code, and engineer it for reliability and performance at scale.
* Profile and optimize performance\-sensitive code across both training and real\-time inference.
* Identify patterns across research efforts and propose standardized, composable abstractions.
* Collaborate with MLOps and backend engineers to translate recurring research pain points into platform investments through design documents and architecture proposals.
* Guide researchers toward production\-oriented engineering practices regarding testability, modularity, and performance profiling.
**Who You Are:**
* 6\+ years of software engineering experience, with 4\+ years working on ML systems.
* Experience working on production ML systems. Our team uses Python and PyTorch, Docker for containerization, and deploys on AWS.
* Experience with data\-intensive distributed systems, including optimizing I/O, GPU utilization, and parallel processing.
* Experience working directly with researchers or research teams to take their prototypes and deliver production systems that are performant, reliable, and maintainable.
* Experience building internal libraries, tools, or platforms that other engineers depend on.
**Perks:**
* Work remotely throughout the US\* or from our well\-furnished, modern office in Manhattan, NY.
* Unlimited vacation policy.
* Paid volunteer opportunities.
* Technology stipend \- $4,000 every 2 years after your start to make sure you have the latest and greatest technology.
* WFH stipend \- $500 annually to make your WFH situation comfortable.
* Monthly physical, mental, wellness \&amp; learning stipend offered through Holisticly.
* Monthly lifestyle stipend offered through Fringe.
* Full health benefits \- medical, dental, vision, prescription, FSA, HRA, HSA, and coverage for family/dependents.
* Retirement savings \- Traditional and Roth 401K plans are offered through Vanguard, with an immediate company match.
* Life insurance \- basic life, supplemental life, and dependent life.
* Disability leave \- short\-term disability and long\-term disability.
* Company paid parental leave \- up to 20 weeks for birthing parents and up to 12 weeks for non\-birthing parents.
* Family building benefits offered through Progyny.
* DICK'S Sporting Goods and their family of brands teammate discount.
*The target salary range for this position is between ( $180,000 and $200,000\) This is part of a total compensation package that includes incentive, equity, and benefits for eligible roles. Individual pay may vary from the target range and is determined by several factors including experience, internal pay equity, and other relevant business considerations. We constantly review all teammate pay to ensure a great compensation package that is fair and equal across the board.*
Compensation Range: $180K \- $200K</t>
        </is>
      </c>
    </row>
    <row r="88">
      <c r="A88" t="inlineStr">
        <is>
          <t>in-e2cee926c6fd5263</t>
        </is>
      </c>
      <c r="B88" t="inlineStr">
        <is>
          <t>Senior ML Engineer, Enrichment</t>
        </is>
      </c>
      <c r="C88" t="inlineStr">
        <is>
          <t>Flock Safety</t>
        </is>
      </c>
      <c r="D88" t="inlineStr">
        <is>
          <t>indeed</t>
        </is>
      </c>
      <c r="E88" t="inlineStr"/>
      <c r="F88" t="inlineStr"/>
      <c r="G88" t="inlineStr">
        <is>
          <t>US</t>
        </is>
      </c>
      <c r="H88" s="1" t="n">
        <v>46076</v>
      </c>
      <c r="I88" t="inlineStr">
        <is>
          <t>**Who is Flock?**
=================
Flock Safety is the leading safety technology platform, helping communities thrive by taking a proactive approach to crime prevention and security. Our hardware and software suite connects cities, law enforcement, businesses, schools, and neighborhoods in a nationwide public\-private safety network. Trusted by over 5,000 communities, 4,500 law enforcement agencies, and 1,000 businesses, Flock delivers real\-time intelligence while prioritizing privacy and responsible innovation.
We’re a high\-performance, low\-ego team driven by urgency, collaboration, and bold thinking. Working at Flock means tackling big challenges, moving fast, and continuously improving. It’s intense but deeply rewarding for those who want to make an impact.
With nearly $700M in venture funding and a $7\.5B valuation, we’re scaling intentionally and seeking top talent to help build the impossible. If you value teamwork, ownership, and solving tough problems, Flock could be the place for you.
**The Opportunity**
As a Senior Machine Learning Engineer on the Vision Team, you will support the machine learning model lifecycle that allows our devices to decode evidence like a detective and define how crime is eliminated. You will play a key role in improving model performance and addressing model drift. The ideal candidate is someone who is passionate about taking cutting edge research and technology to solve new problems, and enjoys working with the entire lifecycle of Machine Learning software.
**How you'll make an impact:**
* Frame open\-ended, real\-world problems into well defined ML problems
* Make use of and improve on existing data acquisition and model training/evaluation pipelines to create appropriate datasets and obtain model feedback
* Leverage cutting\-edge research and technology to create custom solutions
* Design and run experiments to test new ideas or improvements to existing models
* Build visualization and monitoring tools to evaluate the quality of our data and models
* Collaborate across teams and product to deliver solutions that fit within business and organizational requirements
* Review code of other Machine Learning Engineers
**The Skillset**
* 6\+ years of experience
* BS/MS in Computer Science, Mathematics, Physics, Engineering, or proof of equivalent software engineering experience (PhD’s welcome)
* Experience solving problems using Machine Learning frameworks (Tensorflow, PyTorch, scikit\-learn, etc.)
* Good understanding of Deep Learning and Traditional ML (supervised and unsupervised) algorithms
* Experience writing Python in a team environment
* Able to take on complex problems, learn quickly, iterate, and persist towards a good solution
* Effectively communicate, at the level of your audience, and seek to understand and be understood
* Basic SQL knowledge
* Basic Git knowledge
* Experience with linear algebra, probability, and statistics preferred
*Feeling uneasy that you haven’t ticked every box? That’s okay; we’ve felt that way too. Studies have shown women and minorities are less likely to apply unless they meet all qualifications. We encourage you to break the status quo and apply to roles that would make you excited to come to work every day.*
**90 Days at Flock**
We are a results\-oriented culture and believe job descriptions are a thing of the past. We prescribe 90 day plans and believe that good days lead to good weeks, which lead to good months. This serves as a preview of the 90 day plan you will receive if you were to be hired in this role at Flock Safety.
**The First 30 Days**
* Learn our tech stack, internal toolkit, and standard operating procedures for training, evaluating, and deploying our machine learning models
* Get to know the technical teams and stakeholder groups you’ll be working closely with
* Begin making a meaningful impact by adding an incremental improvement to our model evaluation reports
**The First 60 Days**
* Curate our holdout data to improve representation and address certain challenging strata
* Improve statistical reporting metrics in our evaluation reports
* Get acquainted with downstream repositories that support our predictive capabilities.
**90 Days \&amp; Beyond**
* Improve understanding of the impact of data augmentations in our training pipeline.
* Introduce new augmentations within our modeling framework
* Gauge model robustness by building holdout datasets for various adversarial conditions
* Become fully independent within our end\-to\-end training and deployment pipeline
**Salary \&amp; Equity**
In this role, you’ll receive a starting salary between $160,000 and $175,000 as well as Flock Safety Stock Options. Base salary is determined by job\-related experience, education/training, as well as market indicators. Your recruiter will discuss this in\-depth with you during our first chat.
**Location**
We’re building the impossible, together. To drive innovation through in\-person collaboration, we’re prioritizing candidates in our key hubs: Atlanta, Boston, Chicago, Denver, Los Angeles, New York City, San Francisco, and Austin. While we value the energy of our hub communities, we embrace remote work and welcome applications from exceptional talent across the United States.
**The Perks**
**Flexible PTO**: We offer non\-accrual PTO, plus 11 company holidays.
**Fully\-paid** **health benefits** **plan for employees**: including Medical, Dental, and Vision and an HSA match.
**Family Leave**: All employees receive 12 weeks of 100% paid parental leave. Birthing parents are eligible for an additional 6\-8 weeks of physical recovery time.
**Fertility \&amp; Family Benefits:** We have partnered with Maven, a complete digital health benefit for starting and raising a family. Flock will provide a $50,000\-lifetime maximum benefit related to eligible adoption, surrogacy, or fertility expenses.
**Spring Health:** Spring Health offers a variety of mental health benefits, including therapy, coaching, medication management, and digital tools, all tailored to each individual's needs.
**Caregiver Support:** We have partnered with Cariloop to provide our employees with caregiver support
**Carta Tax Advisor:** Employees receive 1:1 sessions with Equity Tax Advisors who can address individual grants, model tax scenarios, and answer general questions.
**ERGs:** We want all employees to thrive and feel like they belong at Flock. We offer four ERGs today \- Women of Flock, Flock Proud, LEOs and Melanin Motion. If you are interested in talking to a representative from one of these, please let your recruiter know.
**WFH Stipend:** $150 per month to cover the costs of working from home.
**Productivity Stipend:** $300 per year to use on Audible, Calm, Masterclass, Duolingo and so much more.
**Home Office Stipend:** A one\-time $750 to help you create your dream office.
*If an offer is extended and accepted, this position requires the ability to obtain and maintain Criminal Justice Information Services (CJIS) certification as a condition of employment. Applicants must meet all FBI CJIS Security Policy requirements, including a fingerprint\-based background check.*
*Flock is an equal opportunity employer. We celebrate diverse backgrounds and thoughts and welcome everyone to apply for employment with us. We are committed to fostering an environment that is inclusive, transparent, and collaborative. Mutual respect is central to how Flock operates, and we believe the best solutions come from diverse perspectives, experiences, and skills. We embrace our differences and know that we are stronger working together.*
*If you need assistance or an accommodation due to a disability, please email us at recruiting@flocksafety.com. This information will be treated as confidential and used only to determine an appropriate accommodation for the interview process.*
*At Flock Safety, we compensate our employees fairly for their work. Base salary is determined by job\-related experience, education/training, as well as market indicators. The range above is representative of base salary only and does not include equity, sales bonus plans (when applicable) and benefits. This range may be modified in the future. This job posting may span more than one career level.*
*Flock Safety is aware of fraudulent individuals and agencies falsely claiming to represent our company. All legitimate communication from Flock Safety will come from an email address ending in* ***@******flocksafety.com****. We do not make job offers through messaging apps, social platforms, or unauthorized third parties, and we will never request payment or sensitive personal information during the hiring process. If you encounter suspicious outreach related to a Flock Safety role, please report it to* *recruiting@flocksafety.com*
Compensation Range: $160K \- $175K</t>
        </is>
      </c>
    </row>
    <row r="89">
      <c r="A89" t="inlineStr">
        <is>
          <t>in-76310b4edacb5fa0</t>
        </is>
      </c>
      <c r="B89" t="inlineStr">
        <is>
          <t>Staff AI Engineer</t>
        </is>
      </c>
      <c r="C89" t="inlineStr">
        <is>
          <t>SpotOn</t>
        </is>
      </c>
      <c r="D89" t="inlineStr">
        <is>
          <t>indeed</t>
        </is>
      </c>
      <c r="E89" t="inlineStr"/>
      <c r="F89" t="inlineStr"/>
      <c r="G89" t="inlineStr">
        <is>
          <t>San Francisco, CA, US</t>
        </is>
      </c>
      <c r="H89" s="1" t="n">
        <v>46076</v>
      </c>
      <c r="I89" t="inlineStr">
        <is>
          <t>**About SpotOn**
We’re not just building restaurant tech, we’re giving independent restaurants the tools to compete and win. From our award\-winning point\-of\-sale to AI\-powered profit tools, everything we do helps operators boost profit, work smarter, and keep their best people. And every solution is backed by real humans who actually give a sh\*t about helping restaurants succeed.
* **Named the \#1 Restaurant POS by G2** (Fall 2025\), based on ratings from real users
* Rated the **top\-rated point\-of\-sale** (POS) for restaurants, bars, retail, and small businesses by Capterra users
* Awarded **Great Places to Work** and Built In’s **Best Workplaces** for multiple years running
We move fast, care hard, and fight for independent restaurant operators to do what they love, and love doing it. If you’re looking to make an impact with heart and hustle, SpotOn is the place for you.
**About the Accelerate Team**
-----------------------------
The Accelerate team is a new 5\-person engineering team with a singular mission: prove that AI\-native engineering practices can fundamentally change how a fintech engineering org builds software \- then make that the new standard. The team has direct VP sponsorship, mission \&amp; charter, and three defined projects with hard deadlines.
We're hiring a Staff/Principal IC who has already demonstrated AI\-assisted engineering at scale. This is not an "AI\-curious" role. You write code with AI every day. You've built agents that do real work. You have strong, experience\-backed opinions on which models to use for what, where agents fail, and how to build guardrails that actually hold. You've seen what works in production and you're impatient to do it at scale.
You will be the most technically senior AI practitioner on this team \- the person everyone looks to for "how do we actually build this." You don't manage the team. You drive the architecture, build the hardest parts, and set the technical standard.
**The Role: Technical Lead, Not Manager**
-----------------------------------------
This isn't a "set up some CI/CD and plug in Copilot" role. You are the person who architects the systems that change how SpotOn engineers build software. You will:
**Be the AI engineering technical authority.** You set the technical standard for how AI is used in code generation, review, testing, and task automation. You don't just implement tools \- you design the systems, workflows, and guardrails that make AI\-assisted development safe, measurable, and scalable in a PCI\-regulated payments environment. The team lead sets priorities; you set the technical direction.
**Drive the architecture and implementation of three concurrent projects:**
* **Automated PR Review** \- A risk\-tiered AI review pipeline where AI handles first\-pass review on every PR, with an escalation framework you design that determines when human review is mandatory (payment logic, PCI\-scoped code, compliance paths) versus when AI approval is sufficient. You define the criteria. You tune the thresholds. You prove it works.
* **Android and API Test Automation** \- A fully automated test harness for our Android\-native POS and KDS products: virtual device provisioning, test execution, teardown, AI\-assisted failure analysis \- replacing multi\-day manual QA cycles with sub\-30\-minute automated runs.
* **AI Agent Swarms** \- A multi\-agent pipeline that takes a PRD and produces a tested, reviewed pull request for tier 1\-3 engineering work (nits, bugs, small features). You design the agent orchestration \- planner, coder, tester, reviewer \- and the blast\-radius controls that keep it safe in fintech.
**Evangelize by shipping, not by presenting.** Your most persuasive argument is a working system, not a slide deck. You demo to engineering leads every two weeks with real metrics. You turn skeptics into adopters by showing them their own time savings.
**Measure everything.** You define the metrics framework: developer hours recovered, cycle time compression, quality ratios, cost per deployment. You report to the CTO monthly with quantified value delivered. If something isn't working, the data tells you before anyone else.
**What We Require**
-------------------
This is a high bar intentionally. We need someone who has already done this, not someone who wants to learn.
**Required experience:**
* **5\+ years building developer tools, infrastructure, or platform engineering systems** \- you understand how engineering orgs actually work at scale, not just how AI demos work
* **2\+ years working deeply with LLMs and AI agents in production** \- not side projects, not hackathons. Production systems handling real code, real reviews, or real task automation. You can speak to failure modes, cost optimization, prompt engineering patterns, and model selection trade\-offs from experience.
* **Designed and operated AI\-assisted code generation or review systems** serving 50\+ engineers or 30\+ repositories. You know the difference between "cool demo" and "trusted by the team."
* **Built multi\-agent or agentic workflows** \- task decomposition, agent specialization, orchestration, error recovery. You've worked with Claude Code, OpenAI Assistants, LangGraph, CrewAI, AutoGen, or custom agent frameworks at a level where you can articulate why you chose one approach over another.
* **Hands\-on with AI coding tools daily** \- Claude Code, Cursor, GitHub Copilot, Windsurf, Codeium \- you don't just use them, you push their limits. You know where they excel and where they hallucinate. You have a personal workflow that makes you measurably faster and you can teach it.
**Required domain expertise (at least two of three):**
* **Fintech / payments / regulated industry** \- you understand what PCI\-DSS, SOX, or HIPAA compliance means for code review and deployment. You know why "just let the AI merge it" isn't an option for payment logic.
* **Mobile / Android testing automation** \- Espresso, UI Automator, or AI\-native tools (Drizz, mabl, testRigor). Experience with emulator farms, device provisioning, and CI\-integrated test pipelines.
* **Multi\-agent system architecture** \- you've built systems where multiple AI agents collaborate on decomposed tasks with coordination protocols, fallback strategies, and human\-in\-the\-loop checkpoints.
**Who You Are**
---------------
You are not "AI\-interested." You are AI\-obsessed in the productive sense:
* **You already write 50%\+ of your code with AI assistance** and you've measured the impact on your own velocity. You have opinions on which models are best for which tasks and you update those opinions monthly as the landscape shifts.
* **You've built things with agents that most engineers think aren't possible yet.** You're 6\-12 months ahead of the mainstream in your personal practice and you have the shipped systems to prove it.
* **You prototype in hours, not days.** You can go from "I have an idea for how to automate X" to a working POC before end of day. You refine ruthlessly after.
* **You context\-switch across backend, mobile tooling, and AI/ML systems** without losing depth. You don't need to be an Android expert, but you need to be dangerous enough to architect the test harness and evaluate the output.
* **You communicate technical progress in business terms.** You know that "we reduced median PR review time by 47%" lands better with a CTO than "we fine\-tuned our prompt chain." You build dashboards, not just systems.
* **You're an evangelist, not a gatekeeper.** You get energy from showing other engineers how to work with AI. You don't hoard knowledge \- you build systems that make the whole org better.
* **You have a healthy skepticism forged by real experience.** You've seen AI fail in production. You've dealt with hallucinated code, flaky agent workflows, and false\-positive reviews. That experience makes your guardrails better, not your enthusiasm less.
**What You Won't Be Doing**
---------------------------
* Building product features for restaurants (that's the rest of the org)
* Pure ML/AI research without production deployment
* Maintaining legacy systems or writing JIRA tickets all day
* People management \- you're a pure IC on a small, senior, fast\-moving squad. You write more code than anyone on the team.
**Tech Environment**
--------------------
* **Languages:** Kotlin (Android), Go, TypeScript, Python
* **Mobile:** Android\-native POS applications on dedicated hardware
* **Infrastructure:** AWS, GitHub, CI/CD (GitHub Actions)
* **AI Stack:** You'll have significant influence on tool selection \- bring your opinions
* **Team tooling:** Jira, Slack, Figma, standard SpotOn eng stack
*We will never ask candidates to pay fees, purchase equipment, or share sensitive personal or financial information during the hiring process. All legitimate communication from our recruiting team will come from an official company email address (@**spoton.com**). If something seems suspicious, please contact us at* *careers@spoton.com**.*
*SpotOn is an equal employment opportunity employer. Qualified candidates are considered for employment without regard to race, religion, gender, gender identity, sexual orientation, national origin, age, military or veteran status, disability, or any other characteristic protected by applicable law.*
*SpotOn is an E\-Verify company.*
Compensation Range: $210K \- $280K</t>
        </is>
      </c>
    </row>
    <row r="90">
      <c r="A90" t="inlineStr">
        <is>
          <t>in-b53e03f92e190277</t>
        </is>
      </c>
      <c r="B90" t="inlineStr">
        <is>
          <t>Staff Machine Learning Engineer, Spot Autonomy</t>
        </is>
      </c>
      <c r="C90" t="inlineStr">
        <is>
          <t>Boston Dynamics</t>
        </is>
      </c>
      <c r="D90" t="inlineStr">
        <is>
          <t>indeed</t>
        </is>
      </c>
      <c r="E90" t="inlineStr"/>
      <c r="F90" t="inlineStr"/>
      <c r="G90" t="inlineStr">
        <is>
          <t>Waltham, MA, US</t>
        </is>
      </c>
      <c r="H90" s="1" t="n">
        <v>46076</v>
      </c>
      <c r="I90" t="inlineStr">
        <is>
          <t>In this role as a Staff Machine Learning Engineer, you will have the opportunity to develop Spot’s next generation autonomy capabilities. You will research \&amp; integrate state\-of\-the\-art approaches in the areas of perception, localization and navigation to ensure that our robots can navigate the world robustly and confidently.
You will get to:* Develop Spot’s next generation localization, mapping, perception and autonomy capabilities and deliver them to the product.
* Apply and develop novel ML\-based approaches to solve complex challenges in semantically\-aware navigation and localization.
* Shape the team's strategy for ML model architectures, datasets, and pipelines to achieve maximum model performance.
* Produce high\-quality, performant code in C\+\+ and Python.
* Design and execute rigorous experiments using both simulated and real\-world robot data to ensure solutions not only achieve state\-of\-the\-art performance but are also robust and computationally efficient in real\-world deployments.
As a part of the Spot Autonomy Team, you will closely collaborate with other skilled researchers \&amp; engineers who are passionate about Spot’s autonomy capabilities. Being embedded in the broader Spot R\&amp;D team, you will get a chance to further collaborate with other groups and experts from a wide variety of backgrounds.
To succeed in this role, you should have the following skills and experience
Required:* A Masters degree in Computer Science, Robotics or related field and 3\+ years of professional experience
* A solid understanding of traditional computer vision, robotics and navigation methods (SLAM) and their typical strengths \&amp; shortcomings
* First\-hand experience in Machine Learning and data driven approaches to visual perception problems. A good understanding of recent ML approaches such as LLMs \&amp; ViTs.
* Experience with Machine Learning frameworks (e.g. PyTorch)
* Experienced in writing performant, well\-structured, and testable C\+\+ and Python code
* Be a team player and good communicator, able to work well in a dynamic and collaborative environment
* Have a passion for quality and autonomous robots
Preferred:* A PhD in Computer Science, Robotics or related field.
* A strong background in SLAM / factor graphs (e.g. gtsam, g2o, Ceres), and ideally ML\-enhanced navigation, such as semantic SLAM.
* Experience with end\-2\-end semantic navigation approaches.
* A track record of relevant publications or product deliverables.
*The salary or hourly pay range for this position will be clearly stated in the job posting as required by Massachusetts law. The base pay range for this position is between $155,000\.00\- $210,000\.00\. Base pay will depend on multiple individualized factors including, but not limited to internal equity, job related knowledge, skills and experience. This range represents a good faith estimate of compensation at the time of posting. Boston Dynamics offers a generous Benefits package including medical, dental vision, 401(k), paid time off and an annual bonus structure. Additional details regarding these benefit plans will be provided if an employee receives an offer for employment.*</t>
        </is>
      </c>
    </row>
    <row r="91">
      <c r="A91" t="inlineStr">
        <is>
          <t>in-ccc46b6b2940ce5f</t>
        </is>
      </c>
      <c r="B91" t="inlineStr">
        <is>
          <t>AI Engineer</t>
        </is>
      </c>
      <c r="C91" t="inlineStr">
        <is>
          <t>Fried, Frank, Harris, Shriver &amp; Jacobson LLP</t>
        </is>
      </c>
      <c r="D91" t="inlineStr">
        <is>
          <t>indeed</t>
        </is>
      </c>
      <c r="E91" t="inlineStr"/>
      <c r="F91" t="inlineStr"/>
      <c r="G91" t="inlineStr">
        <is>
          <t>New York, NY, US</t>
        </is>
      </c>
      <c r="H91" s="1" t="n">
        <v>46076</v>
      </c>
      <c r="I91" t="inlineStr">
        <is>
          <t>At Fried Frank, we’re a community of 800 lawyers and 500 business services professionals across New York, Washington, DC, London, Frankfurt, and Brussels. We advise leading corporations, investment funds, and financial institutions on high\-stakes M\&amp;A, securities, regulatory matters, real estate, and litigation. Our culture is grounded in our core values — excellence, integrity and collaboration — and is designed to foster continuous learning, meaningful mentorship, and lasting professional growth. We are firmly committed to pro bono service and social justice, building on a proud legacy in civil rights. Our inclusive talent strategy is a core part of our broader talent management efforts and we remain steadfast in fostering a workplace where everyone has the opportunity to grow, thrive, and become their best professional and personal selves. Our business services professionals are integral to the firm’s success, driving innovation, operational excellence and exceptional client service across all areas of the firm. We offer competitive compensation and a comprehensive benefits package, including comprehensive medical coverage, retirement plans and health and wellness initiatives designed to support your personal and professional wellbeing. We welcome passionate, driven individuals to join us, and be part of a team where you’ll be supported, inspired and empowered to build an exceptional career.
**Position Summary:**  
We are seeking an AI Engineer with experience building AI\-driven applications, including RAG pipelines and LLM\-powered systems. This role focuses on implementing and improving well\-defined features within existing AI systems, contributing to design, experimentation, and production deployment.
This role sits within Practice Innovation and collaborates closely with Legal Engineering, Practice Solutions, Knowledge Management, Cloud/Infrastructure teams, and other stakeholders across the firm.
**Duties \&amp; Responsibilities:**
* Design, build, and enhance retrieval\-based AI systems, data pipelines, and workflow\-driven applications.
* Develop and optimize AI agents that orchestrate multi\-step legal workflows and tool integrations.
* Apply modern RAG (Retrieval\-Augmented Generation) design patterns to improve system accuracy, reliability, and performance.
* Conduct structured experimentation and evaluation to refine prompts, retrieval strategies, agent behavior, and model outputs.
* Contribute to data ingestion, cleaning, structuring, and indexing processes supporting AI applications.
* Support deployment, monitoring, and continuous improvement of AI tools in production environments.
* Take ownership of well\-defined features and contribute to system enhancements from design through production.
* Partner with Cloud, Networking, and Infrastructure teams to ensure secure, scalable, and reliable deployments.
**Education / Experience:**  
* Bachelor’s degree in Computer Science, Engineering, or a related field.
* 2\+ years of professional experience in software engineering, machine learning, or AI\-related roles.
**Skills \&amp; Abilities:**  
* Hands\-on experience building LLM\-based applications in production or near\-production environments.
* Experience with vector databases and similarity search (e.g., Qdrant, Pinecone, Weaviate, or similar).
* Solid understanding of RAG architectures and retrieval optimization.
* Experience working with structured and unstructured data.
* Strong proficiency in Python and software engineering fundamentals (clean code, testing, system design).
* Familiarity with cloud platforms (AWS, GCP, Azure) and containerization technologies (Docker, Kubernetes).
* Strong analytical and problem\-solving skills.
* Ability to operate independently on well\-scoped problems and escalate appropriately when needed.
* Strong communication skills with the ability to work effectively across technical and non\-technical audiences.
**Preferred Qualifications**  
* Experience deploying AI agents or LLM\-powered systems in production environments.
* Experience with Azure cloud services (strong plus).
* Familiarity with monitoring, logging, and evaluation practices for production AI systems.
* Experience working in enterprise or regulated environments.
*The actual salary offered will be based on a number of factors including but not limited to the qualifications of the applicant, years of relevant experience, level of education attained, certifications or other professional licenses held, and if applicable, the location in which the applicant lives and/or from which they will be performing the job.***New York Salary Range**
$120,000—$140,000 USD</t>
        </is>
      </c>
    </row>
    <row r="92">
      <c r="A92" t="inlineStr">
        <is>
          <t>in-bfa5054343e8425f</t>
        </is>
      </c>
      <c r="B92" t="inlineStr">
        <is>
          <t>AI Engineer</t>
        </is>
      </c>
      <c r="C92" t="inlineStr">
        <is>
          <t>Quantivly</t>
        </is>
      </c>
      <c r="D92" t="inlineStr">
        <is>
          <t>indeed</t>
        </is>
      </c>
      <c r="E92" t="inlineStr"/>
      <c r="F92" t="inlineStr"/>
      <c r="G92" t="inlineStr">
        <is>
          <t>Somerville, MA, US</t>
        </is>
      </c>
      <c r="H92" s="1" t="n">
        <v>46076</v>
      </c>
      <c r="I92" t="inlineStr">
        <is>
          <t>**Quantivly’s mission is to increase access to medical imaging and enhance imaging care. Spun out of Boston Children’s Hospital, we are building the “air traffic control” system for medical imaging providers, using computers for what they do best (solving complex orchestration problems) so clinicians and staff can focus on what matters most: patient care.**
**Quantivly has built the first\-of\-its\-kind unified data layer that unlocks imaging operational data previously trapped within hospital systems. Our initial application gives imaging providers unprecedented visibility into their operations. We have built a novel foundation model of operations and are now rapidly expanding to create the automation layer that will redefine how radiology departments operate.** **We are hiring a new AI Engineer to accelerate this vision and turn cutting\-edge operational data into real\-world impact for radiology teams.**
**Role Overview:**
As an AI engineer at Quantivly, you will be a core member of the AI team and help build the intelligent systems that power our automation layer and knowledge\-graph\-driven insights. You will create end\-to\-end AI solutions that fuse diverse data signals to power actionable agents.
Your day\-to\-day responsibilities will include (but are not limited to):
* Building reliable data pipelines and training workflows.
* Designing, implementing, testing, and deploying AI models and agents aligned with the product roadmap.
* Integrating models and agents to our platform services to support real workflow automation.
* Bridging the gap between prototype and production by working cross\-functionally to ship AI\-powered features.
* Ensuring model quality through evaluation frameworks, testing, and reproducibility.
* Improving CI/CD for ML, model deployment systems, monitoring, cloud\-based training, and scalable inference.
* Expanding and optimizing our AI repositories and model library to accelerate the creation and deployment of new models and agents.
* Staying current with applied ML and bringing practical advancements into our stack.
 We are transforming radiology by injecting AI into imaging operations.
**If you want to build real\-world AI end\-to\-end –from training to deployment to impact– join Quantivly!**
**Compensation:** Salary: $160k\-180k, Equity: 0\-0\.25%
**Responsibilities**
* Develop and maintain end\-to\-end machine learning pipelines, from data ingestion to production integration, supporting core components of our automation layer.
* Implement clean, scalable Python code and reusable ML components that integrate seamlessly with our platform and MLOps tooling.
* Prepare, process, and validate diverse data sources (HL7, DICOM metadata, operational logs, radiology report text) to ensure high\-quality model inputs and consistent labeling.
* Design evaluation frameworks, run experiments, and clearly communicate results, tradeoffs, and model behavior to both technical and non\-technical stakeholders.
* Stay updated with the latest advancements in machine learning and artificial intelligence, integrating relevant insights into ongoing projects.
* Contribute to internal documentation, best practices, and shared AI standards to support a growing AI team and an expanding automation ecosystem.
**Minimum Qualifications**
* **3\+ years of professional ML engineering experience**, with demonstrated end\-to\-end ownership of model\-driven features.
* Strong applied ML skills: model development, feature engineering, evaluation, and productionization.
* Experience with modern LLMs, embeddings, or retrieval\-based methods (even if not in production).
* Solid Python engineering competency (beyond notebooks): testing, structure, reliability.
* Experience with core ML tooling (e.g., PyTorch or TensorFlow, Hugging Face, scikit\-learn).
* Strong problem\-solving, debugging, and analytical skills.
* Excellent communication and ability to collaborate in a fast\-paced environment.
* High ownership mindset and comfort working in an early\-stage team where responsibilities evolve.
* Bachelor’s degree or greater in Computer Science (preferred), Information Technology, or equivalent work experience.
**Bonus Qualifications**
* Experience with Docker, or cloud services for ML deployment.
* Experience with Reinforcement Learning.
* Experience building evaluation frameworks or agents for quality checking.
* Knowledge of DICOM, HL7, or medical imaging workflows.
* Experience with ontology\-driven or knowledge\-graph\-enhanced ML systems.
* Background in radiology, healthcare, or regulated environments.
* Published work(s) in recognized machine learning/artificial intelligence journals.
**Who you are**
* You take pride in building simple, clean, elegant solutions to complex problems.
* You are highly motivated and passionate about creating impactful software products.
* You value technical excellence but know when pragmatism is necessary to meet deadlines.
* You are curious and love diving deep into new technologies and understanding how things work.
* You communicate clearly and effectively with cross\-functional teams.
* You thrive when given ownership and deliver high\-quality results with minimal guidance.
* You care deeply about reliability, performance, and engineering craftsmanship.
**Working locations \&amp; additional information**
* **Location:** Based in our Somerville, MA office. We strongly favor hybrid candidates able to be in person at least 2 days per week, but will consider exceptional remote candidates.
* **Employment Status:** Full\-Time Employee with benefits (Medical, Dental, Vision, 401k with matching)
* **Sponsorship:** Quantivly does not sponsor visas at this point : you must be authorized to work in the United States.
**Our tech stack**
* **Model Development:** Python, PyTorch, PyTorch Geometric (PyG), Transformers
* **Serving \&amp; APIs:** FastAPI, FastMCP, TorchScript
**Equal Opportunity/Affirmative Action Statement.** At Quantivly we celebrate difference. We are committed to ensuring an environment of mutual respect for every employee and proud to be an equal employment opportunity employer who does not discriminate against any person because of race, color, creed, religion, gender, gender identity, gender expression, national origin, citizenship, age, sex, sexual orientation, pregnancy, marital status, ancestry, physical or mental disability, military or veteran status, or any other characteristic protected by law. We believe a diverse and inclusive workplace is central to our success and actively seek to recruit, develop and retain the most talented people from a diverse pool of candidates.
tfi4IihBao</t>
        </is>
      </c>
    </row>
    <row r="93">
      <c r="A93" t="inlineStr">
        <is>
          <t>in-da095374fa32049c</t>
        </is>
      </c>
      <c r="B93" t="inlineStr">
        <is>
          <t>Senior Machine Learning Engineer</t>
        </is>
      </c>
      <c r="C93" t="inlineStr">
        <is>
          <t>VSCO</t>
        </is>
      </c>
      <c r="D93" t="inlineStr">
        <is>
          <t>indeed</t>
        </is>
      </c>
      <c r="E93" t="inlineStr"/>
      <c r="F93" t="inlineStr"/>
      <c r="G93" t="inlineStr">
        <is>
          <t>San Francisco, CA, US</t>
        </is>
      </c>
      <c r="H93" s="1" t="n">
        <v>46076</v>
      </c>
      <c r="I93" t="inlineStr">
        <is>
          <t>**About VSCO**
VSCO (pronounced vis–co) is a platform that equips photographers with the tools, community, and exposure they need to expand creatively and professionally. VSCO maintains a rich and authentic creative environment that serves photographers at all levels – preserving a home for creative opportunity, inspiration, and connection. Our mission is to champion photographers so they can make it. We empower photographers to connect with other creatives and businesses with our suite of creative tools that spans from mobile to desktop and across our global community.
We are looking for people who are driven and demonstrate initiative in taking our company mission to the next level. Employees here have the opportunity to make a big impact, and believe that when we build together, we achieve stronger outcomes than we could alone.
Our values are critical pillars to our team culture and shape the way we hire. Read more about what you can expect when working at VSCO on our Careers Page.
**About The Role**
In this role, you will turn AI and ML into exciting, reliable user\-facing product capabilities. You bring a strong technical background with deep machine learning expertise shaped by hands\-on experience shipping models into production and iterating based on real\-world feedback. You're motivated by measurable impact and customer delight, and you balance innovation with practicality.
You're fluent in Python, comfortable working across the data \+ ML stack, and able to build and ship models quickly in ways that are maintainable, observable, and scalable to large datasets. From lightweight heuristics and classical ML to modern deep learning and generative AI workflows, you can choose the right level of complexity for the problem and execute end\-to\-end: framing, experimentation, evaluation, deployment, and iteration.
You value the craft of software engineering and bring a thoughtful approach to system design for ML—data quality, pipelines, feature/embedding workflows, model serving, monitoring, and continuous improvement. Because ML has the most leverage when it's deeply integrated into a cohesive product experience, you're a strong cross\-functional partner: you collaborate closely with product, design, engineering, and data to align on goals, define success metrics, and deliver outcomes.
You stay current on the fast\-moving AI landscape with a grounded perspective—curious, discerning, and able to separate durable advances from hype—so the team can move quickly without chasing noise.
**The Day to Day**
* Design and implement ML\-powered features for search, discovery, personalization, and recommendation systems.
* Design and develop computer vision models powering the next generation of the photographer's tool set
* Elevate our ML platform for model building, training, and deployment at scale.
* Research and implement machine learning best practices to elevate our creator platform.
* Utilize data and ML to optimize key business funnels and enhance user experiences.
* Collaborate cross\-functionally with technical and non\-technical teams, bringing strong business context to your decision\-making and using influence to build alignment and drive impact.
* Proactively assure progress with stakeholders and continually assess prioritization in order to move the business forward.
**Qualifications**
* 5\+ years of experience designing and developing ML systems for impactful product experiences.
* Proven track record in optimizing ML algorithms and building ML pipelines with a focus on reliability and scalability.
* Expertise in Python for writing production\-ready, testable code and conducting exploratory data analysis (EDA).
* Strong capabilities in SQL, statistics, and tools of effective data science.
* Hands\-on experience with computer vision models and familiarity with the latest trends in AI and ML.
* Prior experience with data engineering and infrastructure on cloud platforms (preferably AWS).
* Excellent written and verbal communication skills to articulate complex ideas and build alignment.
* Expertise in developing extensible code with LLM coding assistants
**Job Perks**
* Hybrid work with an office in San Francisco, CA
* Regular in\-person events events to connect and collaborate
* Competitive salary \&amp; equity
* Medical, dental, and vision insurance for employees and families
* Flexible Time Off
* Company\-paid parental, medical and caregiver leave
* Other perks including mental health resources and tech reimbursements
**Compensation**
The base salary for this position will vary based on several factors, such as relevant experience, location and your approved internal leveling assessed during the interview process. The base salary range for this role is $240,000 \- $260,000\. Salary is one component of our total compensation package. This position also qualifies for equity (i.e. stock options) and is eligible for discretionary bonuses based on performance.
The benefits available for this position include flexible time off, a 401K retirement plan, insurance (medical, dental, vision, life/AD\&amp;D, short and long term disability), and 11 paid holidays. We also provide paid sick time as required by state and local law. Additional benefits and perks contained in our standard employee benefits package are also offered for this position.
**Please note**:
The application window for this role will be open until at least 3/23/2026\. This opportunity will remain online based on business needs which may be before or after the specified date.
As part of our hiring process, we conduct pre\-employment background checks in compliance with federal, state, and local laws. Employment is contingent upon the successful completion of this background check, which includes state and federal criminal records checks, sex offender registry searches, and other relevant checks as permitted by law.
**Be careful of fraudulent job posts.**
If you receive outreach from someone claiming to work for VSCO, please verify they are communicating through the proper channels (vsco.co email domain or through Greenhouse).
Note that VSCO will never ask for financial information or sensitive personal information during the application process.</t>
        </is>
      </c>
    </row>
    <row r="94">
      <c r="A94" t="inlineStr">
        <is>
          <t>in-65ccf46dbfdb26c1</t>
        </is>
      </c>
      <c r="B94" t="inlineStr">
        <is>
          <t>Identity AI / ML Engineer</t>
        </is>
      </c>
      <c r="C94" t="inlineStr">
        <is>
          <t>Openkyber</t>
        </is>
      </c>
      <c r="D94" t="inlineStr">
        <is>
          <t>indeed</t>
        </is>
      </c>
      <c r="E94" t="inlineStr"/>
      <c r="F94" t="inlineStr"/>
      <c r="G94" t="inlineStr">
        <is>
          <t>AK, US</t>
        </is>
      </c>
      <c r="H94" s="1" t="n">
        <v>46076</v>
      </c>
      <c r="I94" t="inlineStr">
        <is>
          <t>Please get resumes of Deep understanding of APIs, modern technological approaches to testing \- High degree of programming experience in Typescript or Python \- High understanding of current AI/ML patterns and paradigms AI Software Development Engineer in Test Responsibilities Help create a culture that motivates teams to ensure zero defects leak into production. Work across teams to understand enterprise quality requirements and ensure adoption of core processes and standards. Implement the shift\-left test strategy for each line of business Leverage open\-source automation frameworks and tools across all levels of testing that integrate in the automated CI/CD pipeline. Participate in the Agile (Scrum) team process, perform required standard testing activities, keeping the customer experience top of mind during the testing process. Work with internal teams to document test environment and test data management container strategies and provisioning for the different types of testing activities. Comprehend and decompose user stories/requirements to identify what tests need to be created and automated across all levels of testing. Qualifications 5\+ years of experience in testing automation engineering with both functional \&amp; API based testing Preferred BS/MS in Computer Science, Engineering, or related subject Required Skills \&amp; Experience Proficiency writing code in Python Experience writing end to end test scripts utilizing multiple services and reporting results Experience using SQL to join and query data across multiple tables and schemas Experience with AWS services including S3, Lambda, Dynamo DB, Cloudwatch, etc Experience with CI/CD supporting technologies GIT, GitLab, Docker Experience with up\-to\-date AI paradigms Large language models Classification models MCP RAG Dynamic prompting for LLMs Preferred Skills \&amp; Experience Experience automating API tests and extensive knowledge of creating and leveraging mocks, stubs, and virtual services to fulfill test automation requirement Automating tests for the full solution stack (unit, business logic, contract, usability, functional, performance) Experience testing AI implementations and an understanding of the risks models pose to systems and the business at large Major plus with direct experience in the following Experience leaving feedback on Merge/Pull Requests to ensure teams follow best practices Financial services technology / consumer banking testing experience Experience with Genesys IVR and Salesforce is a plus Extensive knowledge of: White Box Testing practices Software engineering best practices for the full software development life cycle, including coding standards, code reviews, source control, build and release processes, continuous integration and continuous deployment concepts (CI \&amp; CD), and test suite development and maintenance Working knowledge of: Commonly used ML/AI Python libraries/packages Spacy, nltk, etc. Experience in troubleshooting issues and root cause analysis Possesses a deep understanding of shift\-left test practices and techniques along with the frameworks, and tools that support it. Strong written and verbal communication skills. Enthusiastic and energetic with an inherent curiosity to break code.
**For applications and inquiries, contact:** hirings@openkyber.com</t>
        </is>
      </c>
    </row>
    <row r="95">
      <c r="A95" t="inlineStr">
        <is>
          <t>in-ad381a8a9a73f0a1</t>
        </is>
      </c>
      <c r="B95" t="inlineStr">
        <is>
          <t>Identity AI / ML Engineer</t>
        </is>
      </c>
      <c r="C95" t="inlineStr">
        <is>
          <t>Openkyber</t>
        </is>
      </c>
      <c r="D95" t="inlineStr">
        <is>
          <t>indeed</t>
        </is>
      </c>
      <c r="E95" t="inlineStr"/>
      <c r="F95" t="inlineStr"/>
      <c r="G95" t="inlineStr">
        <is>
          <t>AK, US</t>
        </is>
      </c>
      <c r="H95" s="1" t="n">
        <v>46076</v>
      </c>
      <c r="I95" t="inlineStr">
        <is>
          <t>Client F2F interview is required
Job Description:
* Analyze large and complex datasets to derive actionable insights and inform business strategies.
* Develop and implement advanced machine learning models and algorithms.
* Collaborate with cross\-functional teams to understand business needs and provide data\-driven solutions.
* Communicate findings and recommendations to stakeholders and executive leadership.
* Stay updated with the latest trends and technologies in data science and machine learning.
**Basic Qualifications:**
* Proficient in Python, Pandas, NumPy, Scikit\-Learn, PySpark
* Bachelor's degree in Computer Science, Statistics, Applied Mathematics, or a related field.
* Minimum of 8 years of experience in a data science role.
* Proficiency in programming languages such as Python or R..
* Strong understanding of machine learning techniques and algorithms.
**Preferred Qualifications:**
* Experience with modern ML frameworks such as PyTorch, TensorFlow
* Experience with big data technologies such as PySpark
* Experience with ML model training within cloud infra such as Azure, AWS, Google Cloud Platform
* Proven track record of successfully deploying and optimizing ML models in a production environment.
* Excellent communication and visualization skills to effectively present data insights to non\-technical stakeholders.
**For applications and inquiries, contact:** hirings@openkyber.com</t>
        </is>
      </c>
    </row>
    <row r="96">
      <c r="A96" t="inlineStr">
        <is>
          <t>in-4a11214c25ceb61e</t>
        </is>
      </c>
      <c r="B96" t="inlineStr">
        <is>
          <t>Identity AI / ML Engineer</t>
        </is>
      </c>
      <c r="C96" t="inlineStr">
        <is>
          <t>Openkyber</t>
        </is>
      </c>
      <c r="D96" t="inlineStr">
        <is>
          <t>indeed</t>
        </is>
      </c>
      <c r="E96" t="inlineStr"/>
      <c r="F96" t="inlineStr"/>
      <c r="G96" t="inlineStr">
        <is>
          <t>AK, US</t>
        </is>
      </c>
      <c r="H96" s="1" t="n">
        <v>46076</v>
      </c>
      <c r="I96" t="inlineStr">
        <is>
          <t>**Job Description:**
HYBRID Charlotte , NC Face to Face Interview The focus for this role is very heavy Machine Learning and AI focused. Candidates MUST have hands on Software Developer experience on Python and AI/ML platforms (not just Proof of Concept work). Please review the Responsibilities below, and make sure your candidates have similar experience.
Below are the MUST have Non\-Negotiable Required Skills:
* Natural Language Processing (NLP)
* Large Language Model (LLM)
* Machine Learning
* GenAI
* Python
* PyTorch
* TensorFlow
Additional Skills:
* NoSQL Databases
* Kafka
Day to Day Responsibilities
* Design and conduct experiments to test hypotheses and validate model assumptions
* Analyze experimental results and provide recommendations for further optimization.
* Implement clustering, classification, regression, and other machine learning algorithms as needed.
* Apply data mining techniques to extract actionable insights from structured and unstructured data.
* Identify patterns and anomalies in data to detect fraud, predict customer behavior, or optimize business processes.
* Develop and deploy predictive models using machine learning algorithms.
* Perform feature engineering, model selection, and hyperparameter tuning to optimize model performance.
* Evaluate model accuracy, precision, recall, and other performance metrics
* Collaborate with cross\-functional teams, including engineers, product managers, and business stakeholders
**For applications and inquiries, contact:** hirings@openkyber.com</t>
        </is>
      </c>
    </row>
    <row r="97">
      <c r="A97" t="inlineStr">
        <is>
          <t>in-91786fa9f4c64147</t>
        </is>
      </c>
      <c r="B97" t="inlineStr">
        <is>
          <t>Identity AI / ML Engineer</t>
        </is>
      </c>
      <c r="C97" t="inlineStr">
        <is>
          <t>Openkyber</t>
        </is>
      </c>
      <c r="D97" t="inlineStr">
        <is>
          <t>indeed</t>
        </is>
      </c>
      <c r="E97" t="inlineStr"/>
      <c r="F97" t="inlineStr"/>
      <c r="G97" t="inlineStr">
        <is>
          <t>AK, US</t>
        </is>
      </c>
      <c r="H97" s="1" t="n">
        <v>46076</v>
      </c>
      <c r="I97" t="inlineStr">
        <is>
          <t>**Senior Generative AI Engineer Location:** Dallas, TX or Charlotte, NC (Hybrid / relocation OK)
**Duration:** 12\+ months
**Role Summary**
We are looking for a Senior Generative AI Engineer with strong Python \+ LLM \+ RAG \+ MLOps experience to design and deploy enterprise\-grade AI solutions. The role involves building scalable GenAI platforms, agentic AI workflows, and production\-ready ML pipelines.
**Must\-Have Skills**
* Generative AI / LLM development
* Agentic AI / multi\-agent systems
* Strong Python programming
* RAG (Retrieval Augmented Generation) pipelines
* Machine Learning \&amp; Data Science
* MLOps / LLMOps / CI\-CD automation
* LangChain / LangGraph / CrewAI
* Vector databases (Pinecone, FAISS, Chroma, Weaviate)
* Hugging Face / Transformers
* PyTorch or TensorFlow
* REST APIs / FastAPI / Microservices
* Docker \&amp; Kubernetes
* Cloud platforms (AWS or Google Cloud Platform Vertex AI)
**Nice to Have**
* Google Cloud Platform experience preferred
* Prompt engineering
* LLM fine\-tuning (LoRA / QLoRA / PEFT)
* Enterprise AI architecture experience
**Experience Required**
10\+ years in AI / ML / Data Science
Strong communication skills
**Key Responsibilities**
* Build production\-ready Generative AI and LLM solutions
* Develop RAG\-based semantic search systems
* Design agentic AI workflows with memory \&amp; orchestration
* Deploy scalable AI services on cloud platforms
* Integrate AI into enterprise applications
**For applications and inquiries, contact:** hirings@openkyber.com</t>
        </is>
      </c>
    </row>
    <row r="98">
      <c r="A98" t="inlineStr">
        <is>
          <t>in-6eb7b2c01a26e982</t>
        </is>
      </c>
      <c r="B98" t="inlineStr">
        <is>
          <t>Identity AI / ML Engineer</t>
        </is>
      </c>
      <c r="C98" t="inlineStr">
        <is>
          <t>Openkyber</t>
        </is>
      </c>
      <c r="D98" t="inlineStr">
        <is>
          <t>indeed</t>
        </is>
      </c>
      <c r="E98" t="inlineStr"/>
      <c r="F98" t="inlineStr"/>
      <c r="G98" t="inlineStr">
        <is>
          <t>AK, US</t>
        </is>
      </c>
      <c r="H98" s="1" t="n">
        <v>46076</v>
      </c>
      <c r="I98" t="inlineStr">
        <is>
          <t>**Role Gen AI / ML Architect Location San Mateo, CA (Remote California Candidates Only) Visa / H1B \- C2C Duration 12 Months Contract We are hiring a Generative AI / ML Architect for a high\-priority engagement. Candidate must be based in California. Must Have Skills: Strong expertise in Microsoft Azure Architecture Generative AI (Mandatory) GPU \&amp; Accelerator Optimization (Cloud \+ Hardware) Experience with GPU utilization, memory bandwidth, interconnects Python, Databricks, ETL Pipelines Pinecone \&amp; MLOps Kubernetes \&amp; containerized platforms Infrastructure\-as\-Code (Terraform / Ansible) Enterprise\-scale cloud infrastructure design AI infrastructure integration experience Good to Have: NVIDIA / AMD GPU platforms Distributed AI training / HPC concepts Multi\-cloud (AWS / Google Cloud Platform / Oracle) FinOps for AI workloads RDMA / InfiniBand / high\-throughput networking Customer is specifically looking for strong GenAI \+ GPU optimization \+ Azure architecture profiles. Interested candidates share resume to:****For applications and inquiries, contact:** **hirings@openkyber.com**</t>
        </is>
      </c>
    </row>
    <row r="99">
      <c r="A99" t="inlineStr">
        <is>
          <t>in-59323683ff7b0e28</t>
        </is>
      </c>
      <c r="B99" t="inlineStr">
        <is>
          <t>Identity AI / ML Engineer</t>
        </is>
      </c>
      <c r="C99" t="inlineStr">
        <is>
          <t>Openkyber</t>
        </is>
      </c>
      <c r="D99" t="inlineStr">
        <is>
          <t>indeed</t>
        </is>
      </c>
      <c r="E99" t="inlineStr"/>
      <c r="F99" t="inlineStr"/>
      <c r="G99" t="inlineStr">
        <is>
          <t>AK, US</t>
        </is>
      </c>
      <c r="H99" s="1" t="n">
        <v>46076</v>
      </c>
      <c r="I99" t="inlineStr">
        <is>
          <t>Job Description: Lead the strategy, design, and delivery of scalable QE tools and automation platforms across the software development lifecycle.
Drive adoption of AI/ML\-enabled testing, including intelligent test generation, self\-healing automation, and risk\-based test prioritization.
Architect and maintain robust, reusable test frameworks for UI, API, mobile, and backend systems.
Leverage Generative AI and LLMs to improve test authoring, test data creation, defect analysis, and productivity.
Integrate QE tools seamlessly into CI/CD pipelines, enabling continuous quality and faster feedback.
Build cloud\-ready, DevOps\-aligned tools supporting microservices, containers, and distributed architectures.
Design, develop and monitor quality metrics and dashboards, providing data\-driven insights and predictive quality trends.
Collaborate with engineering, product, DevOps to embed quality\-first and shift\-left practices.
Establish governance, standards, and best practices for QE tools, ensuring scalability, security, and maintainability.
Mentor QE tools engineers, evaluate emerging technologies, and continuously innovate AI\-driven quality solutions.
**Note :** We are looking for Lead Java Full stack with React, AI/ML/GenAI, QE tools experience.
**For applications and inquiries, contact:** hirings@openkyber.com</t>
        </is>
      </c>
    </row>
    <row r="100">
      <c r="A100" t="inlineStr">
        <is>
          <t>in-ec78eaa7efb66102</t>
        </is>
      </c>
      <c r="B100" t="inlineStr">
        <is>
          <t>Identity AI / ML Engineer</t>
        </is>
      </c>
      <c r="C100" t="inlineStr">
        <is>
          <t>Openkyber</t>
        </is>
      </c>
      <c r="D100" t="inlineStr">
        <is>
          <t>indeed</t>
        </is>
      </c>
      <c r="E100" t="inlineStr"/>
      <c r="F100" t="inlineStr"/>
      <c r="G100" t="inlineStr">
        <is>
          <t>AK, US</t>
        </is>
      </c>
      <c r="H100" s="1" t="n">
        <v>46076</v>
      </c>
      <c r="I100" t="inlineStr">
        <is>
          <t>**AI / ML Engineer High Scale Systems Role Overview:**
Responsible for building, optimizing, and operating high\-scale AI/ML systems with strong performance, accuracy, and reliability guarantees.
**Key Responsibilities:**
* Develop and deploy ML and GenAI models for enterprise use cases
* Build RAG pipelines capable of processing millions of documents
* Optimize inference latency and model throughput
* Implement monitoring for accuracy, drift, and performance
* Support MLOps pipelines and CI/CD for models
**Performance, Load \&amp; Accuracy Focus:**
* Experience tuning models for latency and cost efficiency
* Define and monitor precision, recall, and accuracy metrics
* Support load testing and stress testing of AI services
* Experience with distributed inference architectures
**Technology Stack:**
Python, PyTorch, TensorFlow, HuggingFace, AWS AI services, Vector databases and embeddings, MLOps tools, CI/CD pipelines
**Experience \&amp; Qualifications:**
4 8\+ years of AI/ML engineering experience with exposure to enterprise\-scale systems.
**For applications and inquiries, contact:** hirings@openkyber.com</t>
        </is>
      </c>
    </row>
    <row r="101">
      <c r="A101" t="inlineStr">
        <is>
          <t>in-a4e678a0918373eb</t>
        </is>
      </c>
      <c r="B101" t="inlineStr">
        <is>
          <t>Identity AI / ML Engineer</t>
        </is>
      </c>
      <c r="C101" t="inlineStr">
        <is>
          <t>Openkyber</t>
        </is>
      </c>
      <c r="D101" t="inlineStr">
        <is>
          <t>indeed</t>
        </is>
      </c>
      <c r="E101" t="inlineStr"/>
      <c r="F101" t="inlineStr"/>
      <c r="G101" t="inlineStr">
        <is>
          <t>AK, US</t>
        </is>
      </c>
      <c r="H101" s="1" t="n">
        <v>46076</v>
      </c>
      <c r="I101" t="inlineStr">
        <is>
          <t>Role: AI/ML Engineer Location: Remote (EST/CST) Duration: 12 Months Job Description: We are looking for an AI/ML hands on Engineer for a remote position in US. Job Description : Design AI\-assisted language generation for producing clear, plain\-language draft messages. Implement draft message generation service within the validation pipeline. Auto\-generate draft text at the end of each validation run. In short \- Generative AI Integration (specifically text generation/RAG), Serverless Compute (Cloud Run/Functions), Document Processing, and API Integration.
**For applications and inquiries, contact:** hirings@openkyber.com</t>
        </is>
      </c>
    </row>
    <row r="102">
      <c r="A102" t="inlineStr">
        <is>
          <t>in-6a89d2374d3eafac</t>
        </is>
      </c>
      <c r="B102" t="inlineStr">
        <is>
          <t>Identity AI / ML Engineer</t>
        </is>
      </c>
      <c r="C102" t="inlineStr">
        <is>
          <t>Openkyber</t>
        </is>
      </c>
      <c r="D102" t="inlineStr">
        <is>
          <t>indeed</t>
        </is>
      </c>
      <c r="E102" t="inlineStr"/>
      <c r="F102" t="inlineStr"/>
      <c r="G102" t="inlineStr">
        <is>
          <t>AK, US</t>
        </is>
      </c>
      <c r="H102" s="1" t="n">
        <v>46076</v>
      </c>
      <c r="I102" t="inlineStr">
        <is>
          <t>**Role :** Sr. Snowflake Data AI Engineer
**Location:** Boston, MA 3 days/week onsite
The Senior Data \&amp; AI Engineer RESPONSIBILITIES: List and describe this position's principal responsibilities in concise, comprehensive statements.
* Design and Development: Lead the design, development, and maintenance of scalable and reliable data pipelines and data warehouse solutions using Snowflake and AWS technologies.
* Design and implement efficient database models, schemas and structures.
* Platform Administration: Administer and manage the Snowflake environment, including performance tuning, cost optimization, user access control, user onboarding/offboarding, and workload management to ensure optimal performance and security.
* AI Solution Development: Design, build and implement modern AI solutions (both in\-house and third\-party), integrated with Snowflake Cortex, Amazon Bedrock and other AI/ML models.
* Reporting Tools Management: Manage and support reporting and business intelligence (BI) tools and platforms. Configure custom reports.
* User Support and Training: Provide expert support to end\-users on reporting tools, data accessibility, and data best practices, empowering them to extract insights and make data\-driven decisions.
* Data Governance \&amp; Compliance: Implement data governance, security protocols, encryption techniques, and access control policies in compliance with banking industry regulations.
* Collaboration: Work closely with cross\-functional teams, including security, IT, and business stakeholders, to gather requirements, troubleshoot issues, and ensure seamless data operations.
* Process Improvement: Drive continuous improvement in data management processes, documentation, and data quality metrics, ensuring high data integrity and reliability
**KNOWLEDGE, SKILLS AND ABILITIES:** Indicate the educational level, previous experience, specific knowledge, skills, and abilities required to meet the minimum entry\-level requirements for this position. This may include special skills, licenses, certificates, etc.
* Minimum of 15\+ years of hands\-on experience in data engineering and software development
* 6\+ years hands\-on experience and advanced\-level expertise in Snowflake data warehousing and data platform management.
* 4\+ years hands\-on experience and advanced\-level expertise in AWS cloud services and data\-related technologies.
* Proficiency in reporting and BI tools such as Sigma or Omni .
* Experience with programming languages like Python and SQL.
* Experience designing and implementing AI/ML solutions, using AI services like Snowflake Cortex, AWS Bedrock and other modern GenAI models is highly preferred
* Strong communication skills with the ability to bridge technical and non\-technical stakeholders.
* Excellent problem\-solving and analytical skills.
* Ability to work independently and lead complex data projects
* Highly preferred but not mandatory: working knowledge of core banking systems like Jack Henry and Loan Origination Systems like eNcino
**For applications and inquiries, contact:** hirings@openkyber.com</t>
        </is>
      </c>
    </row>
    <row r="103">
      <c r="A103" t="inlineStr">
        <is>
          <t>in-2fb00b57610fa8f8</t>
        </is>
      </c>
      <c r="B103" t="inlineStr">
        <is>
          <t>AI Engineer (Entry level)</t>
        </is>
      </c>
      <c r="C103" t="inlineStr">
        <is>
          <t>Rocket Software</t>
        </is>
      </c>
      <c r="D103" t="inlineStr">
        <is>
          <t>indeed</t>
        </is>
      </c>
      <c r="E103" t="inlineStr"/>
      <c r="F103" t="inlineStr"/>
      <c r="G103" t="inlineStr">
        <is>
          <t>US</t>
        </is>
      </c>
      <c r="H103" s="1" t="n">
        <v>46076</v>
      </c>
      <c r="I103" t="inlineStr">
        <is>
          <t>**It's fun to work in a company where people truly BELIEVE in what they're doing!**
**Job Description Summary:**
Rocket AI Engineer for Eva.
**Essential Duties and Responsibilities**
* Assist in developing, fine\-tuning, and deploying machine learning models.
* Aid in consulting with key internal and external stakeholders to understand and frame model requirements and potential applications.
* Participate in the development of sound analytic plans based on available data sources, business partner needs, and required timelines.
* Work with software engineers in integrating trained models into end\-user applications.
* Help manage deliverables across multiple projects in a deadline\-driven environment.
* Present results, insights, and recommendations to both technical and non\-technical stakeholders.
**Required Qualifications**
* 0 \-2 years of relevant industry experience or fresh graduates are welcome to apply.
* Good knowledge of Python and Linux, familiarity with ML frameworks, and a willingness to learn.
* Demonstrated problem\-solving abilities and creative thinking.
* Basic experience or understanding in applying Data Science methodologies to extract, process, and transform data from multiple sources.
* Excellent communication and interpersonal skills.
* Must be comfortable working in a team\-oriented environment.
**Preferred Qualifications**
* Bachelor's degree in Statistics, Computer Science, Economics, or a directly related field.
* Masters degree or current enrollment in a Masters program in Statistics, Computer Science, Mathematics, Economics, or directly related fields is a plus.
* Demonstrated passion for continued learning and innovation.
* As a Data Science Assistant, we expect not just skills and qualifications, but also an enthusiasm for learning and growing within our team. We value those who are adaptable, innovative, and ready to take on challenges in a fast\-paced work environment.
**Diversity, Inclusion \&amp; Equity**
At Rocket we are committed to an inclusive workplace environment, where every Rocketeer can thrive by bringing their full selves to work. Being a Rocketeer means you are part of our movement to continually drive inclusivity, diversity and equity in our workforce.
.
Rocket Software Inc.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Rocket Software Inc. is also committed to compliance with all fair employment practices regarding citizenship and immigration status.
As part of our commitment to a safe and trustworthy workplace, we include background and reference checks in our hiring process.
Rocket is committed to working with and providing reasonable accommodation to individuals with physical and mental disabilities. If you need special assistance or an accommodation while seeking employment, please call: 781\-577\-4321 or send an email to people@rocketsoftware.com. We will make a determination on your request for reasonable accommodation on a case\-by\-case basis.
*If you like wild growth and working with happy, enthusiastic over\-achievers, you'll enjoy your career with us!*</t>
        </is>
      </c>
    </row>
    <row r="104">
      <c r="A104" t="inlineStr">
        <is>
          <t>in-5b9f8300c935d7e1</t>
        </is>
      </c>
      <c r="B104" t="inlineStr">
        <is>
          <t>AI Engineer</t>
        </is>
      </c>
      <c r="C104" t="inlineStr">
        <is>
          <t>Capco</t>
        </is>
      </c>
      <c r="D104" t="inlineStr">
        <is>
          <t>indeed</t>
        </is>
      </c>
      <c r="E104" t="inlineStr"/>
      <c r="F104" t="inlineStr"/>
      <c r="G104" t="inlineStr">
        <is>
          <t>New York, NY, US</t>
        </is>
      </c>
      <c r="H104" s="1" t="n">
        <v>46076</v>
      </c>
      <c r="I104" t="inlineStr">
        <is>
          <t>**About the team:**
At the Capco Technology Delivery Center, we are dedicated to the financial services industries. Our professionals combine innovative thinking with unrivalled industry and domain expertise to offer our clients consulting expertise, complex technology and package integration, transformation delivery, and managed services, to move their organizations forward. Through our collaborative and efficient approach, we help our clients successfully innovate, increase revenue, manage risk and regulatory change, reduce costs, and enhance controls. Our teams stay at the forefront of industry trends and technologies that are driving innovation. From strategy to launch, we are adept at delivering across the full product lifecycle.
**About the Job:**
As a member of the Capco Technology Delivery Team, you’ll bring practical knowledge of agile development methodologies and engineering best practices. As an AI Engineer, you’ll play an integral role using your experience and skills to contribute to the quality and implementation of our projects.
We are seeking a highly skilled and experienced Senior GenAI Engineer who will be instrumental in designing, developing, and deploying modern generative AI solutions, leveraging expertise in foundation models, agentic AI systems, and full\-stack application development. You will work across the entire AI lifecycle, from research and prototyping to production deployment and monitoring, contributing to high\-impact transformative projects.
**What** **You’ll** **Get to Do:**
* Build applications leveraging foundation models and advanced GenAI techniques (Agentic RAG, KG\-RAG)
* Develop autonomous agents using modern agentic frameworks
* Implement MCP integrations and Python\-based full\-stack solutions
* Create scalable REST APIs and deploy AI workloads on major clouds
* Apply LLMOps/MLOps best practices for CI/CD and monitoring
* Work across teams, mentor others, and drive innovation in embeddings, knowledge graphs, and ontologies
**What** **You’ll** **Bring with You:**
* Degree in CS, AI/ML, or related field
* 5\+ years of AI/ML\-focused software engineering
* Production experience with LLMs and agentic systems
* Strong MCP knowledge and expert\-level Python (zero Java)
* Experience with embeddings at scale, knowledge graphs, ontology extraction, and advanced RAG
* Full\-stack skills (Python back end \+ modern front end)
* Cloud deployment experience (AWS, Azure, or GCP)
* Familiarity with LLMOps tools and strong problem\-solving/communication skills
* Willingness to work in the New York office 3 days/week.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We have been informed of several recruitment scams targeting the public. We strongly advise you to verify identities before engaging in recruitment related communication. All official Capco communication will be conducted via a Capco recruiter.
\#LI\-MB1
\#LI\-HYBRID
US Pay Range
$125,000—$143,000 USD</t>
        </is>
      </c>
    </row>
    <row r="105">
      <c r="A105" t="inlineStr">
        <is>
          <t>in-22b8ff99671f9ffa</t>
        </is>
      </c>
      <c r="B105" t="inlineStr">
        <is>
          <t>AI Engineer</t>
        </is>
      </c>
      <c r="C105" t="inlineStr">
        <is>
          <t>Capco</t>
        </is>
      </c>
      <c r="D105" t="inlineStr">
        <is>
          <t>indeed</t>
        </is>
      </c>
      <c r="E105" t="inlineStr"/>
      <c r="F105" t="inlineStr"/>
      <c r="G105" t="inlineStr">
        <is>
          <t>Orlando, FL, US</t>
        </is>
      </c>
      <c r="H105" s="1" t="n">
        <v>46076</v>
      </c>
      <c r="I105" t="inlineStr">
        <is>
          <t>**About the team:**
At the Capco Technology Delivery Center, we are dedicated to the financial services industries. Our professionals combine innovative thinking with unrivalled industry and domain expertise to offer our clients consulting expertise, complex technology and package integration, transformation delivery, and managed services, to move their organizations forward. Through our collaborative and efficient approach, we help our clients successfully innovate, increase revenue, manage risk and regulatory change, reduce costs, and enhance controls. Our teams stay at the forefront of industry trends and technologies that are driving innovation. From strategy to launch, we are adept at delivering across the full product lifecycle.
**About the Job:**
As a member of the Capco Technology Delivery Team, you’ll bring practical knowledge of agile development methodologies and engineering best practices. As an AI Engineer, you’ll play an integral role using your experience and skills to contribute to the quality and implementation of our projects.
We are seeking a highly skilled and experienced Senior GenAI Engineer who will be instrumental in designing, developing, and deploying modern generative AI solutions, leveraging expertise in foundation models, agentic AI systems, and full\-stack application development. You will work across the entire AI lifecycle, from research and prototyping to production deployment and monitoring, contributing to high\-impact transformative projects.
**What** **You’ll** **Get to Do:**
* Build applications leveraging foundation models and advanced GenAI techniques (Agentic RAG, KG\-RAG)
* Develop autonomous agents using modern agentic frameworks
* Implement MCP integrations and Python\-based full\-stack solutions
* Create scalable REST APIs and deploy AI workloads on major clouds
* Apply LLMOps/MLOps best practices for CI/CD and monitoring
* Work across teams, mentor others, and drive innovation in embeddings, knowledge graphs, and ontologies
**What** **You’ll** **Bring with You:**
* Degree in CS, AI/ML, or related field
* 5\+ years of AI/ML\-focused software engineering
* Production experience with LLMs and agentic systems
* Strong MCP knowledge and expert\-level Python (zero Java)
* Experience with embeddings at scale, knowledge graphs, ontology extraction, and advanced RAG
* Full\-stack skills (Python back end \+ modern front end)
* Cloud deployment experience (AWS, Azure, or GCP)
* Familiarity with LLMOps tools and strong problem\-solving/communication skills
* Willingness to work in the Orlando (Maitland) office 3 days/week.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We have been informed of several recruitment scams targeting the public. We strongly advise you to verify identities before engaging in recruitment related communication. All official Capco communication will be conducted via a Capco recruiter.
\#LI\-MB1
\#LI\-HYBRID</t>
        </is>
      </c>
    </row>
    <row r="106">
      <c r="A106" t="inlineStr">
        <is>
          <t>in-1f18056c1a09ca54</t>
        </is>
      </c>
      <c r="B106" t="inlineStr">
        <is>
          <t>AI Engineer</t>
        </is>
      </c>
      <c r="C106" t="inlineStr">
        <is>
          <t>Capco</t>
        </is>
      </c>
      <c r="D106" t="inlineStr">
        <is>
          <t>indeed</t>
        </is>
      </c>
      <c r="E106" t="inlineStr"/>
      <c r="F106" t="inlineStr"/>
      <c r="G106" t="inlineStr">
        <is>
          <t>Dallas, TX, US</t>
        </is>
      </c>
      <c r="H106" s="1" t="n">
        <v>46076</v>
      </c>
      <c r="I106" t="inlineStr">
        <is>
          <t>**About the team:**
At the Capco Technology Delivery Center, we are dedicated to the financial services industries. Our professionals combine innovative thinking with unrivalled industry and domain expertise to offer our clients consulting expertise, complex technology and package integration, transformation delivery, and managed services, to move their organizations forward. Through our collaborative and efficient approach, we help our clients successfully innovate, increase revenue, manage risk and regulatory change, reduce costs, and enhance controls. Our teams stay at the forefront of industry trends and technologies that are driving innovation. From strategy to launch, we are adept at delivering across the full product lifecycle.
**About the Job:**
As a member of the Capco Technology Delivery Team, you’ll bring practical knowledge of agile development methodologies and engineering best practices. As an AI Engineer, you’ll play an integral role using your experience and skills to contribute to the quality and implementation of our projects.
We are seeking a highly skilled and experienced Senior GenAI Engineer who will be instrumental in designing, developing, and deploying modern generative AI solutions, leveraging expertise in foundation models, agentic AI systems, and full\-stack application development. You will work across the entire AI lifecycle, from research and prototyping to production deployment and monitoring, contributing to high\-impact transformative projects.
**What** **You’ll** **Get to Do:**
* Build applications leveraging foundation models and advanced GenAI techniques (Agentic RAG, KG\-RAG)
* Develop autonomous agents using modern agentic frameworks
* Implement MCP integrations and Python\-based full\-stack solutions
* Create scalable REST APIs and deploy AI workloads on major clouds
* Apply LLMOps/MLOps best practices for CI/CD and monitoring
* Work across teams, mentor others, and drive innovation in embeddings, knowledge graphs, and ontologies
**What** **You’ll** **Bring with You:**
* Degree in CS, AI/ML, or related field
* 5\+ years of AI/ML\-focused software engineering
* Production experience with LLMs and agentic systems
* Strong MCP knowledge and expert\-level Python (zero Java)
* Experience with embeddings at scale, knowledge graphs, ontology extraction, and advanced RAG
* Full\-stack skills (Python back end \+ modern front end)
* Cloud deployment experience (AWS, Azure, or GCP)
* Familiarity with LLMOps tools and strong problem\-solving/communication skills
* Willingness to work in the Dallas office 5 days/week.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We have been informed of several recruitment scams targeting the public. We strongly advise you to verify identities before engaging in recruitment related communication. All official Capco communication will be conducted via a Capco recruiter.LI\-MB1
\#LI\-HYBRID</t>
        </is>
      </c>
    </row>
    <row r="107">
      <c r="A107" t="inlineStr">
        <is>
          <t>in-e87172982d9fa383</t>
        </is>
      </c>
      <c r="B107" t="inlineStr">
        <is>
          <t>Senior Lead AI Engineer (AI Foundations, LLM Core and Agentic AI)</t>
        </is>
      </c>
      <c r="C107" t="inlineStr">
        <is>
          <t>Information Technology Senior Management Forum</t>
        </is>
      </c>
      <c r="D107" t="inlineStr">
        <is>
          <t>indeed</t>
        </is>
      </c>
      <c r="E107" t="inlineStr"/>
      <c r="F107" t="inlineStr"/>
      <c r="G107" t="inlineStr">
        <is>
          <t>New York, NY, US</t>
        </is>
      </c>
      <c r="H107" s="1" t="n">
        <v>46075</v>
      </c>
      <c r="I107" t="inlineStr">
        <is>
          <t>Posted Date
2/23/2026
Description
Senior Lead AI Engineer (AI Foundations, LLM Core and Agentic AI)**Overview:**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$229,900 \- $262,400 for Sr. Lead AI Engineer  
McLean, VA: $229,900 \- $262,400 for Sr. Lead AI Engineer  
New York, NY: $250,800 \- $286,200 for Sr. Lead AI Engineer  
San Francisco, CA: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Lead AI Engineer (AI Foundations, LLM Core and Agentic AI)**Overview:**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$229,900 \- $262,400 for Sr. Lead AI Engineer  
McLean, VA: $229,900 \- $262,400 for Sr. Lead AI Engineer  
New York, NY: $250,800 \- $286,200 for Sr. Lead AI Engineer  
San Francisco, CA: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229,900\.00 \- 262,400\.00 Annual
Type
Full\-time</t>
        </is>
      </c>
    </row>
    <row r="108">
      <c r="A108" t="inlineStr">
        <is>
          <t>in-2318f187ef23e812</t>
        </is>
      </c>
      <c r="B108" t="inlineStr">
        <is>
          <t>Applied Scientist, Alexa Smart Home</t>
        </is>
      </c>
      <c r="C108" t="inlineStr">
        <is>
          <t>Amazon.com</t>
        </is>
      </c>
      <c r="D108" t="inlineStr">
        <is>
          <t>indeed</t>
        </is>
      </c>
      <c r="E108" t="inlineStr"/>
      <c r="F108" t="inlineStr"/>
      <c r="G108" t="inlineStr">
        <is>
          <t>Sunnyvale, CA, US</t>
        </is>
      </c>
      <c r="H108" s="1" t="n">
        <v>46033</v>
      </c>
      <c r="I108"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09">
      <c r="A109" t="inlineStr">
        <is>
          <t>in-2eddfc8dc9dac3ce</t>
        </is>
      </c>
      <c r="B109" t="inlineStr">
        <is>
          <t>Applied Scientist, Alexa Smart Home</t>
        </is>
      </c>
      <c r="C109" t="inlineStr">
        <is>
          <t>Amazon.com</t>
        </is>
      </c>
      <c r="D109" t="inlineStr">
        <is>
          <t>indeed</t>
        </is>
      </c>
      <c r="E109" t="inlineStr"/>
      <c r="F109" t="inlineStr"/>
      <c r="G109" t="inlineStr">
        <is>
          <t>Seattle, WA, US</t>
        </is>
      </c>
      <c r="H109" s="1" t="n">
        <v>46033</v>
      </c>
      <c r="I109"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10">
      <c r="A110" t="inlineStr">
        <is>
          <t>in-4e87215db2bd2e6c</t>
        </is>
      </c>
      <c r="B110" t="inlineStr">
        <is>
          <t>ML Engineer, GO-AI Technology &amp; Development Team</t>
        </is>
      </c>
      <c r="C110" t="inlineStr">
        <is>
          <t>Amazon.com</t>
        </is>
      </c>
      <c r="D110" t="inlineStr">
        <is>
          <t>indeed</t>
        </is>
      </c>
      <c r="E110" t="inlineStr"/>
      <c r="F110" t="inlineStr"/>
      <c r="G110" t="inlineStr">
        <is>
          <t>Westborough, MA, US</t>
        </is>
      </c>
      <c r="H110" s="1" t="n">
        <v>45998</v>
      </c>
      <c r="I110"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11">
      <c r="A111" t="inlineStr">
        <is>
          <t>in-097d1a1dc25e0709</t>
        </is>
      </c>
      <c r="B111" t="inlineStr">
        <is>
          <t>ML Engineer, GO-AI Technology &amp; Development Team</t>
        </is>
      </c>
      <c r="C111" t="inlineStr">
        <is>
          <t>Amazon.com</t>
        </is>
      </c>
      <c r="D111" t="inlineStr">
        <is>
          <t>indeed</t>
        </is>
      </c>
      <c r="E111" t="inlineStr"/>
      <c r="F111" t="inlineStr"/>
      <c r="G111" t="inlineStr">
        <is>
          <t>Reading, MA, US</t>
        </is>
      </c>
      <c r="H111" s="1" t="n">
        <v>45998</v>
      </c>
      <c r="I111"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12">
      <c r="A112" t="inlineStr">
        <is>
          <t>in-c3ecd3e6e65b0f0f</t>
        </is>
      </c>
      <c r="B112" t="inlineStr">
        <is>
          <t>ML Engineer, GO-AI Technology &amp; Development Team</t>
        </is>
      </c>
      <c r="C112" t="inlineStr">
        <is>
          <t>Amazon.com</t>
        </is>
      </c>
      <c r="D112" t="inlineStr">
        <is>
          <t>indeed</t>
        </is>
      </c>
      <c r="E112" t="inlineStr"/>
      <c r="F112" t="inlineStr"/>
      <c r="G112" t="inlineStr">
        <is>
          <t>Seattle, WA, US</t>
        </is>
      </c>
      <c r="H112" s="1" t="n">
        <v>45998</v>
      </c>
      <c r="I112"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13">
      <c r="A113" t="inlineStr">
        <is>
          <t>in-b579246a6a0d499d</t>
        </is>
      </c>
      <c r="B113" t="inlineStr">
        <is>
          <t>ML Engineer, GO-AI Technology &amp; Development Team</t>
        </is>
      </c>
      <c r="C113" t="inlineStr">
        <is>
          <t>Amazon.com</t>
        </is>
      </c>
      <c r="D113" t="inlineStr">
        <is>
          <t>indeed</t>
        </is>
      </c>
      <c r="E113" t="inlineStr"/>
      <c r="F113" t="inlineStr"/>
      <c r="G113" t="inlineStr">
        <is>
          <t>Boston, MA, US</t>
        </is>
      </c>
      <c r="H113" s="1" t="n">
        <v>45998</v>
      </c>
      <c r="I113"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14">
      <c r="A114" t="inlineStr">
        <is>
          <t>in-ba878f2c456e3228</t>
        </is>
      </c>
      <c r="B114" t="inlineStr">
        <is>
          <t>GEN AI Engineer</t>
        </is>
      </c>
      <c r="C114" t="inlineStr">
        <is>
          <t>Tata Consultancy Services (TCS)</t>
        </is>
      </c>
      <c r="D114" t="inlineStr">
        <is>
          <t>indeed</t>
        </is>
      </c>
      <c r="E114">
        <f>HYPERLINK("https://www.indeed.com/viewjob?jk=ba878f2c456e3228", "https://www.indeed.com/viewjob?jk=ba878f2c456e3228")</f>
        <v/>
      </c>
      <c r="F114">
        <f>HYPERLINK("https://ibegin.tcsapps.com/candidate/jobs/shared-job/Mzk4MzIwSg==", "https://ibegin.tcsapps.com/candidate/jobs/shared-job/Mzk4MzIwSg==")</f>
        <v/>
      </c>
      <c r="G114" t="inlineStr">
        <is>
          <t>Tampa, FL, US</t>
        </is>
      </c>
      <c r="H114" s="2" t="n">
        <v>46076</v>
      </c>
      <c r="I114" t="inlineStr">
        <is>
          <t>Must Have Technical/Functional Skills  
Technical Skills
Strong experience with Python (mandatory); exposure to Java/TypeScript is a plus.
Hands\-on experience with LLMs and GenAI frameworks (e.g., LangChain\-style orchestration, agent frameworks).
Experience with Agentic AI concepts: planning, tool use, memory, multi\-agent coordination.
Experience with vector databases and semantic search.
API integration and microservices architecture.
Cloud platforms (Azure / AWS / GCP).  
AI/ML Knowledge
Understanding of NLP, deep learning, and transformer\-based models.
Experience with model evaluation, hallucination mitigation, and prompt optimization.
Familiarity with Responsible AI, security, and data privacy principles.  
Roles \&amp; Responsibilities
GenAI Development
Design and implement GenAI solutions using LLMs for text, code, and knowledge\-based use cases.
Develop prompt engineering, prompt orchestration, and reusable prompt libraries.
Fine\-tune and evaluate LLMs for enterprise\-specific tasks.
Integrate GenAI capabilities into applications, APIs, and workflows.  
Agentic AI \&amp; Autonomous Systems
Design and implement agentic architectures (planner, executor, evaluator, memory).
Build multi\-agent systems with task decomposition, tool usage, and feedback loops.
Enable agents to interact with enterprise tools, APIs, databases, and knowledge stores.
Implement agent memory, reasoning chains, and self\-reflection mechanisms.  
Architecture \&amp; Engineering
Define end\-to\-end AI solution architecture (cloud, APIs, security, observability).
Implement Retrieval\-Augmented Generation (RAG) with vector databases.
Ensure scalability, performance, reliability, and cost efficiency.
Apply Responsible AI, governance, and compliance standards.  
Collaboration \&amp; Delivery
Work closely with product owners, domain experts, and engineering teams.
Translate business problems into AI\-driven solutions.
Support SDLC phases including design, development, testing, deployment, and support.
Mentor junior engineers and contribute to AI best practices.  
Salary Range: $100,000\-$130,000 a year  
\#LI\-DM1  
**Location**
Tampa, FL
**Job Function**
TECHNOLOGY
**Role**
Engineer
**Job Id**
398320
**Desired Skills**
Artificial Intelligence
**Salary Range**
$100,000\-$130,000 a year</t>
        </is>
      </c>
    </row>
    <row r="115">
      <c r="A115" t="inlineStr">
        <is>
          <t>in-fcd4d824813f7cb9</t>
        </is>
      </c>
      <c r="B115" t="inlineStr">
        <is>
          <t>Machine Learning Engineer - AI team</t>
        </is>
      </c>
      <c r="C115" t="inlineStr">
        <is>
          <t>Target</t>
        </is>
      </c>
      <c r="D115" t="inlineStr">
        <is>
          <t>indeed</t>
        </is>
      </c>
      <c r="E115">
        <f>HYPERLINK("https://www.indeed.com/viewjob?jk=fcd4d824813f7cb9", "https://www.indeed.com/viewjob?jk=fcd4d824813f7cb9")</f>
        <v/>
      </c>
      <c r="F115">
        <f>HYPERLINK("https://corporate.target.com/job/id/R0000428765", "https://corporate.target.com/job/id/R0000428765")</f>
        <v/>
      </c>
      <c r="G115" t="inlineStr">
        <is>
          <t>Brooklyn Park, MN, US</t>
        </is>
      </c>
      <c r="H115" s="2" t="n">
        <v>46076</v>
      </c>
      <c r="I115" t="inlineStr">
        <is>
          <t>The pay range is $75,400\.00 \- $135,700\.00
Pay is based on several factors which vary based on position. These include labor markets and in some instances may include education, work experience and certifications. In addition to your pay, Target cares about and invests in you as a team member, so that you can take care of yourself and your family. Target offers eligible team members and their dependents comprehensive health benefits and programs, which may include medical, vision, dental, life insurance and more, to help you and your family take care of your whole selves. Other benefits for eligible team members include 401(k), employee discount, short term disability, long term disability, paid sick leave, paid national holidays, and paid vacation. Find competitive benefits from financial and education to well\-being and beyond at https://corporate.target.com/careers/benefits.
**JOIN TARGET AS A MACHINE LEARNING ENGINEER**
**About Us****:**
Working at Target means helping all families discover the joy of everyday life. We bring that vision to life through our values and culture. Learn more about Target here.
Join our global in\-house Tech and Data Sciences team of more than 5,000 software engineers, applied data scientists, ML engineers and product managers striving to make Target the most convenient, safe and joyful place to shop. We use agile practices and leverage open\-source software to adapt and build best\-in\-class technology for our team members and guests.
As a ML/AI Engineer, you will join a Data Sciences team responsible for creating personalized recommendations on Target.com and the Target mobile app. You will play a crucial role in designing, implementing, and optimizing production machine learning solutions and the platforms supporting them. We will expect you to understand best practice software design, participate in code reviews, and create a maintainable well\-tested codebase with relevant documentation. At an organizational level, you will work in partnership with data scientists, engineers, and product managers to understand the business requirements and build solutions to meet business needs.
Core responsibilities of this job are articulated within this job description. Job duties may change at any time due to business needs.
**About you:**
* 4\-year degree in Quantitative disciplines (Science, Technology, Engineering, Mathematics) or equivalent work experience
* Demonstrated proficiency in Python or Java programming
* Familiarity with ML frameworks such as PyTorch, TensorFlow, XGBoost, and Scikit learning
* Familiarity with software design on Linux/Mac
* Familiarity with software version control such as Git, software test coverage practices and frameworks such as PyTest
* Extensive SQL querying experience
* Experience with CI/CD – Docker, Drone and Kubernetes
* Understanding the end\-to\-end model lifecycle including data ingestion and processing, feature extraction and selection, model training and tuning, model evaluation, and model deployment
* Excellent communication skills with the ability to clearly tell data driven stories through appropriate visualizations, graphs, and narratives
* Self\-driven and results oriented; able to meet deadlines
* Motivated team player with ability to collaborate effectively across global team
**Bonus Points:**
* MS in Computer Science, Applied Mathematics, Stats, Physics or equivalent industry experience
* Familiarity with cloud ML Ops services such as Vertex AI/Azure ML/Sagemaker
* Proficiency in Python, PySpark, and/or Scala
* Experience in end\-to\-end Machine Learning application development, including data pipelining, model optimization, deployment, and API design
This position will operate as a Hybrid/Flex for Your Day work arrangement based on Target’s needs. A Hybrid/Flex for Your Day work arrangement means the team member’s core role will need to be performed both onsite at the Target HQ MN location the role is assigned to and virtually, depending upon what your role, team and tasks require for that day. Work duties cannot be performed outside of the country of the primary work location, unless otherwise prescribed by Target. Click here if you are curious to learn more about Minnesota.
**Benefits Eligibility**
Please paste this url into your preferred browser to learn about benefits eligibility for this role: https://tgt.biz/BenefitsForYou\_D**Americans with Disabilities Act (ADA)**
In compliance with state and federal laws, Target will make reasonable accommodations for applicants with disabilities. If a reasonable accommodation is needed to participate in the job application or interview process, please reach out to candidate.accommodations@HRHelp.Target.com. Non\-accommodation\-related requests, such as application follow\-ups or technical issues, will not be addressed through this channel.
Application deadline is : 03/22/2026</t>
        </is>
      </c>
    </row>
    <row r="116">
      <c r="A116" t="inlineStr">
        <is>
          <t>in-e87172982d9fa383</t>
        </is>
      </c>
      <c r="B116" t="inlineStr">
        <is>
          <t>Senior Lead AI Engineer (AI Foundations, LLM Core and Agentic AI)</t>
        </is>
      </c>
      <c r="C116" t="inlineStr">
        <is>
          <t>Information Technology Senior Management Forum</t>
        </is>
      </c>
      <c r="D116" t="inlineStr">
        <is>
          <t>indeed</t>
        </is>
      </c>
      <c r="E116">
        <f>HYPERLINK("https://www.indeed.com/viewjob?jk=e87172982d9fa383", "https://www.indeed.com/viewjob?jk=e87172982d9fa383")</f>
        <v/>
      </c>
      <c r="F116">
        <f>HYPERLINK("https://jobs.itsmfleaders.org/job/rhz5zj/senior-lead-ai-engineer-(ai-foundations-llm-core-and-agentic-ai)/new-york/ny", "https://jobs.itsmfleaders.org/job/rhz5zj/senior-lead-ai-engineer-(ai-foundations-llm-core-and-agentic-ai)/new-york/ny")</f>
        <v/>
      </c>
      <c r="G116" t="inlineStr">
        <is>
          <t>New York, NY, US</t>
        </is>
      </c>
      <c r="H116" s="2" t="n">
        <v>46075</v>
      </c>
      <c r="I116" t="inlineStr">
        <is>
          <t>Posted Date
2/23/2026
Description
Senior Lead AI Engineer (AI Foundations, LLM Core and Agentic AI)**Overview:**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$229,900 \- $262,400 for Sr. Lead AI Engineer  
McLean, VA: $229,900 \- $262,400 for Sr. Lead AI Engineer  
New York, NY: $250,800 \- $286,200 for Sr. Lead AI Engineer  
San Francisco, CA: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Lead AI Engineer (AI Foundations, LLM Core and Agentic AI)**Overview:**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$229,900 \- $262,400 for Sr. Lead AI Engineer  
McLean, VA: $229,900 \- $262,400 for Sr. Lead AI Engineer  
New York, NY: $250,800 \- $286,200 for Sr. Lead AI Engineer  
San Francisco, CA: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229,900\.00 \- 262,400\.00 Annual
Type
Full\-time</t>
        </is>
      </c>
    </row>
    <row r="117">
      <c r="A117" t="inlineStr">
        <is>
          <t>in-77ea28bb19313647</t>
        </is>
      </c>
      <c r="B117" t="inlineStr">
        <is>
          <t>AI Engineer, Business Operations</t>
        </is>
      </c>
      <c r="C117" t="inlineStr">
        <is>
          <t>SK Life Science Inc.</t>
        </is>
      </c>
      <c r="D117" t="inlineStr">
        <is>
          <t>indeed</t>
        </is>
      </c>
      <c r="E117">
        <f>HYPERLINK("https://www.indeed.com/viewjob?jk=77ea28bb19313647", "https://www.indeed.com/viewjob?jk=77ea28bb19313647")</f>
        <v/>
      </c>
      <c r="F117">
        <f>HYPERLINK("https://careers-sklifescienceinc.icims.com/jobs/1947/job?utm_source=indeed_integration&amp;iis=Job%20Board&amp;iisn=Indeed&amp;indeed-apply-token=73a2d2b2a8d6d5c0a62696875eaebd669103652d3f0c2cd5445d3e66b1592b0f", "https://careers-sklifescienceinc.icims.com/jobs/1947/job?utm_source=indeed_integration&amp;iis=Job%20Board&amp;iisn=Indeed&amp;indeed-apply-token=73a2d2b2a8d6d5c0a62696875eaebd669103652d3f0c2cd5445d3e66b1592b0f")</f>
        <v/>
      </c>
      <c r="G117" t="inlineStr">
        <is>
          <t>Paramus, NJ, US</t>
        </is>
      </c>
      <c r="H117" s="2" t="n">
        <v>46076</v>
      </c>
      <c r="I117" t="inlineStr">
        <is>
          <t>Overview:
The AI Engineer, Biz Ops will build the AI‑powered services that form the backbone of our decision‑intelligence platform. In this role, you will take AI models developed by AI Scientists and transform them into scalable, production‑ready applications by designing inference pipelines, APIs, and supporting data flows.
You will work closely with Data Engineers to integrate model pipelines with the broader data ecosystem and collaborate with business operations and commercial teams to convert manual, step\-driven workflows into AI‑native services. This includes building reliable batch and real‑time inference systems that generate measurable impact across business operations—not limited to any specific domain.
This is a high‑impact role for engineers who enjoy turning research into products, hardening systems for real‑world use, and building the engineering layer that enables AI to operate at scale. While not required, an interest in or exposure to MLOps practices is strongly preferred.
Responsibilities:
* Productionize AI/ML models into scalable services (e.g., APIs, batch inference, streaming inference) with strong standards for reliability and performance.
* Collaborate with AI Scientists to convert research prototypes into production‑ready components (feature computation, preprocessing, post\-processing, evaluation loops).
* Integrate models with data pipelines built by Data Engineers and ensure seamless end‑to‑end flow from raw data to AI‑driven output.
* Build and maintain inference pipelines using Python and orchestration frameworks (e.g., Airflow), supporting deployment across cloud and on‑prem environments.
* Implement CI/CD, containerization, and automated testing to ensure safe, repeatable, and automated model deployments.
* Establish monitoring and observability for models and services (system metrics, data drift, performance regression, alerting).
* Partner with BizOps and Commercial stakeholders to transform manual workflows into AI‑enabled services that improve operational decision‑making.
* Optimize end\-to\-end model serving latency, throughput, and cost using packaging strategies, scaling policies, caching, and parallelization.
* Contribute to documentation, reusable templates, and engineering best practices to accelerate AI adoption across the organization.
Qualifications:
* **Education**: Bachelor’s degree or higher in Computer Science, Engineering, or related technical field.
* **Experience**: 3\+ years of software engineering experience, including building or deploying AI systems in production environments.
* **Skills**:
* + Strong proficiency in Python for services, pipelines, and ML tooling.
* Experience deploying AI models in production across on‑prem or cloud environments (AWS or Azure).
* Experience with big‑data and orchestration frameworks (e.g., Spark, Airflow) for scalable pipelines.
* Strong understanding of software engineering best practices including CI/CD, containerization (Docker, Kubernetes), automated testing, and version control.
* Experience with model optimization techniques such as ONNX / ONNX Runtime, model quantization, or other performance‑oriented inference tooling.
 **Strongly Preferred*** Interest or exposure to MLOps concepts (model registries, feature stores, experiment tracking, automated retraining, monitoring).
* Master’s degree or higher in a relevant field.
* Experience in regulated industries (e.g., biopharma, healthcare, and finance).
* A portfolio of launched AI/ML projects or contributions to production of AI systems.
* Proficiency in SQL and familiarity with modern data warehouses such as Snowflake.
 **Who Thrives in This Role**
* Engineers who enjoy transforming research into resilient, user‑facing products.
* Builders who balance rapid iteration with production‑grade engineering standards.
* Collaborators who can partner with business teams to convert manual workflows into scalable AI services.
* Pragmatic problem‑solvers who can operate autonomously and drive impact in ambiguous, cross‑functional settings.</t>
        </is>
      </c>
    </row>
    <row r="118">
      <c r="A118" t="inlineStr">
        <is>
          <t>in-144e6727ca38d104</t>
        </is>
      </c>
      <c r="B118" t="inlineStr">
        <is>
          <t>Identity AI / ML Engineer</t>
        </is>
      </c>
      <c r="C118" t="inlineStr">
        <is>
          <t>Openkyber</t>
        </is>
      </c>
      <c r="D118" t="inlineStr">
        <is>
          <t>indeed</t>
        </is>
      </c>
      <c r="E118">
        <f>HYPERLINK("https://www.indeed.com/viewjob?jk=144e6727ca38d104", "https://www.indeed.com/viewjob?jk=144e6727ca38d104")</f>
        <v/>
      </c>
      <c r="F118">
        <f>HYPERLINK("https://candidateportalnew.ceipal.com/job-details/7yXW0b72VL3nSGVbWVz3B27ttfpXinXgJR4SaleNP9o#.job_boards.Indeed", "https://candidateportalnew.ceipal.com/job-details/7yXW0b72VL3nSGVbWVz3B27ttfpXinXgJR4SaleNP9o#.job_boards.Indeed")</f>
        <v/>
      </c>
      <c r="G118" t="inlineStr">
        <is>
          <t>AK, US</t>
        </is>
      </c>
      <c r="H118" s="2" t="n">
        <v>46076</v>
      </c>
      <c r="I118" t="inlineStr">
        <is>
          <t>Hiring: W2 Candidates Only Visa: Open to any visa type with valid work authorization in the USA Summary A Machine Learning Engineer is responsible for designing, building, and deploying predictive models and AI\-driven solutions that support business objectives. This role focuses on developing scalable machine learning systems, optimizing model performance, and integrating intelligent solutions into production applications.
**Key Responsibilities:**
* Design, develop, and implement machine learning models and AI solutions for real\-world business use cases.
* Train, test, and evaluate models using large, complex datasets to ensure accuracy and reliability.
* Collaborate with data scientists, data engineers, and software developers to build end\-to\-end ML pipelines.
* Optimize algorithms and workflows for performance, scalability, and cost efficiency.
* Deploy machine learning models into production environments using MLOps best practices.
* Monitor model performance, drift, and accuracy; retrain and fine\-tune models as needed.
* Build and maintain feature engineering pipelines and data preprocessing workflows.
* Document models, assumptions, architectures, and methodologies for transparency and reproducibility.
* Research, evaluate, and apply emerging machine learning techniques, tools, and frameworks.
* Ensure compliance with ethical AI standards, data privacy policies, and regulatory requirements.
* Integrate ML solutions with enterprise applications, APIs, and cloud platforms.
* Conduct A/B testing and experimentation to validate model effectiveness.
* Troubleshoot model failures and collaborate with engineering teams to resolve production issues.
* Support automation and intelligent decision\-making across business processes.
* Provide technical guidance on best practices for developing, deploying, and maintaining ML systems.
* Mentor junior engineers and contribute to team knowledge sharing and innovation.
**Qualifications:**
Bachelor s or Master s degree in Data Science, Computer Science, Artificial Intelligence, or a related field. 3\-5 years of hands\-on experience in machine learning, AI, or advanced analytics roles. Proficiency in Python, R, and machine learning frameworks such as TensorFlow, PyTorch, or Scikit\-learn. Strong foundation in statistics, probability, and linear algebra. Experience working with large datasets and building production\-grade ML systems.
**Preferred Skills / Duties:**
* Knowledge of natural language processing (NLP), computer vision, deep learning, or reinforcement learning.
* Experience with cloud\-based ML platforms and services (AWS SageMaker, Azure ML, Google AI Platform).
* Familiarity with MLOps tools for model deployment, monitoring, and versioning.
* Ability to translate complex business problems into effective machine learning solutions.
* Strong communication, collaboration, and stakeholder engagement skills.
* Experience with data pipelines, feature stores, and model lifecycle management.
**For applications and inquiries, contact:** hirings@openkyber.com</t>
        </is>
      </c>
    </row>
    <row r="119">
      <c r="A119" t="inlineStr">
        <is>
          <t>in-8e1ec3d8bdc15665</t>
        </is>
      </c>
      <c r="B119" t="inlineStr">
        <is>
          <t>Identity AI / ML Engineer</t>
        </is>
      </c>
      <c r="C119" t="inlineStr">
        <is>
          <t>Openkyber</t>
        </is>
      </c>
      <c r="D119" t="inlineStr">
        <is>
          <t>indeed</t>
        </is>
      </c>
      <c r="E119">
        <f>HYPERLINK("https://www.indeed.com/viewjob?jk=8e1ec3d8bdc15665", "https://www.indeed.com/viewjob?jk=8e1ec3d8bdc15665")</f>
        <v/>
      </c>
      <c r="F119">
        <f>HYPERLINK("https://candidateportalnew.ceipal.com/job-details/yeb8pjg2qqWo2rSNxSGuSfZ_5hcaeS8CFWGm5s8Pm1c#.job_boards.Indeed", "https://candidateportalnew.ceipal.com/job-details/yeb8pjg2qqWo2rSNxSGuSfZ_5hcaeS8CFWGm5s8Pm1c#.job_boards.Indeed")</f>
        <v/>
      </c>
      <c r="G119" t="inlineStr">
        <is>
          <t>AK, US</t>
        </is>
      </c>
      <c r="H119" s="2" t="n">
        <v>46076</v>
      </c>
      <c r="I119" t="inlineStr">
        <is>
          <t>**job summary:** Has worked in an Agile environment that uses the Scrum Methodology and is experienced with the related events and artifacts Has effectively worked in a global, team\-based environment with team members in various locations and countries. Demonstrated ability to work across business, BI, ML, Data Ops, and Architecture teams to align on standards, data contracts, SLAs, and shared operating mechanisms.
**location:** Roanoke, Texas
**job type:** Contract
**salary:** $51 \- 52 per hour
**work hours:** 8am to 5pm
**education:** Bachelors
**responsibilities:** Collaborating with business stakeholders to gather and analyze business and functional requirements and confirm these via meaningful artifacts (Business Requirements documents, process flows and data flow diagrams, use cases, etc.) Translating business goals into end\-to\-end system and data requirements, including field\-level definitions, data rules, and non\-functional requirements. Partnering with BI engineers , Data engineers and ML Engineers to define and maintain detailed source\-to\-target data mappings, interface contracts, and data lineage from source systems through integration layers to downstream warehouses and reports. Contributing to the documentation and maintenance of end\-to\-end data and process lineage (from Oracle/Snowflake/S3 through transformations, BI assets and ML pipelines to operational workflows), and coordinating impact analysis for upstream schema or logic changes. Performing cost\-benefit analyses to ensure technology investments for the given business requirements are strategically aligned, financially sound, and deliver maximum business value Converting business requirements into actionable delivery plans with defined milestones and timelines for both system and data work Identifying and managing risks and dependencies for planned work Implementing delivery plans through quarterly planning and backlog management Managing product backlogs using collaborative tools including JIRA, Confluence, PowerPoint, Excel, and SharePoint Translating complex business and data requirements into user stories with well\-defined business value and acceptance criteria and test conditions (including data validation and report acceptance). Leading team refinement sessions to ensure stories are clear and ready for sprint planning Defining story acceptance tests in collaboration with the team, applying Acceptance Test Driven Development (ATDD) principles during refinement. Ownership of user story sign\-off, ensuring the delivery meets the requirements and has passed all tests (automated and manual) Proactively identifying opportunities for process and system improvements to extend the value delivered to your business partners Where Needed \- Participation in End\-to\-End test activities to ensure functionality is working per the requirements
**qualifications:** Financial services industry knowledge and experience is highly desirable, investment management and/or wealth management domain knowledge a plus Strong experience working with data in support of analytics and reporting use cases, including: Hands\-on experience with relational databases and SQL for analysis, profiling, and data validation. Understanding of data modeling concepts (e.g., star and snowflake schemas, dimensions and facts) and how they support BI/reporting. Experience defining or supporting BI/reporting solutions (e.g., Power BI, Tableau, or similar), including KPIs, drill\-downs, and filters. Experience working with or around ML/LLM solutions (or strong interest and aptitude to learn), including helping to define data requirements, success criteria, and basic monitoring/adoption needs for models and AI\-driven reports, in partnership with ML Engineers. Excellent written and verbal communication skills Strong analytical and problem\-solving skills with the ability to reason about complex systems and data flows. Able to understand the technology and software architecture of an application Experience with various tools that assist in analysis and testing including SQL Developer, Insomnia, Kafka \- Offset Explorer, and Datadog for data validation and debugging, Jira and Confluence. Willingness to dive in and understand code for analysis and support purposes Familiarity with modern AI tools and their application in analysis (e.g., using LLMs to support impact analysis, documentation, testing, or incident diagnostics) is desirable. Equal Opportunity Employer: Race, Color, Religion, Sex, Sexual Orientation, Gender Identity, National Origin, Age, Genetic Information, Disability, Protected Veteran Status, or any other legally protected group status. At OpenKyber,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OpenKyber offers a comprehensive benefits package, including: medical, prescription, dental, vision, AD\&amp;D, and life insurance offerings, short\-term disability, and a 401K plan (all benefits are based on eligibility). This posting is open for thirty (30\) days.
**For applications and inquiries, contact:** hirings@openkyber.com</t>
        </is>
      </c>
    </row>
    <row r="120">
      <c r="A120" t="inlineStr">
        <is>
          <t>in-19e9db4cea631abe</t>
        </is>
      </c>
      <c r="B120" t="inlineStr">
        <is>
          <t>Artificial Intelligence &amp; Machine Learning Engineer, Junior</t>
        </is>
      </c>
      <c r="C120" t="inlineStr">
        <is>
          <t>Booz Allen Hamilton</t>
        </is>
      </c>
      <c r="D120" t="inlineStr">
        <is>
          <t>indeed</t>
        </is>
      </c>
      <c r="E120">
        <f>HYPERLINK("https://www.indeed.com/viewjob?jk=19e9db4cea631abe", "https://www.indeed.com/viewjob?jk=19e9db4cea631abe")</f>
        <v/>
      </c>
      <c r="F120">
        <f>HYPERLINK("https://careers.boozallen.com/careers/JobDetail?jobId=121087", "https://careers.boozallen.com/careers/JobDetail?jobId=121087")</f>
        <v/>
      </c>
      <c r="G120" t="inlineStr">
        <is>
          <t>Charleston, SC, US</t>
        </is>
      </c>
      <c r="H120" s="2" t="n">
        <v>46076</v>
      </c>
      <c r="I120" t="inlineStr">
        <is>
          <t>Artificial Intelligence \&amp; Machine Learning Engineer, Junior**The Opportunity:**
Machine learning (ML) is critical to understanding and processing massive datasets. Your ability to conduct statistical analyses on business processes using ML techniques makes you an integral part of delivering a customer\-focused solution. We need your technical knowledge and desire to solve problems to support the next generation of systems. As a machine learning engineer on our team, you’ll train, test, deploy, and maintain models that learn from data.
In this role, you’ll own and define the direction of mission\-critical solutions by applying best\-fit ML algorithms and technologies. You’ll be part of a large community of machine learning engineers across the company and collaborate with data engineers, data scientists, solutions architects, and subject matter experts to deliver world\-class solutions to process data and information to provide near real\-time analysis. Your advanced and extensive technical expertise will guide clients as they navigate the landscape of ML algorithms, tools, and frameworks.
Work with us to solve real\-world challenges and define ML strategy.
Join us. The world can’t wait.
**You Have:**
* Experience in AI, Python programming, and deep learning frameworks such as PyTorch, MXNet, TensorFlow, or Keras, and big data technologies such as Hive, PySpark, Synapse, or Databricks
* Experience developing Natural Language Processing (NLP), Large Language Model (LLM), or Retrieval\-Augmented Generation (RAG) enabled solutions
* Knowledge of AI\-enabled systems
* Knowledge of AI concepts such as clustering, regression, algorithm selection, and evaluation
* Ability to address unbounded technical issues
* Ability to obtain and maintain a Public Trust or Suitability/Fitness determination based on client requirements
* HS diploma or GED
**Nice If You Have:**
* Experience working with API services for serving NLP and analytical models such as Flask or Fast API
* Experience with DevOps tools such as Docker, K8s, or Gitlab CI/CD
* Experience with HTML, CSS, and front\-end web frameworks
* Experience with Amazon Web Services (AWS) or Azure AI ML Services such as Bedrock and Sagemaker
* Experience working in enterprise systems
* Experience with Data Operations such as analytics, engineering, or platform
* Knowledge of artificial intelligence principles and practices, including deploying ML models into production
* Ability to evaluate algorithm performance
* Bachelor's degree
* Security\+, Cloud, Software Development, AI and ML, Computer Vision, Deep Learning, or NLP Certification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$55,300\.00 to $126,000\.00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21">
      <c r="A121" t="inlineStr">
        <is>
          <t>in-2b37a599430fcece</t>
        </is>
      </c>
      <c r="B121" t="inlineStr">
        <is>
          <t>Sr. AI/ML Engineer-5</t>
        </is>
      </c>
      <c r="C121" t="inlineStr">
        <is>
          <t>Realign</t>
        </is>
      </c>
      <c r="D121" t="inlineStr">
        <is>
          <t>indeed</t>
        </is>
      </c>
      <c r="E121">
        <f>HYPERLINK("https://www.indeed.com/viewjob?jk=2b37a599430fcece", "https://www.indeed.com/viewjob?jk=2b37a599430fcece")</f>
        <v/>
      </c>
      <c r="F121">
        <f>HYPERLINK("https://realign-llc.com/careers/job-details/IT900783SR-5", "https://realign-llc.com/careers/job-details/IT900783SR-5")</f>
        <v/>
      </c>
      <c r="G121" t="inlineStr">
        <is>
          <t>San Francisco, CA, US</t>
        </is>
      </c>
      <c r="H121" s="2" t="n">
        <v>46077</v>
      </c>
      <c r="I121" t="inlineStr">
        <is>
          <t>San Francisco, California 94016 Posted February 25th, 2026
 Looking for more job opportunities? Click here!
Job Type: Contract
Job Category: IT
Job Description
**Role: Sr. AI/ML Engineer**
* **Experience** – 10\+ Years
* **Location** \- San Francisco, CA – LOCALS Only
**Required Qualifications**  
* Deep expertise in Machine Learning, Generative AI, LLMs, RAG, and AI orchestration.
* Strong understanding of Azure OpenAI, AWS Bedrock, or similar platforms.
* Experience deploying AI in regulated environments.
* Hands\-on architectural and engineering leadership capabilities.
* Strong communication skills with VP/Senior Director stakeholders.
 Preferred Qualifications  
* 12\+ years in AI/ML, data engineering, or digital transformation.
* Prior experience leading enterprise AI programs.
* Utility domain experience (wildfire, grid, operations).
* Knowledge of Responsible AI frameworks (NIST AI RMF, ISO 42001\).
**Roles \&amp; Responsibilities**  
**Role Overview**  
Utilities are accelerating their enterprise AI adoption across Operations, Customer Experience, Wildfire Safety, Regulatory, and IT. The AI Lead will serve as the strategic driver for enterprise AI transformation—defining vision, governance, enterprise architecture, and leading delivery of high\-impact GenAI and ML solutions. **Key Responsibilities**  
* Define the enterprise AI vision, roadmap, and operating model.
* Identify and prioritize AI/ML/GenAI opportunities across business units.
* Drive design and deployment of AI solutions including consultation agents, hazard detection, regulatory Q\&amp;A automation, and contact center assistants.
* Establish AI governance, compliance, model risk management, and auditability frameworks.
* Lead cross\-functional AI programs spanning IT, Operations, Customer Care, Regulatory, Safety, and Field Ops.
* Mentor and guide data scientists, ML engineers, architects, and product owners.
* Promote AI literacy, change management, and best practices across the enterprise.
Required Skills
DEVOPS ENGINEER
 SENIOR EMAIL SECURITY ENGINEER</t>
        </is>
      </c>
    </row>
    <row r="122">
      <c r="A122" t="inlineStr">
        <is>
          <t>in-a978f7ef0b767bb9</t>
        </is>
      </c>
      <c r="B122" t="inlineStr">
        <is>
          <t>Principal Applied Scientist</t>
        </is>
      </c>
      <c r="C122" t="inlineStr">
        <is>
          <t>Oracle</t>
        </is>
      </c>
      <c r="D122" t="inlineStr">
        <is>
          <t>indeed</t>
        </is>
      </c>
      <c r="E122">
        <f>HYPERLINK("https://www.indeed.com/viewjob?jk=a978f7ef0b767bb9", "https://www.indeed.com/viewjob?jk=a978f7ef0b767bb9")</f>
        <v/>
      </c>
      <c r="F122">
        <f>HYPERLINK("https://eeho.fa.us2.oraclecloud.com/hcmUI/CandidateExperience/en/sites/CX_1/job/328272", "https://eeho.fa.us2.oraclecloud.com/hcmUI/CandidateExperience/en/sites/CX_1/job/328272")</f>
        <v/>
      </c>
      <c r="G122" t="inlineStr">
        <is>
          <t>US</t>
        </is>
      </c>
      <c r="H122" s="2" t="n">
        <v>46076</v>
      </c>
      <c r="I122" t="inlineStr">
        <is>
          <t>Responsible AI: Principal Applied Scientist. We are seeking an exceptional Principal Applied Scientist with deep expertise in Responsible AI to join our fast\-growing AI/ML research team. In this role, you will drive the development and evaluation of scalable safeguards for foundation models, with a focus on large language or multi\-modal models (LLMs/ LMMs). Your work will directly influence how we design, deploy, and monitor trustworthy AI systems across a broad range of products.
**What You’ll Do**
* Conduct cutting\-edge research and development in Responsible AI, including fairness, robustness, explainability, and safety for generative models
* Design and implement safeguards, red teaming pipelines, and bias mitigation strategies for LLMs and other foundation models
* Contribute to the fine\-tuning and alignment of LLMs using techniques such as prompt engineering, instruction tuning, and RLHF/DPO
* Define and implement rigorous evaluation protocols (e.g., bias audits, toxicity analysis, robustness benchmarks)
* Collaborate cross\-functionally with product, policy, legal, and engineering teams to ensure Responsible AI principles are embedded throughout the model lifecycle
* Publish in top\-tier venues (e.g., NeurIPS, ICML, ICLR, ACL, CVPR) and represent the company in academic and industry forums
**Minimum Qualifications**
* Ph.D. in Computer Science, Machine Learning, NLP, or a related field, with publications in top\-tier AI/ML conferences or journals
* Hands\-on experience with LLMs including fine\-tuning, evaluation, and prompt engineering
* Demonstrated expertise in building or evaluating Responsible AI systems (e.g., fairness, safety, interpretability)
* Proficiency in Python and ML/DL frameworks such as PyTorch or TensorFlow
* Strong understanding of model evaluation techniques and metrics related to bias, robustness, and toxicity
* Creative problem\-solving skills with a rapid prototyping mindset and a collaborative attitude
**Preferred Qualifications (Nice to Have)**
* Experience with RLHF (Reinforcement Learning from Human Feedback) or other alignment methods
* Open\-source contributions in the AI/ML community
* Experience working with model guardrails, safety filters, or content moderation systems
**Why Join Us**
You’ll be working at the intersection of AI innovation and Responsible AI, helping shape the next generation of safe and trustworthy machine learning systems. If you’re passionate about ensuring AI benefits everyone—and you have the technical depth to back it up—we want to hear from you.  
\#LI\-AH4</t>
        </is>
      </c>
    </row>
    <row r="123">
      <c r="A123" t="inlineStr">
        <is>
          <t>in-bf08b684bc9d8d1a</t>
        </is>
      </c>
      <c r="B123" t="inlineStr">
        <is>
          <t>AI Engineer</t>
        </is>
      </c>
      <c r="C123" t="inlineStr">
        <is>
          <t>Archarithms Inc</t>
        </is>
      </c>
      <c r="D123" t="inlineStr">
        <is>
          <t>indeed</t>
        </is>
      </c>
      <c r="E123">
        <f>HYPERLINK("https://www.indeed.com/viewjob?jk=bf08b684bc9d8d1a", "https://www.indeed.com/viewjob?jk=bf08b684bc9d8d1a")</f>
        <v/>
      </c>
      <c r="F123">
        <f>HYPERLINK("https://workforcenow.adp.com/mascsr/default/mdf/recruitment/recruitment.html?cid=2ac19c2c-cd24-4fd1-8ab6-b1d93b864c78&amp;ccId=19000101_000001&amp;jobId=534164&amp;source=IN&amp;lang=en_US", "https://workforcenow.adp.com/mascsr/default/mdf/recruitment/recruitment.html?cid=2ac19c2c-cd24-4fd1-8ab6-b1d93b864c78&amp;ccId=19000101_000001&amp;jobId=534164&amp;source=IN&amp;lang=en_US")</f>
        <v/>
      </c>
      <c r="G123" t="inlineStr">
        <is>
          <t>Huntsville, AL, US</t>
        </is>
      </c>
      <c r="H123" s="2" t="n">
        <v>46076</v>
      </c>
      <c r="I123" t="inlineStr">
        <is>
          <t>**WE ARE ARCARITHM**, **and we are changing the world!**
If you are ready to grow your career and change the world with us, then join the Arcarithm team!
We are located in beautiful, downtown Huntsville, AL, one of the fastest growing cities in the U.S.! At Arcarithm, we cultivate and foster an environment of integrity, open communication, work life balance, and career development. We are committed to investing in our employees by offering comprehensive health insurance options, a generous 401K plan, competitive salaries, continuous career growth opportunities, flexible schedules including remote work, mentoring and performance incentives.
 Arcarithm is currently seeking top talent in the areas of full stack software development, artificial intelligence, optimization, and data analytics. You will work in a dynamic and challenging environment alongside our customers which include Lockheed Martin, General Dynamics, Northrop Grumman, Raytheon, US Army, US Navy, US Air Force, the Missile Defense Agency, and NASA on cutting edge technologies including machine learning, augmented and virtual reality, big data analytics, and more!
 We are excited to continue to change and improve the world through innovation and technology!
Contact us today to hear more about Arcarithm and all we offer!
**Job Title: AI Engineer**
**Job Location: Huntsville, AL**
**Job Summary:**
The successful candidate will work as a team member to Develop and utilizes simulations and models. Evaluates tools, technologies, architectures, models, and test results. Heads meetings regarding AI with external parties and internal business\-embedded innovation teams. Collaborates with lead engineers to define subsystem requirements and acceptance criteria.
**Job Duties:**
* Support the Project Managers managing large and complex capital improvement projects in an assigned branch.
* Prepare and provide reports for that assist the Project Managers with tracking and control of the scope of work, resource utilization, schedules, and work accomplishments.
 The AI Engineer is responsible for designing, developing, testing, and maintaining artificial intelligence (AI) systems and applications. General responsibilities include:
* Designing and implementing machine learning models using various programming languages such as Python, R, Java, JavaScript or C\+\+.
* Collaborating with data scientists to develop algorithms for training AI models.
* Conducting research on new technologies in the field of AI and applying them to improve existing systems.
* Optimizing AI models for performance, scalability, and efficiency.
* Integrating AI solutions into various software applications or platforms.
* Collaborating with cross\-functional teams such as product managers, UX designers, and data analysts to ensure the successful deployment of AI projects.
* Ensuring that AI systems are secure, reliable, and adhere to ethical guidelines.
* Staying up\-to\-date on industry trends and best practices in AI development.
* Providing technical guidance and mentorship to junior engineers or interns.
* Documenting code, models, and processes for future reference and collaboration with other team members.
* Perform other related duties as required.
**Basic Qualifications:**
* BS Degree: AI Engineers candidates should hold a Bachelor's or Master's Degree in Computer Science, Electrical Engineering, Mathematics, Statistics, Robotics, Artificial Intelligence, Machine Learning, Data Science, or related technical field from an accredited university.
* 1 to 3 years of relevant experience or any equivalent combination of relevant education and experience.
* Current U. S. Citizenship is required.
* DoD Secret security clearance
* Strong written and verbal communication skills.
* Strong Microsoft Office skills.</t>
        </is>
      </c>
    </row>
    <row r="124">
      <c r="A124" t="inlineStr">
        <is>
          <t>in-0270ac4b349b6312</t>
        </is>
      </c>
      <c r="B124" t="inlineStr">
        <is>
          <t>Machine Learning Engineer</t>
        </is>
      </c>
      <c r="C124" t="inlineStr">
        <is>
          <t>SAP</t>
        </is>
      </c>
      <c r="D124" t="inlineStr">
        <is>
          <t>indeed</t>
        </is>
      </c>
      <c r="E124">
        <f>HYPERLINK("https://www.indeed.com/viewjob?jk=0270ac4b349b6312", "https://www.indeed.com/viewjob?jk=0270ac4b349b6312")</f>
        <v/>
      </c>
      <c r="F124">
        <f>HYPERLINK("https://jobs.sap.com/job/Palo-Alto-Machine-Learning-Engineer-CA-94304/1367477633/?feedId=118200&amp;utm_source=Indeed&amp;utm_campaign=SAP_Indeed", "https://jobs.sap.com/job/Palo-Alto-Machine-Learning-Engineer-CA-94304/1367477633/?feedId=118200&amp;utm_source=Indeed&amp;utm_campaign=SAP_Indeed")</f>
        <v/>
      </c>
      <c r="G124" t="inlineStr">
        <is>
          <t>Palo Alto, CA, US</t>
        </is>
      </c>
      <c r="H124" s="2" t="n">
        <v>46076</v>
      </c>
      <c r="I124"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do:**
Summary:
At SAP, we amplify the strength of AI technology, fusing it with our robust industry\-focused data and profound process knowledge. Our vision is to infuse every SAP application with sophisticated AI capabilities, revolutionizing the way businesses operate. Large Language Models (LLMs) hold immense potential to change the way we work and develop products. They are reshaping the landscape of Machine Learning across various domains. Our goal is to combine the power of LLMs with Knowledge Graphs for business AI problems in SAP applications.
We are building a nimble and versatile engineering team to empower our Data Scientists within the AI Foundations and Research team. This team will be responsible for developing cutting\-edge tools, providing development resources for proof\-of\-concept projects, and collaborating on groundbreaking Gen AI initiatives. Our ultimate objective is to expedite the development and implementation of innovative Gen AI features throughout SAP. Join us in this exciting journey of revolutionizing the future of AI!
As an ML Engineer on this team you will be responsible for helping to design and implement a variety of projects around the GenAI space.
The Role:
* Collaborate with the team to craft solutions to the many challenges facing our Data Scientist partners.
* Work closely with SAP data scientists to understand their projects and their needs.
* Follow and help define architectural / coding best practices and participate in software design and code reviews with the development team consisting of frontend\-, backend\-, full\-stack, Dev\-Ops and AI engineers.
* Support the product team with technical feasibility analysis, solution proposals, and ballpark effort estimations.
 **What you bring:**
Required:
* Bachelor, degree in Computer Science, Artificial Intelligence, or other relevant disciplines.
* Experience in developing data\-driven microservices, APIs, CI/CD pipelines, Data pipelines, TDD, hands\-on experience with docker containers and Kubernetes, familiar with one of the cloud providers.
* At least 3\+ years of professional experience as developer.
* Strong knowledge in Java, Python and NodeJs.
* Experience with Python in Linux\-based environments, Git, and ML frameworks (PyTorch/TensorFlow)
* Experience in data analysis and visualization and strong knowledge in SQL or Postgres.
* Ability to work in an agile environment using SCRUM methodology.
* Strong communication and collaboration skills, with the ability to work effectively in cross\-cultural teams.
Preferred:
* Experience in designing, developing, deploying, and testing multi\-tenant business applications in the cloud with a focus on backend infrastructure.
* Experience in developing data\-driven microservices, APIs, CI/CD pipelines, TDD, hands\-on experience with docker containers and Kubernetes, familiar with one of the cloud providers.
* Experience in data science or data engineering
* Knowledge about the SAP Business Technology Platform
* Familiarity with JSON, Git, docker, Kubernetes, AWS, GCP.
 **Meet your team:**
* The SAP's Business AI organization is dedicated to seamlessly infusing AI into all enterprise applications, enabling customers, partners, and developers to enhance business processes and generate remarkable business value. Join our international AI team where innovation thrives, opportunities for personal development abound, and exceptional colleagues collaborate globally.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122400 \- 208000(USD)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447793 \| Work Area: Software\-Design and Development \| Expected Travel: 0 \- 10% \| Career Status: Professional \| Employment Type: Regular Full Time \| Additional Locations: \#LI\-Hybrid</t>
        </is>
      </c>
    </row>
    <row r="125">
      <c r="A125" t="inlineStr">
        <is>
          <t>in-75b1040dc0689b71</t>
        </is>
      </c>
      <c r="B125" t="inlineStr">
        <is>
          <t>Principal Machine Learning Engineer</t>
        </is>
      </c>
      <c r="C125" t="inlineStr">
        <is>
          <t>SAP</t>
        </is>
      </c>
      <c r="D125" t="inlineStr">
        <is>
          <t>indeed</t>
        </is>
      </c>
      <c r="E125">
        <f>HYPERLINK("https://www.indeed.com/viewjob?jk=75b1040dc0689b71", "https://www.indeed.com/viewjob?jk=75b1040dc0689b71")</f>
        <v/>
      </c>
      <c r="F125">
        <f>HYPERLINK("https://jobs.sap.com/job/Palo-Alto-Principal-Machine-Learning-Engineer-CA-94304/1367478333/?feedId=118200&amp;utm_source=Indeed&amp;utm_campaign=SAP_Indeed", "https://jobs.sap.com/job/Palo-Alto-Principal-Machine-Learning-Engineer-CA-94304/1367478333/?feedId=118200&amp;utm_source=Indeed&amp;utm_campaign=SAP_Indeed")</f>
        <v/>
      </c>
      <c r="G125" t="inlineStr">
        <is>
          <t>Palo Alto, CA, US</t>
        </is>
      </c>
      <c r="H125" s="2" t="n">
        <v>46076</v>
      </c>
      <c r="I125"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do:**
Summary:
At SAP, we amplify the strength of AI technology, fusing it with our robust industry\-focused data and profound process knowledge. Our vision is to infuse every SAP application with sophisticated AI capabilities, revolutionizing the way businesses operate. Large Language Models (LLMs) hold immense potential to change the way we work and develop products. They are reshaping the landscape of Machine Learning across various domains. Our goal is to combine the power of LLMs with Knowledge Graphs for business AI problems in SAP applications.
We are building a nimble and versatile engineering team to empower our Data Scientists within the AI Foundations and Research team. This team will be responsible for developing cutting\-edge tools, providing development resources for proof\-of\-concept projects, and collaborating on groundbreaking Gen AI initiatives. Our ultimate objective is to expedite the development and implementation of innovative Gen AI features throughout SAP. Join us in this exciting journey of revolutionizing the future of AI!
As a Machine Learning Engineer Expert you will be responsible for guiding the team, providing direction and designs and support while also being a hands on developer.
The Role:
* Work closely with SAP data scientists to understand their projects and their needs.
* Create high level requirements and designs.
* Define and implement architectural / coding best practices and participate in software design and code reviews with the development team consisting of frontend\-, backend\-, full\-stack, Dev\-Ops and ML engineers.
* Guide developers while giving them space to learn and grow
* Support the product team with technical feasibility analysis, solution proposals, and ballpark effort estimations.
* Support customer workshops and engagements with holistic architecture and solution integration expertise
* Communicate with central architecture teams inside SAP for software design and integration tasks
* Stay on top of technology trends and actively participate in the SAP Expert community to share knowledge.
 **What you bring:**
Required:
* Bachelor, Master or Ph.D. degree in Computer Science, Artificial Intelligence, or other relevant disciplines.
* Proven experience in designing, developing, deploying, and testing multi\-tenant business applications in the cloud with a focus on backend infrastructure.
* Experience in developing data\-driven microservices, APIs, CI/CD pipelines, TDD, hands\-on experience with docker containers and Kubernetes, familiar with one of the cloud providers.
* At least 8\+ years of professional experience as developer.
* Proven ability to work in an agile environment using SCRUM methodology
* Strong communication and collaboration skills, with the ability to work effectively in cross\-cultural teams.
Preferred:
* Experience in designing, developing, deploying, and testing multi\-tenant business applications in the cloud with a focus on backend infrastructure.
* Experience in developing data\-driven microservices, APIs, CI/CD pipelines, TDD, hands\-on experience with docker containers and Kubernetes, familiar with one of the cloud providers.
* Experience in data science or data engineering
* Knowledge about the SAP Business Technology Platform
* Familiarity with JSON, Git, docker, Kubernetes, AWS, GCP.
 **Meet your team:**
* The SAP's Business AI organization is dedicated to seamlessly infusing AI into all enterprise applications, enabling customers, partners, and developers to enhance business processes and generate remarkable business value. Join our international AI team where innovation thrives, opportunities for personal development abound, and exceptional colleagues collaborate globally.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247000 \- 420000(USD)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447794 \| Work Area: Software\-Design and Development \| Expected Travel: 0 \- 10% \| Career Status: Professional \| Employment Type: Regular Full Time \| Additional Locations: \#LI\-Hybrid</t>
        </is>
      </c>
    </row>
    <row r="126">
      <c r="A126" t="inlineStr">
        <is>
          <t>in-2e29df47a48a09ab</t>
        </is>
      </c>
      <c r="B126" t="inlineStr">
        <is>
          <t>AI/ML Engineer</t>
        </is>
      </c>
      <c r="C126" t="inlineStr">
        <is>
          <t>KBR</t>
        </is>
      </c>
      <c r="D126" t="inlineStr">
        <is>
          <t>indeed</t>
        </is>
      </c>
      <c r="E126">
        <f>HYPERLINK("https://www.indeed.com/viewjob?jk=2e29df47a48a09ab", "https://www.indeed.com/viewjob?jk=2e29df47a48a09ab")</f>
        <v/>
      </c>
      <c r="F126">
        <f>HYPERLINK("https://careers.kbr.com/us/en/job/R2119522", "https://careers.kbr.com/us/en/job/R2119522")</f>
        <v/>
      </c>
      <c r="G126" t="inlineStr">
        <is>
          <t>Lexington Park, MD, US</t>
        </is>
      </c>
      <c r="H126" s="2" t="n">
        <v>46076</v>
      </c>
      <c r="I126" t="inlineStr">
        <is>
          <t>KBR’s Advanced Analytics and Cloud Program is seeking a **AI/ML Engineer \- Data Scientist** in **Fort Belvoir, VA** to support the Defense Technical Information Center (DTIC) on initiatives advancing knowledge graph engineering, retrieval\-augmented generation (RAG), GraphRAG, and AI/ML\-driven data discovery. This role is ideal for someone passionate about building cutting\-edge analytics capabilities for Department of War missions. As part of a multidisciplinary team of AI engineers, developers, and data scientists, you will collaborate directly with government stakeholders to design, prototype, and implement solutions using modern graph technologies, embeddings, and machine learning methods. Your work will shape the next generation of intelligent information systems across DoW environments.
**Roles \&amp; Responsibilities**
* Develop, optimize, and maintain knowledge graphs, ontologies, and graph\-based data pipelines.
* Build and deploy RAG and GraphRAG solutions enabling advanced semantic search and intelligent retrieval.
* Design and generate vector embeddings supporting entity linking, document similarity, and data enrichment.
* Conduct exploratory data analysis, model development, evaluation, and tuning.
* Work with government stakeholders to capture requirements and translate them into technical solutions.
* Contribute to the development of advanced AI/ML prototypes leveraging DoD data.
* Collaborate with cloud engineers, software developers, and fellow data scientists in an Agile environment.
* Prepare clear technical documentation, presentations, and demonstrations of analytics capabilities.
**Basic Qualifications**
* **Active SECRET clearance** (U.S. citizenship required; no visa sponsorship available).
* Bachelors degree in a technical field (Computer Science, Data Science, Engineering, Mathematics, etc.).
* 3\+ years of experience
* Security\+ Certification
* Experience with Bibliometric Analysis System \&amp; Research Organization Registrys (ROR)
* Experience with: Knowledge graphs (e.g., Neo4j, RDF, SPARQL, Property Graphs), RAG frameworks (ex: GraphRAG workflows, or LLM\-augmented semantic retrieval), Embeddings (e.g., sentence transformers, vector search, FAISS, Pinecone, Milvus)
* Proficiency with Python and common ML/AI libraries (e.g., PyTorch, TensorFlow, scikit\-learn).
* Experience developing APIs and integrating AI/ML solutions into operational systems.
**Preferred Quals**
* Experience supporting DoD, DTIC, or other government research/data missions
* Knowledge of cloud environments (AWS, Azure, or GovCloud)
* Familiarity with LLM\-based architectures, vector databases (FAISS, Pinecone, Milvus), or semantic search systems
* Experience with big data or distributed processing frameworks (Spark, Ray, Databricks)
* Background in NLP, document intelligence, information retrieval, or knowledge engineering
* Experience working in Agile or cross\-functional technical teams
* Master’s degree or higher in a relevant technical field
KBR may offer bonuses, commissions, or other forms of compensation to certain job titles or levels, per internal policy or contractual designation. Additional compensation may be in the form of sign on bonus, relocation benefits, short term incentives, long term incentives, or discretionary payments for exceptional performance.
**Benefits:** KBR offers a selection of competitive lifestyle benefits which could include a 401K plan with company match, medical, dental, vision, life insurance, AD\&amp;D, flexible spending account, disability, paid time off, or flexible work schedule. We support career advancement through professional training and development.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127">
      <c r="A127" t="inlineStr">
        <is>
          <t>in-d6082f020885d6fa</t>
        </is>
      </c>
      <c r="B127" t="inlineStr">
        <is>
          <t>Applied Scientist II</t>
        </is>
      </c>
      <c r="C127" t="inlineStr">
        <is>
          <t>Uber</t>
        </is>
      </c>
      <c r="D127" t="inlineStr">
        <is>
          <t>indeed</t>
        </is>
      </c>
      <c r="E127">
        <f>HYPERLINK("https://www.indeed.com/viewjob?jk=d6082f020885d6fa", "https://www.indeed.com/viewjob?jk=d6082f020885d6fa")</f>
        <v/>
      </c>
      <c r="F127">
        <f>HYPERLINK("https://tnl2.jometer.com/v2/job?jz=5wqzsd9c72fb54141089799134a2aeb990972KIAAKAAAAABQ&amp;iis=Job%20Board%20-%20Recruitment%20Marketing&amp;iisn=Indeed%20Organic", "https://tnl2.jometer.com/v2/job?jz=5wqzsd9c72fb54141089799134a2aeb990972KIAAKAAAAABQ&amp;iis=Job%20Board%20-%20Recruitment%20Marketing&amp;iisn=Indeed%20Organic")</f>
        <v/>
      </c>
      <c r="G127" t="inlineStr">
        <is>
          <t>New York, NY, US</t>
        </is>
      </c>
      <c r="H127" s="2" t="n">
        <v>46076</v>
      </c>
      <c r="I127" t="inlineStr">
        <is>
          <t>**About the Role**
This role is for the Brand Marketing Science team as an Applied Scientist. In this role, you will bridge the gap between complex data science and global business strategy, providing the measurement and optimization frameworks necessary to scale the Uber brand worldwide.
You will collaborate within a cross\-functional team\-partnering with Marketing, Research, Media, and Creative teams\-to transform data into actionable strategic insights. This is an opportunity to shape the future of how Uber communicates with its audience.
**Problems We Are Solving**  
* Long\-Term Quantification: How do we accurately isolate and quantify the multi\-year impact of brand\-building efforts on business health?
* Difficult\-to\-Measure Spaces: How can we apply scientific rigor to "black box" marketing channels like influencers, podcasts, and linear TV?
Geospatial Media Impact: What is the true incremental lift of high\-visibility media (e.g., billboards, airport takeovers) across varying suburban and urban contexts?  
* 
Ideal candidate combines deep technical expertise in experimentation, econometrics, and inference with the business acumen to align scientific roadmaps with top\-tier priorities.
**What the Candidate Will Need / Bonus Points**
\- What the Candidate Will Do \-  
* Develop and apply statistical and causal inference models to estimate the impact of marketing across various channels, markets, and test designs.
* Design custom tests and analyze results from complex experiments, including multi\-cell, market\-level (geo\-testing), and longitudinal designs.
* Contribute to foundational modeling efforts, such as hierarchical smoothing, aggregation across disparate tests, and developing robust methods for handling low\-signal or sparse data.
* Work closely with media, research, and marketing teams to develop actionable customer insights and inform campaign improvements throughout the course of the lifecycle by identifying optimization opportunities for creative and media teams.
* Design measurement frameworks for "hard\-to\-measure" spaces, developing scientific proxies for channels like influencers, podcasts, and linear TV.
* Evaluate and validate third\-party measurement vendors, ensuring their methodologies (e.g., natural, simulated, or forced exposure) meet Uber's internal standards for statistical rigor and representativeness.
\- Basic Qualifications \-  
* Bachelor's degree or higher in a quantitative field such as Statistics, Economics, Mathematics, Computer Science, or a related discipline.
* 2\+ years of experience applying statistical and causal inference methods to real\-world data in an applied setting.
* Strong foundation in statistical modeling, hypothesis testing, and experimental design, including A/B testing and synthetic control methods.
* Hands\-on experience designing, analyzing, and interpreting experiments, including evaluation of uncertainty, limitations, and tradeoffs.
* Proficiency in Python or R and SQL
* Ability to clearly communicate analytical insights to technical and non\-technical stakeholders and collaborate effectively in cross\-functional teams.
* Demonstrated ability to collaborate effectively in cross\-functional, fast\-moving environments.
* Curiosity and learning mindset, with demonstrated ability to ramp quickly on new domains, tools, or methodologies.
\- Preferred Qualifications \-  
* Bachelor's, Master's or PhD in a quantitative discipline (e.g., Statistics, Economics, Mathematics, Physics), or equivalent applied industry experience.
* Experience with advanced statistical or modeling techniques such as hierarchical / multi\-level models, time\-series analysis, or meta\-analysis.
* Experience with incrementality testing, geo\-experiments, or marketing measurement use cases (e.g., attribution, MMM, or related frameworks).
* Familiarity with marketing investment concepts such as elasticity, budget allocation, or cross\-channel tradeoffs.
Ability to independently drive scoped projects end\-to\-end with guidance, and operate effectively in ambiguous or evolving problem spaces.  
* 
For New York, NY\-based roles: The base salary range for this role is USD$161,000 per year \- USD$179,000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28">
      <c r="A128" t="inlineStr">
        <is>
          <t>in-c44f6e27671d0751</t>
        </is>
      </c>
      <c r="B128" t="inlineStr">
        <is>
          <t>Applied Scientist II</t>
        </is>
      </c>
      <c r="C128" t="inlineStr">
        <is>
          <t>Coalition Inc.</t>
        </is>
      </c>
      <c r="D128" t="inlineStr">
        <is>
          <t>indeed</t>
        </is>
      </c>
      <c r="E128">
        <f>HYPERLINK("https://www.indeed.com/viewjob?jk=c44f6e27671d0751", "https://www.indeed.com/viewjob?jk=c44f6e27671d0751")</f>
        <v/>
      </c>
      <c r="F128">
        <f>HYPERLINK("https://grnh.se/otkcrn7p5us", "https://grnh.se/otkcrn7p5us")</f>
        <v/>
      </c>
      <c r="G128" t="inlineStr">
        <is>
          <t>Austin, TX, US</t>
        </is>
      </c>
      <c r="H128" s="2" t="n">
        <v>46076</v>
      </c>
      <c r="I128" t="inlineStr">
        <is>
          <t>#### **About us**
Coalition is the world's first Active Insurance provider designed to help prevent digital risk before it strikes. Founded in 2017, Coalition combines comprehensive insurance coverage and innovative cybersecurity tools to help businesses manage and mitigate potential cyberattacks.
Opportunities to make an impact with bold thinking are real—and happening daily at Coalition.
#### **About the role**
We are hiring an Applied Scientist II to build and improve the machine learning and GenAI models that power our underwriting decisions. You will take ownership of high\-impact modeling problems end\-to\-end. This includes framing and data exploration through model design, evaluation, deployment, and monitoring, directly influencing how we assess and price cyber risk.
You'll work closely with underwriters, product managers, and engineers to design robust pipelines, experiment with state\-of\-the\-art ML/GenAI techniques, and ship models that meaningfully move business metrics. Your work will turn complex insurance and security signals into reliable decisioning systems, helping Coalition write better business at scale while pushing the frontier of AI in underwriting.
#### **Responsibilities**
* Build and advance our most sensitive and business\-critical ML and GenAI models that power underwriting decisions and risk selection.
* Drive and execute ML projects end\-to\-end: problem framing, data exploration, feature engineering, model design, prototyping, offline/online evaluation, deployment, and monitoring.
* Design and implement ML pipelines for data preprocessing, feature engineering, model training, hyperparameter tuning, and model evaluation, enabling rapid and reproducible experimentation.
* Apply state\-of\-the\-art ML and GenAI workflows (e.g., gradient\-boosted trees, deep learning, LLMs, prompt engineering, transfer learning) to improve underwriting accuracy, automation, and decision support.
* Own model quality and robustness by defining success metrics, running ablations and diagnostics, and iterating to outperform prior baselines.
* Survey and incorporate recent advances in ML/GenAI research into our core underwriting capabilities, balancing scientific rigor with practical constraints.
* Collaborate closely with underwriters, product, data, and engineering partners to clarify requirements, align on tradeoffs, and ensure models integrate cleanly into production workflows.
* Communicate methods and results clearly through documentation, presentations, and design reviews; share learnings and patterns that level up the broader team.
* Contribute to a culture of scientific and data excellence by bringing mature empathy, best practices, and lightweight processes to experimentation, code review, and model governance.
#### **Skills and Qualifications**
* Ph.D. or MS in a quantitative or computational field (e.g., Computer Science, Statistics, Applied Math, Electrical Engineering) or equivalent practical experience.
* 5\+ years of full\-time experience developing and deploying ML\- and data\-based solutions in production.
* Practical, hands\-on experience with supervised and unsupervised learning methods, including model selection, regularization, and calibration.
* Expertise in statistical analysis methods, especially regression analysis, statistical inference, and forecasting / time\-series methods.
* Strong proficiency in Python and core ML libraries (e.g., scikit\-learn, XGBoost/LightGBM, PyTorch/TensorFlow) and SQL for working with large, messy datasets.
* Experience with experiment design and evaluation (e.g., A/B tests, offline metrics vs. online KPIs, guardrails) and with ensuring reproducible results.
* Comfortable and effective in ambiguous problem spaces; demonstrated ability to own and drive projects with minimal oversight and process.
* Exceptional written and oral communication skills, with the ability to explain complex modeling choices and tradeoffs to technical and non\-technical stakeholders.
* Minimum 1\+ year of experience in insurance underwriting modeling (pricing, risk scoring, eligibility, or related applications).
#### **Bonus Points**
* Experience with modern GenAI techniques relevant to underwriting (e.g., using LLMs for document understanding, unstructured\-to\-structured extraction, or underwriter copilot workflows).
* Familiarity with model governance in regulated environments, including documentation, validation, monitoring, and change management.
* Experience with ML orchestration and MLOps tools (e.g., Airflow, Prefect, MLflow, SageMaker) for managing training, deployment, and monitoring at scale.
* Exposure to causal inference or uplift modeling for understanding the impact of underwriting or guideline changes.
* Experience working with cyber or P\&amp;C insurance data (exposures, limits, deductibles, claims, external risk signals).
#### **Compensation**
Our compensation reflects the cost of labor across several US geographic markets. The US base salary for this position ranges from $115,900/year in our lowest geographic market up to $155,250/year in our highest geographic market. Consistent with applicable laws, an employee's pay within this range is based on a number of factors, which include but are not limited to relevant education, skills, job\-related knowledge, qualifications, work experience, credentials, and/or geographic location. Your recruiter can share more on target salary for your location during the interview process. Coalition, Inc. reserves the right to modify this range as needed.
#### **Perks**
* 100% medical, dental and vision coverage
* Flexible PTO policy
* Annual home office stipend and WeWork access
* Mental \&amp; physical health wellness programs (One Medical, Headspace, Wellhub, and more)!
* Competitive compensation and opportunity for advancement
#### **Why Coalition?**
Work at Coalition is centered on the joint mission to Protect the Unprotected. We have built a remote\-first, highly inclusive culture that welcomes people from diverse backgrounds. We trust each other to take responsibility, share ownership of outcomes, and put in the work together to protect businesses from digital risk. Coalition's exceptional growth stems from its ability to address real\-world problems for organizations of all sizes while remaining true to our founding values of character, humility, responsibility, purpose, authenticity, and inclusion.
We're always looking for collaborative, inquisitive individuals to join \#OurCoalition.
Visit our Newsroom \&gt;
#### **Privacy Notice**
Coalition is committed to protecting your privacy and handling your personal information responsibly. We collect, use, and store personal information as necessary for the recruitment process and in compliance with applicable privacy laws and regulations in all regions where we operate. We want you to understand what personal information we collect, how we use it, and your rights regarding access, correction, and deletion of your data where applicable. Information submitted, collected, and processed as part of your application is subject to Coalition's Privacy Policy. For further details, please review our full Privacy Policy or contact us with any questions regarding how your information is handled.
Our Privacy Policy \&gt;
#### **Safe Hiring Notice**
All legitimate communication from Coalition comes from @coalitioninc.com emails, and open roles are listed only on our Careers page. We never ask for payment, banking details, or personal identification before an offer is accepted through our secure systems. If you believe you've been a victim of fraudulent recruiting, follow guidance from the Federal Trade Commission (FTC).
#### **Anti\-Discrimination Notice**
Coalition is proud to be an Equal Opportunity employer. Our policy is to provide equal employment opportunities to all individuals, without discrimination or harassment on the basis of any characteristic protected by applicable laws in each country where we operate. This commitment includes, but is not limited to, ensuring equal treatment in recruitment, selection, training, promotion, transfer, compensation, and all other aspects of employment. Coalition does not tolerate discrimination or harassment of any kind, and we are dedicated to fostering an inclusive and supportive workplace.
#### **Accommodations**
Coalition is committed to providing reasonable accommodations to qualified individuals with disabilities, including applicants and employees, in accordance with applicable laws and regulations in each country where we operate. Our policy is to support equal opportunity in the hiring process by considering qualified applicants regardless of disability or other protected characteristics, unless providing accommodation would impose an undue hardship or disproportionate burden. If you require accommodation to complete an application, interview, pre\-employment testing, or participate in the selection process, please contact us at candidateaccommodations@coalitioninc.com. We also consider all qualified applicants, including those with criminal histories, in line with applicable laws and regulations in each jurisdiction.
**To all recruitment agencies:** Coalition does not accept unsolicited agency resumes. Do not forward resumes to our email alias, employees, or other physical or virtual organization locations. Coalition is not responsible for any fees related to unsolicited resumes.</t>
        </is>
      </c>
    </row>
    <row r="129">
      <c r="A129" t="inlineStr">
        <is>
          <t>in-6c988cf5e8e74111</t>
        </is>
      </c>
      <c r="B129" t="inlineStr">
        <is>
          <t>Machine Learning Engineer III - Generative AI - Windreich Department of Artificial Intelligence &amp; Human Health Research</t>
        </is>
      </c>
      <c r="C129" t="inlineStr">
        <is>
          <t>Mount Sinai Health System</t>
        </is>
      </c>
      <c r="D129" t="inlineStr">
        <is>
          <t>indeed</t>
        </is>
      </c>
      <c r="E129">
        <f>HYPERLINK("https://www.indeed.com/viewjob?jk=6c988cf5e8e74111", "https://www.indeed.com/viewjob?jk=6c988cf5e8e74111")</f>
        <v/>
      </c>
      <c r="F129">
        <f>HYPERLINK("https://careers.mountsinai.org/jobs/3035197?lang=en-us&amp;src=JB-10100", "https://careers.mountsinai.org/jobs/3035197?lang=en-us&amp;src=JB-10100")</f>
        <v/>
      </c>
      <c r="G129" t="inlineStr">
        <is>
          <t>New York, NY, US</t>
        </is>
      </c>
      <c r="H129" s="2" t="n">
        <v>46076</v>
      </c>
      <c r="I129" t="inlineStr">
        <is>
          <t>**Description**
The Windreich Department of AI \&amp; Human Health is rapidly advancing the use of technology to improve health outcomes and is at the forefront of AI implementation within the Mount Sinai Health.
Machine Learning Engineer III will oversee the design and development of sophisticated machine learning systems. They will collaborate closely with cross\-functional teams to drive innovation and ensure the successful implementation of machine learning solutions.
 **Responsibilities****End\-to\-End System Responsibility:**
* Assume complete ownership of the entire machine learning system development process.
* Coordinate closely with other team members and other engineering teams to ensure seamless integration and alignment with broader organizational goals and workflows.
* Lead the collaborative efforts with cross\-functional teams, including data scientists and product managers, to ensure the successful deployment and robust maintenance of machine learning models.
* Oversee the continuous monitoring and timely updating of deployed models to guarantee enduring performance and reliability.
**Technical Leadership:**
* Exhibit technical leadership and mentorship to Machine Learning Engineer I, II, and other team members.
* Encourage knowledge exchange and promote professional growth within the team.
* Establish and enforce best practices for machine learning system development, including coding standards, code reviews, and comprehensive documentation.
* Serve as the primary contact for technical inquiries related to machine learning within the team, providing expert guidance and solutions.
**Problem\-Solving:**
* Utilize advanced problem\-solving skills to navigate and resolve complex technical challenges and obstacles.
* Foster a collaborative environment for brainstorming and implementing effective solutions with the team and other departments.
**Research and Development:**
* Remain up\-to\-date with the latest advancements and trends in the fields of software engineering and machine learning.
* Conduct proactive research to uncover new methods and techniques applicable to future projects.
* Lead initiatives to explore, test, and implement new technologies and frameworks, ensuring the team is always at the forefront of industry innovations.
**Collaboration and Communication:**
* Engage in effective communication and collaboration across various teams within the organization to ensure alignment and coordination in the execution of machine learning projects.
* Facilitate transparent and timely communication with all relevant stakeholders, ensuring that all are kept informed of project statuses, challenges, and achievements.
* Work collaboratively with cross\-functional teams, fostering a cooperative environment for the seamless integration of machine learning systems into diverse organizational processes and workflows.
* Contribute to building strong interdepartmental relationships, enabling the efficient exchange of knowledge and expertise, and ensuring the successful realization of machine learning initiatives.
**Additional Responsibilities:**
* Develop and maintain project work plans, including critical tasks, milestones, timelines, interdependencies, and contingencies. Tracks and reports progress. Keeps stakeholders apprised of project status and implications for completion.
* Prepare clear, well\-organized project\-specific documentation, including, at a minimum, analytic methods used, key decision points and caveats, with sufficient detail to support comprehension and replication.
* Mentor other analysts on how to a) determine appropriate statistical analysis methods, b) leverage appropriate programing languages and tools, and c) generate and interpret statistical analysis outputs.
* Share development and process knowledge with other analysts in order to assure redundancy and continuously builds a core of analytical strength within the organization.
* Adheres to corporate standards for performance metrics, data collection, data integrity, query design, and reporting format to ensure high quality, meaningful analytic output.
* Works closely with IT on the ongoing improvement of Mount Sinai’s integrated data warehouse, driven by strategic and business needs, and designed to ensure data and reporting consistency throughout the organization.
* Demonstrates advanced level proficiency with the principles and methodologies of process improvement. Applies these in the execution of responsibilities in support of a process focused approach.
* Other duties as assigned.
**Qualifications*** Bachelor’s degree in Computer Science, Data Science, or a related field.
* 4\+ years of relevant experience in machine learning and back\-end software development.
* Demonstrated end\-to\-end machine learning system development and operation experience, covering the complete Software Development Life Cycle (SDLC).
* Proficiency in multiple programming languages and machine learning frameworks and tools.
* Solid experience with both SQL and NoSQL databases.
* Extensive experience with Big Data technologies like Apache Spark.
* Hands\-on experience in Unix environments.
* Practical knowledge and experience with at least one cloud system among AWS, Azure, or Google Cloud.
* Familiarity with continuous development and integration systems such as Jenkins, Git, Azure DevOps, and Terraform.
* A proven history in developing, deploying, and operating efficient and reliable machine learning systems.
* Strong leadership and effective communication skills to facilitate cross\-functional collaboration throughout the organization.
* Experience in providing mentorship
 **Employer Description****Strength through Unity and Inclusion**
The Mount Sinai Health System is committed to fostering an environment where everyone can contribute to excellence. We share a common dedication to delivering outstanding patient care. When you join us, you become part of Mount Sinai’s unparalleled legacy of achievement, education, and innovation as we work together to transform healthcare. We encourage all team members to actively participate in creating a culture that ensures fair access to opportunities, promotes inclusive practices, and supports the success of every individual.
At Mount Sinai, our leaders are committed to fostering a workplace where all employees feel valued, respected, and empowered to grow. We strive to create an environment where collaboration, fairness, and continuous learning drive positive change, improving the well\-being of our staff, patients, and organization. Our leaders are expected to challenge outdated practices, promote a culture of respect, and work toward meaningful improvements that enhance patient care and workplace experiences. We are dedicated to building a supportive and welcoming environment where everyone has the opportunity to thrive and advance professionally. Explore this opportunity and be part of the next chapter in our history.
**About the Mount Sinai Health System:**
Mount Sinai Health System is one of the largest academic medical systems in the New York metro area, with more than 48,000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 medical and emotional needs at the center of all treatment. The Health System includes more than 9,000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top 5 in Cardiology/Heart Surgery, and top 20 in Diabetes/Endocrinology, Gastroenterology/GI Surgery, Neurology/Neurosurgery, Orthopedics, Pulmonology/Lung Surgery, Rehabilitation, and Urology. New York Eye and Ear Infirmary of Mount Sinai is ranked No. 12 in Ophthalmology. U.S. News \&amp; World Report’s “Best Children’s Hospitals” ranks Mount Sinai Kravis Children's Hospital among the country’s best in several pediatric specialties. The Icahn School of Medicine at Mount Sinai is ranked No. 11 nationwide in National Institutes of Health funding and in the 99th percentile in research dollars per investigator according to the Association of American Medical Colleges. Newsweek’s “The World’s Best Smart Hospitals” ranks The Mount Sinai Hospital as No. 1 in New York and in the top five globally, and Mount Sinai Morningside in the top 20 globally.
**Equal Opportunity Employer**
The Mount Sinai Health System is an equal opportunity employer, complying with all applicable federal civil rights laws. We do not discriminate, exclude, or treat individuals differently based on race, color, national origin, age, religion, disability, sex, sexual orientation, gender, veteran status, or any other characteristic protected by law. We are deeply committed to fostering an environment where all faculty, staff, students, trainees, patients, visitors, and the communities we serve feel respected and supported. Our goal is to create a healthcare and learning institution that actively works to remove barriers, address challenges, and promote fairness in all aspects of our organization.
 **Compensation**
The Mount Sinai Health System (MSHS) provides salary ranges that comply with the New York City Law on Salary Transparency in Job Advertisements. The salary range for the role is $132000 \- $198065 Annually. Actual salaries depend on a variety of factors, including experience, education, and operational need. The salary range or contractual rate listed does not include bonuses/incentive, differential pay or other forms of compensation or benefits.</t>
        </is>
      </c>
    </row>
    <row r="130">
      <c r="A130" t="inlineStr">
        <is>
          <t>in-92e67732b8017d7e</t>
        </is>
      </c>
      <c r="B130" t="inlineStr">
        <is>
          <t>Identity AI / ML Engineer</t>
        </is>
      </c>
      <c r="C130" t="inlineStr">
        <is>
          <t>Openkyber</t>
        </is>
      </c>
      <c r="D130" t="inlineStr">
        <is>
          <t>indeed</t>
        </is>
      </c>
      <c r="E130">
        <f>HYPERLINK("https://www.indeed.com/viewjob?jk=92e67732b8017d7e", "https://www.indeed.com/viewjob?jk=92e67732b8017d7e")</f>
        <v/>
      </c>
      <c r="F130">
        <f>HYPERLINK("https://candidateportalnew.ceipal.com/job-details/YWJoOobArBdDMmBK5OCsPWBxjudmUp9mpA9SNxwqndM#.job_boards.Indeed", "https://candidateportalnew.ceipal.com/job-details/YWJoOobArBdDMmBK5OCsPWBxjudmUp9mpA9SNxwqndM#.job_boards.Indeed")</f>
        <v/>
      </c>
      <c r="G130" t="inlineStr">
        <is>
          <t>AK, US</t>
        </is>
      </c>
      <c r="H130" s="2" t="n">
        <v>46076</v>
      </c>
      <c r="I130" t="inlineStr">
        <is>
          <t>**Job Summary** We are seeking an experienced AI Solutions Architect to design and deliver scalable, enterprise\-grade AI and machine learning solutions. The ideal candidate will bridge business objectives with advanced AI technologies, architecting robust systems that leverage data, automation, and intelligent decision\-making capabilities.
**Key Responsibilities**
* Design end\-to\-end AI/ML architectures for enterprise applications
* Lead solution design for predictive analytics, NLP, computer vision, or generative AI use cases
* Architect scalable AI platforms on cloud environments (AWS, Azure, or Google Cloud Platform)
* Define data pipelines, model lifecycle management, and deployment strategies
* Integrate AI solutions into existing enterprise systems (ERP, CRM, APIs, etc.)
* Ensure model governance, explainability, monitoring, and compliance
* Evaluate and select AI tools, frameworks, and platforms
* Collaborate with data scientists, engineers, product teams, and business stakeholders
* Provide technical leadership and best practices guidance
**Required Qualifications**
* Bachelor's or Master's degree in Computer Science, AI, Data Science, or related field
* 8\+ years of IT experience with 3 5\+ years in AI/ML architecture roles
* Strong experience with ML frameworks (TensorFlow, PyTorch, Scikit\-learn)
* Experience designing and deploying AI solutions in cloud environments
* Hands\-on experience with data engineering and large\-scale data processing
* Experience with API\-driven architectures and microservices
* Strong understanding of MLOps and model lifecycle management
* Excellent stakeholder communication and architectural documentation skills
**For applications and inquiries, contact:** hirings@openkyber.com</t>
        </is>
      </c>
    </row>
    <row r="131">
      <c r="A131" t="inlineStr">
        <is>
          <t>in-21d02cf905324c4e</t>
        </is>
      </c>
      <c r="B131" t="inlineStr">
        <is>
          <t>Identity AI / ML Engineer</t>
        </is>
      </c>
      <c r="C131" t="inlineStr">
        <is>
          <t>Openkyber</t>
        </is>
      </c>
      <c r="D131" t="inlineStr">
        <is>
          <t>indeed</t>
        </is>
      </c>
      <c r="E131">
        <f>HYPERLINK("https://www.indeed.com/viewjob?jk=21d02cf905324c4e", "https://www.indeed.com/viewjob?jk=21d02cf905324c4e")</f>
        <v/>
      </c>
      <c r="F131">
        <f>HYPERLINK("https://candidateportalnew.ceipal.com/job-details/2uDCQ1PpJERJbFVW2ToznmrOIJSC3wyAYbsf4aocQ_k#.job_boards.Indeed", "https://candidateportalnew.ceipal.com/job-details/2uDCQ1PpJERJbFVW2ToznmrOIJSC3wyAYbsf4aocQ_k#.job_boards.Indeed")</f>
        <v/>
      </c>
      <c r="G131" t="inlineStr">
        <is>
          <t>AK, US</t>
        </is>
      </c>
      <c r="H131" s="2" t="n">
        <v>46076</v>
      </c>
      <c r="I131" t="inlineStr">
        <is>
          <t>**AI/ML Architect Plano, TX (Hybrid):** An AI/ML Architect designs and leads the development of artificial intelligence and machine learning solutions that align with business objectives. This role involves creating scalable AI/ML architectures, selecting appropriate algorithms and technologies, and guiding data science and engineering teams to deliver impactful AI\-driven products.  
The opportunity: Hybrid: In office Design end\-to\-end AI and machine learning system architectures, including data pipelines, model development, deployment, and monitoring.  
Collaborate with business stakeholders to understand requirements and translate them into technical AI/ML solutions.  
Evaluate and select appropriate AI/ML frameworks, tools, and platforms.  
Define best practices and standards for AI/ML model development, testing, and deployment.  
Lead and mentor data scientists, ML engineers, and software developers in implementing AI solutions.  
Ensure AI/ML systems are scalable, secure, and maintainable.  
Oversee integration of AI/ML models with existing IT infrastructure and applications.  
This position description identifies the responsibilities and tasks typically associated with the performance of the position. Other relevant essential functions may be required.  
**What you need: Required Skills and Qualifications:** Bachelor's or master s degree in computer science, Data Science, Artificial Intelligence, or related field.  
Proven experience as an AI/ML Architect, Data Scientist, or Machine Learning Engineer.  
Strong expertise in machine learning algorithms, deep learning, natural language processing, and computer vision.  
Proficiency with AI/ML frameworks and libraries such as TensorFlow, PyTorch, Scikit\-learn, or similar.  
Experience with cloud AI/ML services (AWS SageMaker, Google AI Platform, Azure ML).  
Knowledge of data engineering, big data technologies, and data pipeline design.  
Strong programming skills in Python, R, or Java.  
Familiarity with containerization (Docker, Kubernetes) and CI/CD for ML workflows.
**For applications and inquiries, contact:** hirings@openkyber.com</t>
        </is>
      </c>
    </row>
    <row r="132">
      <c r="A132" t="inlineStr">
        <is>
          <t>in-fbfbe41c575f4d54</t>
        </is>
      </c>
      <c r="B132" t="inlineStr">
        <is>
          <t>Identity AI / ML Engineer</t>
        </is>
      </c>
      <c r="C132" t="inlineStr">
        <is>
          <t>Openkyber</t>
        </is>
      </c>
      <c r="D132" t="inlineStr">
        <is>
          <t>indeed</t>
        </is>
      </c>
      <c r="E132">
        <f>HYPERLINK("https://www.indeed.com/viewjob?jk=fbfbe41c575f4d54", "https://www.indeed.com/viewjob?jk=fbfbe41c575f4d54")</f>
        <v/>
      </c>
      <c r="F132">
        <f>HYPERLINK("https://candidateportalnew.ceipal.com/job-details/2KPtfM1yX1pJvfKAghbV0K7d_GD_6Nb_h19TFJVkzws#.job_boards.Indeed", "https://candidateportalnew.ceipal.com/job-details/2KPtfM1yX1pJvfKAghbV0K7d_GD_6Nb_h19TFJVkzws#.job_boards.Indeed")</f>
        <v/>
      </c>
      <c r="G132" t="inlineStr">
        <is>
          <t>AK, US</t>
        </is>
      </c>
      <c r="H132" s="2" t="n">
        <v>46076</v>
      </c>
      <c r="I132" t="inlineStr">
        <is>
          <t>**Role: AI/ML Architect (21517\-1\)**  
**Location:** Plano, TX (Hybrid)  
**Duration:** 12\+ Months  
**Requirements:**
Job Description Position Overview: An AI/ML Architect designs and leads the development of artificial intelligence and machine learning solutions that align with business objectives. This role involves creating scalable AI/ML architectures, selecting appropriate algorithms and technologies, and guiding data science and engineering teams to deliver impactful AI\-driven products.
**Responsibilities :**
* Design end\-to\-end AI and machine learning system architectures, including data pipelines, model development, deployment, and monitoring.
* Collaborate with business stakeholders to understand requirements and translate them into technical AI/ML solutions.
* Evaluate and select appropriate AI/ML frameworks, tools, and platforms.
* Define best practices and standards for AI/ML model development, testing, and deployment.
* Lead and mentor data scientists, ML engineers, and software developers in implementing AI solutions.
* Ensure AI/ML systems are scalable, secure, and maintainable.
* Oversee integration of AI/ML models with existing IT infrastructure and applications.
* Monitor model performance and implement strategies for continuous improvement and retraining.
* Stay updated on the latest AI/ML research, tools, and industry trends to drive innovation.
* Manage technical risks and troubleshoot complex AI/ML system issues.
**Requirements:**
* Bachelor s or master s degree in computer science, Data Science, Artificial Intelligence, or related field.
* Proven experience as an AI/ML Architect, Data Scientist, or Machine Learning Engineer.
* Strong expertise in machine learning algorithms, deep learning, natural language processing, and computer vision.
* Proficiency with AI/ML frameworks and libraries such as TensorFlow, PyTorch, Scikit\-learn, or similar.
* Experience with cloud AI/ML services (AWS SageMaker, Google AI Platform, Azure ML).
* Knowledge of data engineering, big data technologies, and data pipeline design.
* Strong programming skills in Python, R, or Java.
* Familiarity with containerization (Docker, Kubernetes) and CI/CD for ML workflows.
**Core AI/ML Technical Expertise These are non\-negotiable for the role:**
* Strong knowledge of machine learning algorithms
* Proven experience with deep learning
* Expertise in Natural Language Processing (NLP)
* Expertise in Computer Vision
* Experience building end to end AI/ML models (data prep training deployment monitoring)
**AI/ML Tools, Frameworks \&amp; Libraries Candidates must have hands\-on proficiency with:**
* TensorFlow
* PyTorch
* Scikit\-learn
* Other modern ML libraries as needed
**Cloud AI/ML Platforms Experience with at least one major cloud ecosystem:**
* AWS SageMaker
* Google AI Platform
* Azure ML (important if your company is MS driven)
**Programming Skills Strong coding background in:**
* Python (must\-have)
* R or Java (secondary but required in the JD)
**5\. Data Engineering \&amp; Big Data Mandatory understanding of data workflows:**
* Data pipeline design \&amp; orchestration
* Big data technologies (e.g., Spark, Hadoop, Kafka)
* Data preprocessing and feature engineering at scale
**Architecture \&amp; System Design Clear ability to architect:**
* Scalable AI/ML systems
* Model deployment pipelines
* Real\-time or batch inference systems
* Integration with existing enterprise infrastructure
**Years of Experience \- 10 years Plus**
In compliance with the salary transparency law, the expected pay range for this role is $60\-$70\. Actual compensation depends on experience and interview evaluation.
**For applications and inquiries, contact:** hirings@openkyber.com</t>
        </is>
      </c>
    </row>
    <row r="133">
      <c r="A133" t="inlineStr">
        <is>
          <t>in-1dd57b7451a98e25</t>
        </is>
      </c>
      <c r="B133" t="inlineStr">
        <is>
          <t>Identity AI / ML Engineer</t>
        </is>
      </c>
      <c r="C133" t="inlineStr">
        <is>
          <t>Openkyber</t>
        </is>
      </c>
      <c r="D133" t="inlineStr">
        <is>
          <t>indeed</t>
        </is>
      </c>
      <c r="E133">
        <f>HYPERLINK("https://www.indeed.com/viewjob?jk=1dd57b7451a98e25", "https://www.indeed.com/viewjob?jk=1dd57b7451a98e25")</f>
        <v/>
      </c>
      <c r="F133">
        <f>HYPERLINK("https://candidateportalnew.ceipal.com/job-details/ugbTGxt8IqUwNBtN1Mquzmjn0JGScObVsHRWOQkPju4#.job_boards.Indeed", "https://candidateportalnew.ceipal.com/job-details/ugbTGxt8IqUwNBtN1Mquzmjn0JGScObVsHRWOQkPju4#.job_boards.Indeed")</f>
        <v/>
      </c>
      <c r="G133" t="inlineStr">
        <is>
          <t>AK, US</t>
        </is>
      </c>
      <c r="H133" s="2" t="n">
        <v>46076</v>
      </c>
      <c r="I133" t="inlineStr">
        <is>
          <t>**Position :** Data Scientist /AI/ML Engineer Fremont, CA (Hybrid)
Skills would be AI/ML, PHP, Python and SQL
**Key Skills:**
* Track record of successfully leading AI\-driven products or large\-scale ML projects.
* Proficiency in Python, AI/ML, PHP, SQL and modern DevOps/ML Ops practices.
* Familiarity with agentic AI, AI orchestration frameworks, and toolchain design.
* Ability to operate in a fast\-paced, product\-focused environment with end\-to\-end accountability.
**For applications and inquiries, contact:** hirings@openkyber.com</t>
        </is>
      </c>
    </row>
    <row r="134">
      <c r="A134" t="inlineStr">
        <is>
          <t>in-768aeb852974e7db</t>
        </is>
      </c>
      <c r="B134" t="inlineStr">
        <is>
          <t>AI/ML Engineer</t>
        </is>
      </c>
      <c r="C134" t="inlineStr">
        <is>
          <t>KBR</t>
        </is>
      </c>
      <c r="D134" t="inlineStr">
        <is>
          <t>indeed</t>
        </is>
      </c>
      <c r="E134">
        <f>HYPERLINK("https://www.indeed.com/viewjob?jk=768aeb852974e7db", "https://www.indeed.com/viewjob?jk=768aeb852974e7db")</f>
        <v/>
      </c>
      <c r="F134">
        <f>HYPERLINK("https://careers.kbr.com/us/en/job/KIVKBRUSR2119522EXTERNALENUS/AI-ML-Engineer?utm_source=indeed&amp;utm_medium=phenom-feeds", "https://careers.kbr.com/us/en/job/KIVKBRUSR2119522EXTERNALENUS/AI-ML-Engineer?utm_source=indeed&amp;utm_medium=phenom-feeds")</f>
        <v/>
      </c>
      <c r="G134" t="inlineStr">
        <is>
          <t>Lexington Park, MD, US</t>
        </is>
      </c>
      <c r="H134" s="2" t="n">
        <v>46076</v>
      </c>
      <c r="I134" t="inlineStr">
        <is>
          <t>**Title:**
AI/ML Engineer
KBR’s Advanced Analytics and Cloud Program is seeking a **AI/ML Engineer \- Data Scientist** in **Fort Belvoir, VA** to support the Defense Technical Information Center (DTIC) on initiatives advancing knowledge graph engineering, retrieval\-augmented generation (RAG), GraphRAG, and AI/ML\-driven data discovery. This role is ideal for someone passionate about building cutting\-edge analytics capabilities for Department of War missions. As part of a multidisciplinary team of AI engineers, developers, and data scientists, you will collaborate directly with government stakeholders to design, prototype, and implement solutions using modern graph technologies, embeddings, and machine learning methods. Your work will shape the next generation of intelligent information systems across DoW environments.
**Roles \&amp; Responsibilities**
* Develop, optimize, and maintain knowledge graphs, ontologies, and graph\-based data pipelines.
* Build and deploy RAG and GraphRAG solutions enabling advanced semantic search and intelligent retrieval.
* Design and generate vector embeddings supporting entity linking, document similarity, and data enrichment.
* Conduct exploratory data analysis, model development, evaluation, and tuning.
* Work with government stakeholders to capture requirements and translate them into technical solutions.
* Contribute to the development of advanced AI/ML prototypes leveraging DoD data.
* Collaborate with cloud engineers, software developers, and fellow data scientists in an Agile environment.
* Prepare clear technical documentation, presentations, and demonstrations of analytics capabilities.
**Basic Qualifications**
* **Active SECRET clearance** (U.S. citizenship required; no visa sponsorship available).
* Bachelors degree in a technical field (Computer Science, Data Science, Engineering, Mathematics, etc.).
* 3\+ years of experience
* Security\+ Certification
* Experience with Bibliometric Analysis System \&amp; Research Organization Registrys (ROR)
* Experience with: Knowledge graphs (e.g., Neo4j, RDF, SPARQL, Property Graphs), RAG frameworks (ex: GraphRAG workflows, or LLM\-augmented semantic retrieval), Embeddings (e.g., sentence transformers, vector search, FAISS, Pinecone, Milvus)
* Proficiency with Python and common ML/AI libraries (e.g., PyTorch, TensorFlow, scikit\-learn).
* Experience developing APIs and integrating AI/ML solutions into operational systems.
**Preferred Quals**
* Experience supporting DoD, DTIC, or other government research/data missions
* Knowledge of cloud environments (AWS, Azure, or GovCloud)
* Familiarity with LLM\-based architectures, vector databases (FAISS, Pinecone, Milvus), or semantic search systems
* Experience with big data or distributed processing frameworks (Spark, Ray, Databricks)
* Background in NLP, document intelligence, information retrieval, or knowledge engineering
* Experience working in Agile or cross\-functional technical teams
* Master’s degree or higher in a relevant technical field
KBR may offer bonuses, commissions, or other forms of compensation to certain job titles or levels, per internal policy or contractual designation. Additional compensation may be in the form of sign on bonus, relocation benefits, short term incentives, long term incentives, or discretionary payments for exceptional performance.
**Benefits:** KBR offers a selection of competitive lifestyle benefits which could include a 401K plan with company match, medical, dental, vision, life insurance, AD\&amp;D, flexible spending account, disability, paid time off, or flexible work schedule. We support career advancement through professional training and development.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135">
      <c r="A135" t="inlineStr">
        <is>
          <t>in-2c5786d7bb58dc45</t>
        </is>
      </c>
      <c r="B135" t="inlineStr">
        <is>
          <t>Applied Scientist, Safety ML</t>
        </is>
      </c>
      <c r="C135" t="inlineStr">
        <is>
          <t>Amazon.com</t>
        </is>
      </c>
      <c r="D135" t="inlineStr">
        <is>
          <t>indeed</t>
        </is>
      </c>
      <c r="E135">
        <f>HYPERLINK("https://www.indeed.com/viewjob?jk=2c5786d7bb58dc45", "https://www.indeed.com/viewjob?jk=2c5786d7bb58dc45")</f>
        <v/>
      </c>
      <c r="F135">
        <f>HYPERLINK("https://www.amazon.jobs/jobs/3161224/applied-scientist-safety-ml?cmpid=DA_INAD200785B", "https://www.amazon.jobs/jobs/3161224/applied-scientist-safety-ml?cmpid=DA_INAD200785B")</f>
        <v/>
      </c>
      <c r="G135" t="inlineStr">
        <is>
          <t>San Francisco, CA, US</t>
        </is>
      </c>
      <c r="H135" s="2" t="n">
        <v>46037</v>
      </c>
      <c r="I13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36">
      <c r="A136" t="inlineStr">
        <is>
          <t>in-9f7f02d25aa5ec20</t>
        </is>
      </c>
      <c r="B136" t="inlineStr">
        <is>
          <t>Applied Scientist, Safety ML</t>
        </is>
      </c>
      <c r="C136" t="inlineStr">
        <is>
          <t>Amazon.com</t>
        </is>
      </c>
      <c r="D136" t="inlineStr">
        <is>
          <t>indeed</t>
        </is>
      </c>
      <c r="E136">
        <f>HYPERLINK("https://www.indeed.com/viewjob?jk=9f7f02d25aa5ec20", "https://www.indeed.com/viewjob?jk=9f7f02d25aa5ec20")</f>
        <v/>
      </c>
      <c r="F136">
        <f>HYPERLINK("https://www.amazon.jobs/jobs/3161224/applied-scientist-safety-ml?cmpid=DA_INAD200785B", "https://www.amazon.jobs/jobs/3161224/applied-scientist-safety-ml?cmpid=DA_INAD200785B")</f>
        <v/>
      </c>
      <c r="G136" t="inlineStr">
        <is>
          <t>Seattle, WA, US</t>
        </is>
      </c>
      <c r="H136" s="2" t="n">
        <v>46037</v>
      </c>
      <c r="I13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37">
      <c r="A137" t="inlineStr">
        <is>
          <t>in-0c716d76e96398b6</t>
        </is>
      </c>
      <c r="B137" t="inlineStr">
        <is>
          <t>Applied Scientist, LLM Code Agents, Kiro Science</t>
        </is>
      </c>
      <c r="C137" t="inlineStr">
        <is>
          <t>Amazon.com</t>
        </is>
      </c>
      <c r="D137" t="inlineStr">
        <is>
          <t>indeed</t>
        </is>
      </c>
      <c r="E137">
        <f>HYPERLINK("https://www.indeed.com/viewjob?jk=0c716d76e96398b6", "https://www.indeed.com/viewjob?jk=0c716d76e96398b6")</f>
        <v/>
      </c>
      <c r="F137">
        <f>HYPERLINK("https://www.amazon.jobs/jobs/3161363/applied-scientist-llm-code-agents-kiro-science?cmpid=DA_INAD200785B", "https://www.amazon.jobs/jobs/3161363/applied-scientist-llm-code-agents-kiro-science?cmpid=DA_INAD200785B")</f>
        <v/>
      </c>
      <c r="G137" t="inlineStr">
        <is>
          <t>Santa Clara, CA, US</t>
        </is>
      </c>
      <c r="H137" s="2" t="n">
        <v>46035</v>
      </c>
      <c r="I137"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38">
      <c r="A138" t="inlineStr">
        <is>
          <t>in-63a6c13b3b9e1842</t>
        </is>
      </c>
      <c r="B138" t="inlineStr">
        <is>
          <t>Principal Applied Scientist, Kiro Science</t>
        </is>
      </c>
      <c r="C138" t="inlineStr">
        <is>
          <t>Amazon Web Services</t>
        </is>
      </c>
      <c r="D138" t="inlineStr">
        <is>
          <t>indeed</t>
        </is>
      </c>
      <c r="E138">
        <f>HYPERLINK("https://www.indeed.com/viewjob?jk=63a6c13b3b9e1842", "https://www.indeed.com/viewjob?jk=63a6c13b3b9e1842")</f>
        <v/>
      </c>
      <c r="F138">
        <f>HYPERLINK("https://www.amazon.jobs/jobs/3161064/principal-applied-scientist-kiro-science?cmpid=DA_INAD200785B", "https://www.amazon.jobs/jobs/3161064/principal-applied-scientist-kiro-science?cmpid=DA_INAD200785B")</f>
        <v/>
      </c>
      <c r="G138" t="inlineStr">
        <is>
          <t>New York, NY, US</t>
        </is>
      </c>
      <c r="H138" s="2" t="n">
        <v>45999</v>
      </c>
      <c r="I138"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39">
      <c r="A139" t="inlineStr">
        <is>
          <t>in-71135e681349dd5e</t>
        </is>
      </c>
      <c r="B139" t="inlineStr">
        <is>
          <t>Principal Applied Scientist, Kiro Science</t>
        </is>
      </c>
      <c r="C139" t="inlineStr">
        <is>
          <t>Amazon Web Services</t>
        </is>
      </c>
      <c r="D139" t="inlineStr">
        <is>
          <t>indeed</t>
        </is>
      </c>
      <c r="E139">
        <f>HYPERLINK("https://www.indeed.com/viewjob?jk=71135e681349dd5e", "https://www.indeed.com/viewjob?jk=71135e681349dd5e")</f>
        <v/>
      </c>
      <c r="F139">
        <f>HYPERLINK("https://www.amazon.jobs/jobs/3161064/principal-applied-scientist-kiro-science?cmpid=DA_INAD200785B", "https://www.amazon.jobs/jobs/3161064/principal-applied-scientist-kiro-science?cmpid=DA_INAD200785B")</f>
        <v/>
      </c>
      <c r="G139" t="inlineStr">
        <is>
          <t>Santa Clara, CA, US</t>
        </is>
      </c>
      <c r="H139" s="2" t="n">
        <v>45999</v>
      </c>
      <c r="I139"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40">
      <c r="A140" t="inlineStr">
        <is>
          <t>in-ff4880a5a3a9036e</t>
        </is>
      </c>
      <c r="B140" t="inlineStr">
        <is>
          <t>Sr. Applied Scientist, Amazon Ads</t>
        </is>
      </c>
      <c r="C140" t="inlineStr">
        <is>
          <t>Amazon.com</t>
        </is>
      </c>
      <c r="D140" t="inlineStr">
        <is>
          <t>indeed</t>
        </is>
      </c>
      <c r="E140">
        <f>HYPERLINK("https://www.indeed.com/viewjob?jk=ff4880a5a3a9036e", "https://www.indeed.com/viewjob?jk=ff4880a5a3a9036e")</f>
        <v/>
      </c>
      <c r="F140">
        <f>HYPERLINK("https://www.amazon.jobs/jobs/3139328/sr-applied-scientist-amazon-ads?cmpid=DA_INAD200785B", "https://www.amazon.jobs/jobs/3139328/sr-applied-scientist-amazon-ads?cmpid=DA_INAD200785B")</f>
        <v/>
      </c>
      <c r="G140" t="inlineStr">
        <is>
          <t>New York, NY, US</t>
        </is>
      </c>
      <c r="H140" s="2" t="n">
        <v>45998</v>
      </c>
      <c r="I14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1">
      <c r="A141" t="inlineStr">
        <is>
          <t>in-370feab9453a8f7a</t>
        </is>
      </c>
      <c r="B141" t="inlineStr">
        <is>
          <t>Sr. Applied Scientist, Amazon Ads</t>
        </is>
      </c>
      <c r="C141" t="inlineStr">
        <is>
          <t>Amazon.com</t>
        </is>
      </c>
      <c r="D141" t="inlineStr">
        <is>
          <t>indeed</t>
        </is>
      </c>
      <c r="E141">
        <f>HYPERLINK("https://www.indeed.com/viewjob?jk=370feab9453a8f7a", "https://www.indeed.com/viewjob?jk=370feab9453a8f7a")</f>
        <v/>
      </c>
      <c r="F141">
        <f>HYPERLINK("https://www.amazon.jobs/jobs/3139328/sr-applied-scientist-amazon-ads?cmpid=DA_INAD200785B", "https://www.amazon.jobs/jobs/3139328/sr-applied-scientist-amazon-ads?cmpid=DA_INAD200785B")</f>
        <v/>
      </c>
      <c r="G141" t="inlineStr">
        <is>
          <t>Corvallis, OR, US</t>
        </is>
      </c>
      <c r="H141" s="2" t="n">
        <v>45998</v>
      </c>
      <c r="I14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2">
      <c r="A142" t="inlineStr">
        <is>
          <t>in-b72b62195cc436c4</t>
        </is>
      </c>
      <c r="B142" t="inlineStr">
        <is>
          <t>Sr. Applied Scientist, Amazon Ads</t>
        </is>
      </c>
      <c r="C142" t="inlineStr">
        <is>
          <t>Amazon.com</t>
        </is>
      </c>
      <c r="D142" t="inlineStr">
        <is>
          <t>indeed</t>
        </is>
      </c>
      <c r="E142">
        <f>HYPERLINK("https://www.indeed.com/viewjob?jk=b72b62195cc436c4", "https://www.indeed.com/viewjob?jk=b72b62195cc436c4")</f>
        <v/>
      </c>
      <c r="F142">
        <f>HYPERLINK("https://www.amazon.jobs/jobs/3139328/sr-applied-scientist-amazon-ads?cmpid=DA_INAD200785B", "https://www.amazon.jobs/jobs/3139328/sr-applied-scientist-amazon-ads?cmpid=DA_INAD200785B")</f>
        <v/>
      </c>
      <c r="G142" t="inlineStr">
        <is>
          <t>Palo Alto, CA, US</t>
        </is>
      </c>
      <c r="H142" s="2" t="n">
        <v>45998</v>
      </c>
      <c r="I14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3">
      <c r="A143" t="inlineStr">
        <is>
          <t>in-2587f32a3d88bef5</t>
        </is>
      </c>
      <c r="B143" t="inlineStr">
        <is>
          <t>Sr. Applied Scientist, Amazon Ads</t>
        </is>
      </c>
      <c r="C143" t="inlineStr">
        <is>
          <t>Amazon.com</t>
        </is>
      </c>
      <c r="D143" t="inlineStr">
        <is>
          <t>indeed</t>
        </is>
      </c>
      <c r="E143">
        <f>HYPERLINK("https://www.indeed.com/viewjob?jk=2587f32a3d88bef5", "https://www.indeed.com/viewjob?jk=2587f32a3d88bef5")</f>
        <v/>
      </c>
      <c r="F143">
        <f>HYPERLINK("https://www.amazon.jobs/jobs/3139328/sr-applied-scientist-amazon-ads?cmpid=DA_INAD200785B", "https://www.amazon.jobs/jobs/3139328/sr-applied-scientist-amazon-ads?cmpid=DA_INAD200785B")</f>
        <v/>
      </c>
      <c r="G143" t="inlineStr">
        <is>
          <t>Boston, MA, US</t>
        </is>
      </c>
      <c r="H143" s="2" t="n">
        <v>45998</v>
      </c>
      <c r="I14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4">
      <c r="A144" t="inlineStr">
        <is>
          <t>in-9418a52a9250a838</t>
        </is>
      </c>
      <c r="B144" t="inlineStr">
        <is>
          <t>Sr. Applied Scientist, Amazon Ads</t>
        </is>
      </c>
      <c r="C144" t="inlineStr">
        <is>
          <t>Amazon.com</t>
        </is>
      </c>
      <c r="D144" t="inlineStr">
        <is>
          <t>indeed</t>
        </is>
      </c>
      <c r="E144">
        <f>HYPERLINK("https://www.indeed.com/viewjob?jk=9418a52a9250a838", "https://www.indeed.com/viewjob?jk=9418a52a9250a838")</f>
        <v/>
      </c>
      <c r="F144">
        <f>HYPERLINK("https://www.amazon.jobs/jobs/3139328/sr-applied-scientist-amazon-ads?cmpid=DA_INAD200785B", "https://www.amazon.jobs/jobs/3139328/sr-applied-scientist-amazon-ads?cmpid=DA_INAD200785B")</f>
        <v/>
      </c>
      <c r="G144" t="inlineStr">
        <is>
          <t>Tukwila, WA, US</t>
        </is>
      </c>
      <c r="H144" s="2" t="n">
        <v>45998</v>
      </c>
      <c r="I14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5">
      <c r="A145" t="inlineStr">
        <is>
          <t>in-ae4a0c7527d29b53</t>
        </is>
      </c>
      <c r="B145" t="inlineStr">
        <is>
          <t>Sr. Applied Scientist, Amazon Ads</t>
        </is>
      </c>
      <c r="C145" t="inlineStr">
        <is>
          <t>Amazon.com</t>
        </is>
      </c>
      <c r="D145" t="inlineStr">
        <is>
          <t>indeed</t>
        </is>
      </c>
      <c r="E145">
        <f>HYPERLINK("https://www.indeed.com/viewjob?jk=ae4a0c7527d29b53", "https://www.indeed.com/viewjob?jk=ae4a0c7527d29b53")</f>
        <v/>
      </c>
      <c r="F145">
        <f>HYPERLINK("https://www.amazon.jobs/jobs/3139328/sr-applied-scientist-amazon-ads?cmpid=DA_INAD200785B", "https://www.amazon.jobs/jobs/3139328/sr-applied-scientist-amazon-ads?cmpid=DA_INAD200785B")</f>
        <v/>
      </c>
      <c r="G145" t="inlineStr">
        <is>
          <t>Santa Monica, CA, US</t>
        </is>
      </c>
      <c r="H145" s="2" t="n">
        <v>45998</v>
      </c>
      <c r="I14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6">
      <c r="A146" t="inlineStr">
        <is>
          <t>in-69f139491c668403</t>
        </is>
      </c>
      <c r="B146" t="inlineStr">
        <is>
          <t>Sr. Applied Scientist, Amazon Ads</t>
        </is>
      </c>
      <c r="C146" t="inlineStr">
        <is>
          <t>Amazon.com</t>
        </is>
      </c>
      <c r="D146" t="inlineStr">
        <is>
          <t>indeed</t>
        </is>
      </c>
      <c r="E146">
        <f>HYPERLINK("https://www.indeed.com/viewjob?jk=69f139491c668403", "https://www.indeed.com/viewjob?jk=69f139491c668403")</f>
        <v/>
      </c>
      <c r="F146">
        <f>HYPERLINK("https://www.amazon.jobs/jobs/3139328/sr-applied-scientist-amazon-ads?cmpid=DA_INAD200785B", "https://www.amazon.jobs/jobs/3139328/sr-applied-scientist-amazon-ads?cmpid=DA_INAD200785B")</f>
        <v/>
      </c>
      <c r="G146" t="inlineStr">
        <is>
          <t>Boulder, CO, US</t>
        </is>
      </c>
      <c r="H146" s="2" t="n">
        <v>45998</v>
      </c>
      <c r="I14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7">
      <c r="A147" t="inlineStr">
        <is>
          <t>in-de08fe40813dd954</t>
        </is>
      </c>
      <c r="B147" t="inlineStr">
        <is>
          <t>Sr. Applied Scientist, Amazon Ads</t>
        </is>
      </c>
      <c r="C147" t="inlineStr">
        <is>
          <t>Amazon.com</t>
        </is>
      </c>
      <c r="D147" t="inlineStr">
        <is>
          <t>indeed</t>
        </is>
      </c>
      <c r="E147">
        <f>HYPERLINK("https://www.indeed.com/viewjob?jk=de08fe40813dd954", "https://www.indeed.com/viewjob?jk=de08fe40813dd954")</f>
        <v/>
      </c>
      <c r="F147">
        <f>HYPERLINK("https://www.amazon.jobs/jobs/3139328/sr-applied-scientist-amazon-ads?cmpid=DA_INAD200785B", "https://www.amazon.jobs/jobs/3139328/sr-applied-scientist-amazon-ads?cmpid=DA_INAD200785B")</f>
        <v/>
      </c>
      <c r="G147" t="inlineStr">
        <is>
          <t>Seattle, WA, US</t>
        </is>
      </c>
      <c r="H147" s="2" t="n">
        <v>45998</v>
      </c>
      <c r="I14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8">
      <c r="A148" t="inlineStr">
        <is>
          <t>in-22c4d507e88a6e6f</t>
        </is>
      </c>
      <c r="B148" t="inlineStr">
        <is>
          <t>Sr. Applied Scientist, Amazon Ads</t>
        </is>
      </c>
      <c r="C148" t="inlineStr">
        <is>
          <t>Amazon.com</t>
        </is>
      </c>
      <c r="D148" t="inlineStr">
        <is>
          <t>indeed</t>
        </is>
      </c>
      <c r="E148">
        <f>HYPERLINK("https://www.indeed.com/viewjob?jk=22c4d507e88a6e6f", "https://www.indeed.com/viewjob?jk=22c4d507e88a6e6f")</f>
        <v/>
      </c>
      <c r="F148">
        <f>HYPERLINK("https://www.amazon.jobs/jobs/3139328/sr-applied-scientist-amazon-ads?cmpid=DA_INAD200785B", "https://www.amazon.jobs/jobs/3139328/sr-applied-scientist-amazon-ads?cmpid=DA_INAD200785B")</f>
        <v/>
      </c>
      <c r="G148" t="inlineStr">
        <is>
          <t>Brooklyn, NY, US</t>
        </is>
      </c>
      <c r="H148" s="2" t="n">
        <v>45998</v>
      </c>
      <c r="I14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9">
      <c r="A149" t="inlineStr">
        <is>
          <t>in-cf6a7d350e7eb18f</t>
        </is>
      </c>
      <c r="B149" t="inlineStr">
        <is>
          <t>Sr. Applied Scientist, Amazon Ads</t>
        </is>
      </c>
      <c r="C149" t="inlineStr">
        <is>
          <t>Amazon.com</t>
        </is>
      </c>
      <c r="D149" t="inlineStr">
        <is>
          <t>indeed</t>
        </is>
      </c>
      <c r="E149">
        <f>HYPERLINK("https://www.indeed.com/viewjob?jk=cf6a7d350e7eb18f", "https://www.indeed.com/viewjob?jk=cf6a7d350e7eb18f")</f>
        <v/>
      </c>
      <c r="F149">
        <f>HYPERLINK("https://www.amazon.jobs/jobs/3139328/sr-applied-scientist-amazon-ads?cmpid=DA_INAD200785B", "https://www.amazon.jobs/jobs/3139328/sr-applied-scientist-amazon-ads?cmpid=DA_INAD200785B")</f>
        <v/>
      </c>
      <c r="G149" t="inlineStr">
        <is>
          <t>Sunnyvale, CA, US</t>
        </is>
      </c>
      <c r="H149" s="2" t="n">
        <v>45998</v>
      </c>
      <c r="I14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0">
      <c r="A150" t="inlineStr">
        <is>
          <t>in-00c60941b12fa0ab</t>
        </is>
      </c>
      <c r="B150" t="inlineStr">
        <is>
          <t>Principal Applied Scientist, Sponsored Products and Brands</t>
        </is>
      </c>
      <c r="C150" t="inlineStr">
        <is>
          <t>Amazon.com</t>
        </is>
      </c>
      <c r="D150" t="inlineStr">
        <is>
          <t>indeed</t>
        </is>
      </c>
      <c r="E150">
        <f>HYPERLINK("https://www.indeed.com/viewjob?jk=00c60941b12fa0ab", "https://www.indeed.com/viewjob?jk=00c60941b12fa0ab")</f>
        <v/>
      </c>
      <c r="F150">
        <f>HYPERLINK("https://www.amazon.jobs/jobs/3130855/principal-applied-scientist-sponsored-products-and-brands?cmpid=DA_INAD200785B", "https://www.amazon.jobs/jobs/3130855/principal-applied-scientist-sponsored-products-and-brands?cmpid=DA_INAD200785B")</f>
        <v/>
      </c>
      <c r="G150" t="inlineStr">
        <is>
          <t>New York, NY, US</t>
        </is>
      </c>
      <c r="H150" s="2" t="n">
        <v>45979</v>
      </c>
      <c r="I15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in-446fcc3f02953be2</t>
        </is>
      </c>
      <c r="B151" t="inlineStr">
        <is>
          <t>Principal Applied Scientist, Sponsored Products and Brands</t>
        </is>
      </c>
      <c r="C151" t="inlineStr">
        <is>
          <t>Amazon.com</t>
        </is>
      </c>
      <c r="D151" t="inlineStr">
        <is>
          <t>indeed</t>
        </is>
      </c>
      <c r="E151">
        <f>HYPERLINK("https://www.indeed.com/viewjob?jk=446fcc3f02953be2", "https://www.indeed.com/viewjob?jk=446fcc3f02953be2")</f>
        <v/>
      </c>
      <c r="F151">
        <f>HYPERLINK("https://www.amazon.jobs/jobs/3130855/principal-applied-scientist-sponsored-products-and-brands?cmpid=DA_INAD200785B", "https://www.amazon.jobs/jobs/3130855/principal-applied-scientist-sponsored-products-and-brands?cmpid=DA_INAD200785B")</f>
        <v/>
      </c>
      <c r="G151" t="inlineStr">
        <is>
          <t>Seattle, WA, US</t>
        </is>
      </c>
      <c r="H151" s="2" t="n">
        <v>45979</v>
      </c>
      <c r="I15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in-b197b2f183bb0526</t>
        </is>
      </c>
      <c r="B152" t="inlineStr">
        <is>
          <t>Senior Applied Scientist, Sponsored Products and Brands</t>
        </is>
      </c>
      <c r="C152" t="inlineStr">
        <is>
          <t>Amazon.com</t>
        </is>
      </c>
      <c r="D152" t="inlineStr">
        <is>
          <t>indeed</t>
        </is>
      </c>
      <c r="E152">
        <f>HYPERLINK("https://www.indeed.com/viewjob?jk=b197b2f183bb0526", "https://www.indeed.com/viewjob?jk=b197b2f183bb0526")</f>
        <v/>
      </c>
      <c r="F152">
        <f>HYPERLINK("https://www.amazon.jobs/jobs/3130062/senior-applied-scientist-sponsored-products-and-brands?cmpid=DA_INAD200785B", "https://www.amazon.jobs/jobs/3130062/senior-applied-scientist-sponsored-products-and-brands?cmpid=DA_INAD200785B")</f>
        <v/>
      </c>
      <c r="G152" t="inlineStr">
        <is>
          <t>New York, NY, US</t>
        </is>
      </c>
      <c r="H152" s="2" t="n">
        <v>45979</v>
      </c>
      <c r="I152"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53">
      <c r="A153" t="inlineStr">
        <is>
          <t>in-cf9485e163868da9</t>
        </is>
      </c>
      <c r="B153" t="inlineStr">
        <is>
          <t>Senior Applied Scientist, Sponsored Products and Brands</t>
        </is>
      </c>
      <c r="C153" t="inlineStr">
        <is>
          <t>Amazon.com</t>
        </is>
      </c>
      <c r="D153" t="inlineStr">
        <is>
          <t>indeed</t>
        </is>
      </c>
      <c r="E153">
        <f>HYPERLINK("https://www.indeed.com/viewjob?jk=cf9485e163868da9", "https://www.indeed.com/viewjob?jk=cf9485e163868da9")</f>
        <v/>
      </c>
      <c r="F153">
        <f>HYPERLINK("https://www.amazon.jobs/jobs/3130062/senior-applied-scientist-sponsored-products-and-brands?cmpid=DA_INAD200785B", "https://www.amazon.jobs/jobs/3130062/senior-applied-scientist-sponsored-products-and-brands?cmpid=DA_INAD200785B")</f>
        <v/>
      </c>
      <c r="G153" t="inlineStr">
        <is>
          <t>Seattle, WA, US</t>
        </is>
      </c>
      <c r="H153" s="2" t="n">
        <v>45979</v>
      </c>
      <c r="I153"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54">
      <c r="A154" t="inlineStr">
        <is>
          <t>in-8ca1f6cc86a7f662</t>
        </is>
      </c>
      <c r="B154" t="inlineStr">
        <is>
          <t>Applied Scientist, AWS Agentic AI</t>
        </is>
      </c>
      <c r="C154" t="inlineStr">
        <is>
          <t>Amazon Web Services</t>
        </is>
      </c>
      <c r="D154" t="inlineStr">
        <is>
          <t>indeed</t>
        </is>
      </c>
      <c r="E154">
        <f>HYPERLINK("https://www.indeed.com/viewjob?jk=8ca1f6cc86a7f662", "https://www.indeed.com/viewjob?jk=8ca1f6cc86a7f662")</f>
        <v/>
      </c>
      <c r="F154">
        <f>HYPERLINK("https://www.amazon.jobs/jobs/3141517/applied-scientist-aws-agentic-ai-?cmpid=DA_INAD200785B", "https://www.amazon.jobs/jobs/3141517/applied-scientist-aws-agentic-ai-?cmpid=DA_INAD200785B")</f>
        <v/>
      </c>
      <c r="G154" t="inlineStr">
        <is>
          <t>New York, NY, US</t>
        </is>
      </c>
      <c r="H154" s="2" t="n">
        <v>45962</v>
      </c>
      <c r="I15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in-b59da374a52d05a9</t>
        </is>
      </c>
      <c r="B155" t="inlineStr">
        <is>
          <t>Applied Scientist, AWS Agentic AI</t>
        </is>
      </c>
      <c r="C155" t="inlineStr">
        <is>
          <t>Amazon Web Services</t>
        </is>
      </c>
      <c r="D155" t="inlineStr">
        <is>
          <t>indeed</t>
        </is>
      </c>
      <c r="E155">
        <f>HYPERLINK("https://www.indeed.com/viewjob?jk=b59da374a52d05a9", "https://www.indeed.com/viewjob?jk=b59da374a52d05a9")</f>
        <v/>
      </c>
      <c r="F155">
        <f>HYPERLINK("https://www.amazon.jobs/jobs/3141517/applied-scientist-aws-agentic-ai-?cmpid=DA_INAD200785B", "https://www.amazon.jobs/jobs/3141517/applied-scientist-aws-agentic-ai-?cmpid=DA_INAD200785B")</f>
        <v/>
      </c>
      <c r="G155" t="inlineStr">
        <is>
          <t>Seattle, WA, US</t>
        </is>
      </c>
      <c r="H155" s="2" t="n">
        <v>45962</v>
      </c>
      <c r="I15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in-2823d2170b54f971</t>
        </is>
      </c>
      <c r="B156" t="inlineStr">
        <is>
          <t>Applied Scientist, AWS Agentic AI</t>
        </is>
      </c>
      <c r="C156" t="inlineStr">
        <is>
          <t>Amazon Web Services</t>
        </is>
      </c>
      <c r="D156" t="inlineStr">
        <is>
          <t>indeed</t>
        </is>
      </c>
      <c r="E156">
        <f>HYPERLINK("https://www.indeed.com/viewjob?jk=2823d2170b54f971", "https://www.indeed.com/viewjob?jk=2823d2170b54f971")</f>
        <v/>
      </c>
      <c r="F156">
        <f>HYPERLINK("https://www.amazon.jobs/jobs/3141517/applied-scientist-aws-agentic-ai-?cmpid=DA_INAD200785B", "https://www.amazon.jobs/jobs/3141517/applied-scientist-aws-agentic-ai-?cmpid=DA_INAD200785B")</f>
        <v/>
      </c>
      <c r="G156" t="inlineStr">
        <is>
          <t>Santa Clara, CA, US</t>
        </is>
      </c>
      <c r="H156" s="2" t="n">
        <v>45962</v>
      </c>
      <c r="I15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in-17b16e3c2bd0901f</t>
        </is>
      </c>
      <c r="B157" t="inlineStr">
        <is>
          <t>Principal Applied Scientist, Advertiser Growth, Amazon Sponsored Products &amp; Brands</t>
        </is>
      </c>
      <c r="C157" t="inlineStr">
        <is>
          <t>Amazon.com</t>
        </is>
      </c>
      <c r="D157" t="inlineStr">
        <is>
          <t>indeed</t>
        </is>
      </c>
      <c r="E157">
        <f>HYPERLINK("https://www.indeed.com/viewjob?jk=17b16e3c2bd0901f", "https://www.indeed.com/viewjob?jk=17b16e3c2bd0901f")</f>
        <v/>
      </c>
      <c r="F157">
        <f>HYPERLINK("https://www.amazon.jobs/jobs/3115279/principal-applied-scientist-advertiser-growth-amazon-sponsored-products--brands?cmpid=DA_INAD200785B", "https://www.amazon.jobs/jobs/3115279/principal-applied-scientist-advertiser-growth-amazon-sponsored-products--brands?cmpid=DA_INAD200785B")</f>
        <v/>
      </c>
      <c r="G157" t="inlineStr">
        <is>
          <t>Palo Alto, CA, US</t>
        </is>
      </c>
      <c r="H157" s="2" t="n">
        <v>45942</v>
      </c>
      <c r="I15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in-ab75a83376dd43a8</t>
        </is>
      </c>
      <c r="B158" t="inlineStr">
        <is>
          <t>Principal Applied Scientist, Advertiser Growth, Amazon Sponsored Products &amp; Brands</t>
        </is>
      </c>
      <c r="C158" t="inlineStr">
        <is>
          <t>Amazon.com</t>
        </is>
      </c>
      <c r="D158" t="inlineStr">
        <is>
          <t>indeed</t>
        </is>
      </c>
      <c r="E158">
        <f>HYPERLINK("https://www.indeed.com/viewjob?jk=ab75a83376dd43a8", "https://www.indeed.com/viewjob?jk=ab75a83376dd43a8")</f>
        <v/>
      </c>
      <c r="F158">
        <f>HYPERLINK("https://www.amazon.jobs/jobs/3115279/principal-applied-scientist-advertiser-growth-amazon-sponsored-products--brands?cmpid=DA_INAD200785B", "https://www.amazon.jobs/jobs/3115279/principal-applied-scientist-advertiser-growth-amazon-sponsored-products--brands?cmpid=DA_INAD200785B")</f>
        <v/>
      </c>
      <c r="G158" t="inlineStr">
        <is>
          <t>New York, NY, US</t>
        </is>
      </c>
      <c r="H158" s="2" t="n">
        <v>45942</v>
      </c>
      <c r="I15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in-c4ab200fee868aea</t>
        </is>
      </c>
      <c r="B159" t="inlineStr">
        <is>
          <t>Principal Applied Scientist, Advertiser Growth, Amazon Sponsored Products &amp; Brands</t>
        </is>
      </c>
      <c r="C159" t="inlineStr">
        <is>
          <t>Amazon.com</t>
        </is>
      </c>
      <c r="D159" t="inlineStr">
        <is>
          <t>indeed</t>
        </is>
      </c>
      <c r="E159">
        <f>HYPERLINK("https://www.indeed.com/viewjob?jk=c4ab200fee868aea", "https://www.indeed.com/viewjob?jk=c4ab200fee868aea")</f>
        <v/>
      </c>
      <c r="F159">
        <f>HYPERLINK("https://www.amazon.jobs/jobs/3115279/principal-applied-scientist-advertiser-growth-amazon-sponsored-products--brands?cmpid=DA_INAD200785B", "https://www.amazon.jobs/jobs/3115279/principal-applied-scientist-advertiser-growth-amazon-sponsored-products--brands?cmpid=DA_INAD200785B")</f>
        <v/>
      </c>
      <c r="G159" t="inlineStr">
        <is>
          <t>Seattle, WA, US</t>
        </is>
      </c>
      <c r="H159" s="2" t="n">
        <v>45942</v>
      </c>
      <c r="I15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in-eaf5a4e275a2b99b</t>
        </is>
      </c>
      <c r="B160" t="inlineStr">
        <is>
          <t>Applied Scientist II, Prime Video - Personalization and Discovery Science, Personalization and Discovery Science</t>
        </is>
      </c>
      <c r="C160" t="inlineStr">
        <is>
          <t>Amazon.com</t>
        </is>
      </c>
      <c r="D160" t="inlineStr">
        <is>
          <t>indeed</t>
        </is>
      </c>
      <c r="E160">
        <f>HYPERLINK("https://www.indeed.com/viewjob?jk=eaf5a4e275a2b99b", "https://www.indeed.com/viewjob?jk=eaf5a4e275a2b99b")</f>
        <v/>
      </c>
      <c r="F160">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60" t="inlineStr">
        <is>
          <t>Seattle, WA, US</t>
        </is>
      </c>
      <c r="H160" s="2" t="n">
        <v>45930</v>
      </c>
      <c r="I1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in-34c188ac9fdf7430</t>
        </is>
      </c>
      <c r="B161" t="inlineStr">
        <is>
          <t>Applied Scientist II, Prime Video - Personalization and Discovery Science, Personalization and Discovery Science</t>
        </is>
      </c>
      <c r="C161" t="inlineStr">
        <is>
          <t>Amazon.com</t>
        </is>
      </c>
      <c r="D161" t="inlineStr">
        <is>
          <t>indeed</t>
        </is>
      </c>
      <c r="E161">
        <f>HYPERLINK("https://www.indeed.com/viewjob?jk=34c188ac9fdf7430", "https://www.indeed.com/viewjob?jk=34c188ac9fdf7430")</f>
        <v/>
      </c>
      <c r="F161">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61" t="inlineStr">
        <is>
          <t>New York, NY, US</t>
        </is>
      </c>
      <c r="H161" s="2" t="n">
        <v>45930</v>
      </c>
      <c r="I1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in-cf8c2293de4d0316</t>
        </is>
      </c>
      <c r="B162" t="inlineStr">
        <is>
          <t>Applied Scientist II, Prime Video - Personalization and Discovery Science, Personalization and Discovery Science</t>
        </is>
      </c>
      <c r="C162" t="inlineStr">
        <is>
          <t>Amazon.com</t>
        </is>
      </c>
      <c r="D162" t="inlineStr">
        <is>
          <t>indeed</t>
        </is>
      </c>
      <c r="E162">
        <f>HYPERLINK("https://www.indeed.com/viewjob?jk=cf8c2293de4d0316", "https://www.indeed.com/viewjob?jk=cf8c2293de4d0316")</f>
        <v/>
      </c>
      <c r="F162">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62" t="inlineStr">
        <is>
          <t>Sunnyvale, CA, US</t>
        </is>
      </c>
      <c r="H162" s="2" t="n">
        <v>45930</v>
      </c>
      <c r="I1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in-468acf7fe841f7cd</t>
        </is>
      </c>
      <c r="B163" t="inlineStr">
        <is>
          <t>Applied Scientist, Workplace Health &amp; Safety</t>
        </is>
      </c>
      <c r="C163" t="inlineStr">
        <is>
          <t>Amazon.com</t>
        </is>
      </c>
      <c r="D163" t="inlineStr">
        <is>
          <t>indeed</t>
        </is>
      </c>
      <c r="E163">
        <f>HYPERLINK("https://www.indeed.com/viewjob?jk=468acf7fe841f7cd", "https://www.indeed.com/viewjob?jk=468acf7fe841f7cd")</f>
        <v/>
      </c>
      <c r="F163">
        <f>HYPERLINK("https://www.amazon.jobs/jobs/3144886/applied-scientist-workplace-health--safety-?cmpid=DA_INAD200785B", "https://www.amazon.jobs/jobs/3144886/applied-scientist-workplace-health--safety-?cmpid=DA_INAD200785B")</f>
        <v/>
      </c>
      <c r="G163" t="inlineStr">
        <is>
          <t>Bellevue, WA, US</t>
        </is>
      </c>
      <c r="H163" s="2" t="n">
        <v>45917</v>
      </c>
      <c r="I163"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in-5ca0d9cf2636da61</t>
        </is>
      </c>
      <c r="B164" t="inlineStr">
        <is>
          <t>Applied Scientist, Workplace Health &amp; Safety</t>
        </is>
      </c>
      <c r="C164" t="inlineStr">
        <is>
          <t>Amazon.com</t>
        </is>
      </c>
      <c r="D164" t="inlineStr">
        <is>
          <t>indeed</t>
        </is>
      </c>
      <c r="E164">
        <f>HYPERLINK("https://www.indeed.com/viewjob?jk=5ca0d9cf2636da61", "https://www.indeed.com/viewjob?jk=5ca0d9cf2636da61")</f>
        <v/>
      </c>
      <c r="F164">
        <f>HYPERLINK("https://www.amazon.jobs/jobs/3144886/applied-scientist-workplace-health--safety-?cmpid=DA_INAD200785B", "https://www.amazon.jobs/jobs/3144886/applied-scientist-workplace-health--safety-?cmpid=DA_INAD200785B")</f>
        <v/>
      </c>
      <c r="G164" t="inlineStr">
        <is>
          <t>Nashville, TN, US</t>
        </is>
      </c>
      <c r="H164" s="2" t="n">
        <v>45917</v>
      </c>
      <c r="I164"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in-ff29e12e91d39e3c</t>
        </is>
      </c>
      <c r="B165" t="inlineStr">
        <is>
          <t>Sr. Applied Scientist, Prime Video - Personalization and Discovery Science</t>
        </is>
      </c>
      <c r="C165" t="inlineStr">
        <is>
          <t>Amazon.com</t>
        </is>
      </c>
      <c r="D165" t="inlineStr">
        <is>
          <t>indeed</t>
        </is>
      </c>
      <c r="E165">
        <f>HYPERLINK("https://www.indeed.com/viewjob?jk=ff29e12e91d39e3c", "https://www.indeed.com/viewjob?jk=ff29e12e91d39e3c")</f>
        <v/>
      </c>
      <c r="F165">
        <f>HYPERLINK("https://www.amazon.jobs/jobs/3059256/sr-applied-scientist-prime-video--personalization-and-discovery-science?cmpid=DA_INAD200785B", "https://www.amazon.jobs/jobs/3059256/sr-applied-scientist-prime-video--personalization-and-discovery-science?cmpid=DA_INAD200785B")</f>
        <v/>
      </c>
      <c r="G165" t="inlineStr">
        <is>
          <t>Sunnyvale, CA, US</t>
        </is>
      </c>
      <c r="H165" s="2" t="n">
        <v>45881</v>
      </c>
      <c r="I1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in-ac360dbec8e429df</t>
        </is>
      </c>
      <c r="B166" t="inlineStr">
        <is>
          <t>Sr. Applied Scientist, Prime Video - Personalization and Discovery Science</t>
        </is>
      </c>
      <c r="C166" t="inlineStr">
        <is>
          <t>Amazon.com</t>
        </is>
      </c>
      <c r="D166" t="inlineStr">
        <is>
          <t>indeed</t>
        </is>
      </c>
      <c r="E166">
        <f>HYPERLINK("https://www.indeed.com/viewjob?jk=ac360dbec8e429df", "https://www.indeed.com/viewjob?jk=ac360dbec8e429df")</f>
        <v/>
      </c>
      <c r="F166">
        <f>HYPERLINK("https://www.amazon.jobs/jobs/3059256/sr-applied-scientist-prime-video--personalization-and-discovery-science?cmpid=DA_INAD200785B", "https://www.amazon.jobs/jobs/3059256/sr-applied-scientist-prime-video--personalization-and-discovery-science?cmpid=DA_INAD200785B")</f>
        <v/>
      </c>
      <c r="G166" t="inlineStr">
        <is>
          <t>New York, NY, US</t>
        </is>
      </c>
      <c r="H166" s="2" t="n">
        <v>45881</v>
      </c>
      <c r="I1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in-080e041012f3bc98</t>
        </is>
      </c>
      <c r="B167" t="inlineStr">
        <is>
          <t>Applied Scientist II, Prime Video - Personalization and Discovery Science</t>
        </is>
      </c>
      <c r="C167" t="inlineStr">
        <is>
          <t>Amazon.com</t>
        </is>
      </c>
      <c r="D167" t="inlineStr">
        <is>
          <t>indeed</t>
        </is>
      </c>
      <c r="E167">
        <f>HYPERLINK("https://www.indeed.com/viewjob?jk=080e041012f3bc98", "https://www.indeed.com/viewjob?jk=080e041012f3bc98")</f>
        <v/>
      </c>
      <c r="F167">
        <f>HYPERLINK("https://www.amazon.jobs/jobs/3059253/applied-scientist-ii-prime-video--personalization-and-discovery-science?cmpid=DA_INAD200785B", "https://www.amazon.jobs/jobs/3059253/applied-scientist-ii-prime-video--personalization-and-discovery-science?cmpid=DA_INAD200785B")</f>
        <v/>
      </c>
      <c r="G167" t="inlineStr">
        <is>
          <t>Seattle, WA, US</t>
        </is>
      </c>
      <c r="H167" s="2" t="n">
        <v>45881</v>
      </c>
      <c r="I1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in-163b4946aa95a468</t>
        </is>
      </c>
      <c r="B168" t="inlineStr">
        <is>
          <t>Sr. Applied Scientist, Prime Video - Personalization and Discovery Science</t>
        </is>
      </c>
      <c r="C168" t="inlineStr">
        <is>
          <t>Amazon.com</t>
        </is>
      </c>
      <c r="D168" t="inlineStr">
        <is>
          <t>indeed</t>
        </is>
      </c>
      <c r="E168">
        <f>HYPERLINK("https://www.indeed.com/viewjob?jk=163b4946aa95a468", "https://www.indeed.com/viewjob?jk=163b4946aa95a468")</f>
        <v/>
      </c>
      <c r="F168">
        <f>HYPERLINK("https://www.amazon.jobs/jobs/3059256/sr-applied-scientist-prime-video--personalization-and-discovery-science?cmpid=DA_INAD200785B", "https://www.amazon.jobs/jobs/3059256/sr-applied-scientist-prime-video--personalization-and-discovery-science?cmpid=DA_INAD200785B")</f>
        <v/>
      </c>
      <c r="G168" t="inlineStr">
        <is>
          <t>Seattle, WA, US</t>
        </is>
      </c>
      <c r="H168" s="2" t="n">
        <v>45881</v>
      </c>
      <c r="I1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in-8b36194ea169f965</t>
        </is>
      </c>
      <c r="B169" t="inlineStr">
        <is>
          <t>Applied Scientist II, Prime Video - Personalization and Discovery Science</t>
        </is>
      </c>
      <c r="C169" t="inlineStr">
        <is>
          <t>Amazon.com</t>
        </is>
      </c>
      <c r="D169" t="inlineStr">
        <is>
          <t>indeed</t>
        </is>
      </c>
      <c r="E169">
        <f>HYPERLINK("https://www.indeed.com/viewjob?jk=8b36194ea169f965", "https://www.indeed.com/viewjob?jk=8b36194ea169f965")</f>
        <v/>
      </c>
      <c r="F169">
        <f>HYPERLINK("https://www.amazon.jobs/jobs/3059253/applied-scientist-ii-prime-video--personalization-and-discovery-science?cmpid=DA_INAD200785B", "https://www.amazon.jobs/jobs/3059253/applied-scientist-ii-prime-video--personalization-and-discovery-science?cmpid=DA_INAD200785B")</f>
        <v/>
      </c>
      <c r="G169" t="inlineStr">
        <is>
          <t>New York, NY, US</t>
        </is>
      </c>
      <c r="H169" s="2" t="n">
        <v>45881</v>
      </c>
      <c r="I1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in-d9beec3973aa7800</t>
        </is>
      </c>
      <c r="B170" t="inlineStr">
        <is>
          <t>Applied Scientist II, Prime Video - Personalization and Discovery Science</t>
        </is>
      </c>
      <c r="C170" t="inlineStr">
        <is>
          <t>Amazon.com</t>
        </is>
      </c>
      <c r="D170" t="inlineStr">
        <is>
          <t>indeed</t>
        </is>
      </c>
      <c r="E170">
        <f>HYPERLINK("https://www.indeed.com/viewjob?jk=d9beec3973aa7800", "https://www.indeed.com/viewjob?jk=d9beec3973aa7800")</f>
        <v/>
      </c>
      <c r="F170">
        <f>HYPERLINK("https://www.amazon.jobs/jobs/3059253/applied-scientist-ii-prime-video--personalization-and-discovery-science?cmpid=DA_INAD200785B", "https://www.amazon.jobs/jobs/3059253/applied-scientist-ii-prime-video--personalization-and-discovery-science?cmpid=DA_INAD200785B")</f>
        <v/>
      </c>
      <c r="G170" t="inlineStr">
        <is>
          <t>Sunnyvale, CA, US</t>
        </is>
      </c>
      <c r="H170" s="2" t="n">
        <v>45881</v>
      </c>
      <c r="I1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in-9aa1d5ed5c575431</t>
        </is>
      </c>
      <c r="B171" t="inlineStr">
        <is>
          <t>Applied Scientist III, StoreGen</t>
        </is>
      </c>
      <c r="C171" t="inlineStr">
        <is>
          <t>Amazon.com</t>
        </is>
      </c>
      <c r="D171" t="inlineStr">
        <is>
          <t>indeed</t>
        </is>
      </c>
      <c r="E171">
        <f>HYPERLINK("https://www.indeed.com/viewjob?jk=9aa1d5ed5c575431", "https://www.indeed.com/viewjob?jk=9aa1d5ed5c575431")</f>
        <v/>
      </c>
      <c r="F171">
        <f>HYPERLINK("https://www.amazon.jobs/jobs/3065534/applied-scientist-iii-storegen?cmpid=DA_INAD200785B", "https://www.amazon.jobs/jobs/3065534/applied-scientist-iii-storegen?cmpid=DA_INAD200785B")</f>
        <v/>
      </c>
      <c r="G171" t="inlineStr">
        <is>
          <t>Seattle, WA, US</t>
        </is>
      </c>
      <c r="H171" s="2" t="n">
        <v>45868</v>
      </c>
      <c r="I171"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in-6d23731c23a811c6</t>
        </is>
      </c>
      <c r="B172" t="inlineStr">
        <is>
          <t>Sr. Applied Scientist, Amazon Advertising</t>
        </is>
      </c>
      <c r="C172" t="inlineStr">
        <is>
          <t>Amazon.com</t>
        </is>
      </c>
      <c r="D172" t="inlineStr">
        <is>
          <t>indeed</t>
        </is>
      </c>
      <c r="E172">
        <f>HYPERLINK("https://www.indeed.com/viewjob?jk=6d23731c23a811c6", "https://www.indeed.com/viewjob?jk=6d23731c23a811c6")</f>
        <v/>
      </c>
      <c r="F172">
        <f>HYPERLINK("https://www.amazon.jobs/jobs/3035686/sr-applied-scientist-amazon-advertising?cmpid=DA_INAD200785B", "https://www.amazon.jobs/jobs/3035686/sr-applied-scientist-amazon-advertising?cmpid=DA_INAD200785B")</f>
        <v/>
      </c>
      <c r="G172" t="inlineStr">
        <is>
          <t>Arlington, VA, US</t>
        </is>
      </c>
      <c r="H172" s="2" t="n">
        <v>45851</v>
      </c>
      <c r="I17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in-36dc9d24aa92fc2e</t>
        </is>
      </c>
      <c r="B173" t="inlineStr">
        <is>
          <t>Sr. Applied Scientist, Amazon Advertising</t>
        </is>
      </c>
      <c r="C173" t="inlineStr">
        <is>
          <t>Amazon.com</t>
        </is>
      </c>
      <c r="D173" t="inlineStr">
        <is>
          <t>indeed</t>
        </is>
      </c>
      <c r="E173">
        <f>HYPERLINK("https://www.indeed.com/viewjob?jk=36dc9d24aa92fc2e", "https://www.indeed.com/viewjob?jk=36dc9d24aa92fc2e")</f>
        <v/>
      </c>
      <c r="F173">
        <f>HYPERLINK("https://www.amazon.jobs/jobs/3035686/sr-applied-scientist-amazon-advertising?cmpid=DA_INAD200785B", "https://www.amazon.jobs/jobs/3035686/sr-applied-scientist-amazon-advertising?cmpid=DA_INAD200785B")</f>
        <v/>
      </c>
      <c r="G173" t="inlineStr">
        <is>
          <t>Palo Alto, CA, US</t>
        </is>
      </c>
      <c r="H173" s="2" t="n">
        <v>45851</v>
      </c>
      <c r="I17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in-e1b85216c948fdd0</t>
        </is>
      </c>
      <c r="B174" t="inlineStr">
        <is>
          <t>Sr. Applied Scientist, Amazon Advertising</t>
        </is>
      </c>
      <c r="C174" t="inlineStr">
        <is>
          <t>Amazon.com</t>
        </is>
      </c>
      <c r="D174" t="inlineStr">
        <is>
          <t>indeed</t>
        </is>
      </c>
      <c r="E174">
        <f>HYPERLINK("https://www.indeed.com/viewjob?jk=e1b85216c948fdd0", "https://www.indeed.com/viewjob?jk=e1b85216c948fdd0")</f>
        <v/>
      </c>
      <c r="F174">
        <f>HYPERLINK("https://www.amazon.jobs/jobs/3035686/sr-applied-scientist-amazon-advertising?cmpid=DA_INAD200785B", "https://www.amazon.jobs/jobs/3035686/sr-applied-scientist-amazon-advertising?cmpid=DA_INAD200785B")</f>
        <v/>
      </c>
      <c r="G174" t="inlineStr">
        <is>
          <t>Austin, TX, US</t>
        </is>
      </c>
      <c r="H174" s="2" t="n">
        <v>45851</v>
      </c>
      <c r="I17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in-1284c1f6a150e3bf</t>
        </is>
      </c>
      <c r="B175" t="inlineStr">
        <is>
          <t>Sr. Applied Scientist, Amazon Advertising</t>
        </is>
      </c>
      <c r="C175" t="inlineStr">
        <is>
          <t>Amazon.com</t>
        </is>
      </c>
      <c r="D175" t="inlineStr">
        <is>
          <t>indeed</t>
        </is>
      </c>
      <c r="E175">
        <f>HYPERLINK("https://www.indeed.com/viewjob?jk=1284c1f6a150e3bf", "https://www.indeed.com/viewjob?jk=1284c1f6a150e3bf")</f>
        <v/>
      </c>
      <c r="F175">
        <f>HYPERLINK("https://www.amazon.jobs/jobs/3035686/sr-applied-scientist-amazon-advertising?cmpid=DA_INAD200785B", "https://www.amazon.jobs/jobs/3035686/sr-applied-scientist-amazon-advertising?cmpid=DA_INAD200785B")</f>
        <v/>
      </c>
      <c r="G175" t="inlineStr">
        <is>
          <t>Simi Valley, CA, US</t>
        </is>
      </c>
      <c r="H175" s="2" t="n">
        <v>45851</v>
      </c>
      <c r="I17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in-e790681a95fbd37e</t>
        </is>
      </c>
      <c r="B176" t="inlineStr">
        <is>
          <t>Sr. Applied Scientist, Amazon Advertising</t>
        </is>
      </c>
      <c r="C176" t="inlineStr">
        <is>
          <t>Amazon.com</t>
        </is>
      </c>
      <c r="D176" t="inlineStr">
        <is>
          <t>indeed</t>
        </is>
      </c>
      <c r="E176">
        <f>HYPERLINK("https://www.indeed.com/viewjob?jk=e790681a95fbd37e", "https://www.indeed.com/viewjob?jk=e790681a95fbd37e")</f>
        <v/>
      </c>
      <c r="F176">
        <f>HYPERLINK("https://www.amazon.jobs/jobs/3035686/sr-applied-scientist-amazon-advertising?cmpid=DA_INAD200785B", "https://www.amazon.jobs/jobs/3035686/sr-applied-scientist-amazon-advertising?cmpid=DA_INAD200785B")</f>
        <v/>
      </c>
      <c r="G176" t="inlineStr">
        <is>
          <t>New York, NY, US</t>
        </is>
      </c>
      <c r="H176" s="2" t="n">
        <v>45851</v>
      </c>
      <c r="I17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in-85b515d10f42f0b6</t>
        </is>
      </c>
      <c r="B177" t="inlineStr">
        <is>
          <t>Sr. Applied Scientist, Amazon Advertising</t>
        </is>
      </c>
      <c r="C177" t="inlineStr">
        <is>
          <t>Amazon.com</t>
        </is>
      </c>
      <c r="D177" t="inlineStr">
        <is>
          <t>indeed</t>
        </is>
      </c>
      <c r="E177">
        <f>HYPERLINK("https://www.indeed.com/viewjob?jk=85b515d10f42f0b6", "https://www.indeed.com/viewjob?jk=85b515d10f42f0b6")</f>
        <v/>
      </c>
      <c r="F177">
        <f>HYPERLINK("https://www.amazon.jobs/jobs/3035686/sr-applied-scientist-amazon-advertising?cmpid=DA_INAD200785B", "https://www.amazon.jobs/jobs/3035686/sr-applied-scientist-amazon-advertising?cmpid=DA_INAD200785B")</f>
        <v/>
      </c>
      <c r="G177" t="inlineStr">
        <is>
          <t>Seattle, WA, US</t>
        </is>
      </c>
      <c r="H177" s="2" t="n">
        <v>45851</v>
      </c>
      <c r="I17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in-c5543a5565d6e852</t>
        </is>
      </c>
      <c r="B178" t="inlineStr">
        <is>
          <t>Sr. Applied Scientist, Amazon Advertising</t>
        </is>
      </c>
      <c r="C178" t="inlineStr">
        <is>
          <t>Amazon.com</t>
        </is>
      </c>
      <c r="D178" t="inlineStr">
        <is>
          <t>indeed</t>
        </is>
      </c>
      <c r="E178">
        <f>HYPERLINK("https://www.indeed.com/viewjob?jk=c5543a5565d6e852", "https://www.indeed.com/viewjob?jk=c5543a5565d6e852")</f>
        <v/>
      </c>
      <c r="F178">
        <f>HYPERLINK("https://www.amazon.jobs/jobs/3035686/sr-applied-scientist-amazon-advertising?cmpid=DA_INAD200785B", "https://www.amazon.jobs/jobs/3035686/sr-applied-scientist-amazon-advertising?cmpid=DA_INAD200785B")</f>
        <v/>
      </c>
      <c r="G178" t="inlineStr">
        <is>
          <t>Los Angeles, CA, US</t>
        </is>
      </c>
      <c r="H178" s="2" t="n">
        <v>45851</v>
      </c>
      <c r="I17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in-da4799e8b4666721</t>
        </is>
      </c>
      <c r="B179" t="inlineStr">
        <is>
          <t>Sr. Applied Scientist, Amazon Advertising</t>
        </is>
      </c>
      <c r="C179" t="inlineStr">
        <is>
          <t>Amazon.com</t>
        </is>
      </c>
      <c r="D179" t="inlineStr">
        <is>
          <t>indeed</t>
        </is>
      </c>
      <c r="E179">
        <f>HYPERLINK("https://www.indeed.com/viewjob?jk=da4799e8b4666721", "https://www.indeed.com/viewjob?jk=da4799e8b4666721")</f>
        <v/>
      </c>
      <c r="F179">
        <f>HYPERLINK("https://www.amazon.jobs/jobs/3035686/sr-applied-scientist-amazon-advertising?cmpid=DA_INAD200785B", "https://www.amazon.jobs/jobs/3035686/sr-applied-scientist-amazon-advertising?cmpid=DA_INAD200785B")</f>
        <v/>
      </c>
      <c r="G179" t="inlineStr">
        <is>
          <t>West Hollywood, CA, US</t>
        </is>
      </c>
      <c r="H179" s="2" t="n">
        <v>45851</v>
      </c>
      <c r="I17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in-8950290e021ad868</t>
        </is>
      </c>
      <c r="B180" t="inlineStr">
        <is>
          <t>Senior Applied Scientist, Delivery Foundation Model</t>
        </is>
      </c>
      <c r="C180" t="inlineStr">
        <is>
          <t>Amazon.com</t>
        </is>
      </c>
      <c r="D180" t="inlineStr">
        <is>
          <t>indeed</t>
        </is>
      </c>
      <c r="E180">
        <f>HYPERLINK("https://www.indeed.com/viewjob?jk=8950290e021ad868", "https://www.indeed.com/viewjob?jk=8950290e021ad868")</f>
        <v/>
      </c>
      <c r="F180">
        <f>HYPERLINK("https://www.amazon.jobs/jobs/2998435/senior-applied-scientist-delivery-foundation-model-?cmpid=DA_INAD200785B", "https://www.amazon.jobs/jobs/2998435/senior-applied-scientist-delivery-foundation-model-?cmpid=DA_INAD200785B")</f>
        <v/>
      </c>
      <c r="G180" t="inlineStr">
        <is>
          <t>Santa Clara, CA, US</t>
        </is>
      </c>
      <c r="H180" s="2" t="n">
        <v>45806</v>
      </c>
      <c r="I18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in-b36a69a4e6a8cbc5</t>
        </is>
      </c>
      <c r="B181" t="inlineStr">
        <is>
          <t>Senior Applied Scientist, Delivery Foundation Model</t>
        </is>
      </c>
      <c r="C181" t="inlineStr">
        <is>
          <t>Amazon.com</t>
        </is>
      </c>
      <c r="D181" t="inlineStr">
        <is>
          <t>indeed</t>
        </is>
      </c>
      <c r="E181">
        <f>HYPERLINK("https://www.indeed.com/viewjob?jk=b36a69a4e6a8cbc5", "https://www.indeed.com/viewjob?jk=b36a69a4e6a8cbc5")</f>
        <v/>
      </c>
      <c r="F181">
        <f>HYPERLINK("https://www.amazon.jobs/jobs/2998435/senior-applied-scientist-delivery-foundation-model-?cmpid=DA_INAD200785B", "https://www.amazon.jobs/jobs/2998435/senior-applied-scientist-delivery-foundation-model-?cmpid=DA_INAD200785B")</f>
        <v/>
      </c>
      <c r="G181" t="inlineStr">
        <is>
          <t>Bellevue, WA, US</t>
        </is>
      </c>
      <c r="H181" s="2" t="n">
        <v>45806</v>
      </c>
      <c r="I18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in-faefdfe15338b0a2</t>
        </is>
      </c>
      <c r="B182" t="inlineStr">
        <is>
          <t>Senior Applied Scientist, Delivery Foundation Model</t>
        </is>
      </c>
      <c r="C182" t="inlineStr">
        <is>
          <t>Amazon.com</t>
        </is>
      </c>
      <c r="D182" t="inlineStr">
        <is>
          <t>indeed</t>
        </is>
      </c>
      <c r="E182">
        <f>HYPERLINK("https://www.indeed.com/viewjob?jk=faefdfe15338b0a2", "https://www.indeed.com/viewjob?jk=faefdfe15338b0a2")</f>
        <v/>
      </c>
      <c r="F182">
        <f>HYPERLINK("https://www.amazon.jobs/jobs/2998435/senior-applied-scientist-delivery-foundation-model-?cmpid=DA_INAD200785B", "https://www.amazon.jobs/jobs/2998435/senior-applied-scientist-delivery-foundation-model-?cmpid=DA_INAD200785B")</f>
        <v/>
      </c>
      <c r="G182" t="inlineStr">
        <is>
          <t>New York, NY, US</t>
        </is>
      </c>
      <c r="H182" s="2" t="n">
        <v>45806</v>
      </c>
      <c r="I18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in-1ef9988b3b6827fe</t>
        </is>
      </c>
      <c r="B183" t="inlineStr">
        <is>
          <t>Senior Machine Learning Engineer - Azure</t>
        </is>
      </c>
      <c r="C183" t="inlineStr">
        <is>
          <t>Logic20/20</t>
        </is>
      </c>
      <c r="D183" t="inlineStr">
        <is>
          <t>indeed</t>
        </is>
      </c>
      <c r="E183">
        <f>HYPERLINK("https://www.indeed.com/viewjob?jk=1ef9988b3b6827fe", "https://www.indeed.com/viewjob?jk=1ef9988b3b6827fe")</f>
        <v/>
      </c>
      <c r="F183">
        <f>HYPERLINK("https://jobs.smartrecruiters.com/Logic2020Inc/744000111190534-senior-machine-learning-engineer-azure", "https://jobs.smartrecruiters.com/Logic2020Inc/744000111190534-senior-machine-learning-engineer-azure")</f>
        <v/>
      </c>
      <c r="G183" t="inlineStr">
        <is>
          <t>Seattle, WA, US</t>
        </is>
      </c>
      <c r="H183" s="2" t="n">
        <v>46077</v>
      </c>
      <c r="I183" t="inlineStr">
        <is>
          <t>**Company Description**  
We’re a ten\-time “Best Company to Work For,” where intelligent, talented people come together to do outstanding work—and have a lot of fun while they’re at it. We offer a solution\-focused environment full of collaboration and dedication, to our goals and to each other. You’ll have the opportunity to drive your own success in a supportive, globally connected environment. From advanced tools and technology to an immersive company culture, working at Logic20/20 means working on the leading edge, with a community of the right people around you.
 **Job Description**  
Logic20/20 is seeking a Senior Machine Learning Engineer to support data science teams utilizing artificial intelligence and machine learning to predict and analyze computer vision or customer intent models. This is an exciting opportunity to make an impact by leveraging AI and ML techniques to create production\-level systems through the application of machine learning models.
**What you’ll do:**
* Create frameworks to predict a variety of outcomes in different scenarios
* Create models of customer satisfaction that provide detailed insight into what causes a customer to take different actions
* Collaborate with other data scientists and stakeholders on projects
* Develop solutions in Python
* Develop production\-grade solutions
* Work in Hadoop, Redshift, and Spark
* Translate business and product questions into analytics projects
* Communicate clearly over written and oral channels while translating complex methodologies and analytical results into high\-level insights
**Qualifications**  
* 5\-10 years of experience in a data science and/or machine learning role with deep expertise in Python.
* Strong experience with Azure, Azure ML, and Terraform.
* Experience building and managing robust CI/CD pipelines for machine learning workflows, including model training, evaluation, and deployment.
* Knowledge of professional enterprise software development and practices, including software lifecycle, best coding practices, version control, architecture, testing, and deployment.
* Familiarity with popular machine learning libraries and frameworks, including TensorFlow, Keras, etc.
* Knowledge of statistics and Machine Learning techniques.
* Experience with GitHub.
* Experience building data pipelines.
**Preferred qualifications**
* Experience with PyTorch.
* Experience developing and deploying image models.
* Master's degree/PhD in computer science or related field.
**Additional Information**  
At Logic20/20, we believe in recognizing and rewarding exceptional talent. Logic20/20 offers a competitive compensation package, with a target base salary range of $125,865 \- $141,150 for this role. The final base salary offered is dependent on factors such as relevant experience, skills, qualifications, and location. Eligible employees may also qualify for performance\-based bonuses and other incentives.
All your information will be kept confidential according to EEO guidelines.
**Learn more about life at Logic20/20!**
Visit our Life at Logic page to explore our culture, benefits, and what makes Logic20/20 a great place to grow your career!
**Core Values**
At Logic20/20, we are guided by three core values: Drive toward Excellence, Act with Integrity \&amp; Foster a Culture of We. These values were generated and agreed upon by our employees—and they help us pursue our goal of being one of the best companies to work for and to work with. Learn more at https://www.logic2020\.com/company/our\-values.
**Equal Opportunity Statement**
We believe that people should be celebrated: for their talents, ideas, and skills, but most of all, for what makes them unique. We prohibit harassment and/or discrimination based on age, race, creed, color, religion, sex, national origin, ancestry, disability status, veteran status, sexual orientation, gender identity or expression, genetic information, marital status, citizenship status, or any other basis as protected by federal, state, or local law.
To learn more about our DE\&amp;I initiatives, please visit: https://www.logic2020\.com/company/diversity\-equity\-inclusion
**Privacy Policy**
During the recruitment and hiring process, we gather, process, and store some of your personal data. We consider data privacy a priority. For further information, please view our company privacy policy.</t>
        </is>
      </c>
    </row>
    <row r="184">
      <c r="A184" t="inlineStr">
        <is>
          <t>in-d6bb9ddda64f1905</t>
        </is>
      </c>
      <c r="B184" t="inlineStr">
        <is>
          <t>Senior ML Engineer, Enrichment</t>
        </is>
      </c>
      <c r="C184" t="inlineStr">
        <is>
          <t>Flock Safety</t>
        </is>
      </c>
      <c r="D184" t="inlineStr">
        <is>
          <t>indeed</t>
        </is>
      </c>
      <c r="E184">
        <f>HYPERLINK("https://www.indeed.com/viewjob?jk=d6bb9ddda64f1905", "https://www.indeed.com/viewjob?jk=d6bb9ddda64f1905")</f>
        <v/>
      </c>
      <c r="F184">
        <f>HYPERLINK("https://jobs.ashbyhq.com/Flock%20Safety/73e57e4c-5def-4595-b647-6b0171916a5c", "https://jobs.ashbyhq.com/Flock%20Safety/73e57e4c-5def-4595-b647-6b0171916a5c")</f>
        <v/>
      </c>
      <c r="G184" t="inlineStr">
        <is>
          <t>Remote, US</t>
        </is>
      </c>
      <c r="H184" s="2" t="n">
        <v>46076</v>
      </c>
      <c r="I184" t="inlineStr">
        <is>
          <t>Location
Remote \- USA
Employment Type
Full time
Location Type
Remote
Department
Engineering
Compensation
$160K – $175K • Offers Equity
Where you fall within the compensation range is based on how you demonstrate the attributes and competencies required for the role. We mostly reserve the upper half of our compensation bands for internal growth. During your call with one of our recruiters, they can further clarify the salary range and our total compensation.
Overview
**Who is Flock?**
Flock Safety is the leading safety technology platform, helping communities thrive by taking a proactive approach to crime prevention and security. Our hardware and software suite connects cities, law enforcement, businesses, schools, and neighborhoods in a nationwide public\-private safety network. Trusted by over 5,000 communities, 4,500 law enforcement agencies, and 1,000 businesses, Flock delivers real\-time intelligence while prioritizing privacy and responsible innovation.
We’re a high\-performance, low\-ego team driven by urgency, collaboration, and bold thinking. Working at Flock means tackling big challenges, moving fast, and continuously improving. It’s intense but deeply rewarding for those who want to make an impact.
With nearly $700M in venture funding and a $7\.5B valuation, we’re scaling intentionally and seeking top talent to help build the impossible. If you value teamwork, ownership, and solving tough problems, Flock could be the place for you.
**The Opportunity**
As a Senior Machine Learning Engineer on the Vision Team, you will support the machine learning model lifecycle that allows our devices to decode evidence like a detective and define how crime is eliminated. You will play a key role in improving model performance and addressing model drift. The ideal candidate is someone who is passionate about taking cutting edge research and technology to solve new problems, and enjoys working with the entire lifecycle of Machine Learning software.
**How you'll make an impact:**
* Frame open\-ended, real\-world problems into well defined ML problems
* Make use of and improve on existing data acquisition and model training/evaluation pipelines to create appropriate datasets and obtain model feedback
* Leverage cutting\-edge research and technology to create custom solutions
* Design and run experiments to test new ideas or improvements to existing models
* Build visualization and monitoring tools to evaluate the quality of our data and models
* Collaborate across teams and product to deliver solutions that fit within business and organizational requirements
* Review code of other Machine Learning Engineers
**The Skillset**
* 6\+ years of experience
* BS/MS in Computer Science, Mathematics, Physics, Engineering, or proof of equivalent software engineering experience (PhD’s welcome)
* Experience solving problems using Machine Learning frameworks (Tensorflow, PyTorch, scikit\-learn, etc.)
* Good understanding of Deep Learning and Traditional ML (supervised and unsupervised) algorithms
* Experience writing Python in a team environment
* Able to take on complex problems, learn quickly, iterate, and persist towards a good solution
* Effectively communicate, at the level of your audience, and seek to understand and be understood
* Basic SQL knowledge
* Basic Git knowledge
* Experience with linear algebra, probability, and statistics preferred
*Feeling uneasy that you haven’t ticked every box? That’s okay; we’ve felt that way too. Studies have shown women and minorities are less likely to apply unless they meet all qualifications. We encourage you to break the status quo and apply to roles that would make you excited to come to work every day.*
**90 Days at Flock**
We are a results\-oriented culture and believe job descriptions are a thing of the past. We prescribe 90 day plans and believe that good days lead to good weeks, which lead to good months. This serves as a preview of the 90 day plan you will receive if you were to be hired in this role at Flock Safety.
**The First 30 Days**
* Learn our tech stack, internal toolkit, and standard operating procedures for training, evaluating, and deploying our machine learning models
* Get to know the technical teams and stakeholder groups you’ll be working closely with
* Begin making a meaningful impact by adding an incremental improvement to our model evaluation reports
**The First 60 Days**
* Curate our holdout data to improve representation and address certain challenging strata
* Improve statistical reporting metrics in our evaluation reports
* Get acquainted with downstream repositories that support our predictive capabilities.
**90 Days \&amp; Beyond**
* Improve understanding of the impact of data augmentations in our training pipeline.
* Introduce new augmentations within our modeling framework
* Gauge model robustness by building holdout datasets for various adversarial conditions
* Become fully independent within our end\-to\-end training and deployment pipeline
**Salary \&amp; Equity**
In this role, you’ll receive a starting salary between $160,000 and $175,000 as well as Flock Safety Stock Options. Base salary is determined by job\-related experience, education/training, as well as market indicators. Your recruiter will discuss this in\-depth with you during our first chat.
**Location**
We’re building the impossible, together. To drive innovation through in\-person collaboration, we’re prioritizing candidates in our key hubs: Atlanta, Boston, Chicago, Denver, Los Angeles, New York City, San Francisco, and Austin. While we value the energy of our hub communities, we embrace remote work and welcome applications from exceptional talent across the United States.
**The Perks**
**Flexible PTO**: We offer non\-accrual PTO, plus 11 company holidays.
* ️**Fully\-paid** **health benefits** **plan for employees**: including Medical, Dental, and Vision and an HSA match.
**Family Leave**: All employees receive 12 weeks of 100% paid parental leave. Birthing parents are eligible for an additional 6\-8 weeks of physical recovery time.
**Fertility \&amp; Family Benefits:** We have partnered with Maven, a complete digital health benefit for starting and raising a family. Flock will provide a $50,000\-lifetime maximum benefit related to eligible adoption, surrogacy, or fertility expenses.
**Spring Health:** Spring Health offers a variety of mental health benefits, including therapy, coaching, medication management, and digital tools, all tailored to each individual's needs.
**Caregiver Support:** We have partnered with Cariloop to provide our employees with caregiver support
**Carta Tax Advisor:** Employees receive 1:1 sessions with Equity Tax Advisors who can address individual grants, model tax scenarios, and answer general questions.
**ERGs:** We want all employees to thrive and feel like they belong at Flock. We offer four ERGs today \- Women of Flock, Flock Proud, LEOs and Melanin Motion. If you are interested in talking to a representative from one of these, please let your recruiter know.
**WFH Stipend:** $150 per month to cover the costs of working from home.
**Productivity Stipend:** $300 per year to use on Audible, Calm, Masterclass, Duolingo and so much more.
**Home Office Stipend:** A one\-time $750 to help you create your dream office.
*If an offer is extended and accepted, this position requires the ability to obtain and maintain Criminal Justice Information Services (CJIS) certification as a condition of employment. Applicants must meet all FBI CJIS Security Policy requirements, including a fingerprint\-based background check.*
*Flock is an equal opportunity employer. We celebrate diverse backgrounds and thoughts and welcome everyone to apply for employment with us. We are committed to fostering an environment that is inclusive, transparent, and collaborative. Mutual respect is central to how Flock operates, and we believe the best solutions come from diverse perspectives, experiences, and skills. We embrace our differences and know that we are stronger working together.*
*If you need assistance or an accommodation due to a disability, please email us at recruiting@flocksafety.com. This information will be treated as confidential and used only to determine an appropriate accommodation for the interview process.*
*At Flock Safety, we compensate our employees fairly for their work. Base salary is determined by job\-related experience, education/training, as well as market indicators. The range above is representative of base salary only and does not include equity, sales bonus plans (when applicable) and benefits. This range may be modified in the future. This job posting may span more than one career level.*
*Flock Safety is aware of fraudulent individuals and agencies falsely claiming to represent our company. All legitimate communication from Flock Safety will come from an email address ending in* ***@******flocksafety.com****. We do not make job offers through messaging apps, social platforms, or unauthorized third parties, and we will never request payment or sensitive personal information during the hiring process. If you encounter suspicious outreach related to a Flock Safety role, please report it to* *recruiting@flocksafety.com*</t>
        </is>
      </c>
    </row>
    <row r="185">
      <c r="A185" t="inlineStr">
        <is>
          <t>in-524a6c528069c1e7</t>
        </is>
      </c>
      <c r="B185" t="inlineStr">
        <is>
          <t>Senior AI Engineer</t>
        </is>
      </c>
      <c r="C185" t="inlineStr">
        <is>
          <t>Cellebrite</t>
        </is>
      </c>
      <c r="D185" t="inlineStr">
        <is>
          <t>indeed</t>
        </is>
      </c>
      <c r="E185">
        <f>HYPERLINK("https://www.indeed.com/viewjob?jk=524a6c528069c1e7", "https://www.indeed.com/viewjob?jk=524a6c528069c1e7")</f>
        <v/>
      </c>
      <c r="F185">
        <f>HYPERLINK("https://cellebrite.com/en/about/careers/positions/?comeet_cat=us-dc&amp;comeet_pos=2A.56E&amp;comeet_all=all&amp;jr_id=699e3ce681476f6176b72174&amp;coref=1.11.p53_E91F", "https://cellebrite.com/en/about/careers/positions/?comeet_cat=us-dc&amp;comeet_pos=2A.56E&amp;comeet_all=all&amp;jr_id=699e3ce681476f6176b72174&amp;coref=1.11.p53_E91F")</f>
        <v/>
      </c>
      <c r="G185" t="inlineStr">
        <is>
          <t>Tysons, VA, US</t>
        </is>
      </c>
      <c r="H185" s="2" t="n">
        <v>46076</v>
      </c>
      <c r="I185" t="inlineStr">
        <is>
          <t>**About Cellebrite:**
Cellebrite’s (Nasdaq: CLBT) mission is to enable its global customers to protect and save lives by enhancing digital investigations and intelligence gathering to accelerate justice in communities around the world. Cellebrite’s AI\-powered Digital Investigation Platform enables customers to lawfully access, collect, analyze and share digital evidence in legally sanctioned investigations while preserving data privacy. Thousands of public safety organizations, intelligence agencies and businesses rely on Cellebrite’s digital forensic and investigative solutions\-available via cloud, on\-premises and hybrid deployments\-to close faster and safeguard communities. To learn more, visit us at www.cellebrite.com, https://investors.cellebrite.com/investors and find us on social media @Cellebrite.
 **﻿What is your mission?**
We are seeking a talented and driven developer to join our team and help build scalable, cloud\-native solutions on AWS. This role sits at the intersection of modern software engineering and applied AI — leveraging AI\-powered development tools to enhance engineering productivity while also designing and delivering AI\-driven capabilities within our product.
You will be developing and maintaining a product to transform complex forensic data from diverse sources into meaningful investigative leads and intelligence insights. This platform will analyze large\-scale datasets to uncover patterns, anomalies, and relationships across entities — enabling users to see the bigger picture and act with confidence.
 **Responsibilities:**
* Design and implement features for our AWS\-based AI solution, including job orchestration, manifest generation, and API integrations.
* Build and maintain AI\-powered product features that extract insights from complex, multi\-source forensic datasets.
* Leverage AI\-assisted development tools to accelerate delivery while maintaining high standards of quality, security, and performance.
* Ensure code quality and reliability through comprehensive unit testing, performance testing, and observability enhancements.
* Collaborate with cross\-functional teams to integrate AI services into broader investigation workflows and runtime environments.
* Troubleshoot deployment issues and contribute to the continuous improvement of dashboards and monitoring tools.
* Contribute to data modelling, algorithm exploration, and proof\-of\-concept development.
 **Requirements:**
* Strong proficiency in Python and TypeScript, with experience building APIs and cloud‑native architecture.
* Knowledge of Node.js, Next.js, and React preferred; experience with Go is a plus.
* Hands‑on experience with AWS services such as SageMaker and Lambda.
* Ability to produce clear, maintainable code and contribute to shared documentation and engineering standards.
* Working knowledge of GitHub workflows, secrets handling, and secure release practices.
* Experience with Amazon EKS and Kubernetes‑based deployment environments.
* Exposure to GenAI platforms, including LLM integration and semantic caching techniques.
* Familiarity with observability platforms such as Datadog and structured log aggregation.
 *Cellebrite is an equal opportunity/affirmative action employer. All qualified applicants will receive consideration for employment without regard to sex, gender identity, sexual orientation, race, colour, religion, national origin, disability, protected Veteran status, age, or any other characteristic protected by law.*
\#LI\-DT1
Office Location:
Greater Washington, DC Area</t>
        </is>
      </c>
    </row>
    <row r="186">
      <c r="A186" t="inlineStr">
        <is>
          <t>in-1fd1edc9dcd1c862</t>
        </is>
      </c>
      <c r="B186" t="inlineStr">
        <is>
          <t>Lead AI Engineer</t>
        </is>
      </c>
      <c r="C186" t="inlineStr">
        <is>
          <t>Equifax</t>
        </is>
      </c>
      <c r="D186" t="inlineStr">
        <is>
          <t>indeed</t>
        </is>
      </c>
      <c r="E186">
        <f>HYPERLINK("https://www.indeed.com/viewjob?jk=1fd1edc9dcd1c862", "https://www.indeed.com/viewjob?jk=1fd1edc9dcd1c862")</f>
        <v/>
      </c>
      <c r="F186">
        <f>HYPERLINK("https://careers.equifax.com/en/jobs/j00174611/lead-ai-engineer/", "https://careers.equifax.com/en/jobs/j00174611/lead-ai-engineer/")</f>
        <v/>
      </c>
      <c r="G186" t="inlineStr">
        <is>
          <t>St. Louis, MO, US</t>
        </is>
      </c>
      <c r="H186" s="2" t="n">
        <v>46076</v>
      </c>
      <c r="I186" t="inlineStr">
        <is>
          <t>Equifax is actively seeking a highly motivated **Lead AI Engineer** to architect the future of our technological infrastructure. This role transcends mere tool implementation; the incumbent will serve as the catalyst for an **AI\-First Software Engineering** paradigm shift, transitioning from manual coding practices to the sophisticated orchestration of AI agents. The core mission is to significantly enhance development capacity, enabling the team to prioritize high\-value innovation over manual, repetitive tasks.
The successful candidate will operate at the vanguard of modern engineering, driving the transformation from manual coding to the command and control of AI agents. By leveraging Vibe coding methodologies in conjunction with AI\-powered assistants such as Gemini and GitHub Copilot, the role will accelerate innovation across our highly scalable APIs, microservices, and PaaS/SaaS platforms. This position entails leading the design and deployment of advanced AI agents within the Google Cloud Platform, ensuring that the integration of AI tools culminates in **secure, compliant, and standardized deployment pipelines** that define our 'Golden Path' to production. This individual will function not only as an engineer but also as an architect, a mentor, and a principal driver of the team's technical vision for adopting cutting\-edge, AI\-driven software development. Individuals demonstrating a profound passion for emerging AI technologies and their application in enhancing Software Product engineering are strongly encouraged to apply.
**This role requires being in the office 3 days/week on Tues \- Thurs.**
**This position does not offer immigration sponsorship (current or future) including F\-1 STEM OPT extension support.**
**What you’ll do**
* Champion modern software development practices by proactively utilizing AI code\-assist tools (e.g., Gemini code assists, GitHub Copilot, Claude code) to expedite development cycles, generate comprehensive documentation, and improve code quality, testing, and monitoring \&amp; observability protocols.
* Lead AI Research \&amp; Innovation efforts to maintain a position at the forefront of the field. This includes identifying, prototyping, and integrating the latest foundational models, RAG (Retrieval\-Augmented Generation) techniques, and agentic frameworks to address complex business challenges.
* Collaborate strategically with product leaders, architects, Site Reliability Engineers (SREs), and fellow engineers to translate business requirements into robust technical solutions. Drive innovation and efficacy in our AI solutions through close collaboration, ensuring a successful transition from the traditional Software Development Life Cycle (SDLC) to an "AI Development Life Cycle" (AI DLC).
* Maintain a data\- and metrics\-driven approach with a stringent focus on optimizing and creating highly efficient solutions, and quantifying the business and customer impact of those solutions.
* Engage in security and compliance approval processes, ensuring a "secure\-by\-design" methodology and adherence to Equifax’s best practices for security and compliance.
* Propose architectural and design recommendations for Production Scale on GCP: Engineer and operate our AI systems within a scalable, reliable production environment on the Google Cloud Platform.
* Ensure rigorous compliance with EFX secure software development guidelines and best practices.
* Collaborate with architects, SRE leads, and other technical leadership on strategic technical direction, guidelines, and best practices.
**What experience you need**
* **Visionary Leadership:** A minimum of 7 years of experience in software engineering, with a demonstrated capability to provide leadership through ambiguity and to effectively motivate cross\-functional teams.
* **AI Specialization:** At least 2 years of applying Generative AI (GenAI) to solve enterprise\-level business problems and a minimum of 1 year of experience with agentic AI frameworks.
* **Cloud Mastery:** Expert\-level proficiency in GCP, Kubernetes, Infrastructure\-as\-Code (IaC), CI/CD tools, and database knowledge.
* **Observability Mindset:** Experience with AI\-powered log analysis and troubleshooting using relevant tools.
* Bachelor's degree in Computer Science or an equivalent field.
* Proficiency in Python, JavaScript/TypeScript, and/or Java, along with a working knowledge of modern front\-end frameworks.
**What could set you apart**
* The ability to not merely utilize AI, but to engineer the ecosystems that optimize the efficiency of all other engineers.
* A collaborative disposition and a willingness to foster a "Me, We, Us" culture through mentorship and shared AI excellence.
* A strong commitment to Shift\-Left strategies that minimize rework and optimize resource utilization.
\#LI\-ES1
\#LI\-Hybrid</t>
        </is>
      </c>
    </row>
    <row r="187">
      <c r="A187" t="inlineStr">
        <is>
          <t>in-fcb8a030781599dc</t>
        </is>
      </c>
      <c r="B187" t="inlineStr">
        <is>
          <t>Senior Machine Learning Engineer</t>
        </is>
      </c>
      <c r="C187" t="inlineStr">
        <is>
          <t>VSCO</t>
        </is>
      </c>
      <c r="D187" t="inlineStr">
        <is>
          <t>indeed</t>
        </is>
      </c>
      <c r="E187">
        <f>HYPERLINK("https://www.indeed.com/viewjob?jk=fcb8a030781599dc", "https://www.indeed.com/viewjob?jk=fcb8a030781599dc")</f>
        <v/>
      </c>
      <c r="F187">
        <f>HYPERLINK("https://job-boards.greenhouse.io/vsco39/jobs/8436325002", "https://job-boards.greenhouse.io/vsco39/jobs/8436325002")</f>
        <v/>
      </c>
      <c r="G187" t="inlineStr">
        <is>
          <t>San Francisco, CA, US</t>
        </is>
      </c>
      <c r="H187" s="2" t="n">
        <v>46076</v>
      </c>
      <c r="I187" t="inlineStr">
        <is>
          <t>**About VSCO**
VSCO (pronounced vis–co) is a platform that equips photographers with the tools, community, and exposure they need to expand creatively and professionally. VSCO maintains a rich and authentic creative environment that serves photographers at all levels – preserving a home for creative opportunity, inspiration, and connection. Our mission is to champion photographers so they can make it. We empower photographers to connect with other creatives and businesses with our suite of creative tools that spans from mobile to desktop and across our global community.
We are looking for people who are driven and demonstrate initiative in taking our company mission to the next level. Employees here have the opportunity to make a big impact, and believe that when we build together, we achieve stronger outcomes than we could alone.
Our values are critical pillars to our team culture and shape the way we hire. Read more about what you can expect when working at VSCO on our Careers Page.
**About The Role**
In this role, you will turn AI and ML into exciting, reliable user\-facing product capabilities. You bring a strong technical background with deep machine learning expertise shaped by hands\-on experience shipping models into production and iterating based on real\-world feedback. You’re motivated by measurable impact and customer delight, and you balance innovation with practicality.
You’re fluent in Python, comfortable working across the data \+ ML stack, and able to build and ship models quickly in ways that are maintainable, observable, and scalable to large datasets. From lightweight heuristics and classical ML to modern deep learning and generative AI workflows, you can choose the right level of complexity for the problem and execute end\-to\-end: framing, experimentation, evaluation, deployment, and iteration.
You value the craft of software engineering and bring a thoughtful approach to system design for ML—data quality, pipelines, feature/embedding workflows, model serving, monitoring, and continuous improvement. Because ML has the most leverage when it’s deeply integrated into a cohesive product experience, you’re a strong cross\-functional partner: you collaborate closely with product, design, engineering, and data to align on goals, define success metrics, and deliver outcomes.
You stay current on the fast\-moving AI landscape with a grounded perspective—curious, discerning, and able to separate durable advances from hype—so the team can move quickly without chasing noise.
**The Day to Day**
* Design and implement ML\-powered features for search, discovery, personalization, and recommendation systems.
* Design and develop computer vision models powering the next generation of the photographer’s tool set
* Elevate our ML platform for model building, training, and deployment at scale.
* Research and implement machine learning best practices to elevate our creator platform.
* Utilize data and ML to optimize key business funnels and enhance user experiences.
* Collaborate cross\-functionally with technical and non\-technical teams, bringing strong business context to your decision\-making and using influence to build alignment and drive impact.
* Proactively assure progress with stakeholders and continually assess prioritization in order to move the business forward.
**Qualifications**
* 5\+ years of experience designing and developing ML systems for impactful product experiences.
* Proven track record in optimizing ML algorithms and building ML pipelines with a focus on reliability and scalability.
* Expertise in Python for writing production\-ready, testable code and conducting exploratory data analysis (EDA).
* Strong capabilities in SQL, statistics, and tools of effective data science.
* Hands\-on experience with computer vision models and familiarity with the latest trends in AI and ML.
* Prior experience with data engineering and infrastructure on cloud platforms (preferably AWS).
* Excellent written and verbal communication skills to articulate complex ideas and build alignment.
* Expertise in developing extensible code with LLM coding assistants
**Job Perks**
* Hybrid work with an office in San Francisco, CA
* Regular in\-person events events to connect and collaborate
* Competitive salary \&amp; equity
* Medical, dental, and vision insurance for employees and families
* Flexible Time Off
* Company\-paid parental, medical and caregiver leave
* Other perks including mental health resources and tech reimbursements
**Compensation**
The base salary for this position will vary based on several factors, such as relevant experience, location and your approved internal leveling assessed during the interview process. The base salary range for this role is $240,000 \- $260,000\. Salary is one component of our total compensation package. This position also qualifies for equity (i.e. stock options) and is eligible for discretionary bonuses based on performance.
The benefits available for this position include flexible time off, a 401K retirement plan, insurance (medical, dental, vision, life/AD\&amp;D, short and long term disability), and 11 paid holidays. We also provide paid sick time as required by state and local law. Additional benefits and perks contained in our standard employee benefits package are also offered for this position.
**Please note**:
The application window for this role will be open until at least 3/23/2026\. This opportunity will remain online based on business needs which may be before or after the specified date.
As part of our hiring process, we conduct pre\-employment background checks in compliance with federal, state, and local laws. Employment is contingent upon the successful completion of this background check, which includes state and federal criminal records checks, sex offender registry searches, and other relevant checks as permitted by law.
**Be careful of fraudulent job posts.**
If you receive outreach from someone claiming to work for VSCO, please verify they are communicating through the proper channels (vsco.co email domain or through Greenhouse).
Note that VSCO will never ask for financial information or sensitive personal information during the application process.</t>
        </is>
      </c>
    </row>
    <row r="188">
      <c r="A188" t="inlineStr">
        <is>
          <t>in-694c75517e319d9a</t>
        </is>
      </c>
      <c r="B188" t="inlineStr">
        <is>
          <t>Machine Learning Engineer - Statistician</t>
        </is>
      </c>
      <c r="C188" t="inlineStr">
        <is>
          <t>Brillient Corporation</t>
        </is>
      </c>
      <c r="D188" t="inlineStr">
        <is>
          <t>indeed</t>
        </is>
      </c>
      <c r="E188">
        <f>HYPERLINK("https://www.indeed.com/viewjob?jk=694c75517e319d9a", "https://www.indeed.com/viewjob?jk=694c75517e319d9a")</f>
        <v/>
      </c>
      <c r="F188">
        <f>HYPERLINK("https://www.paycomonline.net/v4/ats/web.php/jobs/ViewJobDetails?job=313671&amp;clientkey=80EF43593980FECEDCEB9296E2C34AF5&amp;source=Indeed", "https://www.paycomonline.net/v4/ats/web.php/jobs/ViewJobDetails?job=313671&amp;clientkey=80EF43593980FECEDCEB9296E2C34AF5&amp;source=Indeed")</f>
        <v/>
      </c>
      <c r="G188" t="inlineStr">
        <is>
          <t>Reston, VA, US</t>
        </is>
      </c>
      <c r="H188" s="2" t="n">
        <v>46076</v>
      </c>
      <c r="I188" t="inlineStr">
        <is>
          <t>**Job Description:**
* Prepare statistically based documentation for research studies, white papers, and technical analyses.
* Develop statistical analysis plans and sampling methodologies.
* Write and maintain computer code for:
	+ Data cleaning and preprocessing
	+ Database design and data structuring
	+ Exploratory and inferential data analysis
* Perform regression analysis, hypothesis testing, and model diagnostics.
* Produce clear technical documentation suitable for regulatory, audit, or stakeholder review.
**Required Qualifications:**
----------------------------
* Bachelor’s degree in Statistics, Mathematics, Computer Science, Engineering, or related quantitative discipline.
* US Citizenship required
* Strong foundation in probability theory, statistical inference, and regression modeling.
* Experience writing production\-quality analytical code.
* Ability to translate business or research problems into structured statistical approaches.
* Strong written communication skills for preparing white papers and formal documentation.</t>
        </is>
      </c>
    </row>
    <row r="189">
      <c r="A189" t="inlineStr">
        <is>
          <t>in-b3f03e22d717f43a</t>
        </is>
      </c>
      <c r="B189" t="inlineStr">
        <is>
          <t>Google ADK AI Engineer</t>
        </is>
      </c>
      <c r="C189" t="inlineStr">
        <is>
          <t>Infosys</t>
        </is>
      </c>
      <c r="D189" t="inlineStr">
        <is>
          <t>indeed</t>
        </is>
      </c>
      <c r="E189">
        <f>HYPERLINK("https://www.indeed.com/viewjob?jk=b3f03e22d717f43a", "https://www.indeed.com/viewjob?jk=b3f03e22d717f43a")</f>
        <v/>
      </c>
      <c r="F189">
        <f>HYPERLINK("https://digitalcareers.infosys.com/global-careers/company-job/description/reqid/144937BR?Codes=Indeed", "https://digitalcareers.infosys.com/global-careers/company-job/description/reqid/144937BR?Codes=Indeed")</f>
        <v/>
      </c>
      <c r="G189" t="inlineStr">
        <is>
          <t>Cupertino, CA, US</t>
        </is>
      </c>
      <c r="H189" s="2" t="n">
        <v>46076</v>
      </c>
      <c r="I189" t="inlineStr">
        <is>
          <t>Infosys is seeking **Google ADK AI Engineer.** In this role, you will interface with key stakeholders and apply your technical proficiency across different stages of the Software Development Life Cycle including Requirements Elicitation, Application Architecture definition and Design. You will play an important role in creating the high\-level design artifacts. You will also deliver high quality code deliverables for a module, lead validation for all types of testing and support activities related to implementation, transition, and warranty. You will be part of a learning culture, where teamwork and collaboration are encouraged, excellence is rewarded, and diversity is respected and valued.  
**Required Qualifications:*** Bachelor’s degree or foreign equivalent required from an accredited institution. Will also consider three years of progressive experience in the specialty in lieu of every year of education.
* Candidate must be located within commuting distance of **Cupertino, CA** or be willing to relocate to the area. This position may require travel within the US
* Candidates authorized to work for any employer in the United States without employer\-based visa sponsorship are welcome to apply. Infosys is unable to provide immigration sponsorship for this role at this time
* At least 4 years of Information Technology experience.
* Strong programming skills in Python and applied experience with a range of LLMs.
* Expert in applying and extending AI agent frameworks (Google ADK, LangChain, etc.)
* Hands\-on experience developing, deploying, and operating AI agents in production
* Experience deploying AI systems in large\-scale, hybrid environments with a focus on performance and reliability
* Experience in writing SQL
**Preferred Qualifications:*** A portfolio of deployed agentic systems that have delivered significant, measurable impact.
* Experience in evaluation frameworks for AI agents.
* Proven years of software development or machine learning experience.
* Proven expertise in optimizing AI agents for latency, scalability, and cost.
* Experience in Big data would be an added advantage
* A track record of thought leadership or contributions to the field of agentic AI.
* M.S. or PhD in computer science, machine learning, or a related field or equivalent practical experience
* Good understanding of Agile software development frameworks
* Strong communication and Analytical skills
* Ability to work in teams in a diverse, multi\-stakeholder environment comprising of Business and Technology teams
* Experience and desire to work in a global delivery environment
*The job entails sitting as well as working at a computer for extended periods of time. Should be able to communicate by telephone, email or face to face. Travel may be required as per the job requirements.*  
Along with competitive pay, as a full\-time Infosys employee you are also eligible for the following benefits: \-
* Medical/Dental/Vision/Life Insurance
* Long\-term/Short\-term Disability
* Health and Dependent Care Reimbursement Accounts
* Insurance (Accident, Critical Illness, Hospital Indemnity, Legal)
* 401(k) plan and contributions dependent on salary level
* Paid holidays plus Paid Time Off</t>
        </is>
      </c>
    </row>
    <row r="190">
      <c r="A190" t="inlineStr">
        <is>
          <t>in-759dbdae4d524e89</t>
        </is>
      </c>
      <c r="B190" t="inlineStr">
        <is>
          <t>Google ADK AI Engineer</t>
        </is>
      </c>
      <c r="C190" t="inlineStr">
        <is>
          <t>Infosys</t>
        </is>
      </c>
      <c r="D190" t="inlineStr">
        <is>
          <t>indeed</t>
        </is>
      </c>
      <c r="E190">
        <f>HYPERLINK("https://www.indeed.com/viewjob?jk=759dbdae4d524e89", "https://www.indeed.com/viewjob?jk=759dbdae4d524e89")</f>
        <v/>
      </c>
      <c r="F190">
        <f>HYPERLINK("https://digitalcareers.infosys.com/global-careers/company-job/description/reqid/144939BR?Codes=Indeed", "https://digitalcareers.infosys.com/global-careers/company-job/description/reqid/144939BR?Codes=Indeed")</f>
        <v/>
      </c>
      <c r="G190" t="inlineStr">
        <is>
          <t>Cupertino, CA, US</t>
        </is>
      </c>
      <c r="H190" s="2" t="n">
        <v>46076</v>
      </c>
      <c r="I190" t="inlineStr">
        <is>
          <t>Infosys is seeking **Google ADK AI Engineer.** In this role, you will interface with key stakeholders and apply your technical proficiency across different stages of the Software Development Life Cycle including Requirements Elicitation, Application Architecture definition and Design. You will play an important role in creating the high\-level design artifacts. You will also deliver high quality code deliverables for a module, lead validation for all types of testing and support activities related to implementation, transition, and warranty. You will be part of a learning culture, where teamwork and collaboration are encouraged, excellence is rewarded, and diversity is respected and valued.  
**Required Qualifications:*** Bachelor’s degree or foreign equivalent required from an accredited institution. Will also consider three years of progressive experience in the specialty in lieu of every year of education.
* Candidate must be located within commuting distance of **Cupertino, CA** or be willing to relocate to the area. This position may require travel within the US
* Candidates authorized to work for any employer in the United States without employer\-based visa sponsorship are welcome to apply. Infosys is unable to provide immigration sponsorship for this role at this time
* At least 2 years of Information Technology experience.
* Strong programming skills in Python and applied experience with a range of LLMs.
* Expert in applying and extending AI agent frameworks (Google ADK, LangChain, etc.)
* Hands\-on experience developing, deploying, and operating AI agents in production
* Experience deploying AI systems in large\-scale, hybrid environments with a focus on performance and reliability
* Experience in writing SQL
**Preferred Qualifications:*** A portfolio of deployed agentic systems that have delivered significant, measurable impact.
* Experience in evaluation frameworks for AI agents.
* Proven years of software development or machine learning experience.
* Proven expertise in optimizing AI agents for latency, scalability, and cost.
* Experience in Big data would be an added advantage
* A track record of thought leadership or contributions to the field of agentic AI.
* M.S. or PhD in computer science, machine learning, or a related field or equivalent practical experience
* Good understanding of Agile software development frameworks
* Strong communication and Analytical skills
* Ability to work in teams in a diverse, multi\-stakeholder environment comprising of Business and Technology teams
* Experience and desire to work in a global delivery environment
*The job entails sitting as well as working at a computer for extended periods of time. Should be able to communicate by telephone, email or face to face. Travel may be required as per the job requirements.*  
Along with competitive pay, as a full\-time Infosys employee you are also eligible for the following benefits: \-* Medical/Dental/Vision/Life Insurance
* Long\-term/Short\-term Disability
* Health and Dependent Care Reimbursement Accounts
* Insurance (Accident, Critical Illness, Hospital Indemnity, Legal)
* 401(k) plan and contributions dependent on salary level
* Paid holidays plus Paid Time Off</t>
        </is>
      </c>
    </row>
    <row r="191">
      <c r="A191" t="inlineStr">
        <is>
          <t>in-c2ce72bcf8af47df</t>
        </is>
      </c>
      <c r="B191" t="inlineStr">
        <is>
          <t>Applied AI Engineer (Mid-Level to Staff+)</t>
        </is>
      </c>
      <c r="C191" t="inlineStr">
        <is>
          <t>Squint</t>
        </is>
      </c>
      <c r="D191" t="inlineStr">
        <is>
          <t>indeed</t>
        </is>
      </c>
      <c r="E191">
        <f>HYPERLINK("https://www.indeed.com/viewjob?jk=c2ce72bcf8af47df", "https://www.indeed.com/viewjob?jk=c2ce72bcf8af47df")</f>
        <v/>
      </c>
      <c r="F191">
        <f>HYPERLINK("https://jobs.ashbyhq.com/squint.ai/b46b8a2f-0200-44d1-8f88-01b339b61565?utm_source=gaoAjepVGa", "https://jobs.ashbyhq.com/squint.ai/b46b8a2f-0200-44d1-8f88-01b339b61565?utm_source=gaoAjepVGa")</f>
        <v/>
      </c>
      <c r="G191" t="inlineStr">
        <is>
          <t>San Francisco, CA, US</t>
        </is>
      </c>
      <c r="H191" s="2" t="n">
        <v>46076</v>
      </c>
      <c r="I191" t="inlineStr">
        <is>
          <t>**About Us**
------------
At Squint, we're building technology that matters. While many tech companies focus on digital\-first industries, we've set our sights on empowering the 80% of the global workforce that keeps our world running: frontline manufacturing operators. From soda cans to tires, toothpaste to chocolate bars, chips to napkin holders, these are the people who build the things you touch and see every single day. Our platform transforms manufacturing operations by putting AI and AR capabilities directly at workers' fingertips, creating what we call "agentic manufacturing" – where every team member has the power to make informed decisions in real\-time using practical, applied artificial intelligence tools.
**Proven Impact with Industry Leaders**
---------------------------------------
Our technology serves Fortune 500 leaders across Automotive, Consumer Packaged Goods, and Life Sciences industries. These companies trust Squint to capture and activate their essential operational know\-how, resulting in measurable improvements: reduced downtime, minimized waste, and optimized productivity at scale.
**Backed and Built by the Best**
--------------------------------
We raised a $40m Series B at a $265m valuation and are backed by elite investors including Sequoia Capital, Menlo Ventures, TCV and The Westly Group. Our co\-founders have been recognized on Forbes' 30 Under 30 for Manufacturing and Industry, and Fast Company named us one of the most innovative augmented and virtual reality companies of 2025\.
**About the Job**
-----------------
Squint is looking for AI Engineers to turn the messy, fractured world of manufacturing knowledge into real intelligence that changes the industry. You’ll build the capabilities that transform real\-world inputs—tribal knowledge, video, images, documents, and more—into differentiated insights and structured workflows for frontline manufacturing teams. If you love shipping fast, owning problems end\-to\-end, and iterating with real users, you’ll fit right in. Whether you are a mid\-level engineer looking to own high\-impact features or a senior leader ready to architect complex systems, there is a place for you at Squint.
**What You’ll Do**
------------------
Ship AI\-powered features rapidly—from prototype to production to customer reality. This includes work such as:
* ***Leveling Note:*** *The scope of ownership for these initiatives will scale with seniority. Mid\-level engineers will focus on the end\-to\-end execution of specific features, while staff\+ level engineers will be expected to drive technical strategy and mentor the broader team.*
* **Transform unstructured manufacturing inputs into structured knowledge.**  
Build and iterate on systems capable of semantically understanding a wide variety of manufacturing material (documents, media, and more) and representing them with high fidelity on the Squint platform.
* **Develop best\-in\-class reasoning experiences.**  
Build systems that leverage this structured knowledge serve fast, accurate answers directly to the shop floor–where there is no margin for error.
* **Leverage differentiated data to produce novel, domain\-specific insights for manufacturers.**  
Create methods that synthesize information and surface meaningful signals for customers.
* **Build advanced photo\- and video\-based visual understanding.**  
Iterate on AI systems that interpret manufacturing environments and actions, improving accuracy, speed, and robustness across varied conditions.
* **Creating evaluation and feedback loops.**  
Build generic, reusable tooling for evaluating AI systems over time. Instrument product flows to gather automatic feedback and continually improve correctness, prevent regressions, and accelerate iteration.
**What You’ll Bring**
---------------------
* **Mid\-Level (4\+ years):** You are expected to own and execute specific AI features end\-to\-end, from prototyping and fine\-tuning models to productionizing code, while maintaining high reliability and performance in manufacturing environments.
* **Staff\-Level (8\+ years):** You are expected to architect the broader AI systems and evaluation frameworks that scale across our platform, mentoring others and making high\-stakes technical trade\-offs between RAG, fine\-tuning, and novel model architectures.
* **Deep understanding of the transformer architecture and modern LLM techniques.** You can explain how attention mechanisms work and stay current with the latest research and techniques.
* **Production experience with ML frameworks (PyTorch preferred).** You're comfortable with loss functions, training loops, optimization, and the practical details of getting models into production.
* **Experience fine\-tuning and deploying LLMs in production environments.** You've shipped LLM\-powered features and understand the tradeoffs between prompt engineering, fine\-tuning, and RAG approaches.
* **A builder’s mindset.** You move fast, pick up new skills, and take ownership from “why” to “shipped”.
* **Strong product intuition and customer empathy.** You care about trust, failure modes, and real\-world workflows.
* **Comfort with ambiguity and a bias toward action, iteration, and measurable results.**
**Why You’ll Love This Role**
-----------------------------
* **You are the limit of your impact.** You’ll own problems end\-to\-end, drive outcomes for the business, and change an industry.
* **Real\-world results.** You’ll build AI systems that are used in production every day at the world’s largest manufacturers.
* **High product ownership.** You’ll work closely with customers and GTM, iterating fast based on what matters most.
* **Unparalleled learning curve.** You’ll work across AI, product, and systems with huge ownership.
**Benefits**
------------
Based out of our office in San Francisco, we love the energy of in\-person collaboration.
* Competitive Salary and Equity
* Comprehensive Medical, Vision, and Dental care
* Flexible PTO Policy
* Lunch and Dinner Service
* Wellness Benefit
* Maven Family Planning Benefits
* Partnership with Care.com
* Mental Health Services
* 401(k) Retirement Plan
* Pre\-Tax Commuter Benefit for Parking \&amp; Public Transit
* Company\-wide Retreats
**A Final Note**
----------------
We are committed to creating a diverse and inclusive workplace. Squint is an equal opportunity employer, welcoming applicants from all backgrounds without regard to race, gender, age, or any other protected characteristic.
Ready to redefine the future? Join us at Squint and be a part of something revolutionary.
Compensation Range: $200K \- $270K</t>
        </is>
      </c>
    </row>
    <row r="192">
      <c r="A192" t="inlineStr">
        <is>
          <t>in-21d9c9866b0cf595</t>
        </is>
      </c>
      <c r="B192" t="inlineStr">
        <is>
          <t>Senior Applied Machine Learning Engineer, II</t>
        </is>
      </c>
      <c r="C192" t="inlineStr">
        <is>
          <t>GameChanger</t>
        </is>
      </c>
      <c r="D192" t="inlineStr">
        <is>
          <t>indeed</t>
        </is>
      </c>
      <c r="E192">
        <f>HYPERLINK("https://www.indeed.com/viewjob?jk=21d9c9866b0cf595", "https://www.indeed.com/viewjob?jk=21d9c9866b0cf595")</f>
        <v/>
      </c>
      <c r="F192">
        <f>HYPERLINK("https://jobs.ashbyhq.com/gamechanger/8ba508cc-0897-4ebf-af7c-705a0e6ba0cb?utm_source=WnPNpVYelj", "https://jobs.ashbyhq.com/gamechanger/8ba508cc-0897-4ebf-af7c-705a0e6ba0cb?utm_source=WnPNpVYelj")</f>
        <v/>
      </c>
      <c r="G192" t="inlineStr">
        <is>
          <t>New York, NY, US</t>
        </is>
      </c>
      <c r="H192" s="2" t="n">
        <v>46076</v>
      </c>
      <c r="I192" t="inlineStr">
        <is>
          <t>**About GameChanger:**
We believe in the life changing impact youth sports have on and off the field. Sports encourage leadership, teamwork, responsibility, and confidence – important life lessons that have the power to propel our youth toward meaningful futures. We recognize that without coaches, parents, and volunteers, organized youth sports could not exist. By building the first and best place to experience the youth sports moments important to our community, we are helping families elevate the next generation through youth sports.
So if you love sports and their community building potential, or building cool products is your sport, GameChanger is the team for you. We are a remote first, dynamic tech company based in New York City, and we are solving some of the biggest challenges in youth sports today.
**The Position:**
The Computer Vision Platform team at GameChanger builds and operates the real\-time inference infrastructure that delivers CV\-powered experiences to millions of users every weekend. You'll partner directly with researchers to shape their models and code for production, steer them toward existing platform capabilities, and collaborate with MLOps engineers to evolve infrastructure where gaps exist. You'll also influence the technical direction of the platform itself, identifying which capabilities to build next based on patterns you see across research efforts. You'll report directly to the Engineering Manager, CV Platform.
**What You'll Do:**
* Work directly with CV researchers to understand their goals, review their code, and engineer it for reliability and performance at scale.
* Profile and optimize performance\-sensitive code across both training and real\-time inference.
* Identify patterns across research efforts and propose standardized, composable abstractions.
* Collaborate with MLOps and backend engineers to translate recurring research pain points into platform investments through design documents and architecture proposals.
* Guide researchers toward production\-oriented engineering practices regarding testability, modularity, and performance profiling.
**Who You Are:**
* 6\+ years of software engineering experience, with 4\+ years working on ML systems.
* Experience working on production ML systems. Our team uses Python and PyTorch, Docker for containerization, and deploys on AWS.
* Experience with data\-intensive distributed systems, including optimizing I/O, GPU utilization, and parallel processing.
* Experience working directly with researchers or research teams to take their prototypes and deliver production systems that are performant, reliable, and maintainable.
* Experience building internal libraries, tools, or platforms that other engineers depend on.
**Perks:**
* Work remotely throughout the US\* or from our well\-furnished, modern office in Manhattan, NY.
* Unlimited vacation policy.
* Paid volunteer opportunities.
* Technology stipend \- $4,000 every 2 years after your start to make sure you have the latest and greatest technology.
* WFH stipend \- $500 annually to make your WFH situation comfortable.
* Monthly physical, mental, wellness \&amp; learning stipend offered through Holisticly.
* Monthly lifestyle stipend offered through Fringe.
* Full health benefits \- medical, dental, vision, prescription, FSA, HRA, HSA, and coverage for family/dependents.
* Retirement savings \- Traditional and Roth 401K plans are offered through Vanguard, with an immediate company match.
* Life insurance \- basic life, supplemental life, and dependent life.
* Disability leave \- short\-term disability and long\-term disability.
* Company paid parental leave \- up to 20 weeks for birthing parents and up to 12 weeks for non\-birthing parents.
* Family building benefits offered through Progyny.
* DICK'S Sporting Goods and their family of brands teammate discount.
*The target salary range for this position is between ( $180,000 and $200,000\) This is part of a total compensation package that includes incentive, equity, and benefits for eligible roles. Individual pay may vary from the target range and is determined by several factors including experience, internal pay equity, and other relevant business considerations. We constantly review all teammate pay to ensure a great compensation package that is fair and equal across the board.*
Compensation Range: $180K \- $200K</t>
        </is>
      </c>
    </row>
    <row r="193">
      <c r="A193" t="inlineStr">
        <is>
          <t>in-e2cee926c6fd5263</t>
        </is>
      </c>
      <c r="B193" t="inlineStr">
        <is>
          <t>Senior ML Engineer, Enrichment</t>
        </is>
      </c>
      <c r="C193" t="inlineStr">
        <is>
          <t>Flock Safety</t>
        </is>
      </c>
      <c r="D193" t="inlineStr">
        <is>
          <t>indeed</t>
        </is>
      </c>
      <c r="E193">
        <f>HYPERLINK("https://www.indeed.com/viewjob?jk=e2cee926c6fd5263", "https://www.indeed.com/viewjob?jk=e2cee926c6fd5263")</f>
        <v/>
      </c>
      <c r="F193">
        <f>HYPERLINK("https://jobs.ashbyhq.com/Flock%20Safety/73e57e4c-5def-4595-b647-6b0171916a5c?utm_source=x2ejMXevQj", "https://jobs.ashbyhq.com/Flock%20Safety/73e57e4c-5def-4595-b647-6b0171916a5c?utm_source=x2ejMXevQj")</f>
        <v/>
      </c>
      <c r="G193" t="inlineStr">
        <is>
          <t>US</t>
        </is>
      </c>
      <c r="H193" s="2" t="n">
        <v>46076</v>
      </c>
      <c r="I193" t="inlineStr">
        <is>
          <t>**Who is Flock?**
=================
Flock Safety is the leading safety technology platform, helping communities thrive by taking a proactive approach to crime prevention and security. Our hardware and software suite connects cities, law enforcement, businesses, schools, and neighborhoods in a nationwide public\-private safety network. Trusted by over 5,000 communities, 4,500 law enforcement agencies, and 1,000 businesses, Flock delivers real\-time intelligence while prioritizing privacy and responsible innovation.
We’re a high\-performance, low\-ego team driven by urgency, collaboration, and bold thinking. Working at Flock means tackling big challenges, moving fast, and continuously improving. It’s intense but deeply rewarding for those who want to make an impact.
With nearly $700M in venture funding and a $7\.5B valuation, we’re scaling intentionally and seeking top talent to help build the impossible. If you value teamwork, ownership, and solving tough problems, Flock could be the place for you.
**The Opportunity**
As a Senior Machine Learning Engineer on the Vision Team, you will support the machine learning model lifecycle that allows our devices to decode evidence like a detective and define how crime is eliminated. You will play a key role in improving model performance and addressing model drift. The ideal candidate is someone who is passionate about taking cutting edge research and technology to solve new problems, and enjoys working with the entire lifecycle of Machine Learning software.
**How you'll make an impact:**
* Frame open\-ended, real\-world problems into well defined ML problems
* Make use of and improve on existing data acquisition and model training/evaluation pipelines to create appropriate datasets and obtain model feedback
* Leverage cutting\-edge research and technology to create custom solutions
* Design and run experiments to test new ideas or improvements to existing models
* Build visualization and monitoring tools to evaluate the quality of our data and models
* Collaborate across teams and product to deliver solutions that fit within business and organizational requirements
* Review code of other Machine Learning Engineers
**The Skillset**
* 6\+ years of experience
* BS/MS in Computer Science, Mathematics, Physics, Engineering, or proof of equivalent software engineering experience (PhD’s welcome)
* Experience solving problems using Machine Learning frameworks (Tensorflow, PyTorch, scikit\-learn, etc.)
* Good understanding of Deep Learning and Traditional ML (supervised and unsupervised) algorithms
* Experience writing Python in a team environment
* Able to take on complex problems, learn quickly, iterate, and persist towards a good solution
* Effectively communicate, at the level of your audience, and seek to understand and be understood
* Basic SQL knowledge
* Basic Git knowledge
* Experience with linear algebra, probability, and statistics preferred
*Feeling uneasy that you haven’t ticked every box? That’s okay; we’ve felt that way too. Studies have shown women and minorities are less likely to apply unless they meet all qualifications. We encourage you to break the status quo and apply to roles that would make you excited to come to work every day.*
**90 Days at Flock**
We are a results\-oriented culture and believe job descriptions are a thing of the past. We prescribe 90 day plans and believe that good days lead to good weeks, which lead to good months. This serves as a preview of the 90 day plan you will receive if you were to be hired in this role at Flock Safety.
**The First 30 Days**
* Learn our tech stack, internal toolkit, and standard operating procedures for training, evaluating, and deploying our machine learning models
* Get to know the technical teams and stakeholder groups you’ll be working closely with
* Begin making a meaningful impact by adding an incremental improvement to our model evaluation reports
**The First 60 Days**
* Curate our holdout data to improve representation and address certain challenging strata
* Improve statistical reporting metrics in our evaluation reports
* Get acquainted with downstream repositories that support our predictive capabilities.
**90 Days \&amp; Beyond**
* Improve understanding of the impact of data augmentations in our training pipeline.
* Introduce new augmentations within our modeling framework
* Gauge model robustness by building holdout datasets for various adversarial conditions
* Become fully independent within our end\-to\-end training and deployment pipeline
**Salary \&amp; Equity**
In this role, you’ll receive a starting salary between $160,000 and $175,000 as well as Flock Safety Stock Options. Base salary is determined by job\-related experience, education/training, as well as market indicators. Your recruiter will discuss this in\-depth with you during our first chat.
**Location**
We’re building the impossible, together. To drive innovation through in\-person collaboration, we’re prioritizing candidates in our key hubs: Atlanta, Boston, Chicago, Denver, Los Angeles, New York City, San Francisco, and Austin. While we value the energy of our hub communities, we embrace remote work and welcome applications from exceptional talent across the United States.
**The Perks**
**Flexible PTO**: We offer non\-accrual PTO, plus 11 company holidays.
**Fully\-paid** **health benefits** **plan for employees**: including Medical, Dental, and Vision and an HSA match.
**Family Leave**: All employees receive 12 weeks of 100% paid parental leave. Birthing parents are eligible for an additional 6\-8 weeks of physical recovery time.
**Fertility \&amp; Family Benefits:** We have partnered with Maven, a complete digital health benefit for starting and raising a family. Flock will provide a $50,000\-lifetime maximum benefit related to eligible adoption, surrogacy, or fertility expenses.
**Spring Health:** Spring Health offers a variety of mental health benefits, including therapy, coaching, medication management, and digital tools, all tailored to each individual's needs.
**Caregiver Support:** We have partnered with Cariloop to provide our employees with caregiver support
**Carta Tax Advisor:** Employees receive 1:1 sessions with Equity Tax Advisors who can address individual grants, model tax scenarios, and answer general questions.
**ERGs:** We want all employees to thrive and feel like they belong at Flock. We offer four ERGs today \- Women of Flock, Flock Proud, LEOs and Melanin Motion. If you are interested in talking to a representative from one of these, please let your recruiter know.
**WFH Stipend:** $150 per month to cover the costs of working from home.
**Productivity Stipend:** $300 per year to use on Audible, Calm, Masterclass, Duolingo and so much more.
**Home Office Stipend:** A one\-time $750 to help you create your dream office.
*If an offer is extended and accepted, this position requires the ability to obtain and maintain Criminal Justice Information Services (CJIS) certification as a condition of employment. Applicants must meet all FBI CJIS Security Policy requirements, including a fingerprint\-based background check.*
*Flock is an equal opportunity employer. We celebrate diverse backgrounds and thoughts and welcome everyone to apply for employment with us. We are committed to fostering an environment that is inclusive, transparent, and collaborative. Mutual respect is central to how Flock operates, and we believe the best solutions come from diverse perspectives, experiences, and skills. We embrace our differences and know that we are stronger working together.*
*If you need assistance or an accommodation due to a disability, please email us at recruiting@flocksafety.com. This information will be treated as confidential and used only to determine an appropriate accommodation for the interview process.*
*At Flock Safety, we compensate our employees fairly for their work. Base salary is determined by job\-related experience, education/training, as well as market indicators. The range above is representative of base salary only and does not include equity, sales bonus plans (when applicable) and benefits. This range may be modified in the future. This job posting may span more than one career level.*
*Flock Safety is aware of fraudulent individuals and agencies falsely claiming to represent our company. All legitimate communication from Flock Safety will come from an email address ending in* ***@******flocksafety.com****. We do not make job offers through messaging apps, social platforms, or unauthorized third parties, and we will never request payment or sensitive personal information during the hiring process. If you encounter suspicious outreach related to a Flock Safety role, please report it to* *recruiting@flocksafety.com*
Compensation Range: $160K \- $175K</t>
        </is>
      </c>
    </row>
    <row r="194">
      <c r="A194" t="inlineStr">
        <is>
          <t>in-76310b4edacb5fa0</t>
        </is>
      </c>
      <c r="B194" t="inlineStr">
        <is>
          <t>Staff AI Engineer</t>
        </is>
      </c>
      <c r="C194" t="inlineStr">
        <is>
          <t>SpotOn</t>
        </is>
      </c>
      <c r="D194" t="inlineStr">
        <is>
          <t>indeed</t>
        </is>
      </c>
      <c r="E194">
        <f>HYPERLINK("https://www.indeed.com/viewjob?jk=76310b4edacb5fa0", "https://www.indeed.com/viewjob?jk=76310b4edacb5fa0")</f>
        <v/>
      </c>
      <c r="F194">
        <f>HYPERLINK("https://jobs.ashbyhq.com/spoton/82798dae-6a4f-42da-9702-b2bceab93de3?utm_source=K0WjWq4Q46", "https://jobs.ashbyhq.com/spoton/82798dae-6a4f-42da-9702-b2bceab93de3?utm_source=K0WjWq4Q46")</f>
        <v/>
      </c>
      <c r="G194" t="inlineStr">
        <is>
          <t>San Francisco, CA, US</t>
        </is>
      </c>
      <c r="H194" s="2" t="n">
        <v>46076</v>
      </c>
      <c r="I194" t="inlineStr">
        <is>
          <t>**About SpotOn**
We’re not just building restaurant tech, we’re giving independent restaurants the tools to compete and win. From our award\-winning point\-of\-sale to AI\-powered profit tools, everything we do helps operators boost profit, work smarter, and keep their best people. And every solution is backed by real humans who actually give a sh\*t about helping restaurants succeed.
* **Named the \#1 Restaurant POS by G2** (Fall 2025\), based on ratings from real users
* Rated the **top\-rated point\-of\-sale** (POS) for restaurants, bars, retail, and small businesses by Capterra users
* Awarded **Great Places to Work** and Built In’s **Best Workplaces** for multiple years running
We move fast, care hard, and fight for independent restaurant operators to do what they love, and love doing it. If you’re looking to make an impact with heart and hustle, SpotOn is the place for you.
**About the Accelerate Team**
-----------------------------
The Accelerate team is a new 5\-person engineering team with a singular mission: prove that AI\-native engineering practices can fundamentally change how a fintech engineering org builds software \- then make that the new standard. The team has direct VP sponsorship, mission \&amp; charter, and three defined projects with hard deadlines.
We're hiring a Staff/Principal IC who has already demonstrated AI\-assisted engineering at scale. This is not an "AI\-curious" role. You write code with AI every day. You've built agents that do real work. You have strong, experience\-backed opinions on which models to use for what, where agents fail, and how to build guardrails that actually hold. You've seen what works in production and you're impatient to do it at scale.
You will be the most technically senior AI practitioner on this team \- the person everyone looks to for "how do we actually build this." You don't manage the team. You drive the architecture, build the hardest parts, and set the technical standard.
**The Role: Technical Lead, Not Manager**
-----------------------------------------
This isn't a "set up some CI/CD and plug in Copilot" role. You are the person who architects the systems that change how SpotOn engineers build software. You will:
**Be the AI engineering technical authority.** You set the technical standard for how AI is used in code generation, review, testing, and task automation. You don't just implement tools \- you design the systems, workflows, and guardrails that make AI\-assisted development safe, measurable, and scalable in a PCI\-regulated payments environment. The team lead sets priorities; you set the technical direction.
**Drive the architecture and implementation of three concurrent projects:**
* **Automated PR Review** \- A risk\-tiered AI review pipeline where AI handles first\-pass review on every PR, with an escalation framework you design that determines when human review is mandatory (payment logic, PCI\-scoped code, compliance paths) versus when AI approval is sufficient. You define the criteria. You tune the thresholds. You prove it works.
* **Android and API Test Automation** \- A fully automated test harness for our Android\-native POS and KDS products: virtual device provisioning, test execution, teardown, AI\-assisted failure analysis \- replacing multi\-day manual QA cycles with sub\-30\-minute automated runs.
* **AI Agent Swarms** \- A multi\-agent pipeline that takes a PRD and produces a tested, reviewed pull request for tier 1\-3 engineering work (nits, bugs, small features). You design the agent orchestration \- planner, coder, tester, reviewer \- and the blast\-radius controls that keep it safe in fintech.
**Evangelize by shipping, not by presenting.** Your most persuasive argument is a working system, not a slide deck. You demo to engineering leads every two weeks with real metrics. You turn skeptics into adopters by showing them their own time savings.
**Measure everything.** You define the metrics framework: developer hours recovered, cycle time compression, quality ratios, cost per deployment. You report to the CTO monthly with quantified value delivered. If something isn't working, the data tells you before anyone else.
**What We Require**
-------------------
This is a high bar intentionally. We need someone who has already done this, not someone who wants to learn.
**Required experience:**
* **5\+ years building developer tools, infrastructure, or platform engineering systems** \- you understand how engineering orgs actually work at scale, not just how AI demos work
* **2\+ years working deeply with LLMs and AI agents in production** \- not side projects, not hackathons. Production systems handling real code, real reviews, or real task automation. You can speak to failure modes, cost optimization, prompt engineering patterns, and model selection trade\-offs from experience.
* **Designed and operated AI\-assisted code generation or review systems** serving 50\+ engineers or 30\+ repositories. You know the difference between "cool demo" and "trusted by the team."
* **Built multi\-agent or agentic workflows** \- task decomposition, agent specialization, orchestration, error recovery. You've worked with Claude Code, OpenAI Assistants, LangGraph, CrewAI, AutoGen, or custom agent frameworks at a level where you can articulate why you chose one approach over another.
* **Hands\-on with AI coding tools daily** \- Claude Code, Cursor, GitHub Copilot, Windsurf, Codeium \- you don't just use them, you push their limits. You know where they excel and where they hallucinate. You have a personal workflow that makes you measurably faster and you can teach it.
**Required domain expertise (at least two of three):**
* **Fintech / payments / regulated industry** \- you understand what PCI\-DSS, SOX, or HIPAA compliance means for code review and deployment. You know why "just let the AI merge it" isn't an option for payment logic.
* **Mobile / Android testing automation** \- Espresso, UI Automator, or AI\-native tools (Drizz, mabl, testRigor). Experience with emulator farms, device provisioning, and CI\-integrated test pipelines.
* **Multi\-agent system architecture** \- you've built systems where multiple AI agents collaborate on decomposed tasks with coordination protocols, fallback strategies, and human\-in\-the\-loop checkpoints.
**Who You Are**
---------------
You are not "AI\-interested." You are AI\-obsessed in the productive sense:
* **You already write 50%\+ of your code with AI assistance** and you've measured the impact on your own velocity. You have opinions on which models are best for which tasks and you update those opinions monthly as the landscape shifts.
* **You've built things with agents that most engineers think aren't possible yet.** You're 6\-12 months ahead of the mainstream in your personal practice and you have the shipped systems to prove it.
* **You prototype in hours, not days.** You can go from "I have an idea for how to automate X" to a working POC before end of day. You refine ruthlessly after.
* **You context\-switch across backend, mobile tooling, and AI/ML systems** without losing depth. You don't need to be an Android expert, but you need to be dangerous enough to architect the test harness and evaluate the output.
* **You communicate technical progress in business terms.** You know that "we reduced median PR review time by 47%" lands better with a CTO than "we fine\-tuned our prompt chain." You build dashboards, not just systems.
* **You're an evangelist, not a gatekeeper.** You get energy from showing other engineers how to work with AI. You don't hoard knowledge \- you build systems that make the whole org better.
* **You have a healthy skepticism forged by real experience.** You've seen AI fail in production. You've dealt with hallucinated code, flaky agent workflows, and false\-positive reviews. That experience makes your guardrails better, not your enthusiasm less.
**What You Won't Be Doing**
---------------------------
* Building product features for restaurants (that's the rest of the org)
* Pure ML/AI research without production deployment
* Maintaining legacy systems or writing JIRA tickets all day
* People management \- you're a pure IC on a small, senior, fast\-moving squad. You write more code than anyone on the team.
**Tech Environment**
--------------------
* **Languages:** Kotlin (Android), Go, TypeScript, Python
* **Mobile:** Android\-native POS applications on dedicated hardware
* **Infrastructure:** AWS, GitHub, CI/CD (GitHub Actions)
* **AI Stack:** You'll have significant influence on tool selection \- bring your opinions
* **Team tooling:** Jira, Slack, Figma, standard SpotOn eng stack
*We will never ask candidates to pay fees, purchase equipment, or share sensitive personal or financial information during the hiring process. All legitimate communication from our recruiting team will come from an official company email address (@**spoton.com**). If something seems suspicious, please contact us at* *careers@spoton.com**.*
*SpotOn is an equal employment opportunity employer. Qualified candidates are considered for employment without regard to race, religion, gender, gender identity, sexual orientation, national origin, age, military or veteran status, disability, or any other characteristic protected by applicable law.*
*SpotOn is an E\-Verify company.*
Compensation Range: $210K \- $280K</t>
        </is>
      </c>
    </row>
    <row r="195">
      <c r="A195" t="inlineStr">
        <is>
          <t>in-b53e03f92e190277</t>
        </is>
      </c>
      <c r="B195" t="inlineStr">
        <is>
          <t>Staff Machine Learning Engineer, Spot Autonomy</t>
        </is>
      </c>
      <c r="C195" t="inlineStr">
        <is>
          <t>Boston Dynamics</t>
        </is>
      </c>
      <c r="D195" t="inlineStr">
        <is>
          <t>indeed</t>
        </is>
      </c>
      <c r="E195">
        <f>HYPERLINK("https://www.indeed.com/viewjob?jk=b53e03f92e190277", "https://www.indeed.com/viewjob?jk=b53e03f92e190277")</f>
        <v/>
      </c>
      <c r="F195">
        <f>HYPERLINK("https://bostondynamics.wd1.myworkdayjobs.com/en-US/Boston_Dynamics/job/Waltham-Office-POST/Staff-Machine-Learning-Engineer--Spot-Autonomy_R2438", "https://bostondynamics.wd1.myworkdayjobs.com/en-US/Boston_Dynamics/job/Waltham-Office-POST/Staff-Machine-Learning-Engineer--Spot-Autonomy_R2438")</f>
        <v/>
      </c>
      <c r="G195" t="inlineStr">
        <is>
          <t>Waltham, MA, US</t>
        </is>
      </c>
      <c r="H195" s="2" t="n">
        <v>46076</v>
      </c>
      <c r="I195" t="inlineStr">
        <is>
          <t>In this role as a Staff Machine Learning Engineer, you will have the opportunity to develop Spot’s next generation autonomy capabilities. You will research \&amp; integrate state\-of\-the\-art approaches in the areas of perception, localization and navigation to ensure that our robots can navigate the world robustly and confidently.
You will get to:* Develop Spot’s next generation localization, mapping, perception and autonomy capabilities and deliver them to the product.
* Apply and develop novel ML\-based approaches to solve complex challenges in semantically\-aware navigation and localization.
* Shape the team's strategy for ML model architectures, datasets, and pipelines to achieve maximum model performance.
* Produce high\-quality, performant code in C\+\+ and Python.
* Design and execute rigorous experiments using both simulated and real\-world robot data to ensure solutions not only achieve state\-of\-the\-art performance but are also robust and computationally efficient in real\-world deployments.
As a part of the Spot Autonomy Team, you will closely collaborate with other skilled researchers \&amp; engineers who are passionate about Spot’s autonomy capabilities. Being embedded in the broader Spot R\&amp;D team, you will get a chance to further collaborate with other groups and experts from a wide variety of backgrounds.
To succeed in this role, you should have the following skills and experience
Required:* A Masters degree in Computer Science, Robotics or related field and 3\+ years of professional experience
* A solid understanding of traditional computer vision, robotics and navigation methods (SLAM) and their typical strengths \&amp; shortcomings
* First\-hand experience in Machine Learning and data driven approaches to visual perception problems. A good understanding of recent ML approaches such as LLMs \&amp; ViTs.
* Experience with Machine Learning frameworks (e.g. PyTorch)
* Experienced in writing performant, well\-structured, and testable C\+\+ and Python code
* Be a team player and good communicator, able to work well in a dynamic and collaborative environment
* Have a passion for quality and autonomous robots
Preferred:* A PhD in Computer Science, Robotics or related field.
* A strong background in SLAM / factor graphs (e.g. gtsam, g2o, Ceres), and ideally ML\-enhanced navigation, such as semantic SLAM.
* Experience with end\-2\-end semantic navigation approaches.
* A track record of relevant publications or product deliverables.
*The salary or hourly pay range for this position will be clearly stated in the job posting as required by Massachusetts law. The base pay range for this position is between $155,000\.00\- $210,000\.00\. Base pay will depend on multiple individualized factors including, but not limited to internal equity, job related knowledge, skills and experience. This range represents a good faith estimate of compensation at the time of posting. Boston Dynamics offers a generous Benefits package including medical, dental vision, 401(k), paid time off and an annual bonus structure. Additional details regarding these benefit plans will be provided if an employee receives an offer for employment.*</t>
        </is>
      </c>
    </row>
    <row r="196">
      <c r="A196" t="inlineStr">
        <is>
          <t>in-ccc46b6b2940ce5f</t>
        </is>
      </c>
      <c r="B196" t="inlineStr">
        <is>
          <t>AI Engineer</t>
        </is>
      </c>
      <c r="C196" t="inlineStr">
        <is>
          <t>Fried, Frank, Harris, Shriver &amp; Jacobson LLP</t>
        </is>
      </c>
      <c r="D196" t="inlineStr">
        <is>
          <t>indeed</t>
        </is>
      </c>
      <c r="E196">
        <f>HYPERLINK("https://www.indeed.com/viewjob?jk=ccc46b6b2940ce5f", "https://www.indeed.com/viewjob?jk=ccc46b6b2940ce5f")</f>
        <v/>
      </c>
      <c r="F196">
        <f>HYPERLINK("https://www.friedfrank.com/careers/businessprofessionaljobopportunities?gh_jid=5811953004", "https://www.friedfrank.com/careers/businessprofessionaljobopportunities?gh_jid=5811953004")</f>
        <v/>
      </c>
      <c r="G196" t="inlineStr">
        <is>
          <t>New York, NY, US</t>
        </is>
      </c>
      <c r="H196" s="2" t="n">
        <v>46076</v>
      </c>
      <c r="I196" t="inlineStr">
        <is>
          <t>At Fried Frank, we’re a community of 800 lawyers and 500 business services professionals across New York, Washington, DC, London, Frankfurt, and Brussels. We advise leading corporations, investment funds, and financial institutions on high\-stakes M\&amp;A, securities, regulatory matters, real estate, and litigation. Our culture is grounded in our core values — excellence, integrity and collaboration — and is designed to foster continuous learning, meaningful mentorship, and lasting professional growth. We are firmly committed to pro bono service and social justice, building on a proud legacy in civil rights. Our inclusive talent strategy is a core part of our broader talent management efforts and we remain steadfast in fostering a workplace where everyone has the opportunity to grow, thrive, and become their best professional and personal selves. Our business services professionals are integral to the firm’s success, driving innovation, operational excellence and exceptional client service across all areas of the firm. We offer competitive compensation and a comprehensive benefits package, including comprehensive medical coverage, retirement plans and health and wellness initiatives designed to support your personal and professional wellbeing. We welcome passionate, driven individuals to join us, and be part of a team where you’ll be supported, inspired and empowered to build an exceptional career.
**Position Summary:**  
We are seeking an AI Engineer with experience building AI\-driven applications, including RAG pipelines and LLM\-powered systems. This role focuses on implementing and improving well\-defined features within existing AI systems, contributing to design, experimentation, and production deployment.
This role sits within Practice Innovation and collaborates closely with Legal Engineering, Practice Solutions, Knowledge Management, Cloud/Infrastructure teams, and other stakeholders across the firm.
**Duties \&amp; Responsibilities:**
* Design, build, and enhance retrieval\-based AI systems, data pipelines, and workflow\-driven applications.
* Develop and optimize AI agents that orchestrate multi\-step legal workflows and tool integrations.
* Apply modern RAG (Retrieval\-Augmented Generation) design patterns to improve system accuracy, reliability, and performance.
* Conduct structured experimentation and evaluation to refine prompts, retrieval strategies, agent behavior, and model outputs.
* Contribute to data ingestion, cleaning, structuring, and indexing processes supporting AI applications.
* Support deployment, monitoring, and continuous improvement of AI tools in production environments.
* Take ownership of well\-defined features and contribute to system enhancements from design through production.
* Partner with Cloud, Networking, and Infrastructure teams to ensure secure, scalable, and reliable deployments.
**Education / Experience:**  
* Bachelor’s degree in Computer Science, Engineering, or a related field.
* 2\+ years of professional experience in software engineering, machine learning, or AI\-related roles.
**Skills \&amp; Abilities:**  
* Hands\-on experience building LLM\-based applications in production or near\-production environments.
* Experience with vector databases and similarity search (e.g., Qdrant, Pinecone, Weaviate, or similar).
* Solid understanding of RAG architectures and retrieval optimization.
* Experience working with structured and unstructured data.
* Strong proficiency in Python and software engineering fundamentals (clean code, testing, system design).
* Familiarity with cloud platforms (AWS, GCP, Azure) and containerization technologies (Docker, Kubernetes).
* Strong analytical and problem\-solving skills.
* Ability to operate independently on well\-scoped problems and escalate appropriately when needed.
* Strong communication skills with the ability to work effectively across technical and non\-technical audiences.
**Preferred Qualifications**  
* Experience deploying AI agents or LLM\-powered systems in production environments.
* Experience with Azure cloud services (strong plus).
* Familiarity with monitoring, logging, and evaluation practices for production AI systems.
* Experience working in enterprise or regulated environments.
*The actual salary offered will be based on a number of factors including but not limited to the qualifications of the applicant, years of relevant experience, level of education attained, certifications or other professional licenses held, and if applicable, the location in which the applicant lives and/or from which they will be performing the job.***New York Salary Range**
$120,000—$140,000 USD</t>
        </is>
      </c>
    </row>
    <row r="197">
      <c r="A197" t="inlineStr">
        <is>
          <t>in-bfa5054343e8425f</t>
        </is>
      </c>
      <c r="B197" t="inlineStr">
        <is>
          <t>AI Engineer</t>
        </is>
      </c>
      <c r="C197" t="inlineStr">
        <is>
          <t>Quantivly</t>
        </is>
      </c>
      <c r="D197" t="inlineStr">
        <is>
          <t>indeed</t>
        </is>
      </c>
      <c r="E197">
        <f>HYPERLINK("https://www.indeed.com/viewjob?jk=bfa5054343e8425f", "https://www.indeed.com/viewjob?jk=bfa5054343e8425f")</f>
        <v/>
      </c>
      <c r="F197">
        <f>HYPERLINK("https://quantivly.applytojob.com/apply/tfi4IihBao/AI-Engineer?source=INDE&amp;~", "https://quantivly.applytojob.com/apply/tfi4IihBao/AI-Engineer?source=INDE&amp;~")</f>
        <v/>
      </c>
      <c r="G197" t="inlineStr">
        <is>
          <t>Somerville, MA, US</t>
        </is>
      </c>
      <c r="H197" s="2" t="n">
        <v>46076</v>
      </c>
      <c r="I197" t="inlineStr">
        <is>
          <t>**Quantivly’s mission is to increase access to medical imaging and enhance imaging care. Spun out of Boston Children’s Hospital, we are building the “air traffic control” system for medical imaging providers, using computers for what they do best (solving complex orchestration problems) so clinicians and staff can focus on what matters most: patient care.**
**Quantivly has built the first\-of\-its\-kind unified data layer that unlocks imaging operational data previously trapped within hospital systems. Our initial application gives imaging providers unprecedented visibility into their operations. We have built a novel foundation model of operations and are now rapidly expanding to create the automation layer that will redefine how radiology departments operate.** **We are hiring a new AI Engineer to accelerate this vision and turn cutting\-edge operational data into real\-world impact for radiology teams.**
**Role Overview:**
As an AI engineer at Quantivly, you will be a core member of the AI team and help build the intelligent systems that power our automation layer and knowledge\-graph\-driven insights. You will create end\-to\-end AI solutions that fuse diverse data signals to power actionable agents.
Your day\-to\-day responsibilities will include (but are not limited to):
* Building reliable data pipelines and training workflows.
* Designing, implementing, testing, and deploying AI models and agents aligned with the product roadmap.
* Integrating models and agents to our platform services to support real workflow automation.
* Bridging the gap between prototype and production by working cross\-functionally to ship AI\-powered features.
* Ensuring model quality through evaluation frameworks, testing, and reproducibility.
* Improving CI/CD for ML, model deployment systems, monitoring, cloud\-based training, and scalable inference.
* Expanding and optimizing our AI repositories and model library to accelerate the creation and deployment of new models and agents.
* Staying current with applied ML and bringing practical advancements into our stack.
 We are transforming radiology by injecting AI into imaging operations.
**If you want to build real\-world AI end\-to\-end –from training to deployment to impact– join Quantivly!**
**Compensation:** Salary: $160k\-180k, Equity: 0\-0\.25%
**Responsibilities**
* Develop and maintain end\-to\-end machine learning pipelines, from data ingestion to production integration, supporting core components of our automation layer.
* Implement clean, scalable Python code and reusable ML components that integrate seamlessly with our platform and MLOps tooling.
* Prepare, process, and validate diverse data sources (HL7, DICOM metadata, operational logs, radiology report text) to ensure high\-quality model inputs and consistent labeling.
* Design evaluation frameworks, run experiments, and clearly communicate results, tradeoffs, and model behavior to both technical and non\-technical stakeholders.
* Stay updated with the latest advancements in machine learning and artificial intelligence, integrating relevant insights into ongoing projects.
* Contribute to internal documentation, best practices, and shared AI standards to support a growing AI team and an expanding automation ecosystem.
**Minimum Qualifications**
* **3\+ years of professional ML engineering experience**, with demonstrated end\-to\-end ownership of model\-driven features.
* Strong applied ML skills: model development, feature engineering, evaluation, and productionization.
* Experience with modern LLMs, embeddings, or retrieval\-based methods (even if not in production).
* Solid Python engineering competency (beyond notebooks): testing, structure, reliability.
* Experience with core ML tooling (e.g., PyTorch or TensorFlow, Hugging Face, scikit\-learn).
* Strong problem\-solving, debugging, and analytical skills.
* Excellent communication and ability to collaborate in a fast\-paced environment.
* High ownership mindset and comfort working in an early\-stage team where responsibilities evolve.
* Bachelor’s degree or greater in Computer Science (preferred), Information Technology, or equivalent work experience.
**Bonus Qualifications**
* Experience with Docker, or cloud services for ML deployment.
* Experience with Reinforcement Learning.
* Experience building evaluation frameworks or agents for quality checking.
* Knowledge of DICOM, HL7, or medical imaging workflows.
* Experience with ontology\-driven or knowledge\-graph\-enhanced ML systems.
* Background in radiology, healthcare, or regulated environments.
* Published work(s) in recognized machine learning/artificial intelligence journals.
**Who you are**
* You take pride in building simple, clean, elegant solutions to complex problems.
* You are highly motivated and passionate about creating impactful software products.
* You value technical excellence but know when pragmatism is necessary to meet deadlines.
* You are curious and love diving deep into new technologies and understanding how things work.
* You communicate clearly and effectively with cross\-functional teams.
* You thrive when given ownership and deliver high\-quality results with minimal guidance.
* You care deeply about reliability, performance, and engineering craftsmanship.
**Working locations \&amp; additional information**
* **Location:** Based in our Somerville, MA office. We strongly favor hybrid candidates able to be in person at least 2 days per week, but will consider exceptional remote candidates.
* **Employment Status:** Full\-Time Employee with benefits (Medical, Dental, Vision, 401k with matching)
* **Sponsorship:** Quantivly does not sponsor visas at this point : you must be authorized to work in the United States.
**Our tech stack**
* **Model Development:** Python, PyTorch, PyTorch Geometric (PyG), Transformers
* **Serving \&amp; APIs:** FastAPI, FastMCP, TorchScript
**Equal Opportunity/Affirmative Action Statement.** At Quantivly we celebrate difference. We are committed to ensuring an environment of mutual respect for every employee and proud to be an equal employment opportunity employer who does not discriminate against any person because of race, color, creed, religion, gender, gender identity, gender expression, national origin, citizenship, age, sex, sexual orientation, pregnancy, marital status, ancestry, physical or mental disability, military or veteran status, or any other characteristic protected by law. We believe a diverse and inclusive workplace is central to our success and actively seek to recruit, develop and retain the most talented people from a diverse pool of candidates.
tfi4IihBao</t>
        </is>
      </c>
    </row>
    <row r="198">
      <c r="A198" t="inlineStr">
        <is>
          <t>in-da095374fa32049c</t>
        </is>
      </c>
      <c r="B198" t="inlineStr">
        <is>
          <t>Senior Machine Learning Engineer</t>
        </is>
      </c>
      <c r="C198" t="inlineStr">
        <is>
          <t>VSCO</t>
        </is>
      </c>
      <c r="D198" t="inlineStr">
        <is>
          <t>indeed</t>
        </is>
      </c>
      <c r="E198">
        <f>HYPERLINK("https://www.indeed.com/viewjob?jk=da095374fa32049c", "https://www.indeed.com/viewjob?jk=da095374fa32049c")</f>
        <v/>
      </c>
      <c r="F198">
        <f>HYPERLINK("https://grnh.se/87puld0p2us", "https://grnh.se/87puld0p2us")</f>
        <v/>
      </c>
      <c r="G198" t="inlineStr">
        <is>
          <t>San Francisco, CA, US</t>
        </is>
      </c>
      <c r="H198" s="2" t="n">
        <v>46076</v>
      </c>
      <c r="I198" t="inlineStr">
        <is>
          <t>**About VSCO**
VSCO (pronounced vis–co) is a platform that equips photographers with the tools, community, and exposure they need to expand creatively and professionally. VSCO maintains a rich and authentic creative environment that serves photographers at all levels – preserving a home for creative opportunity, inspiration, and connection. Our mission is to champion photographers so they can make it. We empower photographers to connect with other creatives and businesses with our suite of creative tools that spans from mobile to desktop and across our global community.
We are looking for people who are driven and demonstrate initiative in taking our company mission to the next level. Employees here have the opportunity to make a big impact, and believe that when we build together, we achieve stronger outcomes than we could alone.
Our values are critical pillars to our team culture and shape the way we hire. Read more about what you can expect when working at VSCO on our Careers Page.
**About The Role**
In this role, you will turn AI and ML into exciting, reliable user\-facing product capabilities. You bring a strong technical background with deep machine learning expertise shaped by hands\-on experience shipping models into production and iterating based on real\-world feedback. You're motivated by measurable impact and customer delight, and you balance innovation with practicality.
You're fluent in Python, comfortable working across the data \+ ML stack, and able to build and ship models quickly in ways that are maintainable, observable, and scalable to large datasets. From lightweight heuristics and classical ML to modern deep learning and generative AI workflows, you can choose the right level of complexity for the problem and execute end\-to\-end: framing, experimentation, evaluation, deployment, and iteration.
You value the craft of software engineering and bring a thoughtful approach to system design for ML—data quality, pipelines, feature/embedding workflows, model serving, monitoring, and continuous improvement. Because ML has the most leverage when it's deeply integrated into a cohesive product experience, you're a strong cross\-functional partner: you collaborate closely with product, design, engineering, and data to align on goals, define success metrics, and deliver outcomes.
You stay current on the fast\-moving AI landscape with a grounded perspective—curious, discerning, and able to separate durable advances from hype—so the team can move quickly without chasing noise.
**The Day to Day**
* Design and implement ML\-powered features for search, discovery, personalization, and recommendation systems.
* Design and develop computer vision models powering the next generation of the photographer's tool set
* Elevate our ML platform for model building, training, and deployment at scale.
* Research and implement machine learning best practices to elevate our creator platform.
* Utilize data and ML to optimize key business funnels and enhance user experiences.
* Collaborate cross\-functionally with technical and non\-technical teams, bringing strong business context to your decision\-making and using influence to build alignment and drive impact.
* Proactively assure progress with stakeholders and continually assess prioritization in order to move the business forward.
**Qualifications**
* 5\+ years of experience designing and developing ML systems for impactful product experiences.
* Proven track record in optimizing ML algorithms and building ML pipelines with a focus on reliability and scalability.
* Expertise in Python for writing production\-ready, testable code and conducting exploratory data analysis (EDA).
* Strong capabilities in SQL, statistics, and tools of effective data science.
* Hands\-on experience with computer vision models and familiarity with the latest trends in AI and ML.
* Prior experience with data engineering and infrastructure on cloud platforms (preferably AWS).
* Excellent written and verbal communication skills to articulate complex ideas and build alignment.
* Expertise in developing extensible code with LLM coding assistants
**Job Perks**
* Hybrid work with an office in San Francisco, CA
* Regular in\-person events events to connect and collaborate
* Competitive salary \&amp; equity
* Medical, dental, and vision insurance for employees and families
* Flexible Time Off
* Company\-paid parental, medical and caregiver leave
* Other perks including mental health resources and tech reimbursements
**Compensation**
The base salary for this position will vary based on several factors, such as relevant experience, location and your approved internal leveling assessed during the interview process. The base salary range for this role is $240,000 \- $260,000\. Salary is one component of our total compensation package. This position also qualifies for equity (i.e. stock options) and is eligible for discretionary bonuses based on performance.
The benefits available for this position include flexible time off, a 401K retirement plan, insurance (medical, dental, vision, life/AD\&amp;D, short and long term disability), and 11 paid holidays. We also provide paid sick time as required by state and local law. Additional benefits and perks contained in our standard employee benefits package are also offered for this position.
**Please note**:
The application window for this role will be open until at least 3/23/2026\. This opportunity will remain online based on business needs which may be before or after the specified date.
As part of our hiring process, we conduct pre\-employment background checks in compliance with federal, state, and local laws. Employment is contingent upon the successful completion of this background check, which includes state and federal criminal records checks, sex offender registry searches, and other relevant checks as permitted by law.
**Be careful of fraudulent job posts.**
If you receive outreach from someone claiming to work for VSCO, please verify they are communicating through the proper channels (vsco.co email domain or through Greenhouse).
Note that VSCO will never ask for financial information or sensitive personal information during the application process.</t>
        </is>
      </c>
    </row>
    <row r="199">
      <c r="A199" t="inlineStr">
        <is>
          <t>in-65ccf46dbfdb26c1</t>
        </is>
      </c>
      <c r="B199" t="inlineStr">
        <is>
          <t>Identity AI / ML Engineer</t>
        </is>
      </c>
      <c r="C199" t="inlineStr">
        <is>
          <t>Openkyber</t>
        </is>
      </c>
      <c r="D199" t="inlineStr">
        <is>
          <t>indeed</t>
        </is>
      </c>
      <c r="E199">
        <f>HYPERLINK("https://www.indeed.com/viewjob?jk=65ccf46dbfdb26c1", "https://www.indeed.com/viewjob?jk=65ccf46dbfdb26c1")</f>
        <v/>
      </c>
      <c r="F199">
        <f>HYPERLINK("https://candidateportalnew.ceipal.com/job-details/pAsw0cP40Q9GPM7_bZSNLSpIo7YF2xzw0Ey-XKSe_Y8#.job_boards.Indeed", "https://candidateportalnew.ceipal.com/job-details/pAsw0cP40Q9GPM7_bZSNLSpIo7YF2xzw0Ey-XKSe_Y8#.job_boards.Indeed")</f>
        <v/>
      </c>
      <c r="G199" t="inlineStr">
        <is>
          <t>AK, US</t>
        </is>
      </c>
      <c r="H199" s="2" t="n">
        <v>46076</v>
      </c>
      <c r="I199" t="inlineStr">
        <is>
          <t>Please get resumes of Deep understanding of APIs, modern technological approaches to testing \- High degree of programming experience in Typescript or Python \- High understanding of current AI/ML patterns and paradigms AI Software Development Engineer in Test Responsibilities Help create a culture that motivates teams to ensure zero defects leak into production. Work across teams to understand enterprise quality requirements and ensure adoption of core processes and standards. Implement the shift\-left test strategy for each line of business Leverage open\-source automation frameworks and tools across all levels of testing that integrate in the automated CI/CD pipeline. Participate in the Agile (Scrum) team process, perform required standard testing activities, keeping the customer experience top of mind during the testing process. Work with internal teams to document test environment and test data management container strategies and provisioning for the different types of testing activities. Comprehend and decompose user stories/requirements to identify what tests need to be created and automated across all levels of testing. Qualifications 5\+ years of experience in testing automation engineering with both functional \&amp; API based testing Preferred BS/MS in Computer Science, Engineering, or related subject Required Skills \&amp; Experience Proficiency writing code in Python Experience writing end to end test scripts utilizing multiple services and reporting results Experience using SQL to join and query data across multiple tables and schemas Experience with AWS services including S3, Lambda, Dynamo DB, Cloudwatch, etc Experience with CI/CD supporting technologies GIT, GitLab, Docker Experience with up\-to\-date AI paradigms Large language models Classification models MCP RAG Dynamic prompting for LLMs Preferred Skills \&amp; Experience Experience automating API tests and extensive knowledge of creating and leveraging mocks, stubs, and virtual services to fulfill test automation requirement Automating tests for the full solution stack (unit, business logic, contract, usability, functional, performance) Experience testing AI implementations and an understanding of the risks models pose to systems and the business at large Major plus with direct experience in the following Experience leaving feedback on Merge/Pull Requests to ensure teams follow best practices Financial services technology / consumer banking testing experience Experience with Genesys IVR and Salesforce is a plus Extensive knowledge of: White Box Testing practices Software engineering best practices for the full software development life cycle, including coding standards, code reviews, source control, build and release processes, continuous integration and continuous deployment concepts (CI \&amp; CD), and test suite development and maintenance Working knowledge of: Commonly used ML/AI Python libraries/packages Spacy, nltk, etc. Experience in troubleshooting issues and root cause analysis Possesses a deep understanding of shift\-left test practices and techniques along with the frameworks, and tools that support it. Strong written and verbal communication skills. Enthusiastic and energetic with an inherent curiosity to break code.
**For applications and inquiries, contact:** hirings@openkyber.com</t>
        </is>
      </c>
    </row>
    <row r="200">
      <c r="A200" t="inlineStr">
        <is>
          <t>in-ad381a8a9a73f0a1</t>
        </is>
      </c>
      <c r="B200" t="inlineStr">
        <is>
          <t>Identity AI / ML Engineer</t>
        </is>
      </c>
      <c r="C200" t="inlineStr">
        <is>
          <t>Openkyber</t>
        </is>
      </c>
      <c r="D200" t="inlineStr">
        <is>
          <t>indeed</t>
        </is>
      </c>
      <c r="E200">
        <f>HYPERLINK("https://www.indeed.com/viewjob?jk=ad381a8a9a73f0a1", "https://www.indeed.com/viewjob?jk=ad381a8a9a73f0a1")</f>
        <v/>
      </c>
      <c r="F200">
        <f>HYPERLINK("https://candidateportalnew.ceipal.com/job-details/Mm2iJfFaR7XEssDrbxKVmeQssPLfvGpg49IoV8DCLAg#.job_boards.Indeed", "https://candidateportalnew.ceipal.com/job-details/Mm2iJfFaR7XEssDrbxKVmeQssPLfvGpg49IoV8DCLAg#.job_boards.Indeed")</f>
        <v/>
      </c>
      <c r="G200" t="inlineStr">
        <is>
          <t>AK, US</t>
        </is>
      </c>
      <c r="H200" s="2" t="n">
        <v>46076</v>
      </c>
      <c r="I200" t="inlineStr">
        <is>
          <t>Client F2F interview is required
Job Description:
* Analyze large and complex datasets to derive actionable insights and inform business strategies.
* Develop and implement advanced machine learning models and algorithms.
* Collaborate with cross\-functional teams to understand business needs and provide data\-driven solutions.
* Communicate findings and recommendations to stakeholders and executive leadership.
* Stay updated with the latest trends and technologies in data science and machine learning.
**Basic Qualifications:**
* Proficient in Python, Pandas, NumPy, Scikit\-Learn, PySpark
* Bachelor's degree in Computer Science, Statistics, Applied Mathematics, or a related field.
* Minimum of 8 years of experience in a data science role.
* Proficiency in programming languages such as Python or R..
* Strong understanding of machine learning techniques and algorithms.
**Preferred Qualifications:**
* Experience with modern ML frameworks such as PyTorch, TensorFlow
* Experience with big data technologies such as PySpark
* Experience with ML model training within cloud infra such as Azure, AWS, Google Cloud Platform
* Proven track record of successfully deploying and optimizing ML models in a production environment.
* Excellent communication and visualization skills to effectively present data insights to non\-technical stakeholders.
**For applications and inquiries, contact:** hirings@openkyber.com</t>
        </is>
      </c>
    </row>
    <row r="201">
      <c r="A201" t="inlineStr">
        <is>
          <t>in-4a11214c25ceb61e</t>
        </is>
      </c>
      <c r="B201" t="inlineStr">
        <is>
          <t>Identity AI / ML Engineer</t>
        </is>
      </c>
      <c r="C201" t="inlineStr">
        <is>
          <t>Openkyber</t>
        </is>
      </c>
      <c r="D201" t="inlineStr">
        <is>
          <t>indeed</t>
        </is>
      </c>
      <c r="E201">
        <f>HYPERLINK("https://www.indeed.com/viewjob?jk=4a11214c25ceb61e", "https://www.indeed.com/viewjob?jk=4a11214c25ceb61e")</f>
        <v/>
      </c>
      <c r="F201">
        <f>HYPERLINK("https://candidateportalnew.ceipal.com/job-details/vojEg_aFDxXwgElnqEbPZVRM-gBZlCvp-9JWTvwA0O8#.job_boards.Indeed", "https://candidateportalnew.ceipal.com/job-details/vojEg_aFDxXwgElnqEbPZVRM-gBZlCvp-9JWTvwA0O8#.job_boards.Indeed")</f>
        <v/>
      </c>
      <c r="G201" t="inlineStr">
        <is>
          <t>AK, US</t>
        </is>
      </c>
      <c r="H201" s="2" t="n">
        <v>46076</v>
      </c>
      <c r="I201" t="inlineStr">
        <is>
          <t>**Job Description:**
HYBRID Charlotte , NC Face to Face Interview The focus for this role is very heavy Machine Learning and AI focused. Candidates MUST have hands on Software Developer experience on Python and AI/ML platforms (not just Proof of Concept work). Please review the Responsibilities below, and make sure your candidates have similar experience.
Below are the MUST have Non\-Negotiable Required Skills:
* Natural Language Processing (NLP)
* Large Language Model (LLM)
* Machine Learning
* GenAI
* Python
* PyTorch
* TensorFlow
Additional Skills:
* NoSQL Databases
* Kafka
Day to Day Responsibilities
* Design and conduct experiments to test hypotheses and validate model assumptions
* Analyze experimental results and provide recommendations for further optimization.
* Implement clustering, classification, regression, and other machine learning algorithms as needed.
* Apply data mining techniques to extract actionable insights from structured and unstructured data.
* Identify patterns and anomalies in data to detect fraud, predict customer behavior, or optimize business processes.
* Develop and deploy predictive models using machine learning algorithms.
* Perform feature engineering, model selection, and hyperparameter tuning to optimize model performance.
* Evaluate model accuracy, precision, recall, and other performance metrics
* Collaborate with cross\-functional teams, including engineers, product managers, and business stakeholders
**For applications and inquiries, contact:** hirings@openkyber.com</t>
        </is>
      </c>
    </row>
    <row r="202">
      <c r="A202" t="inlineStr">
        <is>
          <t>in-91786fa9f4c64147</t>
        </is>
      </c>
      <c r="B202" t="inlineStr">
        <is>
          <t>Identity AI / ML Engineer</t>
        </is>
      </c>
      <c r="C202" t="inlineStr">
        <is>
          <t>Openkyber</t>
        </is>
      </c>
      <c r="D202" t="inlineStr">
        <is>
          <t>indeed</t>
        </is>
      </c>
      <c r="E202">
        <f>HYPERLINK("https://www.indeed.com/viewjob?jk=91786fa9f4c64147", "https://www.indeed.com/viewjob?jk=91786fa9f4c64147")</f>
        <v/>
      </c>
      <c r="F202">
        <f>HYPERLINK("https://candidateportalnew.ceipal.com/job-details/_IY9ffB18W_eZXkOUd6iTpSMHwJt-2yz-Nufe1TPXUo#.job_boards.Indeed", "https://candidateportalnew.ceipal.com/job-details/_IY9ffB18W_eZXkOUd6iTpSMHwJt-2yz-Nufe1TPXUo#.job_boards.Indeed")</f>
        <v/>
      </c>
      <c r="G202" t="inlineStr">
        <is>
          <t>AK, US</t>
        </is>
      </c>
      <c r="H202" s="2" t="n">
        <v>46076</v>
      </c>
      <c r="I202" t="inlineStr">
        <is>
          <t>**Senior Generative AI Engineer Location:** Dallas, TX or Charlotte, NC (Hybrid / relocation OK)
**Duration:** 12\+ months
**Role Summary**
We are looking for a Senior Generative AI Engineer with strong Python \+ LLM \+ RAG \+ MLOps experience to design and deploy enterprise\-grade AI solutions. The role involves building scalable GenAI platforms, agentic AI workflows, and production\-ready ML pipelines.
**Must\-Have Skills**
* Generative AI / LLM development
* Agentic AI / multi\-agent systems
* Strong Python programming
* RAG (Retrieval Augmented Generation) pipelines
* Machine Learning \&amp; Data Science
* MLOps / LLMOps / CI\-CD automation
* LangChain / LangGraph / CrewAI
* Vector databases (Pinecone, FAISS, Chroma, Weaviate)
* Hugging Face / Transformers
* PyTorch or TensorFlow
* REST APIs / FastAPI / Microservices
* Docker \&amp; Kubernetes
* Cloud platforms (AWS or Google Cloud Platform Vertex AI)
**Nice to Have**
* Google Cloud Platform experience preferred
* Prompt engineering
* LLM fine\-tuning (LoRA / QLoRA / PEFT)
* Enterprise AI architecture experience
**Experience Required**
10\+ years in AI / ML / Data Science
Strong communication skills
**Key Responsibilities**
* Build production\-ready Generative AI and LLM solutions
* Develop RAG\-based semantic search systems
* Design agentic AI workflows with memory \&amp; orchestration
* Deploy scalable AI services on cloud platforms
* Integrate AI into enterprise applications
**For applications and inquiries, contact:** hirings@openkyber.com</t>
        </is>
      </c>
    </row>
    <row r="203">
      <c r="A203" t="inlineStr">
        <is>
          <t>in-6eb7b2c01a26e982</t>
        </is>
      </c>
      <c r="B203" t="inlineStr">
        <is>
          <t>Identity AI / ML Engineer</t>
        </is>
      </c>
      <c r="C203" t="inlineStr">
        <is>
          <t>Openkyber</t>
        </is>
      </c>
      <c r="D203" t="inlineStr">
        <is>
          <t>indeed</t>
        </is>
      </c>
      <c r="E203">
        <f>HYPERLINK("https://www.indeed.com/viewjob?jk=6eb7b2c01a26e982", "https://www.indeed.com/viewjob?jk=6eb7b2c01a26e982")</f>
        <v/>
      </c>
      <c r="F203">
        <f>HYPERLINK("https://candidateportalnew.ceipal.com/job-details/WwWCx96OSlmNgjo4qv6JwdoB02vzza8W-7Njod8V0A0#.job_boards.Indeed", "https://candidateportalnew.ceipal.com/job-details/WwWCx96OSlmNgjo4qv6JwdoB02vzza8W-7Njod8V0A0#.job_boards.Indeed")</f>
        <v/>
      </c>
      <c r="G203" t="inlineStr">
        <is>
          <t>AK, US</t>
        </is>
      </c>
      <c r="H203" s="2" t="n">
        <v>46076</v>
      </c>
      <c r="I203" t="inlineStr">
        <is>
          <t>**Role Gen AI / ML Architect Location San Mateo, CA (Remote California Candidates Only) Visa / H1B \- C2C Duration 12 Months Contract We are hiring a Generative AI / ML Architect for a high\-priority engagement. Candidate must be based in California. Must Have Skills: Strong expertise in Microsoft Azure Architecture Generative AI (Mandatory) GPU \&amp; Accelerator Optimization (Cloud \+ Hardware) Experience with GPU utilization, memory bandwidth, interconnects Python, Databricks, ETL Pipelines Pinecone \&amp; MLOps Kubernetes \&amp; containerized platforms Infrastructure\-as\-Code (Terraform / Ansible) Enterprise\-scale cloud infrastructure design AI infrastructure integration experience Good to Have: NVIDIA / AMD GPU platforms Distributed AI training / HPC concepts Multi\-cloud (AWS / Google Cloud Platform / Oracle) FinOps for AI workloads RDMA / InfiniBand / high\-throughput networking Customer is specifically looking for strong GenAI \+ GPU optimization \+ Azure architecture profiles. Interested candidates share resume to:****For applications and inquiries, contact:** **hirings@openkyber.com**</t>
        </is>
      </c>
    </row>
    <row r="204">
      <c r="A204" t="inlineStr">
        <is>
          <t>in-59323683ff7b0e28</t>
        </is>
      </c>
      <c r="B204" t="inlineStr">
        <is>
          <t>Identity AI / ML Engineer</t>
        </is>
      </c>
      <c r="C204" t="inlineStr">
        <is>
          <t>Openkyber</t>
        </is>
      </c>
      <c r="D204" t="inlineStr">
        <is>
          <t>indeed</t>
        </is>
      </c>
      <c r="E204">
        <f>HYPERLINK("https://www.indeed.com/viewjob?jk=59323683ff7b0e28", "https://www.indeed.com/viewjob?jk=59323683ff7b0e28")</f>
        <v/>
      </c>
      <c r="F204">
        <f>HYPERLINK("https://candidateportalnew.ceipal.com/job-details/hEqjld13AKpAFF8-cQ45_ropzUAJCMHe_obiRmdaCkk#.job_boards.Indeed", "https://candidateportalnew.ceipal.com/job-details/hEqjld13AKpAFF8-cQ45_ropzUAJCMHe_obiRmdaCkk#.job_boards.Indeed")</f>
        <v/>
      </c>
      <c r="G204" t="inlineStr">
        <is>
          <t>AK, US</t>
        </is>
      </c>
      <c r="H204" s="2" t="n">
        <v>46076</v>
      </c>
      <c r="I204" t="inlineStr">
        <is>
          <t>Job Description: Lead the strategy, design, and delivery of scalable QE tools and automation platforms across the software development lifecycle.
Drive adoption of AI/ML\-enabled testing, including intelligent test generation, self\-healing automation, and risk\-based test prioritization.
Architect and maintain robust, reusable test frameworks for UI, API, mobile, and backend systems.
Leverage Generative AI and LLMs to improve test authoring, test data creation, defect analysis, and productivity.
Integrate QE tools seamlessly into CI/CD pipelines, enabling continuous quality and faster feedback.
Build cloud\-ready, DevOps\-aligned tools supporting microservices, containers, and distributed architectures.
Design, develop and monitor quality metrics and dashboards, providing data\-driven insights and predictive quality trends.
Collaborate with engineering, product, DevOps to embed quality\-first and shift\-left practices.
Establish governance, standards, and best practices for QE tools, ensuring scalability, security, and maintainability.
Mentor QE tools engineers, evaluate emerging technologies, and continuously innovate AI\-driven quality solutions.
**Note :** We are looking for Lead Java Full stack with React, AI/ML/GenAI, QE tools experience.
**For applications and inquiries, contact:** hirings@openkyber.com</t>
        </is>
      </c>
    </row>
    <row r="205">
      <c r="A205" t="inlineStr">
        <is>
          <t>in-ec78eaa7efb66102</t>
        </is>
      </c>
      <c r="B205" t="inlineStr">
        <is>
          <t>Identity AI / ML Engineer</t>
        </is>
      </c>
      <c r="C205" t="inlineStr">
        <is>
          <t>Openkyber</t>
        </is>
      </c>
      <c r="D205" t="inlineStr">
        <is>
          <t>indeed</t>
        </is>
      </c>
      <c r="E205">
        <f>HYPERLINK("https://www.indeed.com/viewjob?jk=ec78eaa7efb66102", "https://www.indeed.com/viewjob?jk=ec78eaa7efb66102")</f>
        <v/>
      </c>
      <c r="F205">
        <f>HYPERLINK("https://candidateportalnew.ceipal.com/job-details/w1FCv6c8XZ7zLZqRWVdpdTuvUg3-zl_zwJ4pFe4hbOQ#.job_boards.Indeed", "https://candidateportalnew.ceipal.com/job-details/w1FCv6c8XZ7zLZqRWVdpdTuvUg3-zl_zwJ4pFe4hbOQ#.job_boards.Indeed")</f>
        <v/>
      </c>
      <c r="G205" t="inlineStr">
        <is>
          <t>AK, US</t>
        </is>
      </c>
      <c r="H205" s="2" t="n">
        <v>46076</v>
      </c>
      <c r="I205" t="inlineStr">
        <is>
          <t>**AI / ML Engineer High Scale Systems Role Overview:**
Responsible for building, optimizing, and operating high\-scale AI/ML systems with strong performance, accuracy, and reliability guarantees.
**Key Responsibilities:**
* Develop and deploy ML and GenAI models for enterprise use cases
* Build RAG pipelines capable of processing millions of documents
* Optimize inference latency and model throughput
* Implement monitoring for accuracy, drift, and performance
* Support MLOps pipelines and CI/CD for models
**Performance, Load \&amp; Accuracy Focus:**
* Experience tuning models for latency and cost efficiency
* Define and monitor precision, recall, and accuracy metrics
* Support load testing and stress testing of AI services
* Experience with distributed inference architectures
**Technology Stack:**
Python, PyTorch, TensorFlow, HuggingFace, AWS AI services, Vector databases and embeddings, MLOps tools, CI/CD pipelines
**Experience \&amp; Qualifications:**
4 8\+ years of AI/ML engineering experience with exposure to enterprise\-scale systems.
**For applications and inquiries, contact:** hirings@openkyber.com</t>
        </is>
      </c>
    </row>
    <row r="206">
      <c r="A206" t="inlineStr">
        <is>
          <t>in-a4e678a0918373eb</t>
        </is>
      </c>
      <c r="B206" t="inlineStr">
        <is>
          <t>Identity AI / ML Engineer</t>
        </is>
      </c>
      <c r="C206" t="inlineStr">
        <is>
          <t>Openkyber</t>
        </is>
      </c>
      <c r="D206" t="inlineStr">
        <is>
          <t>indeed</t>
        </is>
      </c>
      <c r="E206">
        <f>HYPERLINK("https://www.indeed.com/viewjob?jk=a4e678a0918373eb", "https://www.indeed.com/viewjob?jk=a4e678a0918373eb")</f>
        <v/>
      </c>
      <c r="F206">
        <f>HYPERLINK("https://candidateportalnew.ceipal.com/job-details/65Rde_X0CiC-p7jL1rqjMqMhSo30AjRA0Ihkc6R1Hms#.job_boards.Indeed", "https://candidateportalnew.ceipal.com/job-details/65Rde_X0CiC-p7jL1rqjMqMhSo30AjRA0Ihkc6R1Hms#.job_boards.Indeed")</f>
        <v/>
      </c>
      <c r="G206" t="inlineStr">
        <is>
          <t>AK, US</t>
        </is>
      </c>
      <c r="H206" s="2" t="n">
        <v>46076</v>
      </c>
      <c r="I206" t="inlineStr">
        <is>
          <t>Role: AI/ML Engineer Location: Remote (EST/CST) Duration: 12 Months Job Description: We are looking for an AI/ML hands on Engineer for a remote position in US. Job Description : Design AI\-assisted language generation for producing clear, plain\-language draft messages. Implement draft message generation service within the validation pipeline. Auto\-generate draft text at the end of each validation run. In short \- Generative AI Integration (specifically text generation/RAG), Serverless Compute (Cloud Run/Functions), Document Processing, and API Integration.
**For applications and inquiries, contact:** hirings@openkyber.com</t>
        </is>
      </c>
    </row>
    <row r="207">
      <c r="A207" t="inlineStr">
        <is>
          <t>in-6a89d2374d3eafac</t>
        </is>
      </c>
      <c r="B207" t="inlineStr">
        <is>
          <t>Identity AI / ML Engineer</t>
        </is>
      </c>
      <c r="C207" t="inlineStr">
        <is>
          <t>Openkyber</t>
        </is>
      </c>
      <c r="D207" t="inlineStr">
        <is>
          <t>indeed</t>
        </is>
      </c>
      <c r="E207">
        <f>HYPERLINK("https://www.indeed.com/viewjob?jk=6a89d2374d3eafac", "https://www.indeed.com/viewjob?jk=6a89d2374d3eafac")</f>
        <v/>
      </c>
      <c r="F207">
        <f>HYPERLINK("https://candidateportalnew.ceipal.com/job-details/CvPairZIsymRFrPlCfjPx_jxztRuRwICm6gMubYfcoc#.job_boards.Indeed", "https://candidateportalnew.ceipal.com/job-details/CvPairZIsymRFrPlCfjPx_jxztRuRwICm6gMubYfcoc#.job_boards.Indeed")</f>
        <v/>
      </c>
      <c r="G207" t="inlineStr">
        <is>
          <t>AK, US</t>
        </is>
      </c>
      <c r="H207" s="2" t="n">
        <v>46076</v>
      </c>
      <c r="I207" t="inlineStr">
        <is>
          <t>**Role :** Sr. Snowflake Data AI Engineer
**Location:** Boston, MA 3 days/week onsite
The Senior Data \&amp; AI Engineer RESPONSIBILITIES: List and describe this position's principal responsibilities in concise, comprehensive statements.
* Design and Development: Lead the design, development, and maintenance of scalable and reliable data pipelines and data warehouse solutions using Snowflake and AWS technologies.
* Design and implement efficient database models, schemas and structures.
* Platform Administration: Administer and manage the Snowflake environment, including performance tuning, cost optimization, user access control, user onboarding/offboarding, and workload management to ensure optimal performance and security.
* AI Solution Development: Design, build and implement modern AI solutions (both in\-house and third\-party), integrated with Snowflake Cortex, Amazon Bedrock and other AI/ML models.
* Reporting Tools Management: Manage and support reporting and business intelligence (BI) tools and platforms. Configure custom reports.
* User Support and Training: Provide expert support to end\-users on reporting tools, data accessibility, and data best practices, empowering them to extract insights and make data\-driven decisions.
* Data Governance \&amp; Compliance: Implement data governance, security protocols, encryption techniques, and access control policies in compliance with banking industry regulations.
* Collaboration: Work closely with cross\-functional teams, including security, IT, and business stakeholders, to gather requirements, troubleshoot issues, and ensure seamless data operations.
* Process Improvement: Drive continuous improvement in data management processes, documentation, and data quality metrics, ensuring high data integrity and reliability
**KNOWLEDGE, SKILLS AND ABILITIES:** Indicate the educational level, previous experience, specific knowledge, skills, and abilities required to meet the minimum entry\-level requirements for this position. This may include special skills, licenses, certificates, etc.
* Minimum of 15\+ years of hands\-on experience in data engineering and software development
* 6\+ years hands\-on experience and advanced\-level expertise in Snowflake data warehousing and data platform management.
* 4\+ years hands\-on experience and advanced\-level expertise in AWS cloud services and data\-related technologies.
* Proficiency in reporting and BI tools such as Sigma or Omni .
* Experience with programming languages like Python and SQL.
* Experience designing and implementing AI/ML solutions, using AI services like Snowflake Cortex, AWS Bedrock and other modern GenAI models is highly preferred
* Strong communication skills with the ability to bridge technical and non\-technical stakeholders.
* Excellent problem\-solving and analytical skills.
* Ability to work independently and lead complex data projects
* Highly preferred but not mandatory: working knowledge of core banking systems like Jack Henry and Loan Origination Systems like eNcino
**For applications and inquiries, contact:** hirings@openkyber.com</t>
        </is>
      </c>
    </row>
    <row r="208">
      <c r="A208" t="inlineStr">
        <is>
          <t>in-2fb00b57610fa8f8</t>
        </is>
      </c>
      <c r="B208" t="inlineStr">
        <is>
          <t>AI Engineer (Entry level)</t>
        </is>
      </c>
      <c r="C208" t="inlineStr">
        <is>
          <t>Rocket Software</t>
        </is>
      </c>
      <c r="D208" t="inlineStr">
        <is>
          <t>indeed</t>
        </is>
      </c>
      <c r="E208">
        <f>HYPERLINK("https://www.indeed.com/viewjob?jk=2fb00b57610fa8f8", "https://www.indeed.com/viewjob?jk=2fb00b57610fa8f8")</f>
        <v/>
      </c>
      <c r="F208">
        <f>HYPERLINK("https://rocket.wd5.myworkdayjobs.com/en-US/rocket_careers/job/Pune-India/AI-Engineer--Entry-level-_R2026-6278", "https://rocket.wd5.myworkdayjobs.com/en-US/rocket_careers/job/Pune-India/AI-Engineer--Entry-level-_R2026-6278")</f>
        <v/>
      </c>
      <c r="G208" t="inlineStr">
        <is>
          <t>US</t>
        </is>
      </c>
      <c r="H208" s="2" t="n">
        <v>46076</v>
      </c>
      <c r="I208" t="inlineStr">
        <is>
          <t>**It's fun to work in a company where people truly BELIEVE in what they're doing!**
**Job Description Summary:**
Rocket AI Engineer for Eva.
**Essential Duties and Responsibilities**
* Assist in developing, fine\-tuning, and deploying machine learning models.
* Aid in consulting with key internal and external stakeholders to understand and frame model requirements and potential applications.
* Participate in the development of sound analytic plans based on available data sources, business partner needs, and required timelines.
* Work with software engineers in integrating trained models into end\-user applications.
* Help manage deliverables across multiple projects in a deadline\-driven environment.
* Present results, insights, and recommendations to both technical and non\-technical stakeholders.
**Required Qualifications**
* 0 \-2 years of relevant industry experience or fresh graduates are welcome to apply.
* Good knowledge of Python and Linux, familiarity with ML frameworks, and a willingness to learn.
* Demonstrated problem\-solving abilities and creative thinking.
* Basic experience or understanding in applying Data Science methodologies to extract, process, and transform data from multiple sources.
* Excellent communication and interpersonal skills.
* Must be comfortable working in a team\-oriented environment.
**Preferred Qualifications**
* Bachelor's degree in Statistics, Computer Science, Economics, or a directly related field.
* Masters degree or current enrollment in a Masters program in Statistics, Computer Science, Mathematics, Economics, or directly related fields is a plus.
* Demonstrated passion for continued learning and innovation.
* As a Data Science Assistant, we expect not just skills and qualifications, but also an enthusiasm for learning and growing within our team. We value those who are adaptable, innovative, and ready to take on challenges in a fast\-paced work environment.
**Diversity, Inclusion \&amp; Equity**
At Rocket we are committed to an inclusive workplace environment, where every Rocketeer can thrive by bringing their full selves to work. Being a Rocketeer means you are part of our movement to continually drive inclusivity, diversity and equity in our workforce.
.
Rocket Software Inc.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Rocket Software Inc. is also committed to compliance with all fair employment practices regarding citizenship and immigration status.
As part of our commitment to a safe and trustworthy workplace, we include background and reference checks in our hiring process.
Rocket is committed to working with and providing reasonable accommodation to individuals with physical and mental disabilities. If you need special assistance or an accommodation while seeking employment, please call: 781\-577\-4321 or send an email to people@rocketsoftware.com. We will make a determination on your request for reasonable accommodation on a case\-by\-case basis.
*If you like wild growth and working with happy, enthusiastic over\-achievers, you'll enjoy your career with us!*</t>
        </is>
      </c>
    </row>
    <row r="209">
      <c r="A209" t="inlineStr">
        <is>
          <t>in-5b9f8300c935d7e1</t>
        </is>
      </c>
      <c r="B209" t="inlineStr">
        <is>
          <t>AI Engineer</t>
        </is>
      </c>
      <c r="C209" t="inlineStr">
        <is>
          <t>Capco</t>
        </is>
      </c>
      <c r="D209" t="inlineStr">
        <is>
          <t>indeed</t>
        </is>
      </c>
      <c r="E209">
        <f>HYPERLINK("https://www.indeed.com/viewjob?jk=5b9f8300c935d7e1", "https://www.indeed.com/viewjob?jk=5b9f8300c935d7e1")</f>
        <v/>
      </c>
      <c r="F209">
        <f>HYPERLINK("https://www.capco.com/Careers/Job%20Search/Office%20Detail?gh_jid=7650987&amp;location=&amp;department=&amp;keywords=", "https://www.capco.com/Careers/Job%20Search/Office%20Detail?gh_jid=7650987&amp;location=&amp;department=&amp;keywords=")</f>
        <v/>
      </c>
      <c r="G209" t="inlineStr">
        <is>
          <t>New York, NY, US</t>
        </is>
      </c>
      <c r="H209" s="2" t="n">
        <v>46076</v>
      </c>
      <c r="I209" t="inlineStr">
        <is>
          <t>**About the team:**
At the Capco Technology Delivery Center, we are dedicated to the financial services industries. Our professionals combine innovative thinking with unrivalled industry and domain expertise to offer our clients consulting expertise, complex technology and package integration, transformation delivery, and managed services, to move their organizations forward. Through our collaborative and efficient approach, we help our clients successfully innovate, increase revenue, manage risk and regulatory change, reduce costs, and enhance controls. Our teams stay at the forefront of industry trends and technologies that are driving innovation. From strategy to launch, we are adept at delivering across the full product lifecycle.
**About the Job:**
As a member of the Capco Technology Delivery Team, you’ll bring practical knowledge of agile development methodologies and engineering best practices. As an AI Engineer, you’ll play an integral role using your experience and skills to contribute to the quality and implementation of our projects.
We are seeking a highly skilled and experienced Senior GenAI Engineer who will be instrumental in designing, developing, and deploying modern generative AI solutions, leveraging expertise in foundation models, agentic AI systems, and full\-stack application development. You will work across the entire AI lifecycle, from research and prototyping to production deployment and monitoring, contributing to high\-impact transformative projects.
**What** **You’ll** **Get to Do:**
* Build applications leveraging foundation models and advanced GenAI techniques (Agentic RAG, KG\-RAG)
* Develop autonomous agents using modern agentic frameworks
* Implement MCP integrations and Python\-based full\-stack solutions
* Create scalable REST APIs and deploy AI workloads on major clouds
* Apply LLMOps/MLOps best practices for CI/CD and monitoring
* Work across teams, mentor others, and drive innovation in embeddings, knowledge graphs, and ontologies
**What** **You’ll** **Bring with You:**
* Degree in CS, AI/ML, or related field
* 5\+ years of AI/ML\-focused software engineering
* Production experience with LLMs and agentic systems
* Strong MCP knowledge and expert\-level Python (zero Java)
* Experience with embeddings at scale, knowledge graphs, ontology extraction, and advanced RAG
* Full\-stack skills (Python back end \+ modern front end)
* Cloud deployment experience (AWS, Azure, or GCP)
* Familiarity with LLMOps tools and strong problem\-solving/communication skills
* Willingness to work in the New York office 3 days/week.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We have been informed of several recruitment scams targeting the public. We strongly advise you to verify identities before engaging in recruitment related communication. All official Capco communication will be conducted via a Capco recruiter.
\#LI\-MB1
\#LI\-HYBRID
US Pay Range
$125,000—$143,000 USD</t>
        </is>
      </c>
    </row>
    <row r="210">
      <c r="A210" t="inlineStr">
        <is>
          <t>in-22b8ff99671f9ffa</t>
        </is>
      </c>
      <c r="B210" t="inlineStr">
        <is>
          <t>AI Engineer</t>
        </is>
      </c>
      <c r="C210" t="inlineStr">
        <is>
          <t>Capco</t>
        </is>
      </c>
      <c r="D210" t="inlineStr">
        <is>
          <t>indeed</t>
        </is>
      </c>
      <c r="E210">
        <f>HYPERLINK("https://www.indeed.com/viewjob?jk=22b8ff99671f9ffa", "https://www.indeed.com/viewjob?jk=22b8ff99671f9ffa")</f>
        <v/>
      </c>
      <c r="F210">
        <f>HYPERLINK("https://www.capco.com/Careers/Job%20Search/Office%20Detail?gh_jid=7650988&amp;location=&amp;department=&amp;keywords=", "https://www.capco.com/Careers/Job%20Search/Office%20Detail?gh_jid=7650988&amp;location=&amp;department=&amp;keywords=")</f>
        <v/>
      </c>
      <c r="G210" t="inlineStr">
        <is>
          <t>Orlando, FL, US</t>
        </is>
      </c>
      <c r="H210" s="2" t="n">
        <v>46076</v>
      </c>
      <c r="I210" t="inlineStr">
        <is>
          <t>**About the team:**
At the Capco Technology Delivery Center, we are dedicated to the financial services industries. Our professionals combine innovative thinking with unrivalled industry and domain expertise to offer our clients consulting expertise, complex technology and package integration, transformation delivery, and managed services, to move their organizations forward. Through our collaborative and efficient approach, we help our clients successfully innovate, increase revenue, manage risk and regulatory change, reduce costs, and enhance controls. Our teams stay at the forefront of industry trends and technologies that are driving innovation. From strategy to launch, we are adept at delivering across the full product lifecycle.
**About the Job:**
As a member of the Capco Technology Delivery Team, you’ll bring practical knowledge of agile development methodologies and engineering best practices. As an AI Engineer, you’ll play an integral role using your experience and skills to contribute to the quality and implementation of our projects.
We are seeking a highly skilled and experienced Senior GenAI Engineer who will be instrumental in designing, developing, and deploying modern generative AI solutions, leveraging expertise in foundation models, agentic AI systems, and full\-stack application development. You will work across the entire AI lifecycle, from research and prototyping to production deployment and monitoring, contributing to high\-impact transformative projects.
**What** **You’ll** **Get to Do:**
* Build applications leveraging foundation models and advanced GenAI techniques (Agentic RAG, KG\-RAG)
* Develop autonomous agents using modern agentic frameworks
* Implement MCP integrations and Python\-based full\-stack solutions
* Create scalable REST APIs and deploy AI workloads on major clouds
* Apply LLMOps/MLOps best practices for CI/CD and monitoring
* Work across teams, mentor others, and drive innovation in embeddings, knowledge graphs, and ontologies
**What** **You’ll** **Bring with You:**
* Degree in CS, AI/ML, or related field
* 5\+ years of AI/ML\-focused software engineering
* Production experience with LLMs and agentic systems
* Strong MCP knowledge and expert\-level Python (zero Java)
* Experience with embeddings at scale, knowledge graphs, ontology extraction, and advanced RAG
* Full\-stack skills (Python back end \+ modern front end)
* Cloud deployment experience (AWS, Azure, or GCP)
* Familiarity with LLMOps tools and strong problem\-solving/communication skills
* Willingness to work in the Orlando (Maitland) office 3 days/week.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We have been informed of several recruitment scams targeting the public. We strongly advise you to verify identities before engaging in recruitment related communication. All official Capco communication will be conducted via a Capco recruiter.
\#LI\-MB1
\#LI\-HYBRID</t>
        </is>
      </c>
    </row>
    <row r="211">
      <c r="A211" t="inlineStr">
        <is>
          <t>in-1f18056c1a09ca54</t>
        </is>
      </c>
      <c r="B211" t="inlineStr">
        <is>
          <t>AI Engineer</t>
        </is>
      </c>
      <c r="C211" t="inlineStr">
        <is>
          <t>Capco</t>
        </is>
      </c>
      <c r="D211" t="inlineStr">
        <is>
          <t>indeed</t>
        </is>
      </c>
      <c r="E211">
        <f>HYPERLINK("https://www.indeed.com/viewjob?jk=1f18056c1a09ca54", "https://www.indeed.com/viewjob?jk=1f18056c1a09ca54")</f>
        <v/>
      </c>
      <c r="F211">
        <f>HYPERLINK("https://www.capco.com/Careers/Job%20Search/Office%20Detail?gh_jid=7650989&amp;location=&amp;department=&amp;keywords=", "https://www.capco.com/Careers/Job%20Search/Office%20Detail?gh_jid=7650989&amp;location=&amp;department=&amp;keywords=")</f>
        <v/>
      </c>
      <c r="G211" t="inlineStr">
        <is>
          <t>Dallas, TX, US</t>
        </is>
      </c>
      <c r="H211" s="2" t="n">
        <v>46076</v>
      </c>
      <c r="I211" t="inlineStr">
        <is>
          <t>**About the team:**
At the Capco Technology Delivery Center, we are dedicated to the financial services industries. Our professionals combine innovative thinking with unrivalled industry and domain expertise to offer our clients consulting expertise, complex technology and package integration, transformation delivery, and managed services, to move their organizations forward. Through our collaborative and efficient approach, we help our clients successfully innovate, increase revenue, manage risk and regulatory change, reduce costs, and enhance controls. Our teams stay at the forefront of industry trends and technologies that are driving innovation. From strategy to launch, we are adept at delivering across the full product lifecycle.
**About the Job:**
As a member of the Capco Technology Delivery Team, you’ll bring practical knowledge of agile development methodologies and engineering best practices. As an AI Engineer, you’ll play an integral role using your experience and skills to contribute to the quality and implementation of our projects.
We are seeking a highly skilled and experienced Senior GenAI Engineer who will be instrumental in designing, developing, and deploying modern generative AI solutions, leveraging expertise in foundation models, agentic AI systems, and full\-stack application development. You will work across the entire AI lifecycle, from research and prototyping to production deployment and monitoring, contributing to high\-impact transformative projects.
**What** **You’ll** **Get to Do:**
* Build applications leveraging foundation models and advanced GenAI techniques (Agentic RAG, KG\-RAG)
* Develop autonomous agents using modern agentic frameworks
* Implement MCP integrations and Python\-based full\-stack solutions
* Create scalable REST APIs and deploy AI workloads on major clouds
* Apply LLMOps/MLOps best practices for CI/CD and monitoring
* Work across teams, mentor others, and drive innovation in embeddings, knowledge graphs, and ontologies
**What** **You’ll** **Bring with You:**
* Degree in CS, AI/ML, or related field
* 5\+ years of AI/ML\-focused software engineering
* Production experience with LLMs and agentic systems
* Strong MCP knowledge and expert\-level Python (zero Java)
* Experience with embeddings at scale, knowledge graphs, ontology extraction, and advanced RAG
* Full\-stack skills (Python back end \+ modern front end)
* Cloud deployment experience (AWS, Azure, or GCP)
* Familiarity with LLMOps tools and strong problem\-solving/communication skills
* Willingness to work in the Dallas office 5 days/week.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We have been informed of several recruitment scams targeting the public. We strongly advise you to verify identities before engaging in recruitment related communication. All official Capco communication will be conducted via a Capco recruiter.LI\-MB1
\#LI\-HYBRID</t>
        </is>
      </c>
    </row>
    <row r="212">
      <c r="A212" t="inlineStr">
        <is>
          <t>in-2318f187ef23e812</t>
        </is>
      </c>
      <c r="B212" t="inlineStr">
        <is>
          <t>Applied Scientist, Alexa Smart Home</t>
        </is>
      </c>
      <c r="C212" t="inlineStr">
        <is>
          <t>Amazon.com</t>
        </is>
      </c>
      <c r="D212" t="inlineStr">
        <is>
          <t>indeed</t>
        </is>
      </c>
      <c r="E212">
        <f>HYPERLINK("https://www.indeed.com/viewjob?jk=2318f187ef23e812", "https://www.indeed.com/viewjob?jk=2318f187ef23e812")</f>
        <v/>
      </c>
      <c r="F212">
        <f>HYPERLINK("https://www.amazon.jobs/jobs/3169205/applied-scientist-alexa-smart-home?cmpid=DA_INAD200785B", "https://www.amazon.jobs/jobs/3169205/applied-scientist-alexa-smart-home?cmpid=DA_INAD200785B")</f>
        <v/>
      </c>
      <c r="G212" t="inlineStr">
        <is>
          <t>Sunnyvale, CA, US</t>
        </is>
      </c>
      <c r="H212" s="2" t="n">
        <v>46033</v>
      </c>
      <c r="I212"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13">
      <c r="A213" t="inlineStr">
        <is>
          <t>in-2eddfc8dc9dac3ce</t>
        </is>
      </c>
      <c r="B213" t="inlineStr">
        <is>
          <t>Applied Scientist, Alexa Smart Home</t>
        </is>
      </c>
      <c r="C213" t="inlineStr">
        <is>
          <t>Amazon.com</t>
        </is>
      </c>
      <c r="D213" t="inlineStr">
        <is>
          <t>indeed</t>
        </is>
      </c>
      <c r="E213">
        <f>HYPERLINK("https://www.indeed.com/viewjob?jk=2eddfc8dc9dac3ce", "https://www.indeed.com/viewjob?jk=2eddfc8dc9dac3ce")</f>
        <v/>
      </c>
      <c r="F213">
        <f>HYPERLINK("https://www.amazon.jobs/jobs/3169205/applied-scientist-alexa-smart-home?cmpid=DA_INAD200785B", "https://www.amazon.jobs/jobs/3169205/applied-scientist-alexa-smart-home?cmpid=DA_INAD200785B")</f>
        <v/>
      </c>
      <c r="G213" t="inlineStr">
        <is>
          <t>Seattle, WA, US</t>
        </is>
      </c>
      <c r="H213" s="2" t="n">
        <v>46033</v>
      </c>
      <c r="I213"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14">
      <c r="A214" t="inlineStr">
        <is>
          <t>in-4e87215db2bd2e6c</t>
        </is>
      </c>
      <c r="B214" t="inlineStr">
        <is>
          <t>ML Engineer, GO-AI Technology &amp; Development Team</t>
        </is>
      </c>
      <c r="C214" t="inlineStr">
        <is>
          <t>Amazon.com</t>
        </is>
      </c>
      <c r="D214" t="inlineStr">
        <is>
          <t>indeed</t>
        </is>
      </c>
      <c r="E214">
        <f>HYPERLINK("https://www.indeed.com/viewjob?jk=4e87215db2bd2e6c", "https://www.indeed.com/viewjob?jk=4e87215db2bd2e6c")</f>
        <v/>
      </c>
      <c r="F214">
        <f>HYPERLINK("https://www.amazon.jobs/jobs/3173298/ml-engineer-goai-technology--development-team?cmpid=DA_INAD200785B", "https://www.amazon.jobs/jobs/3173298/ml-engineer-goai-technology--development-team?cmpid=DA_INAD200785B")</f>
        <v/>
      </c>
      <c r="G214" t="inlineStr">
        <is>
          <t>Westborough, MA, US</t>
        </is>
      </c>
      <c r="H214" s="2" t="n">
        <v>45998</v>
      </c>
      <c r="I214"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15">
      <c r="A215" t="inlineStr">
        <is>
          <t>in-097d1a1dc25e0709</t>
        </is>
      </c>
      <c r="B215" t="inlineStr">
        <is>
          <t>ML Engineer, GO-AI Technology &amp; Development Team</t>
        </is>
      </c>
      <c r="C215" t="inlineStr">
        <is>
          <t>Amazon.com</t>
        </is>
      </c>
      <c r="D215" t="inlineStr">
        <is>
          <t>indeed</t>
        </is>
      </c>
      <c r="E215">
        <f>HYPERLINK("https://www.indeed.com/viewjob?jk=097d1a1dc25e0709", "https://www.indeed.com/viewjob?jk=097d1a1dc25e0709")</f>
        <v/>
      </c>
      <c r="F215">
        <f>HYPERLINK("https://www.amazon.jobs/jobs/3173298/ml-engineer-goai-technology--development-team?cmpid=DA_INAD200785B", "https://www.amazon.jobs/jobs/3173298/ml-engineer-goai-technology--development-team?cmpid=DA_INAD200785B")</f>
        <v/>
      </c>
      <c r="G215" t="inlineStr">
        <is>
          <t>Reading, MA, US</t>
        </is>
      </c>
      <c r="H215" s="2" t="n">
        <v>45998</v>
      </c>
      <c r="I215"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16">
      <c r="A216" t="inlineStr">
        <is>
          <t>in-c3ecd3e6e65b0f0f</t>
        </is>
      </c>
      <c r="B216" t="inlineStr">
        <is>
          <t>ML Engineer, GO-AI Technology &amp; Development Team</t>
        </is>
      </c>
      <c r="C216" t="inlineStr">
        <is>
          <t>Amazon.com</t>
        </is>
      </c>
      <c r="D216" t="inlineStr">
        <is>
          <t>indeed</t>
        </is>
      </c>
      <c r="E216">
        <f>HYPERLINK("https://www.indeed.com/viewjob?jk=c3ecd3e6e65b0f0f", "https://www.indeed.com/viewjob?jk=c3ecd3e6e65b0f0f")</f>
        <v/>
      </c>
      <c r="F216">
        <f>HYPERLINK("https://www.amazon.jobs/jobs/3173298/ml-engineer-goai-technology--development-team?cmpid=DA_INAD200785B", "https://www.amazon.jobs/jobs/3173298/ml-engineer-goai-technology--development-team?cmpid=DA_INAD200785B")</f>
        <v/>
      </c>
      <c r="G216" t="inlineStr">
        <is>
          <t>Seattle, WA, US</t>
        </is>
      </c>
      <c r="H216" s="2" t="n">
        <v>45998</v>
      </c>
      <c r="I216"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17">
      <c r="A217" t="inlineStr">
        <is>
          <t>in-b579246a6a0d499d</t>
        </is>
      </c>
      <c r="B217" t="inlineStr">
        <is>
          <t>ML Engineer, GO-AI Technology &amp; Development Team</t>
        </is>
      </c>
      <c r="C217" t="inlineStr">
        <is>
          <t>Amazon.com</t>
        </is>
      </c>
      <c r="D217" t="inlineStr">
        <is>
          <t>indeed</t>
        </is>
      </c>
      <c r="E217">
        <f>HYPERLINK("https://www.indeed.com/viewjob?jk=b579246a6a0d499d", "https://www.indeed.com/viewjob?jk=b579246a6a0d499d")</f>
        <v/>
      </c>
      <c r="F217">
        <f>HYPERLINK("https://www.amazon.jobs/jobs/3173298/ml-engineer-goai-technology--development-team?cmpid=DA_INAD200785B", "https://www.amazon.jobs/jobs/3173298/ml-engineer-goai-technology--development-team?cmpid=DA_INAD200785B")</f>
        <v/>
      </c>
      <c r="G217" t="inlineStr">
        <is>
          <t>Boston, MA, US</t>
        </is>
      </c>
      <c r="H217" s="2" t="n">
        <v>45998</v>
      </c>
      <c r="I217"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5"/>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li-4301275845</t>
        </is>
      </c>
      <c r="B2" t="inlineStr">
        <is>
          <t>Applied Scientist II, Creative X - RAPID</t>
        </is>
      </c>
      <c r="C2" t="inlineStr">
        <is>
          <t>Amazon</t>
        </is>
      </c>
      <c r="D2" t="inlineStr">
        <is>
          <t>linkedin</t>
        </is>
      </c>
      <c r="E2" t="inlineStr"/>
      <c r="F2" t="inlineStr"/>
      <c r="G2" t="inlineStr">
        <is>
          <t>Seattle, WA</t>
        </is>
      </c>
      <c r="H2" t="inlineStr"/>
      <c r="I2" t="inlineStr">
        <is>
          <t>**Description**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
**Company** 
 \- Amazon.com Services LLC
 Job ID: A3083576</t>
        </is>
      </c>
    </row>
    <row r="3">
      <c r="A3" t="inlineStr">
        <is>
          <t>li-4309312843</t>
        </is>
      </c>
      <c r="B3" t="inlineStr">
        <is>
          <t>Applied Scientist III, StoreGen</t>
        </is>
      </c>
      <c r="C3" t="inlineStr">
        <is>
          <t>Amazon</t>
        </is>
      </c>
      <c r="D3" t="inlineStr">
        <is>
          <t>linkedin</t>
        </is>
      </c>
      <c r="E3" t="inlineStr"/>
      <c r="F3" t="inlineStr"/>
      <c r="G3" t="inlineStr">
        <is>
          <t>Sunnyvale, CA</t>
        </is>
      </c>
      <c r="H3" t="inlineStr"/>
      <c r="I3" t="inlineStr">
        <is>
          <t>**Description**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 Our Mission
 We’re building the next generation of development tools — uncovering how LLMs can originate new ways of thinking, building, and collaborating.
 💫 What Makes Us Different
* Ground\-floor opportunity to shape the future of software development
* Direct impact on Amazon's global engineering practices
* Working with the latest technologies and large language models
* Culture of experimentation and innovative thinking
 🔍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 Impact
 Your work will surface where LLMs can meaningfully change how Amazon engineers build.
 You’ll help the team uncover which surprises are worth pursuing and where to push beyond what’s already known.
 ✨ Always find a way 🔮💎🍔⭐️
**Basic Qualifications**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A3065534</t>
        </is>
      </c>
    </row>
    <row r="4">
      <c r="A4" t="inlineStr">
        <is>
          <t>li-4309323624</t>
        </is>
      </c>
      <c r="B4" t="inlineStr">
        <is>
          <t>Applied Scientist III, StoreGen</t>
        </is>
      </c>
      <c r="C4" t="inlineStr">
        <is>
          <t>Amazon</t>
        </is>
      </c>
      <c r="D4" t="inlineStr">
        <is>
          <t>linkedin</t>
        </is>
      </c>
      <c r="E4" t="inlineStr"/>
      <c r="F4" t="inlineStr"/>
      <c r="G4" t="inlineStr">
        <is>
          <t>Seattle, WA</t>
        </is>
      </c>
      <c r="H4" t="inlineStr"/>
      <c r="I4" t="inlineStr">
        <is>
          <t>**Description**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 Our Mission
 We’re building the next generation of development tools — uncovering how LLMs can originate new ways of thinking, building, and collaborating.
 💫 What Makes Us Different
* Ground\-floor opportunity to shape the future of software development
* Direct impact on Amazon's global engineering practices
* Working with the latest technologies and large language models
* Culture of experimentation and innovative thinking
 🔍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 Impact
 Your work will surface where LLMs can meaningfully change how Amazon engineers build.
 You’ll help the team uncover which surprises are worth pursuing and where to push beyond what’s already known.
 ✨ Always find a way 🔮💎🍔⭐️
**Basic Qualifications**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A3065534</t>
        </is>
      </c>
    </row>
    <row r="5">
      <c r="A5" t="inlineStr">
        <is>
          <t>li-4315144224</t>
        </is>
      </c>
      <c r="B5" t="inlineStr">
        <is>
          <t>Senior Applied Scientist, Delivery Foundation Model</t>
        </is>
      </c>
      <c r="C5" t="inlineStr">
        <is>
          <t>Amazon</t>
        </is>
      </c>
      <c r="D5" t="inlineStr">
        <is>
          <t>linkedin</t>
        </is>
      </c>
      <c r="E5" t="inlineStr"/>
      <c r="F5" t="inlineStr"/>
      <c r="G5" t="inlineStr">
        <is>
          <t>New York, United States</t>
        </is>
      </c>
      <c r="H5" t="inlineStr"/>
      <c r="I5" t="inlineStr">
        <is>
          <t>**Description**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
**Basic Qualifications**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
**Preferred Qualifications**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A2998435</t>
        </is>
      </c>
    </row>
    <row r="6">
      <c r="A6" t="inlineStr">
        <is>
          <t>li-4292577436</t>
        </is>
      </c>
      <c r="B6" t="inlineStr">
        <is>
          <t>Sr. Applied Scientist - Privacy, Privacy Engineering</t>
        </is>
      </c>
      <c r="C6" t="inlineStr">
        <is>
          <t>Amazon</t>
        </is>
      </c>
      <c r="D6" t="inlineStr">
        <is>
          <t>linkedin</t>
        </is>
      </c>
      <c r="E6" t="inlineStr"/>
      <c r="F6" t="inlineStr"/>
      <c r="G6" t="inlineStr">
        <is>
          <t>Sunnyvale, CA</t>
        </is>
      </c>
      <c r="H6" t="inlineStr"/>
      <c r="I6" t="inlineStr">
        <is>
          <t>**Description**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A2997657</t>
        </is>
      </c>
    </row>
    <row r="7">
      <c r="A7" t="inlineStr">
        <is>
          <t>li-4266787431</t>
        </is>
      </c>
      <c r="B7" t="inlineStr">
        <is>
          <t>Sr Applied Scientist, Last Mile Delivery Automation</t>
        </is>
      </c>
      <c r="C7" t="inlineStr">
        <is>
          <t>Amazon</t>
        </is>
      </c>
      <c r="D7" t="inlineStr">
        <is>
          <t>linkedin</t>
        </is>
      </c>
      <c r="E7" t="inlineStr"/>
      <c r="F7" t="inlineStr"/>
      <c r="G7" t="inlineStr">
        <is>
          <t>Bellevue, WA</t>
        </is>
      </c>
      <c r="H7" t="inlineStr"/>
      <c r="I7" t="inlineStr">
        <is>
          <t>**Description**
 As a Senior Applied Scientist for Last Hundred Yards Automation, you will be at the forefront of developing cutting\-edge AI and ML solutions that power our autonomous delivery robots. This role combines deep expertise in machine learning, computer vision, and robotics to solve complex challenges in real\-world autonomous navigation, obstacle detection, and dynamic path planning. You will work closely with robotics engineers, software developers, and product teams to research, design, and implement sophisticated algorithms that enable safe and efficient last\-yard delivery operations. This position requires a unique blend of theoretical knowledge and practical implementation skills, with a focus on transforming research concepts into production\-ready solutions that can operate reliably in diverse real\-world environments.
 Key job responsibilities
 The Senior Applied Scientist will lead the development and implementation of advanced AI/ML models for autonomous navigation, focusing on critical areas such as real\-time object detection, semantic scene understanding, and predictive movement planning. You will be responsible for designing and conducting experiments, analyzing complex datasets, and developing novel algorithms to improve robot performance and reliability. The role involves collaborating with cross\-functional teams to integrate ML solutions into the robotics platform, optimizing model performance for edge computing, and establishing metrics for continuous improvement. You will also mentor junior scientists, contribute to research publications, and stay current with latest developments in the field. Key activities include developing robust ML pipelines, implementing state\-of\-the\-art deep learning architectures, and creating innovative solutions for challenging problems such as adverse weather navigation, multi\-robot coordination, and human\-robot interaction. Success in this role requires balancing research excellence with practical implementation, while maintaining a strong focus on safety and reliability in autonomous systems.
**About The Team**
 LMDA (Last Mile Delivery Automation) is a cutting\-edge automation system designed to revolutionize the final phase of package delivery, focusing specifically on the last hundred yards from delivery vehicle to customer doorstep. The system integrates autonomous robots equipped with advanced AI/ML algorithms, real\-time navigation capabilities, and smart obstacle avoidance technology to efficiently transport packages to their final destination. These robots are designed to navigate various terrains, including sidewalks, building entrances, and residential complexes, while adhering to local safety regulations and maintaining secure delivery protocols. LMDA incorporates cloud\-based fleet management, real\-time tracking, and dynamic route optimization to ensure seamless coordination between delivery vehicles and robots. The system features a user\-friendly interface for both delivery personnel and customers, providing live tracking, delivery notifications, and interactive robot communication. As labor costs rise and delivery volumes increase, LMDA represents a scalable, cost\-effective solution that addresses the growing challenges of last\-mile delivery while significantly improving operational efficiency and customer satisfaction.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\- 167,100\.00 \- 226,100\.00 USD annually
**Company** 
 \- Amazon.com Services LLC
 Job ID: A3034248</t>
        </is>
      </c>
    </row>
    <row r="8">
      <c r="A8" t="inlineStr">
        <is>
          <t>li-4374599045</t>
        </is>
      </c>
      <c r="B8" t="inlineStr">
        <is>
          <t>AI/ML Engineer</t>
        </is>
      </c>
      <c r="C8" t="inlineStr">
        <is>
          <t>Profound</t>
        </is>
      </c>
      <c r="D8" t="inlineStr">
        <is>
          <t>linkedin</t>
        </is>
      </c>
      <c r="E8" t="inlineStr"/>
      <c r="F8" t="inlineStr"/>
      <c r="G8" t="inlineStr"/>
      <c r="H8" t="inlineStr"/>
      <c r="I8" t="inlineStr">
        <is>
          <t>Data
 New York City
* San Francisco
 In\-office
 Apply
 Refer someone
 Apply
 Refer someone
 Profound is on a mission to help companies understand and control their AI presence. As an AI and ML Engineer, you will design, build, and ship large scale NLP and LLM systems that power classification, ranking, clustering, topic discovery, and content generation. You will own workflows from data to deployment, partner across product and engineering, and turn real user conversations into production features and publish\-ready content that drives visibility, engagement, and conversion.
**What You’ll Do**
* Build and deploy NLP models at scale for classification, ranking, clustering, topic extraction, and summarization
* Design LLM workflows for context and content generation end to end, including topic discovery, brief creation, outlines and drafts, revision loops, and publish\-ready assets
* Develop prompt and template libraries aligned to brand voice and channel, including blogs, landing pages, help docs, and ads, with retrieval for evidence\-grounded generation and citations
* Create evaluation frameworks for generated content, including factuality, coverage, tone, safety, and originality, with rubric\-based LLM evaluations, human\-in\-the\-loop review, and red teaming
* Instrument content performance across AEO and SEO visibility, engagement, and conversion, and run experiments to improve quality, cost, and latency
* Transform large text datasets into production features and signals that drive product insights
* Partner with engineering to instrument events, maintain data pipelines, and uphold high data quality and observability
* Collaborate with product, data, and go\-to\-market teams on success metrics and experiments that move customer\-facing KPIs
**Who You Are**
* Proven experience shipping machine learning systems in production at scale, especially with large text data
* Hands\-on experience building LLM content systems including prompting, templating, retrieval or RAG, guardrails, and evaluations
* Fluency in SQL and strong Python skills with modern machine learning tooling
* Strong grasp of machine learning and generation quality metrics, with the ability to design offline and online evaluations and monitoring
* Ability to innovate when off\-the\-shelf solutions do not fit the problem
* Experience working in cross\-functional, high\-performance teams
* Clear communication with both technical and non\-technical partners
* Ownership mindset and comfort operating in a fast\-paced environment
* Excited by ownership of the entire product analytics function at an early stage company
* Motivated by shaping how usage is measured and how product decisions are made
* Interested in close collaboration with product, engineering, and go\-to\-market teams
* Comfortable in a fast\-paced environment with trust, autonomy, and responsibility
* Drawn to competitive compensation and meaningful equity
**Location**
 This is an on\-site role based in our NYC or SF office designed for builders who thrive on speed, iteration, and meaningful impact.
 For this role, the expected base salary range is $140,000 to $260,000 (NY). Comp may vary by location. Profound’s total compensation package is designed to be competitive and includes base salary, equity, and a full range of benefits and perks. Final compensation will depend on factors such as your skills, experience, qualifications, and location, and will be determined during the interview process. Our recruiting team will share more details about the full compensation package and benefits as you move through hiring.
 Apply for this position
 Name\*
 Email\*
 Resume\*
 or drag and drop here
 LinkedIn URL\*
 Phone Number\*
 Will you now or in the future require sponsorship for employment visa status (e.g., H\-1B visa)?\*
 Is there anything else you'd like us to know? (optional)
 Which of our primary locations are you interested in?\*
 New York, NYSan Francisco, CALondon, UKBuenos Aires, Argentina</t>
        </is>
      </c>
    </row>
    <row r="9">
      <c r="A9" t="inlineStr">
        <is>
          <t>li-4345933142</t>
        </is>
      </c>
      <c r="B9" t="inlineStr">
        <is>
          <t>Machine Learning Engineer</t>
        </is>
      </c>
      <c r="C9" t="inlineStr">
        <is>
          <t>Ibotta</t>
        </is>
      </c>
      <c r="D9" t="inlineStr">
        <is>
          <t>linkedin</t>
        </is>
      </c>
      <c r="E9" t="inlineStr"/>
      <c r="F9" t="inlineStr"/>
      <c r="G9" t="inlineStr">
        <is>
          <t>Denver, CO</t>
        </is>
      </c>
      <c r="H9" t="inlineStr"/>
      <c r="I9" t="inlineStr">
        <is>
          <t>Ibotta is seeking a Machine Learning Engineer to join our Core Data \&amp; Analytics team and contribute to our mission to Make Every Purchase Rewarding. We’re looking for someone who has a passion for building scalable machine learning solutions using technologies such as Python, Spark, AWS, Sagemaker, etc.
 As an ML Engineer, you will be responsible for using the latest developments in machine learning to build accurate and reliable machine learning models for use throughout the organization. This role will immediately impact ML strategy and drive impact through the support, guidance, and collaboration with multiple teams as part of our analytics organization. You’ll be able to advance not only your technical skills, but your organizational and leadership skills as well, by contributing to the creation of best practices for the team and company, and learning from the more senior machine learning engineers, data scientists and managers on the team.
 This position is located in Denver, Colorado as a hybrid position requiring 3 days in office (Tuesday, Wednesday, and Thursday). Candidates must live in the United States.
**What you will be doing:**
* Design, develop and deploy large scale, big data\-driven machine learning models that are integrated with key product features
* Build and scale ML related infrastructure to help streamline the development, evaluation, deployment, and re\-usability of core ML features and services
* Communicate complex machine learning solutions, concepts and the results of analyses in a clear and effective manner to business stakeholders and technology leaders to maximize the effectiveness of machine learning initiatives
* Analyze, and at times build, large and novel datasets to extract actionable insights to inform model development and understand customer behavior and or product performance
* Collaborate with Machine Learning Engineers and Data Scientists to establish standards and solutions that scale and can be leveraged in various initiatives throughout the organization
* Embrace and uphold Ibotta’s Core Values: Integrity, Boldness, Ownership, Teamwork, Transparency and A good idea can come from anywhere
**What we are looking for:**
* 2\+ years of professional experience as a Machine Learning Engineer, Data Scientist, or equivalent role, focusing on machine learning, statistical modeling, and/or ML infrastructure
* Bachelor’s Degree in Computer Science, Mathematics, Analytics, or related field required
* Strong SQL knowledge and experience with manipulating complex data to apply business rules for improved feature engineering within data lakes, distributed systems, and data streams
* Proficiency in Python
* Experience working with machine learning frameworks (e.g. scikit\-learn, xgboost) and distributed big\-data tools (Spark, Hive)
* Experience building and maintaining realtime model endpoints/APIs
* Ability to communicate complex, technical machine learning implementations to diverse audiences
* Experience working with version control systems (e.g. git) and CI/CD for machine learning pipelines
* A love of learning and continuous development, including staying at the forefront of the latest advances in data science and machine learning
* Ability to think critically and leverage domain expertise to build machine learning powered applications that help to achieve high\-level business objectives
**About Ibotta ("I bought a...")**
 Ibotta (NYSE: IBTA) is a leading performance marketing platform allowing brands to deliver digital promotions to over 200 million consumers through a network of publishers called the Ibotta Performance Network (IPN). The IPN allows marketers to influence what people buy, and where and how often they shop – all while paying only when their campaigns directly result in a sale. American shoppers have earned over $2\.6 billion through the IPN since 2012\. The largest tech IPO in history to come out of Colorado, Ibotta is headquartered in Denver, and is continually listed as a top place to work by The Denver Post and Inc. Magazine.
 To learn more about what our Tech teams are doing day to day, visit Building Ibotta on Medium.com.
**Additional Details:**
* This position is located in Denver, CO and includes competitive pay, flexible time off, benefits package (including medical, dental, vision), Lifestyle Spending Account, Employee Stock Purchase Program, and 401k match. Denver office perks include paid parking, snacks, and occasional meals.
* Base compensation range: $136,000 \- $158,000\. Equity is included in overall compensation package. This compensation range is specific to the United States labor market and may be adjusted based on actual experience.
* Ibotta is an Equal Opportunity Employer. Ibotta’s employment decisions are made without regard of race, color, religion, national origin, age, sex, marital status, ancestry, physical or mental disability, veteran status, gender identity, sexual orientation, or any other legally protected status.
* Applicants must be currently authorized to work in the United States on a full\-time basis.
* Applicants are accepted until the position is filled.
* For the security of our employees and the business, all employees are responsible for the secure handling of data in accordance with our security policies, identifying and reporting phishing attempts, as well as reporting security incidents to the proper channels.
**Recruiting Agency Notice**
 Ibotta does not accept agency resumes and is not responsible for any fees related to unsolicited resumes. Please do not forward resumes to any Ibotta employees.
 \#BI\-Hybrid</t>
        </is>
      </c>
    </row>
    <row r="10">
      <c r="A10" t="inlineStr">
        <is>
          <t>li-4377402340</t>
        </is>
      </c>
      <c r="B10" t="inlineStr">
        <is>
          <t>Machine Learning Engineer</t>
        </is>
      </c>
      <c r="C10" t="inlineStr">
        <is>
          <t>CTI</t>
        </is>
      </c>
      <c r="D10" t="inlineStr">
        <is>
          <t>linkedin</t>
        </is>
      </c>
      <c r="E10" t="inlineStr"/>
      <c r="F10" t="inlineStr"/>
      <c r="G10" t="inlineStr">
        <is>
          <t>Tampa, FL</t>
        </is>
      </c>
      <c r="H10" t="inlineStr"/>
      <c r="I10" t="inlineStr">
        <is>
          <t>Who we are
 At CTI, a Parsons Company, we deliver cutting\-edge technology solutions that empower end\-users to SEE (Sense, Evaluate, Effect) the invisible battlespace. Our mission is to provide critical capabilities across spectrum operations, communications, cyberspace, information space, human terrain, gray space, geo\-intelligence, modeling \&amp; simulation, ISR (Intelligence, Surveillance \&amp; Reconnaissance), JADC2 (Joint All\-Domain Command and Control), covert operations, and more. These integrated solutions drive mission success, close the Kill Chain, and ensure operational superiority.
 Founded in April 2000, CTI was built with a clear purpose: to provide user\-focused, high\-end software and systems development for the Defense and Intelligence communities. Our team of highly skilled, technically diverse developers works hand\-in\-hand with military personnel to design and deliver solutions that make a real impact on the fight.
 Headquartered in Prince Frederick, Maryland, and supported by a robust remote workforce nationwide, CTI is strategically positioned to serve a wide range of DoD and agency customers. As part of Parsons Corporation, we’ve expanded our capabilities and strengthened our commitment to delivering mission\-critical solutions that matter.
 We are seeking a Machine Learning Engineer (MLOps focus) who will be a key technical contributor in advancing CTI’s artificial intelligence and machine learning capabilities. This role supports United States Special Operations Command (SOCOM) programs and other advanced defense initiatives by ensuring that ML models are not only trained effectively, but also deployed, monitored, and sustained in real\-world operational environments, including edge\-deployed systems. We’re seeking a Machine Learning Engineer with deep expertise in MLOps, model deployment, and infrastructure automation to build scalable, secure, and production\-grade ML systems. The successful candidate will be passionate about building and automating ML pipelines, implementing modern MLOps practices, and driving innovation that directly impacts mission outcomes. With hands\-on experience taking ML models from concept to production deployment, this engineer will help CTI deliver highly reliable, scalable, and mission\-ready ML solutions to the battlefield.
**Responsibilities Include, But Are Not Limited To**
* Operationalize ML models by building robust pipelines for training, evaluation, deployment, and monitoring across diverse compute environments (cloud, on\-prem, and edge).
* Collaborate with cross\-functional teams to translate mission requirements into deployable ML systems.
* Implement CI/CD for ML workflows, enabling automated testing, packaging, and deployment of models and data pipelines
* Manage ML infrastructure using Docker, Kubernetes, and model serving platforms like Seldon, KServe, or BentoML
* Develop monitoring and observability systems to track model performance, data drift, and resource utilization using tools like Prometheus, Grafana, and ELK/EFK stacks
* Contribute to security and compliance in ML pipelines, ensuring model deployments meet defense and customer requirements.
* Explore and integrate modern MLOps technologies to improve reproducibility, scalability, and maintainability of ML capabilities.
**Requirements**
**Location:** 
 This is a fully onsite position based at MacDill Air Force Base in Tampa, Florida. Remote work is not available for this role.
**Travel requirements:** 
 Willingness and ability to travel up to 25%.
**Necessary Skills And Experience**
* Bachelor’s degree in Computer Science, Electrical Engineering, Data Science, or a related technical discipline. (Master’s preferred)
* 5\+ years of professional experience in software engineering, machine learning, or related fields.
* Experience with MLOps tools and frameworks (MLflow, Kubeflow, Airflow, DVC, etc.).
* Proficiency in building and deploying containerized ML services (Docker, Kubernetes).
* Strong understanding of CI/CD pipelines and DevOps practices applied to ML.
* Familiarity with PyTorch, TensorFlow, and deployment best practices.
* Knowledge of monitoring and logging systems (Prometheus, Grafana, ELK/EFK stacks).
* Proficiency in Python (C, Rust, or MATLAB a plus).
* Active U.S. Government Top Secret clearance with SCI eligibility (TS/SCI).
* U.S. Citizenship is required as only U.S. citizens are eligible for a security clearance.
**Beneficial Skills And Experience**
* Prior work on DoD programs, UAS/drone systems, or defense AI applications.
* Experience working with diverse data types (RF signals, imagery, video, sensor feeds).
* Experience deploying ML models to edge or constrained environments.
* Familiarity with secure software deployment in defense environments.
* Experience with air\-gapped registries, offline updates, reproducible builds, and SBOM attestation in CI.
* Experience with Explainable AI/ML.
**Benefits**
 CTI, a Parsons Company, is a rapidly growing company offering the following:
* Medical, dental and vision insurance
* H.S.A. (partially funded by CTI) and Flex Spending
* Company\-paid life insurance/AD\&amp;D and disability insurance
* Optional supplemental life, critical illness, hospital indemnity and accident insurances
* Paid vacation, sick leave and holidays
* 401k plan with Safe Harbor contribution
* Tuition reimbursement/professional training options
* Employee Assistance Program
* Travel Assistance
* Financial Planning Assistance
* Voluntary Pre\-Paid Legal
* Flexible schedules with telecommuting options
* Service awards program
 CTI is an Equal Opportunity employer and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Moreover, these regulations require that covered prime contractors and subcontractors take affirmative action to employ and advance in employment individuals without regard to race, color, religion, sex, sexual orientation, gender identity, national origin, disability or veteran status.</t>
        </is>
      </c>
    </row>
    <row r="11">
      <c r="A11" t="inlineStr">
        <is>
          <t>li-4363831618</t>
        </is>
      </c>
      <c r="B11" t="inlineStr">
        <is>
          <t>Machine Learning Engineer III, Shield</t>
        </is>
      </c>
      <c r="C11" t="inlineStr">
        <is>
          <t>Box</t>
        </is>
      </c>
      <c r="D11" t="inlineStr">
        <is>
          <t>linkedin</t>
        </is>
      </c>
      <c r="E11" t="inlineStr"/>
      <c r="F11" t="inlineStr"/>
      <c r="G11" t="inlineStr">
        <is>
          <t>Redwood City, CA</t>
        </is>
      </c>
      <c r="H11" t="inlineStr"/>
      <c r="I11" t="inlineStr">
        <is>
          <t>**WHAT IS BOX?**
 Box (NYSE BOX) is the leader in Intelligent Content Management. Our platform enables organizations to fuel collaboration, manage the entire content lifecycle, secure critical content, and transform business workflows with enterprise AI. We help companies thrive in the new AI\-first era of business. Founded in 2005, Box simplifies work for leading global organizations, including JLL, Morgan Stanley, and Nationwide. Box is headquartered in Redwood City, CA, with offices across the United States, Europe, and Asia.
 By joining Box, you will have the unique opportunity to continue driving our platform forward. Content powers how we work. It’s the billions of files and information flowing across teams, departments, and key business processes every single day contracts, invoices, employee records, financials, product specs, marketing assets, and more. Our mission is to bring intelligence to the world of content management and empower our customers to completely transform workflows across their organizations. With the combination of AI and enterprise content, the opportunity has never been greater to transform how the world works together and at Box you will be on the front lines of this massive shift.
**WHY BOX NEEDS YOU**
 Box Shield is an add\-on security layer that protects the flow of information and reduces content\-centric risk without adding friction. It uses classification\-based controls to prevent data loss and AI\-powered, context\-aware alerts to detect malware, compromised accounts, and malicious behavior at scale.
 Shield’s mission is to secure enterprise content while delivering a seamless user experience, ensuring Box remains the platform of choice for secure Intelligent Content Management. Shield keeps customer content safe by surfacing malware, compromised accounts, and anomalous behavior early, giving administrators the context they need to take proactive action before incidents escalate.
 The Shield team is hiring Machine Learning engineers to build and scale ML systems that safeguard millions of users and billions of files from ransomware, data exfiltration, insider threats, and emerging AI\-based attacks. As part of a fast\-paced backend/core team, you’ll collaborate across Box to ship future\-proof security capabilities for high\-demand use cases.
**What You'll Do**
* Build Threat Detection Models Design, train, and deploy ML models for ransomware detection, suspicious session identification, and user behavior analytics
* Scale Data Pipelines Own end\-to\-end ML pipelines that process high\-volume security event streams using Apache Spark, GCP Dataflow, and Vertex AI
* Feature Engineering Create and maintain feature stores that power real\-time and batch anomaly detection systems
* Production ML Systems Deploy, monitor, and iterate on ML models in production, serving enterprise customers at scale
* Cross\-functional Collaboration Partner with Platform, Application Engineering, and Product teams to translate security requirements into ML solutions
* Participate in our on\-call rotation, available at all times while on\-call to help respond to and triage any issues that arise.
**Who You Are**
 We are an AI\-first company. This means you approach your work with a growth mindset and find ways to leverage AI to help make faster, smarter decisions that will 10X your impact at Box.
**Must Have Experience**
* 3\+ years of experience in applied machine learning
* Strong programming skills in Python
* Deployed and maintained ML models serving real traffic
* Experience with GCP (Vertex AI, BigQuery, Dataflow) or equivalent (AWS SageMaker, Azure ML)
* Deep understanding of feature engineering, model evaluation, and MLOps
* Strong communication skills with ability to explain complex ML concepts to non\-technical stakeholders
**Nice To Have Experience**
* Experience in security/threat detection, anomaly detection, or fraud detection
* Experience with sequential data, anomaly detection, or behavioral modeling (time\-series forecasting, LSTM, Transformers, or similar)
* Knowledge of LLMs and AI safety (prompt injection, guardrails, red\-teaming)
* Experience with streaming/real\-time ML systems
* Familiarity with Java for service integrations
* Publications or contributions in ML security
**Tech Stack You’ll Work With**
* Languages Python, Scala, Java
* ML/Data Apache Spark, Vertex AI, BigQuery, TensorFlow/PyTorch
* Infrastructure GCP, Kubernetes
* Domains User Behavior Analytics, Time\-Series Anomaly Detection, AI Security, Content classification, Ransomware Detection
 Box lives its values, with community and in\-person collaboration being a core part of our culture. Boxers are expected to work from their assigned office a minimum of 3 days per week.Your Recruiter will share more about how we work and company culture during the hiring process.
 At Box, we believe unique and diverse experiences benefit our culture, our products, our customers, our company, and our world. We aim to recruit a passionate, high\-performing workforce that reflects the world we live in. If you are head\-over\-heels about this role but unsure if you meet all the requirements, we encourage you to apply!
**EQUAL OPPORTUNITY**
 We are an equal opportunity employer and value diversity at our company. We do not discriminate on the basis of race, religion, color, national origin, gender, sexual orientation, age, marital status, veteran status, disability, and any other protected ground of discrimination under applicable human rights legislation. Box strives to respect the dignity and ‎‎independence of people with disabilities and is committed to giving them the same ‎‎opportunity to succeed as all other employees. Inclusiveness is core to our culture at Box, and we strive to ensure you get the most from your interview experience.
 Box makes reasonable accommodations for applicants with disabilities. If a reasonable accommodation is needed to participate in the job application or interview process, please complete this form. Reasonable accommodations may include scheduling adjustments, document dictation and beyond.
 Notice to applicants in Los Angeles Box, Inc and its related branches will consider for employment, qualified applicants with criminal histories in a manner consistent with the Los Angeles Fair Chair Ordinance. The Fair Chance Ordinance is provided here.
 Notice to applicants in San Francisco Box, Inc and its related branches will consider for employment, qualified applicants with criminal histories in a manner consistent with the San Francisco Fair Chair Ordinance. The Fair Chance Ordinance is provided here.
 For details on how we protect your information when you apply, please see our Personnel Privacy Notice. If you are a California\-resident, please read our California Applicant \&amp; Candidate Privacy Notice here.
*Box is committed to fair and equitable compensation practices. Actual base salary (or OTE if commissionable role) is dependent upon factors such as knowledge, skill level, experience, and work location. This role is also eligible for equity and benefits. For more information on benefits, check out our* 
*healthcare benefits* 
*and additional* 
*Box Benefits \+ Perks* 
*.*
**In accordance with OFCCP compliance, here is the Pay Transparency Provision.**
 United States Pay Range
 $175,500 \- $219,500 USD</t>
        </is>
      </c>
    </row>
    <row r="12">
      <c r="A12" t="inlineStr">
        <is>
          <t>li-4376077356</t>
        </is>
      </c>
      <c r="B12" t="inlineStr">
        <is>
          <t>Junior ML Engineer</t>
        </is>
      </c>
      <c r="C12" t="inlineStr">
        <is>
          <t>Tech Consulting</t>
        </is>
      </c>
      <c r="D12" t="inlineStr">
        <is>
          <t>linkedin</t>
        </is>
      </c>
      <c r="E12" t="inlineStr"/>
      <c r="F12" t="inlineStr"/>
      <c r="G12" t="inlineStr">
        <is>
          <t>Oregon, United States</t>
        </is>
      </c>
      <c r="H12" t="inlineStr"/>
      <c r="I12" t="inlineStr">
        <is>
          <t>**Job Title:** 
 Junior ML Engineer
 **(\*\*Immediate Joining\*\*)** 
**Location:** 
 \[Anywhere in USA]
**Experience:** 
 1–3 years
**Employment Type:** 
 Full\-Time
 Are you excited about taking your technical career to new heights with a full\-time, W\-2 role as a consultant in a dynamic and rapidly growing company? If you are, let's get in touch –
 *your interest is the first step to starting the conversation.* 
**What This Role Requires:** 
* 1\-4 years of data analyst/ML/AI engineering work experience after your degree.
* Must have experience with
 both
 Python programming \&amp; SQL language developer.
* Should demonstrate experience developing end\-to\-end solutions.
* Demonstrated SQL experience.
* Additional experience with
 at least one
 : AWS, Azure or Databricks is preferred.
* Additional experience with Pyspark, AWS S3, Lambda, EC2/AZ, Data bricks, Machine learning (ML), GenAI/ Computer Vision, Theory of Probability, GitLab, R Programming, GCP \&amp; Airflow will be preferred.
**To Qualify:** 
* You should be willing to relocate anywhere in the US on a client project\-to\-project basis, as this is an
 **onsite, in\-office position** 
 .
* Strong English communication skills, both written and verbal.
* **Bachelor’s Degree** 
 in Computer Science, Information Systems, Electrical Engineering, Mathematics, or a related quantitative field. Additional relevant
 **Master’s degree** 
 is highly desirable for this role.
* **What’s In It For YOU?**
* Gain valuable, career\-enhancing experience working with our Fortune 1,000 clients.
* Receive relocation support for training and project assignments, as required.
* Enjoy comprehensive W2 employee benefits.
**Who Are We?** 
 We are a premier IT consulting firm specializing in delivering top\-tier Data Science solutions to companies across various sectors such as
 **finance, energy, e\-commerce, logistics, travel, retail, entertainment, automotive, and healthcare** 
 .</t>
        </is>
      </c>
    </row>
    <row r="13">
      <c r="A13" t="inlineStr">
        <is>
          <t>li-4282877162</t>
        </is>
      </c>
      <c r="B13" t="inlineStr">
        <is>
          <t>Machine Learning Engineer, Ads</t>
        </is>
      </c>
      <c r="C13" t="inlineStr">
        <is>
          <t>Reddit, Inc.</t>
        </is>
      </c>
      <c r="D13" t="inlineStr">
        <is>
          <t>linkedin</t>
        </is>
      </c>
      <c r="E13" t="inlineStr"/>
      <c r="F13" t="inlineStr"/>
      <c r="G13" t="inlineStr"/>
      <c r="H13" t="inlineStr"/>
      <c r="I13"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121 million daily active unique visitors, Reddit is one of the internet’s largest sources of information. For more information, visit www.redditinc.com.
 Reddit has a flexible workforce! If you happen to live close to one of our physical office locations our doors are open for you to come into the office as often as you'd like. Don't live near one of our offices? No worries: You can apply to work remotely in any country in which we have a physical presence.
 We’re evolving and continuing our mission to bring community, belonging, and empowerment to everyone in the world. Providing a delightful and relevant experience to our users applies to our Ads like all of our offerings, and we’re excited to build a product that is best\-in\-class for our users and advertisers. The year ahead is a busy one!
 Team Description
 Reddit is poised to rapidly innovate and grow like no other time in its history. We’re currently hiring across multiple teams including: Ads Measurement Modeling, Ads Targeting \&amp; Retrieval, Advertiser Optimization and Ads Marketplace Teams.
**Ads Measurement Modeling Team**
 This horizontal ML team in the Ads Measurement org works on proving the value of Reddit Ads to advertisers while ensuring privacy compliance. Their projects address challenges in signals, privacy, and identity, including Modeled Identity, Modeled Conversions, and enhancements for ATT opt\-out utility.
**Ads Targeting and Retrieval Team**
 This team designs and builds large\-scale ML systems to improve targeting products. Their work spans offline and online retrieval systems that enhance contextual and behavioral targeting, helping advertisers reach the most relevant audiences.
**Advertiser Optimization Team**
 This group consists of two horizontal teams focused on advertiser outcomes. The Recommendations and Forecasting team builds ML\-driven tools for advertisers and sales, while the Bidding/Pacing team develops algorithms and customer\-facing products like TCPA, TROAS, and performance advertising solutions. They work on marketplace dynamics, bidding and pacing innovations, and new advertiser tools.
**Ads Marketplace Quality Team**
 This team improves the efficiency of Reddit’s ads marketplace by developing algorithms for auction and pricing optimization, directly impacting advertiser and user value. They also contribute to strategic initiatives such as supply optimization and ad relevance, with the goal of showing the right ads to the right users at the right time and in the right context.
**The Ads Creative Effectiveness Team**
 This team is a newly formed group aimed at improving ad creative at Reddit through generative and predictive products. We train, adapt and finetune LLMs/VLMs to help advertisers make impactful images, videos and text. We build performance predictors to understand and rank ad components, ensuring the advertiser ships the best possible campaigns. We construct insight and recommendation engines to guide advertisers towards best practices and key enhancements, distilling knowledge about what works at Reddit to supercharge their performance.This team is at the heart of Reddit’s creative strategy, a core priority for the organization.
 Role Description
 Join the Ads team as a
 **Machine Learning Engineer** 
 and become a key contributor to Reddit’s business. In this hands\-on role, you will be responsible for the full lifecycle of our ML systems, from initial research and modeling to deployment and optimization in production. Your work will directly impact how we deliver relevant ads and drive value for our advertisers across areas like
 **ad ranking, bidding, measurement, and optimization** 
 .
**Responsibilities**
* Design, build, and deploy industrial\-level machine learning models to solve critical problems in ad ranking, bidding, and optimization.
* Take full ownership of the ML lifecycle, from ideation and research to building scalable serving systems and maintaining models in production.
* Perform systematic feature engineering to transform raw, diverse data into high\-quality features that drive model performance.
* Work closely with product managers, data scientists, and engineers to translate business challenges into effective ML solutions.
* Improve the reliability and stability of our ML systems by building robust monitoring, alerting, and automated retraining pipelines.
* Research new algorithms, stay up\-to\-date with state\-of\-the\-art ML techniques, and contribute to the team’s strategy and roadmap.
**Required Qualifications**
* At least 3\+ years of end\-to\-end experience in training, evaluating, and deploying machine learning models in a production environment.
* Proficient in one or more general\-purpose programming languages (e.g., Python, Scala) and have a solid understanding of software development best practices.
* Hands\-on experience with a major machine learning framework (e.g., TensorFlow, PyTorch) and a deep understanding of core ML concepts and algorithms.
* Proven ability to work effectively with cross\-functional teams, including product managers and data scientists, to translate business needs into technical solutions.
* Track record of using machine learning to drive key performance indicator (KPI) wins and solve complex, real\-world problems.
**Bonus Points**
* Experience working in the Ads domain
* Experience or interest in the advertising business and understanding customer needs
* An advanced degree (MS/PhD) in a quantitative field.
* Familiarity with distributed systems and large\-scale data processing technologies (e.g., Spark, Kafka).
**Benefits**
* Comprehensive Healthcare Benefits and Income Replacement Programs
* 401k with Employer Match
* Global Benefit programs that fit your lifestyle, from workspace to professional development to caregiving support
* Family Planning Support
* Gender\-Affirming Care
* Mental Health \&amp; Coaching Benefits
* Flexible Vacation \&amp; Paid Volunteer Time Off
* Generous Paid Parental Leave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$185,800—$260,100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row>
    <row r="14">
      <c r="A14" t="inlineStr">
        <is>
          <t>li-4377142818</t>
        </is>
      </c>
      <c r="B14" t="inlineStr">
        <is>
          <t>ML Engineer</t>
        </is>
      </c>
      <c r="C14" t="inlineStr">
        <is>
          <t>Wiraa</t>
        </is>
      </c>
      <c r="D14" t="inlineStr">
        <is>
          <t>linkedin</t>
        </is>
      </c>
      <c r="E14" t="inlineStr"/>
      <c r="F14" t="inlineStr"/>
      <c r="G14" t="inlineStr"/>
      <c r="H14" t="inlineStr"/>
      <c r="I14" t="inlineStr">
        <is>
          <t>**About Elevate**
 Elevate is a comprehensive consulting firm dedicated to inspiring high\-performing organizations to push beyond their current limits. Since its establishment in 2018, the company has specialized in brand consulting, sales strategy, data\-driven insights, and talent optimization, providing clients with a competitive edge in capturing and retaining audience attention. Originally focused on supporting sports teams and leagues to ignite innovation and enhance performance, Elevate has evolved to serve some of the world's most ambitious businesses across media, entertainment, and consumer brands. The company's proprietary technology, diverse data sources, and innovative software products, combined with insightful analysis and a people\-centric approach, enable clients to gain a holistic view of their customers. This foundation supports intelligent decision\-making related to marketing investments, growth strategies, and operational efficiency.
**About The Role**
 Elevate is embarking on a transformative journey transitioning from a traditional consulting firm to a product\-led organization, where technology will serve as a primary revenue driver. We are seeking a talented Machine Learning Engineer to join our rapidly expanding engineering team, responsible for laying the groundwork for this new direction. In this role, you will collaborate closely with engineers, data scientists, and product leaders to develop intelligent systems that enhance our product platforms. Your primary focus will be on designing and deploying machine learning models for dynamic pricing, demand forecasting, recommendation engines, and predictive analytics. These models will empower our clients to maximize revenue streams and optimize their business outcomes. Your contributions will directly influence how we price products, recommend content, and streamline operations across our platforms, making a tangible impact on our company's growth and client success.
**Qualifications**
* 3\+ years of experience building and deploying machine learning systems in production environments
* Strong proficiency in Python programming
* Experience with ML frameworks such as PyTorch, TensorFlow, scikit\-learn, or similar
* Hands\-on experience deploying ML models, including MLOps practices, model versioning, and A/B testing
* Proficiency in building data processing pipelines for training and inference
* Experience with cloud ML platforms such as AWS SageMaker, GCP AI Platform, or Azure ML
* Understanding of product engineering principles and customer\-centric solutions
* Strong problem\-solving skills with a focus on understanding core issues before developing solutions
* Ability to adopt a rapid experimentation mindset and measure success by business impact
* Excellent communication skills to articulate ML capabilities and limitations to diverse stakeholders
* Experience working with development agency partners (preferred)
* Background in pricing systems, recommendation engines, or transactional platforms (preferred)
**Responsibilities**
* Design, develop, and deploy machine learning models for dynamic pricing, demand forecasting, and recommendation systems
* Build and optimize data pipelines for training, inference, and real\-time data processing
* Implement MLOps practices including model versioning, monitoring, and continuous deployment
* Collaborate with product managers and stakeholders to understand business problems and translate them into ML solutions
* Integrate ML models seamlessly into product backend services and APIs
* Ensure models are scalable and capable of handling real\-time inference at scale
* Lead technical planning for expanding ML capabilities across platforms
* Establish best practices for ML development, deployment, and monitoring pipelines
* Participate in rapid experimentation to validate model performance and business value
* Work cross\-functionally with engineering, data science, and product teams to deliver cohesive ML\-powered solutions
**Benefits**
* Competitive medical, dental, and vision insurance plans
* Life insurance, short\-term and long\-term disability coverage
* Flexible spending accounts (FSA) and health savings accounts (HSA)
* 401(k) plan with employer matching contributions
* 14 paid holidays annually
* Unlimited paid time off (PTO)
* Paid parental leave to support work\-life balance
* Remote work flexibility with potential hybrid arrangements in select cities
 Equal Opportunity
 Elevate is committed to fostering an inclusive environment and is proud to be an equal opportunity employer. We celebrate diversity and do not discriminate based on race, color, religion, gender, sexual orientation, gender identity, national origin, disability, veteran status, or any other protected characteristic. All employment decisions are made based on qualifications, merit, and business needs. We encourage all qualified candidates to apply and welcome those requiring accommodations during the application process.</t>
        </is>
      </c>
    </row>
    <row r="15">
      <c r="A15" t="inlineStr">
        <is>
          <t>li-4367887530</t>
        </is>
      </c>
      <c r="B15" t="inlineStr">
        <is>
          <t>AI/ML Engineer(s)</t>
        </is>
      </c>
      <c r="C15" t="inlineStr">
        <is>
          <t>Hitachi Digital Services</t>
        </is>
      </c>
      <c r="D15" t="inlineStr">
        <is>
          <t>linkedin</t>
        </is>
      </c>
      <c r="E15" t="inlineStr"/>
      <c r="F15" t="inlineStr"/>
      <c r="G15" t="inlineStr">
        <is>
          <t>Location, WV</t>
        </is>
      </c>
      <c r="H15" t="inlineStr"/>
      <c r="I15" t="inlineStr">
        <is>
          <t>**Our Company**
 We’re Hitachi Digital Services, a global digital solutions and transformation business with a bold vision of our world’s potential. We’re people\-centric and here to power good. Every day, we future\-proof urban spaces, conserve natural resources, protect rainforests, and save lives. This is a world where innovation, technology, and deep expertise come together to take our company and customers from what’s now to what’s next. We make it happen through the power of acceleration.
 Imagine the sheer breadth of talent it takes to bring a better tomorrow closer to today. We don’t expect you to ‘fit’ every requirement – your life experience, character, perspective, and passion for achieving great things in the world are equally as important to us.
**Jd**
**AI/ML Engineer(s)
 5\+ years of experience in Data/AI projects (P3\)
 Design, develop, and train machine learning and deep learning models using frameworks such as TensorFlow, PyTorch, and scikit\-learn
 Knowledge of supervised, unsupervised, and reinforcement learning techniques to address diverse business challenges
 Perform feature engineering and data processing to enhance model performance
 Deploy machine learning models into production environments, ensuring seamless integration with existing software architectures using CI/CD pipelines, containerization (Docker, Kubernetes), and cloud platforms (AWS or Azure)
 Experience with cloud platforms, containerization, and MLOps practices
 Programming skills in Python
 ETL experience prefered**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row>
    <row r="16">
      <c r="A16" t="inlineStr">
        <is>
          <t>li-4376089140</t>
        </is>
      </c>
      <c r="B16" t="inlineStr">
        <is>
          <t>Generative AI / Machine Learning Engineer</t>
        </is>
      </c>
      <c r="C16" t="inlineStr">
        <is>
          <t>Precision Technologies</t>
        </is>
      </c>
      <c r="D16" t="inlineStr">
        <is>
          <t>linkedin</t>
        </is>
      </c>
      <c r="E16" t="inlineStr"/>
      <c r="F16" t="inlineStr"/>
      <c r="G16" t="inlineStr"/>
      <c r="H16" t="inlineStr"/>
      <c r="I16" t="inlineStr">
        <is>
          <t>**Job Title: Generative AI / Machine Learning Engineer** 
**Location: United States — Onsite / Hybrid / Remote** 
**Employment Type: W2 · Full\-time · All immigration statuses accepted** 
**Key Responsibilities:**
* Design, develop, and deploy Generative AI and Machine Learning solutions for enterprise applications.
* Build and fine\-tune Large Language Models (LLMs) using frameworks such as TensorFlow and PyTorch.
* Develop AI\-powered applications leveraging OpenAI GPT, Azure OpenAI Service, or other foundation models.
* Implement Retrieval\-Augmented Generation (RAG) pipelines using LangChain or similar frameworks.
* Fine\-tune and optimize transformer\-based models using Hugging Face Transformers.
* Develop and maintain scalable ML pipelines and MLOps workflows.
* Build vector databases and semantic search solutions using Pinecone, FAISS, or equivalent.
* Perform model training, evaluation, hyperparameter tuning, and performance optimization.
* Implement prompt engineering, guardrails, and responsible AI practices.
* Deploy AI models using containerization tools such as Docker and orchestration platforms like Kubernetes.
* Integrate AI/ML models into REST APIs and microservices architectures.
* Monitor model performance, drift detection, and continuous improvement strategies.
* Ensure compliance with data governance, security, and privacy regulations.
* Collaborate with Data Scientists, Software Engineers, Product Owners, and Business Stakeholders in Agile/Scrum environments.
* Document model architecture, experiments, and production workflows.
**Contact:**
**Sujith Kumar Pappu, Talent Management Team** 
**📧 sujith.p@precisiontechcorp.com**</t>
        </is>
      </c>
    </row>
    <row r="17">
      <c r="A17" t="inlineStr">
        <is>
          <t>li-4377157149</t>
        </is>
      </c>
      <c r="B17" t="inlineStr">
        <is>
          <t>Machine Learning Engineer</t>
        </is>
      </c>
      <c r="C17" t="inlineStr">
        <is>
          <t>Wiraa</t>
        </is>
      </c>
      <c r="D17" t="inlineStr">
        <is>
          <t>linkedin</t>
        </is>
      </c>
      <c r="E17" t="inlineStr"/>
      <c r="F17" t="inlineStr"/>
      <c r="G17" t="inlineStr"/>
      <c r="H17" t="inlineStr"/>
      <c r="I17" t="inlineStr">
        <is>
          <t>**About The Company**
 Toyota Connected is a global leader in mobility and data\-driven solutions, dedicated to transforming the automotive experience through innovative technology. Since its inception in 2016, Toyota Connected has been at the forefront of integrating big data, cloud computing, and advanced analytics to enhance vehicle connectivity, safety, and customer engagement. The company aims to create a more personal, intuitive, and safe driving experience by leveraging cutting\-edge solutions that connect vehicles, drivers, and services seamlessly. With a strong commitment to diversity, inclusion, and sustainability, Toyota Connected strives to empower its customers and employees alike, fostering a culture of innovation and continuous improvement.
**About The Role**
 Toyota Connected’s Labs team is seeking a highly skilled Machine Learning Engineer to join our dynamic and innovative environment. In this role, you will utilize advanced machine learning and statistical techniques to develop state\-of\-the\-art solutions for complex, unsolved problems that directly impact our business and customer experience. The ideal candidate is results\-driven, deeply technical, and passionate about applying machine learning to voice, text, and other data modalities. You will be responsible for translating research concepts into practical implementations, designing scalable ML systems, and collaborating across teams to drive innovation. This position offers an exciting opportunity to work on challenging problems in a fast\-paced Agile environment, contributing to the development of next\-generation products that redefine mobility and connectivity.
**Qualifications**
* 3\+ years of hands\-on experience in Machine Learning within a corporate environment
* Proficiency in programming with Python
* Experience working with TensorFlow or PyTorch frameworks
* Strong background in Natural Language Processing (NLP)
* Knowledge of algorithm design and complexity analysis
* Experience implementing solutions in cloud environments such as AWS or Azure (preferred)
* Experience designing and deploying ML pipelines in production settings (preferred)
* Strong decision\-making and problem\-solving skills
* Ability to analyze data, assess risks, and develop effective solutions quickly
* Proven ability to learn new technologies and adapt to evolving industry standards
* Collaborative mindset with experience working with cross\-functional teams including developers, designers, and product managers
* Ownership of projects with a proactive approach to ensure quality and timely delivery
* Results\-oriented with a focus on achieving measurable outcomes
**Responsibilities**
* Translate complex research concepts from white papers into efficient, maintainable code implementations
* Develop and maintain clean code adhering to industry standards and best practices
* Share knowledge of architecture patterns and emerging technologies with team members
* Contribute to system design through writing and reviewing Request for Comments (RFCs)
* Participate in interview panels to assess and onboard junior Machine Learning Engineers
* Review merge requests and ensure code quality through rigorous testing and validation
* Identify and implement unit and integration tests to ensure robustness of code contributions
* Execute the full machine learning lifecycle, including data cleansing, feature engineering, and model selection
* Build scalable, automated processes for large\-scale data analysis, model training, validation, and deployment
* Stay current with research developments and technological advancements to enhance existing methods
* Collaborate within Agile Scrum teams to prototype, design, and deploy predictive models and algorithms
* Utilize statistical, machine learning, and deep learning techniques for research and product development
* Drive innovation by exploring new methodologies and applying them to real\-world problems
**Benefits**
* Competitive salary and comprehensive benefits package
* Career development opportunities and a clear path for advancement
* Annual training budget of $2,500 for professional growth
* Unlimited paid time off and flexible work arrangements for work\-life balance
* Home office stipend of $1,000 to support ergonomic remote work setup
* Four months of paid parental leave to support new parents
* Adoption assistance of $5,000 for regular adoptions and $6,000 for special needs cases
* 401(k) plan with a generous company match, fully vested from day one
* Vehicle discounts for Toyota and Lexus models
* Vehicle allowance for leasing or purchasing Toyota and Lexus vehicles
* Participation in annual hackathons to foster creativity and innovation
* Annual wellness stipend of $1,000 to promote health and well\-being
* Complimentary catered lunches onsite, with healthy options available
* Access to fully stocked Nespresso bars for coffee and tea
* Casual dress code to promote comfort and authenticity
* Free covered parking to protect your vehicle from weather elements
 Equal Opportunity
 Toyota Connected is an equal opportunity employer. We celebrate diversity and are committed to creating an inclusive environment for all employees. We do not discriminate based on race, color, religion, gender, gender identity or expression, sexual orientation, national origin, genetics, disability, age, or veteran status. We are dedicated to providing reasonable accommodations for qualified individuals with disabilities or medical conditions. If you require an accommodation during the application process, please contact our HR team. We believe that diverse perspectives and experiences foster innovation and drive our success, and we welcome applicants from all backgrounds to join our team.</t>
        </is>
      </c>
    </row>
    <row r="18">
      <c r="A18" t="inlineStr">
        <is>
          <t>li-4377177297</t>
        </is>
      </c>
      <c r="B18" t="inlineStr">
        <is>
          <t>Machine Learning Engineer</t>
        </is>
      </c>
      <c r="C18" t="inlineStr">
        <is>
          <t>Best Job Tool</t>
        </is>
      </c>
      <c r="D18" t="inlineStr">
        <is>
          <t>linkedin</t>
        </is>
      </c>
      <c r="E18" t="inlineStr"/>
      <c r="F18" t="inlineStr"/>
      <c r="G18" t="inlineStr"/>
      <c r="H18" t="inlineStr"/>
      <c r="I18" t="inlineStr">
        <is>
          <t>**About The Company**
 Etegent Technologies is a forward\-thinking technology company dedicated to delivering innovative solutions across various industries. Our focus is on leveraging cutting\-edge technology to solve complex challenges, enhance operational efficiency, and create sustainable value for our clients. With a team of passionate professionals, we pride ourselves on fostering a collaborative and inclusive work environment that encourages continuous learning and growth. Our commitment to excellence and integrity has established us as a trusted partner in the technology landscape, driving digital transformation and enabling businesses to thrive in a competitive market.
**About The Role**
 We are seeking a highly motivated and detail\-oriented \[Job Title] to join our dynamic team at Etegent Technologies. In this role, you will be responsible for \[brief overview of primary responsibilities], working closely with cross\-functional teams to develop, implement, and optimize solutions that meet our clients' needs. The ideal candidate will possess a strong technical background, excellent problem\-solving skills, and the ability to communicate effectively with both technical and non\-technical stakeholders. This position offers an exciting opportunity to contribute to innovative projects and advance your career within a thriving organization committed to technological excellence.
**Qualifications**
 Candidates should possess a bachelor’s degree in Computer Science, Engineering, or a related field. A minimum of \[X] years of experience in \[relevant industry or domain] is preferred. Demonstrated proficiency in \[specific skills or technologies relevant to the role], along with a solid understanding of \[related concepts or frameworks], is essential. Strong analytical and problem\-solving abilities, excellent communication skills, and a proactive attitude are critical for success in this role. Experience working in agile environments and familiarity with project management tools will be considered advantageous.
**Responsibilities**
* Design, develop, and maintain high\-quality software solutions tailored to client requirements.
* Collaborate with cross\-functional teams to define project scope, objectives, and deliverables.
* Conduct thorough testing and debugging to ensure optimal performance and reliability of applications.
* Participate in code reviews and contribute to continuous improvement of development processes.
* Provide technical guidance and support to team members and stakeholders.
* Stay updated with the latest industry trends and incorporate best practices into project workflows.
* Document technical specifications and user manuals to facilitate smooth deployment and maintenance.
* Assist in troubleshooting issues and providing timely resolutions to minimize downtime.
**Benefits**
 At Etegent Technologies, we believe in rewarding our employees with competitive benefits packages designed to support their well\-being and professional growth. Our offerings include comprehensive health insurance, retirement plans, and paid time off to promote work\-life balance. We also provide opportunities for ongoing training and development, including workshops, certifications, and attendance at industry conferences. Our flexible working arrangements and collaborative work environment foster a culture of innovation and mutual support. Joining our team means becoming part of a company that values your contributions and invests in your future.
 Equal Opportunity
 Etegent Technologies is an equal opportunity employer. We are committed to creating an inclusive environment where all employees and applicants are treated with respect and fairness, regardless of race, gender, age, religion, sexual orientation, disability, or any other characteristic protected by law. We believe that diversity enhances our creativity and drives our success, and we encourage individuals from all backgrounds to apply and join our team.</t>
        </is>
      </c>
    </row>
    <row r="19">
      <c r="A19" t="inlineStr">
        <is>
          <t>li-4321690945</t>
        </is>
      </c>
      <c r="B19" t="inlineStr">
        <is>
          <t>Sr/Staff AI Engineer (Remote - US)</t>
        </is>
      </c>
      <c r="C19" t="inlineStr">
        <is>
          <t>BNSF Railway</t>
        </is>
      </c>
      <c r="D19" t="inlineStr">
        <is>
          <t>linkedin</t>
        </is>
      </c>
      <c r="E19" t="inlineStr"/>
      <c r="F19" t="inlineStr"/>
      <c r="G19" t="inlineStr"/>
      <c r="H19" t="inlineStr"/>
      <c r="I19" t="inlineStr">
        <is>
          <t>**be part of a team that values safety, inclusion, and excellence**
 we are one of the largest U.S. railroads transporting the nation’s freight across 28 western states and 3 Canadian provinces. as a member of our team, you will play a role in supporting the movement of essential products and materials that help feed, clothe, supply, and power communities throughout America and the world.
**bnsf \| tech:** 
 innovating and transforming the future of freight rail
**bnsf \| tech** 
 is the technology division making BNSF the preeminent freight and mobility company in north america.
**are you ready to drive change?**
 if you are passionate about making a difference and eager to advance your career in a dynamic and supportive environment, we want you on our team! join us in reshaping the future of freight rail and discover a fulfilling career where your contributions matter.
 we are committed to a culture where all employees are included, belong, and have equal opportunity to achieve their full potential. Come make a difference with us!
**Benefits**
 learn more about BNSF and our Benefits
**Job Location:** 
 Remote US
**Anticipated Start Date:** 
 01/01/2026
 The US base salary range for this full\-time position is provided below:
**Salary Range:** 
 $165,000 \- $300,000
 The range represents the amount
 **bnsf \| tech** 
 reasonably expects to pay for the position based on the level, scope, and responsibilities of the role.  Individual compensation and level of position offered is determined by the hiring location and additional factors including but not limited to job\-related skills, experience, and relevant education or training. In addition to base pay and bonus eligibility, BNSF offers a comprehensive benefits package.
**This is a full\-time remote position** 
 . Employees may work from anywhere within the contiguous 48 states of the United States
**Travel is up to 20%** 
 . Employees will be required to occasionally travel to our corporate headquarters in Fort Worth, TX for in person meetings. Travel expenses for business needs will be covered by BNSF
 This position is open to candidates who are currently authorized to work in the United States. We are also open to sponsoring H\-1B transfers, TN nonimmigrant status, and STEM OPT candidates with at least 2 years of remaining eligibility.
 Apply early as this job may be removed or filled prior to the closing date, which is approximately seven (7\) days after the posting date.
**data \&amp; ai:** 
 lead our charge into the future as an ai company by transforming our data assets into a real time enterprise.
**Key Responsibilities May Include**
**AI Development and Implementation:**
**Assist** 
 in designing, developing, and implementing AI models and algorithms tailored to railroad operations, including predictive maintenance, scheduling, and safety monitoring.
**Build** 
 scalable AI systems to analyze real\-time data from rail infrastructure, rolling stock, and IoT devices.
**Data Collection And Analysis**
**Collect, preprocess, and clean** 
 data from various sources (e.g., sensors, GPS, maintenance logs) for training AI models.
**Conduct** 
 exploratory data analysis to identify trends and patterns relevant to rail operations.
**Build and Maintain** 
 Extract, Transform, Load (ETL) pipelines for AI applications.
**Optimization And Automation**
**Fine tune and optimize** 
 algorithms to streamline train scheduling, route planning, and fuel efficiency.
**Support** 
 the automation of operational processes and decision\-making using AI\-powered tools.
**System Integration And Deployment**
**Collaborate** 
 with software engineers and DevOps teams to integrate AI solutions into production environments.
**Ensure** 
 AI systems are robust, reliable, and compliant with railroad industry standards.
**Performance Monitoring And Improvement**
**Monitor** 
 deployed models and systems for performance, scalability, and accuracy, ensuring continuous improvement and reliability.
**Troubleshoot** 
 issues, retrain models, and implement necessary updates.
**Collaboration And Communication**
**Work closely** 
 with cross\-functional teams, including data scientists, software engineers, business analysts, to understand their needs and enable AI\-driven solutions.
**Communicate** 
 technical concepts and project updates to both technical and non\-technical stakeholders.
**Research And Innovation**
**Stay updated** 
 on emerging AI technologies and trends to identify opportunities for innovation in rail transportation.
**Conduct** 
 research and propose new methodologies for solving complex railroad challenges.
*The duties and responsibilities in this posting are representative categories to be used in deciding whether to apply for this position. This is not an exhaustive list of the position’s duties.*
 At BNSF Railway, we encourage individuals from all backgrounds to apply, showcasing their skills, experiences and development. We provide resources and tools to help you reach your full potential, fostering a supportive and inclusive environment.
**Basic Qualifications**
* Authorized to work in the US.
* Minimum 6 years experience in AI/ML development, data science, software engineering, or relevant experience.
* Technical Skills:
+ Strong in programming languages such as Python, R, or Java.
+ Experience with machine learning frameworks (e.g., TensorFlow, PyTorch, scikit\-learn) and deep learning architectures.
+ Familiarity with data engineering tools and platforms (e.g., Hadoop, Spark, EMS, AWS S3, PySpark, RDS, JupyterLab) and cloud services (AWS, Azure, Databricks) and open source environments
+ Strong knowledge of databases (SQL and NoSQL)
+ Strong knowledge of Mlops ecosystem
+ Strong understanding of generative AI models
+ Strong in Data Pipelines for GenAI (e.g., cleaning, chunking embeddings)
+ Strong in GenAI tools and frameworks (LangChain, LangGraph)
+ Strong in Vector Databases and embeddings
+ Familiar with Agentic architecture
* Analytical Skills: Ability to interpret complex datasets and derive actionable insights.
* Problem\-Solving: Proven ability to tackle real\-world challenges using AI and machine learning techniques.
* Communication: Excellent verbal and written communication skills for working with cross\-functional teams and stakeholders.
**Preferred Qualifications**
* Able to work now and in the future without BNSF’s assistance (whether monetary, through sponsorship, or otherwise) in obtaining, maintaining, or extending employment authorization (including H\-1B, STEM OPT/CPT, or TN nonimmigrant status).
* Bachelor's degree or higher in Computer Science, Artificial Intelligence, Data Science, Engineering, or a related field
* Experience with predictive maintenance, anomaly detection, or industrial IoT applications.
* Knowledge of railroad operations, transportation systems, or logistics.
* Familiarity with MLOps practices and tools for model lifecycle management.
* Experience deploying AI systems in production environments with a focus on scalability and reliability.
* Previous experience in transportation, supply chain, or infrastructure industries.
**At BNSF, you will have access to a comprehensive and competitive benefits package including:**
* An industry\-leading 401(k) and renowned Railroad Retirement program.
* A range of robust health care options for you and your dependents (including domestic partners), including medical, dental, vision, telemedicine, mental health, cancer support, and high\-quality care network options.
* Health care spending accounts (HSA) with employer contributions, as well as life and disability insurance, provided at no cost.
* Family benefits including parental, pediatric and family building support, adoption and surrogacy reimbursement, and dependent care spending account (with employer match).
* Access to discounts on travel, gym memberships, counseling services and wellness support.
* Annual bonus (Incentive Compensation Program)
* Generous leave / time off policies.
* For more information, visit Benefits.
 Please be aware of potential fraud that can occur when searching for new career opportunities. Please review our FAQ for more information and awareness.
 All positions require pre\-employment background verification.
 BNSF Railway is an Equal Opportunity Employer, all qualified applicants receive consideration for employment without regard to race, color, religion, sex, sexual orientation, gender identity, national origin, disability or protected veteran status.
 SF: MO \| \[\[mfield5]] \| bnsf tech \| REMOTE, US \| 76131</t>
        </is>
      </c>
    </row>
    <row r="20">
      <c r="A20" t="inlineStr">
        <is>
          <t>li-4377186657</t>
        </is>
      </c>
      <c r="B20" t="inlineStr">
        <is>
          <t>Machine Learning Engineer</t>
        </is>
      </c>
      <c r="C20" t="inlineStr">
        <is>
          <t>Syndesus, Inc.</t>
        </is>
      </c>
      <c r="D20" t="inlineStr">
        <is>
          <t>linkedin</t>
        </is>
      </c>
      <c r="E20" t="inlineStr"/>
      <c r="F20" t="inlineStr"/>
      <c r="G20" t="inlineStr">
        <is>
          <t>Austin, TX</t>
        </is>
      </c>
      <c r="H20" t="inlineStr"/>
      <c r="I20" t="inlineStr">
        <is>
          <t>**About the Company** 
 Our client is revolutionizing healthcare by streamlining knowledge workflows with AI. They reduce administrative burdens and elevate outcomes, empowering professionals to focus on what truly matters — improving lives. They’re growing fast and looking for bold, driven teammates to join them.
**About the Role** 
 Our client is seeking a hands\-on ML/LLM Engineer who’s excited to ship real\-world applications — not just benchmarks. You’ll help build and optimize AI\-native systems that blend structured and unstructured data to power decisions in high\-stakes domains. This is a mid to senior\-level role for someone ready to go deep on applied ML problems — from retrieval to routing to generation — and ship solutions that deliver measurable impact.
**Responsibilities** 
* Own and optimize pipelines that combine classical ML and LLM\-based systems (RAG, scoring, summarization, etc.)
* Fine\-tune and evaluate LLMs using both open\-source and proprietary data
* Collaborate with product and engineering teams to build real\-world applications in healthcare and biopharma
* Implement retrieval strategies, prompt chaining, and inference orchestration for production use cases
* Monitor and improve model quality, latency, explainability, and safety
* Stay ahead of the curve in LLM evaluation, tuning, and agent\-based architectures
**Qualifications** 
* 3–6 years of experience in applied ML, with at least 1–2 years working with LLMs
**Required Skills** 
* Strong Python skills and familiarity with ML/LLM frameworks (PyTorch, Transformers, LangChain, LlamaIndex, etc.)
* Comfort with embeddings, vector search, retrieval pipelines, and prompt tuning
* Bias for experimentation, clarity, and pushing solutions into production quickly
* Understanding of responsible AI practices, model evaluation, and observability
* Experience in healthcare, compliance\-sensitive data, or regulated environments
**Pay range and compensation package** 
* Opportunity to make a real impact on the future of healthcare
* Autonomy, ownership, and growth potential
* Competitive compensation and benefits
* 100% employer\-paid health, vision, and dental insurance
* Retirement plans (401k), disability insurance, and employee assistance programs
 This position is open only to individuals who are legally authorized to work in the United States on a permanent basis. At this time, the company is unable to sponsor or take over sponsorship of employment visas (including H\-1B, OPT, CPT, or other non\-immigrant statuses).</t>
        </is>
      </c>
    </row>
    <row r="21">
      <c r="A21" t="inlineStr">
        <is>
          <t>li-4340715996</t>
        </is>
      </c>
      <c r="B21" t="inlineStr">
        <is>
          <t>Machine Learning Engineer II</t>
        </is>
      </c>
      <c r="C21" t="inlineStr">
        <is>
          <t>Dandy</t>
        </is>
      </c>
      <c r="D21" t="inlineStr">
        <is>
          <t>linkedin</t>
        </is>
      </c>
      <c r="E21" t="inlineStr"/>
      <c r="F21" t="inlineStr"/>
      <c r="G21" t="inlineStr">
        <is>
          <t>New York, United States</t>
        </is>
      </c>
      <c r="H21" t="inlineStr"/>
      <c r="I21" t="inlineStr">
        <is>
          <t>Dandy is transforming the massive and antiquated dental industry—an industry worth over $200B. Backed by some of the world’s leading venture capital firms, we’re on an ambitious mission to simplify and modernize every function of the dental practice through technology. As we expand our reach globally, Dandy is building the operating system for dental offices around the world—empowering clinicians and their teams with technology, innovation, and world\-class support to achieve more for their practices, their people, and their patients.
**About The Role**
 In the past 3 years, Dandy has built the leading digital\-first custom dental appliance manufacturer. As we go through our next level of scale, Dandy is building a world class Machine Learning \&amp; Computer Vision team to enhance our 3D dental platform and automate many of the human\-driven processes in our manufacturing today.
 The global, remote team tackles problems involving 3D geometric computer vision, generative deep learning, and SOTA machine learning methods. As a part of this newly created team, you will play a key role in laying the foundation that will drive the team’s success. You will establish best practices, solve ambiguous data problems that have never been solved before with industry wide impact, and be given the freedom to innovate.
**What You'll Do**
* Build machine learning models to extract structure from unstructured, information\-dense 3D scans as well as other sensory data in dentistry
* Research SOTA methods for developing models to accomplish 3D generative AI tasks as well as conventional computer vision tasks.
* Work with product and research teams to identify opportunities for improvement in our current product line and for enabling upcoming product lines
* Work with massive datasets to develop both generic models as well as fine tune models for specific applications
* Develop evaluation methods which allow us to establish confidence in our datasets and models
* Implement best practices for our MLOps pipelines
* Work closely with product owners on a feature focused team to deliver value quickly to Dandy’s customers
**What We're Looking For**
* 2\+ years of experience in Machine Learning, or new PhD graduate
* Experience in Python
* Experience with either PyTorch or Tensorflow
* Have immaculate attention to detail and take pride in delivering excellent code and results
* Masters or PhD in related field
* Experience in SOTA 2D deep learning and/or experience with 3D deep learning is a plus
* Experience with 3D geometric Computer Vision is a plus
**Req ID:** 
 J\-849
 For full\-time positions, Dandy offers a wide range of best\-in\-class, comprehensive, and inclusive benefits tailored to each country where we operate. Our local benefits packages typically include healthcare, dental, mental health support, parental planning resources, retirement savings options, and generous paid time off—ensuring our team members are supported no matter where they live and work.
 Dandy is proud to be an equal\-opportunity employer. We are committed to building a diverse and inclusive culture that celebrates authenticity to win as one. We do not discriminate on the basis of race, religion, color, national origin, gender, gender identity, sexual orientation, age, marital status, disability, protected veteran status, citizenship or immigration status, or any other legally protected characteristics.
 Dandy also fully complies with the Americans with Disabilities Act (ADA). We are dedicated to embracing challenges and creating an accessible, inclusive workplace for all individuals. If you require any accommodations for your interview or have any questions beforehand, rest assured that we will do everything we can to meet your needs. Visit Dandy Careers for more!
 Data Privacy Notice: By submitting your application, you consent to Dandy collecting, storing, and processing your personal information for recruitment purposes in accordance with our Privacy Policy and GDPR regulations. You have the right to access, rectify, or request the deletion of your data at any time by contacting Privacy Requests.</t>
        </is>
      </c>
    </row>
    <row r="22">
      <c r="A22" t="inlineStr">
        <is>
          <t>li-4376058904</t>
        </is>
      </c>
      <c r="B22" t="inlineStr">
        <is>
          <t>Machine Learning Engineer</t>
        </is>
      </c>
      <c r="C22" t="inlineStr">
        <is>
          <t>Micron Technology</t>
        </is>
      </c>
      <c r="D22" t="inlineStr">
        <is>
          <t>linkedin</t>
        </is>
      </c>
      <c r="E22" t="inlineStr"/>
      <c r="F22" t="inlineStr"/>
      <c r="G22" t="inlineStr">
        <is>
          <t>Boise, ID</t>
        </is>
      </c>
      <c r="H22" t="inlineStr"/>
      <c r="I22" t="inlineStr">
        <is>
          <t>**Our vision is to transform how the world uses information to enrich life for
 *all* 
 .**
 Micron Technology is a world leader in innovating memory and storage solutions that accelerate the transformation of information into intelligence, inspiring the world to learn, communicate and advance faster than ever.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about your
 **right to work click here.**
 To learn more about Micron, please visit
 **micron.com/careers**
 For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AI alert
 **:** 
 Candidates are encouraged to use AI tools to enhance their resume and/or application materials. However, all information provided must be accurate and reflect the candidate's true skills and experiences. Misuse of AI to fabricate or misrepresent qualifications will result in immediate disqualification.
 Fraud alert: Micron advises job seekers to be cautious of unsolicited job offers and to verify the authenticity of any communication claiming to be from Micron by checking the official Micron careers website in the About Micron Technology, Inc.</t>
        </is>
      </c>
    </row>
    <row r="23">
      <c r="A23" t="inlineStr">
        <is>
          <t>li-4361173628</t>
        </is>
      </c>
      <c r="B23" t="inlineStr">
        <is>
          <t>2.53  3D Machine Learning Engineer</t>
        </is>
      </c>
      <c r="C23" t="inlineStr">
        <is>
          <t>FieldAI</t>
        </is>
      </c>
      <c r="D23" t="inlineStr">
        <is>
          <t>linkedin</t>
        </is>
      </c>
      <c r="E23" t="inlineStr"/>
      <c r="F23" t="inlineStr"/>
      <c r="G23" t="inlineStr">
        <is>
          <t>Irvine, CA</t>
        </is>
      </c>
      <c r="H23" t="inlineStr"/>
      <c r="I23" t="inlineStr">
        <is>
          <t>FieldAI’s Irvine team is where embodied AI meets real robots, real sensors, and real field deployments. Based in the heart of Southern California’s robotics ecosystem, we build risk\-aware, reliable, field\-ready AI systems that solve the hardest problems in robotics and unlock the full potential of embodied intelligence. If you want your work to ship, get tested on hardware, and improve through real deployments, Irvine is the place. We go beyond typical data\-driven approaches or pure transformer\-only architectures, combining rigorous engineering with learning systems proven in globally deployed solutions that deliver results today and get better every time our robots run in the field.
 As a
 **3D Machine Learning Engineer** 
 , you will focus on designing, implementing, training, and maintaining cutting\-edge 3D and multimodal machine learning models that process reality capture data such as 3D point clouds, 360 photos, and RGBD images. Your work will directly contribute to automated progress tracking, deviation analysis, and semantic scene understanding of construction sites. You will collaborate closely with software, autonomy, and product teams to ensure seamless integration of these AI models into our production environments. 
**What You’ll Do** 
* Design and implement scalable machine learning pipelines for large\-scale 3D spatial data processing for point cloud analysis, object detection, segmentation, and scene understanding
* Train, optimize, and deploy deep learning models using PyTorch, TensorFlow, or equivalent frameworks on cloud platforms such as AWS (e.g., SageMaker, EC2\)
* Collaborate with software and systems engineers to integrate models into production environments and continuously improve inference pipelines
* Analyze diverse sensor inputs, including RGBD imagery, LiDAR point clouds, 360 photos, audio, and Building Information Models (BIM)
* Work closely with the labeling and data operations teams to define robust data annotation strategies and ensure high model performance and generalization
**What You Have** 
* Bachelor’s or Master’s degree in Computer Science, Machine Learning, Robotics, or a related technical field
* 2\+ years of hands\-on industry experience developing and deploying machine learning systems for 3D point clouds, perception, or spatial understanding tasks
* Strong background in 3D machine learning, with experience in deep learning for point clouds, multi\-view fusion, or geometric learning
* Strong expertise in Python and deep learning frameworks: PyTorch, TensorFlow, or similar
* Familiarity with OpenCV and PCL (Point Cloud Library) for classical computer vision and 3D data preprocessing
* Experience training, evaluating, and deploying ML models using cloud infrastructure (e.g., AWS, SageMaker) and containerized workflows
* Solid understanding of the end\-to\-end ML lifecycle, including experiment tracking, reproducibility, model versioning, and optimization for production
* Proven ability to work in fast\-paced, interdisciplinary teams across software, ML, and product teams
**The Extras That Set You Apart** 
* Experience working with BIM data, digital twins, or construction\-related sensor data
* Background in geometric deep learning, 3D mesh analysis, GIS systems, or structured scene representations
* Familiar with MLOps pipelines using Ray, SageMaker, MLflow, or Kubeflow
* Strong foundation in geometric computer vision, robotics, or algorithmic 3D reasoning
* Exposure to graph neural networks, geodesic computations, or neural implicit representations (e.g., NeRF, Occupancy Networks)
* Deep experience with point cloud and graph learning frameworks such as Open3D\-ML, Torch\-Points3D, PyG, or MMDetection3D
* Experience building custom modules for SparseConvNet or 3D transformers
 Our salary range is generous and we consider each individual’s background and experience when determining final compensation. Base pay may vary based on role scope, job\-related knowledge, skills, experience, and the Irvine, California market.
**Why Join FieldAI in Irvine?** 
 In Irvine, you will work where the robots are. Our local team builds and tests systems on real hardware with real sensors, then ships them to operate in unstructured, previously unknown environments around the world. We are solving one of robotics’ hardest challenges: reliable deployment outside the lab. Our Field Foundational Models™ raise the bar for perception, planning, localization, and manipulation, with an emphasis on explainability and safety for real\-world use.
 You will collaborate with a world\-class team that thrives on creativity, resilience, and bold thinking. We bring deep experience from organizations such as DeepMind, NASA JPL, Boston Dynamics, NVIDIA, Amazon, Tesla Autopilot, Cruise, Zoox, Toyota Research Institute, and SpaceX, along with a track record of field deployments and strong performance in DARPA challenge segments.
**Be Part of the Next Robotics Revolution** 
 We are looking for builders who want their work to leave the whiteboard and show up on robots. If you enjoy tackling tough, uncharted questions and working across disciplines, you will find your people here. Our teams span AI, software, robotics engineering, product, field deployment, and technical communication, all focused on shipping systems that perform in the real world.
 Our headquarters is in Irvine, and we partner closely with teams there as well as colleagues across the US and around the world. Join us in Southern California and help define what dependable, field\-ready autonomy looks like.
 We value diverse perspectives and are committed to fostering an inclusive workplace. We evaluate candidates and employees based on merit, qualifications, and performance, and we do not discriminate on the basis of race, color, gender, national origin, ethnicity, veteran status, disability status, age, sexual orientation, gender identity, marital status, or any other legally protected statu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4">
      <c r="A24" t="inlineStr">
        <is>
          <t>li-4357577163</t>
        </is>
      </c>
      <c r="B24" t="inlineStr">
        <is>
          <t>Applied AI Engineer</t>
        </is>
      </c>
      <c r="C24" t="inlineStr">
        <is>
          <t>Adobe</t>
        </is>
      </c>
      <c r="D24" t="inlineStr">
        <is>
          <t>linkedin</t>
        </is>
      </c>
      <c r="E24" t="inlineStr"/>
      <c r="F24" t="inlineStr"/>
      <c r="G24" t="inlineStr">
        <is>
          <t>San Jose, CA</t>
        </is>
      </c>
      <c r="H24" t="inlineStr"/>
      <c r="I24"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In this role, you’ll help shape the future of Adobe’s next\-generation artificial intelligence platform. You’ll take on meaningful challenges that push the boundaries of what’s possible — collaborating with talented teammates to create technology that will meaningfully impact millions of users. You’ll work hands‑on with pioneering AI innovations, apply industry\-leading practices, and contribute to solutions that accelerate the way developers build intelligent experiences.
 Every day brings new opportunities to innovate, learn, and elevate your craft. And as your work powers AI capabilities across Adobe, you’ll feel the real, lasting impact of your contributions — knowing that what you build here will help define the future of creativity and productivity for customers around the world.
**The Team**
 Our team includes dedicated engineers from a diverse set of backgrounds who are encouraged to bring their experience, ideas, and creativity to produce the best possible outcomes. We operate with agility and learn from failure. The highly dynamic environment allows us to grow while we add new value and deliver impactful results. As a member of the team, you will interact with others who are genuine and want you to succeed. Your talent, experience, and voice are valued and will make a difference.
 What you'll Do
* Build services and solutions that accelerate AI development
* Apply your knowledge of AI agents, MCP servers, APIs, semantic retrieval, security standards, and new AI innovations to deliver outstanding outcomes
* Use design thinking to improve developer effectiveness and efficiency
* Collaborate with multi\-functional teams to create innovative solutions
* Build a developer community of AI and help Adobe developers to build AI apps.
* Take the initiative to solve complex problems
* Contribute to a culture of continuous learning and improvement
 What you need to succeed
**Technical Skills (Must Have)**
* Bachelor’s or higher degree in Computer Science, Engineering, or related technical field.
* Proven industry experiences developing AI\-driven solutions and agentic systems (evaluations, memory architectures, orchestration, etc.).
* Proficiency in Python and/or TypeScript, along with familiarity with their surrounding tooling ecosystems.
* Experience designing and integrating APIs (REST, GraphQL) and developing modern web applications.
**Technical Skills (Nice To Have)**
* Familiarity with the LangChain / LangGraph ecosystem.
* Understanding of semantic retrieval concepts and hands\-on experience implementing semantic search or RAG style retrieval systems.
* Working knowledge of widely used frameworks such as Spring Boot, React, or similar.
* Experience with Kubernetes and modern deployment strategies.
* Knowledge of major cloud platforms such as AWS or Azure.
* Strong understanding of software development practices (source control, CI/CD, containerization, automated testing, code reviews).
* Proficiency with relational database systems (e.g., PostgreSQL).
* Excellent problem\-solving skills and ability to thrive in a collaborative, fast\-paced environment.
* Solid understanding of the full software development lifecycle.
**Technical Leadership**
* Strong system design abilities with a clear understanding of architectural trade‑offs.
* Demonstrated ownership of end\-to\-end engineering solutions.
* Excellent verbal and written communication skills.
* Understanding what makes a healthy developer community, including open development practices, mentoring, and knowledge sharing.
* Ability to work effectively with a geographically distributed team.
* Proven track record of delivering high\-quality outcomes on ambitious project timelines.
 Our compensation reflects the cost of labor across several  U.S. geographic markets, and we pay differently based on those defined markets. The U.S. pay range for this position is $139,000 \-\- $257,550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$177,900 \- $257,550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25">
      <c r="A25" t="inlineStr">
        <is>
          <t>li-4357565234</t>
        </is>
      </c>
      <c r="B25" t="inlineStr">
        <is>
          <t>AI/Machine Learning Engineer - Optical Systems</t>
        </is>
      </c>
      <c r="C25" t="inlineStr">
        <is>
          <t>Molex</t>
        </is>
      </c>
      <c r="D25" t="inlineStr">
        <is>
          <t>linkedin</t>
        </is>
      </c>
      <c r="E25" t="inlineStr"/>
      <c r="F25" t="inlineStr"/>
      <c r="G25" t="inlineStr">
        <is>
          <t>Fremont, CA</t>
        </is>
      </c>
      <c r="H25" t="inlineStr"/>
      <c r="I25" t="inlineStr">
        <is>
          <t>Molex is a global leader in the optical industry, renowned for delivering high\-performance, field\-proven wavelength management solutions. Our expertise spans components, modules, and integrated line\-cards, with a strong focus on innovation, miniaturization, and manufacturing automation. Our advanced optical, mechanical, electrical, and software design capabilities support the evolving needs of high\-density, high\-bandwidth, and flexible optical networks across telecom, datacom, hyperscale datacenters, artificial intelligence, and supercomputing.
 We are looking for a highly motivated AI / Machine Learning Engineer to join our R\&amp;D team in Fremont, CA. This position will focus on applying machine learning, data analytics, and image processing techniques to support the development, monitoring, and optimization of advanced optical products, including optical switching systems and OTDR\-based solutions.
 This role will work closely with multi\-disciplinary teams, including optical, electrical, software, and testing teams, sales and marketing, product line managers, as well as with colleagues across different geographic sites, to enable data\-driven insights and advanced algorithms for next\-generation optical products.
**What You Will Do**
* Design and implement AI and machine learning models for optical image processing, pattern recognition, anomaly detection, and system performance monitoring
* Develop and apply machine learning and data analysis methods to optical system data, including image, signal, and time\-series datasets
* Analyze experimental, manufacturing, and system\-level data to accelerate root cause analysis and failure mode understanding
* Support calibration, test optimization, and predictive maintenance initiatives using data\-driven approaches
* Work closely with cross\-functional teams to integrate AI solutions into the overall product workflow
* Document algorithms, data processing workflows, and experimental results following internal development and quality standards
* Lead AI development projects and provide technical guidance to project team members
**Who You Are (Basic Qualifications)**
* Master’s degree in Computer Science, Data Science, Electrical Engineering, or a related technical discipline with track focus on AI and machine learning
* At least 3 years of industry experience in AI and machine learning development
* Experience with image processing, signal processing, or time\-series analysis
* Experience deploying ML algorithms in production, hardware, embedded, or system\-level environments
* Experience collaborating with manufacturing or test teams on data\-driven process optimization
* Experience in machine learning, statistical modeling, and data analysis
* Experience with algorithm prototyping and analysis
* Proficient in data analysis and machine learning frameworks (e.g., PyTorch, TensorFlow, scikit\-learn, etc.)
* Experience in programming languages (e.g., Python, Java, etc.)
* Experience working with large, real\-world datasets and experimental data
**What Will Put You Ahead**
* Ph.D. degree in Computer Science, Data Science, or a related field
* Familiarity with optical systems, or hardware\-centric products
* Strong leadership and mentoring abilities
* Bilingual with Mandarin
*For this role, we anticipate paying $180,000\- $250,000 per year. This role is eligible for variable pay, issued as a monetary bonus or in another form.*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**Who We Are**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(For Illinois E\-Verify information click here, aquí, or tu).</t>
        </is>
      </c>
    </row>
    <row r="26">
      <c r="A26" t="inlineStr">
        <is>
          <t>li-4368370375</t>
        </is>
      </c>
      <c r="B26" t="inlineStr">
        <is>
          <t>Senior Machine Learning Engineer</t>
        </is>
      </c>
      <c r="C26" t="inlineStr">
        <is>
          <t>Paylocity</t>
        </is>
      </c>
      <c r="D26" t="inlineStr">
        <is>
          <t>linkedin</t>
        </is>
      </c>
      <c r="E26" t="inlineStr"/>
      <c r="F26" t="inlineStr"/>
      <c r="G26" t="inlineStr"/>
      <c r="H26" t="inlineStr"/>
      <c r="I26" t="inlineStr">
        <is>
          <t>Job Type
 Full\-time
**Description**
**Description**
 Paylocity is an award\-winning provider of cloud\-based HR and payroll software solutions, offering the most complete platform for the modern workforce. The company has become one of the fastest\-growing HCM software providers worldwide by offering an intuitive, easy\-to\-use product suite that helps businesses automate and streamline HR and payroll processes, attract and retain talent, and build a strong workplace culture.
 While traditional HR and payroll providers automate basic HR processes such as payroll and benefits administration, Paylocity goes further by developing tools that HR and businesses need to compete for talent and deliver against the expectations of the modern workforce.
 We give our employees what they need to succeed, including great benefits and perks! We offer medical, dental, vision, life, disability, and a 401(k) match, as well as perks that support you, your family, and your finances. And if it’s career development you desire, we provide that, too! At Paylocity, people matter most and have always been at the heart of our business.
 Want to develop the strategies and principles needed to deliver compelling software? Join our team and help us enhance our all\-in\-one software platform, elevate our one\-of\-a\-kind technology, and improve the employee experience.
 This is a fully remote position, allowing you to work from home or location of record within the U.S. with no in\-office requirements. You must be available five days per week during designated work hours. The work arrangement for this role is subject to change based on business needs and individual performance. This may include adjustments to on\-site requirements or schedule expectations, as necessary.
**Position Overview**
 Paylocity is growing its Machine Learning Engineering organization! Our machine learning engineering team is responsible for developing infrastructure and tooling to help enable data driven decisions and insights at scale for millions of Paylocity users.
 As a Senior Machine Learning Engineer in Product \&amp; Technology, you will help Paylocity build and deploy Machine Learning solutions, to help our teams build better products faster, more reliably, and at the scale we see in production for our customers. We develop machine learning models and infrastructure to support internal team strategies and collaborate closely with our data science organization to drive efficiency and best practices. Your primary focus will be to leverage your expertise in software development, machine learning algorithms, and data infrastructure to architect, develop, and optimize machine learning solutions. You will play a key role in driving the development of scalable and efficient machine learning models, contributing to the enhancement of product features, and the overall improvement of our infrastructure.
**Our Team Is**
* Building infrastructure that can power ML and AI features for millions of users.
* Building and deploying platform\-wide recommendations to help companies follow HR best practices and allow employees to get the most out of our platform (Paylocity AI page).
* Baking AI Ethics into all of our processes as a first\-class citizen (Blog Post).
* Working in a collaborative fully remote environment with a desire to share ideas and continuously improve.
* Invested in staying current in machine learning engineering by applying the newest tools, technologies, and practices
* Excited to work on cutting\-edge technology!
**Primary Responsibilities**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Collaborate closely with internal teams such as Data Science, Data Engineering, Paylocity’s Cloud Center of Excellence (CCOE), DevOps, and Delivery Platforms to understand requirements and ensure alignment of machine learning engineering solutions with overall business objectives and priorities.
* Leverage cutting\-edge big data technologies on AWS utilizing Databricks and Spark to develop scalable and efficient machine learning solutions for millions of users.
* Create automated data and modeling pipelines, collaborating with internal teams to ensure smooth integration and deployment of machine learning software features.
* Lead the optimization of CI/CD workflows, ensuring scalability and resilience while addressing complex challenges in automation in partnership with DevOps and Delivery Platforms.
* Proactively identify and resolve issues/bugs, ensuring AppSec vulnerabilities are identified and corrected, working closely with Application Security and CCOE teams.
* Drive the adoption of best practices in machine learning engineering across teams, contributing to the development of formal training programs and materials for MLE tool adoption.
* Actively participate in cross\-functional meetings and discussions, providing feedback, commentary, requirements, and questions to ensure alignment and drive project success.
**Education And Experience**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Bachelor’s degree with 5 years of machine learning engineering at software companies; or, advanced degree (master’s or PhD) in machine learning engineering, data engineering, computer science, engineering, statistics, mathematics, data science, or other quantitative field, with no additional experience required.
* Experience in building production\-grade machine learning models and infrastructure in Python.
* Strong background in advanced Python and big data technologies.
* Experience with cloud infrastructure (i.e., AWS, GCP, or Azure).
* Demonstrated experience with Infrastructure as Code (IAC) tools (i.e. CDK, Pulumi, etc.).
* Demonstrated ability to leverage machine learning engineering to drive business results.
* Skilled at translating business problems into machine learning engineering problems and communicating the results to non\-technical audiences.
* Able to work in a collaborative environment with a desire to share your ideas.
* Able to work independently and complete tasks with high quality, but unafraid to seek out suggestions from other team members.
* Strong understanding of data engineering and software engineering fundamentals.
* Self\-motivated, adaptable, and highly detail oriented.
**Preferred Skills**
* Professional or academic experience in HR, social science or psychology.
* Contributions to open\-source software in Python.
* Enthusiastic about how machine learning and infrastructure can lead to a superior customer experience.
* Be invested in staying current in machine learning and infrastructure by applying new technologies and practices.
**Physical Requirements**
* Ability to sit for extended periods: The role requires sitting at a desk or workstation for long periods, typically 7\-8 hours a day.
* Use of computer and phone systems: The employee must be able to operate a computer, use phone systems, and type. This includes using multiple software programs and inquiries simultaneously.
**Paylocity is an equal opportunity employer.**
 We recruit, train, compensate, and promote regardless of race, religion, color, national origin, sex, disability, age, veteran status, and other protected status as required by applicable law. At Paylocity, we believe diversity makes us better.
 We embrace and encourage our employees’ differences in age, culture, ethnicity, family or marital status, gender identity or expression, language, national origin, physical and mental ability, political affiliation, race, religion or spiritual belief, sexual orientation, socio\-economic status, veteran status, and other characteristics that make our employees unique. We actively cultivate these differences through our employee resource groups (ERGs), employee experiences, perspectives, talents, and approaches to drive innovation in the software and services we provide our customers.
 We comply with federal and state disability laws and make reasonable accommodations for applicants and employees with disabilities. To request reasonable accommodation in the job application or interview process, please contact accessibility@paylocity.com. This email address is exclusively designated for such requests, aligning with federal and state disability laws. Please do not send resumes to this email address, as they will be removed.
 The pay range for this position is $125,900 \- $233,900/yr; however, base pay offered may vary depending on job\-related knowledge, skills, and experience. This position is eligible for an annual restricted stock unit grant based on individual performance in addition to a full range of benefits outlined here. This information is provided per the relevant state and local pay transparency laws for the location in which this position will be performed. Base pay information is based on market location. Applicants should apply via www.paylocity.com/careers.
 \#remote</t>
        </is>
      </c>
    </row>
    <row r="27">
      <c r="A27" t="inlineStr">
        <is>
          <t>li-4376050498</t>
        </is>
      </c>
      <c r="B27" t="inlineStr">
        <is>
          <t>Machine Learning Engineer | Python | Pytorch | Distributed Training | Optimisation | GPU | Hybrid, San Jose, CA</t>
        </is>
      </c>
      <c r="C27" t="inlineStr">
        <is>
          <t>Enigma</t>
        </is>
      </c>
      <c r="D27" t="inlineStr">
        <is>
          <t>linkedin</t>
        </is>
      </c>
      <c r="E27" t="inlineStr"/>
      <c r="F27" t="inlineStr"/>
      <c r="G27" t="inlineStr">
        <is>
          <t>San Jose, CA</t>
        </is>
      </c>
      <c r="H27" t="inlineStr"/>
      <c r="I27" t="inlineStr">
        <is>
          <t>**Machine Learning Engineer \| Python \| Pytorch \| Distributed Training \| Optimisation \| GPU \| Hybrid, San Jose, CA** 
**Title:** 
 Machine Learning Engineer
**Location: San Jose, CA** 
**Responsibilities:** 
* Productize and optimize models from Research into reliable, performant, and cost\-efficient services with clear SLOs (latency, availability, cost).
* Scale training across nodes/GPUs (DDP/FSDP/ZeRO, pipeline/tensor parallelism) and own throughput/time\-to\-train using profiling and optimization.
* Implement model\-efficiency techniques (quantization, distillation, pruning, KV\-cache, Flash Attention) for training and inference without materially degrading quality.
* Build and maintain model\-serving systems (vLLM/Triton/TGI/ONNX/TensorRT/AITemplate) with batching, streaming, caching, and memory management.
* Integrate with vector/feature stores and data pipelines (FAISS/Milvus/Pinecone/pgvector; Parquet/Delta) as needed for production.
* Define and track performance and cost KPIs; run continuous improvement loops and capacity planning.
* Partner with ML Ops on CI/CD, telemetry/observability, model registries; partner with Scientists on reproducible handoffs and evaluations.
**Educational Qualifications:** 
* Bachelors in computer science, Electrical/Computer Engineering, or a related field required; Master’s preferred (or equivalent industry experience).
* Strong systems/ML engineering with exposure to distributed training and inference optimization.
**Industry Experience:** 
* 3–5 years in ML/AI engineering roles owning training and/or serving in production at scale.
* Demonstrated success delivering high\-throughput, low\-latency ML services with reliability and cost improvements.
* Experience collaborating across Research, Platform/Infra, Data, and Product functions.
**Technical Skills:** 
* Familiarity with deep learning frameworks: PyTorch (primary), TensorFlow.
* Exposure to large model training techniques (DDP, FSDP, ZeRO, pipeline/tensor parallelism); distributed training experience a plus
* Optimization: experience profiling and optimizing code execution and model inference: (PTQ/QAT/AWQ/GPTQ), pruning, distillation, KV\-cache optimization, Flash Attention
* Scalable serving: autoscaling, load balancing, streaming, batching, caching; collaboration with platform engineers.
* Data \&amp; storage: SQL/NoSQL, vector stores (FAISS/Milvus/Pinecone/pgvector), Parquet/Delta, object stores.
* Write performant, maintainable code
* Understanding of the full ML lifecycle: data collection, model training, deployment, inference, optimization, and evaluation.
**Machine Learning Engineer \| Python \| Pytorch \| Distributed Training \| Optimisation \| GPU \| Hybrid, San Jose, CA**</t>
        </is>
      </c>
    </row>
    <row r="28">
      <c r="A28" t="inlineStr">
        <is>
          <t>li-4361255826</t>
        </is>
      </c>
      <c r="B28" t="inlineStr">
        <is>
          <t>Lead Machine Learning Engineer</t>
        </is>
      </c>
      <c r="C28" t="inlineStr">
        <is>
          <t>Salesforce</t>
        </is>
      </c>
      <c r="D28" t="inlineStr">
        <is>
          <t>linkedin</t>
        </is>
      </c>
      <c r="E28" t="inlineStr"/>
      <c r="F28" t="inlineStr"/>
      <c r="G28" t="inlineStr">
        <is>
          <t>Palo Alto, CA</t>
        </is>
      </c>
      <c r="H28" t="inlineStr"/>
      <c r="I28"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*Salesforce AI Research is looking for a Machine Learning Engineer to incubate next\-generation agentic AI platform. You will work with research scientists, software engineers, product managers and solution engineers closely to design, implement and iterate agentic AI systems with customers.*
*With your strong technical competence, strategic thinking and customer engagement, you will innovate at the frontier of the field, having the opportunity to create new solutions and define new categories of product with meaningful impact to Salesforce customers and beyond.*
*We are looking for candidates who*
* Has exceptional engineering skills. Expert in at least one of programming languages such as python, c\+\+, etc.
* Has deep ML knowledge with meaningful implementation track records, such as LLM, pre/post\-training, RL, agentic system.
* Prioritize deep and strategic thinking.
* Has dedication, patience and resilience to build exceptional product experience.
* Collaborative and win with teams.
* Proactive and bias to action, comfortable in fast\-pacing environment.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29">
      <c r="A29" t="inlineStr">
        <is>
          <t>li-4274100892</t>
        </is>
      </c>
      <c r="B29" t="inlineStr">
        <is>
          <t>Staff Machine Learning Engineer, AI Platform</t>
        </is>
      </c>
      <c r="C29" t="inlineStr">
        <is>
          <t>General Motors</t>
        </is>
      </c>
      <c r="D29" t="inlineStr">
        <is>
          <t>linkedin</t>
        </is>
      </c>
      <c r="E29" t="inlineStr"/>
      <c r="F29" t="inlineStr"/>
      <c r="G29" t="inlineStr">
        <is>
          <t>Sunnyvale, CA</t>
        </is>
      </c>
      <c r="H29" t="inlineStr"/>
      <c r="I29" t="inlineStr">
        <is>
          <t>****Job Description****
*Remote: This role is based remotely but if you live within a 50\-mile radius of Mountain View, you are expected to report to that location three times a week, at minimum*
**The Role:**
 We are seeking an experienced, technical oriented, impact delivering\-driven expert in ML Training Infrastructure with a strong ability to execute hands\-on technical work. In this role, you will be responsible for designing and building scalable, reliable, and high\-performance AI/ML platform infrastructure to support advanced AI research and model development initiatives. As a Staff ML System Engineer, you will collaborate closely with machine learning engineers, research scientists, and other partners to develop state\-of\-the\-art AI solutions that enable the future of intelligent driving technologies across General Motors vehicles.
**What You'll Do:**
* Lead the design and development of scalable, reliabile, high\-performance ML framework to support model training at scale.
* Lead model training performance analysis and optimizaiton solutions to scale distributed training workflows and maximize resource utilization across heterogeneous hardware environments, and save cost.
* Raise the bar on system observability, debuggability, and operational excellence, and user experience.
* Collaborate with cross\-functional teams to integrate new features and technologies into the platform.
****Your Skills \&amp; Abilities (Required Qualifications)****
* Bachelors or higher degree in Computer Science or equivalent major or equaivalent experience
* 7\+ years professional software engineering experience
* 3\+ years specialized experience in AI/ML infrastructure, e.g., enabling distributed training for scaling large ML models
* Strong programming skills in Python, with proficiency in frameworks such as,PyTorch (prefered), TensorFlow, or similar
* Experience with distributed computing, GPU computing, and cloud environments (AWS, GCP, Azure).
* Willingness to travel to Sunnyvale, CA as needed
* Comfortable working in highly ambiguous and dynamic environments
**What Will Give You a Competitive Edge (preferred qualifications):**
* Self\-motivated, strong execution, impact\-delivering oriented
* Extensive knowledge and experience with PyTorch 2\.x\+ and distributed training framework
* Experience with design and development of training framework that supports FSDP, Pipeline Parallelism and other scalable solutions to training large foundational models
* Experience with profiling, analysis, debugging and optimizing training and dataloading performance.
* Excellent communication skills to resolve controversial, make consensus, communicate risks and give constructive feedback
****Your Skills \&amp; Abilities (Required Qualifications)****
* Bachelors or higher degree in Computer Science or equivalent major or equaivalent experience
* 7\+ years professional software engineering experience
* 3\+ years specialized experience in AI/ML infrastructure, e.g., enabling distributed training for scaling large ML models
* Strong programming skills in Python, with proficiency in frameworks such as,PyTorch (prefered), TensorFlow, or similar
* Experience with distributed computing, GPU computing, and cloud environments (AWS, GCP, Azure).
* Willingness to travel to Sunnyvale, CA as needed
* Comfortable working in highly ambiguous and dynamic environments
**What Will Give You a Competitive Edge (preferred qualifications):**
* Self\-motivated, strong execution, impact\-delivering oriented
* Extensive knowledge and experience with PyTorch 2\.x\+ and distributed training framework
* Experience with design and development of training framework that supports FSDP, Pipeline Parallelism and other scalable solutions to training large foundational models
* Experience with profiling, analysis, debugging and optimizing training and dataloading performance.
* Excellent communication skills to resolve controversial, make consensus, communicate risks and give constructive feedback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$165,000 to $290,700\.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0">
      <c r="A30" t="inlineStr">
        <is>
          <t>li-4354667739</t>
        </is>
      </c>
      <c r="B30" t="inlineStr">
        <is>
          <t>Sr. Machine Learning Engineer, GAI Search Relevance</t>
        </is>
      </c>
      <c r="C30" t="inlineStr">
        <is>
          <t>Moveworks</t>
        </is>
      </c>
      <c r="D30" t="inlineStr">
        <is>
          <t>linkedin</t>
        </is>
      </c>
      <c r="E30" t="inlineStr"/>
      <c r="F30" t="inlineStr"/>
      <c r="G30" t="inlineStr">
        <is>
          <t>Mountain View, CA</t>
        </is>
      </c>
      <c r="H30" t="inlineStr"/>
      <c r="I30" t="inlineStr">
        <is>
          <t>**What You Will Do**
 We are looking for a search relevance engineer to work with a team to improve a search based question answering platform. At Moveworks, we build search technology to answer enterprise users’ tech questions instantly, by combining modern information retrieval methodology with the latest advancement in natural language understanding. Our core Search product value is achieved through the capability of accurately retrieving, matching and ranking text snippets extracted from heterogeneous knowledge sources, as direct answers to users’ requests. You will play a critical role in boosting answer quality by meeting the challenges such as lexical gap, semantic text understanding, and data sparsity.
 We’re building a team that indexes on moving fast, solving challenging product/engineering problems and providing value to our customers. To be successful, you'll be partnering with product, user experience, customer success and other engineering teams to identify, define and build elegant solutions.
* Craft new ranking features and optimizing existing ones to enhance relevance metrics
* Develop algorithm framework to support diversified ranking features
* Design platform and tooling to enable parallel ranking experiments
* Develop metrics to evaluate ranking performance
**What You Bring To The Table**
* First\-hand experience in traditional information retrieval techniques, or machine learning based ranking models
* Capable of deriving insights from query logs analysis and identifying areas of improvement for search quality
* Background in text processing, information retrieval, natural language understanding, or machine learning
**Nice to Have**
* Experience in Golang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t>
        </is>
      </c>
    </row>
    <row r="31">
      <c r="A31" t="inlineStr">
        <is>
          <t>li-4368427021</t>
        </is>
      </c>
      <c r="B31" t="inlineStr">
        <is>
          <t>1.68 Agentic AI/ML Engineer - Multimodal</t>
        </is>
      </c>
      <c r="C31" t="inlineStr">
        <is>
          <t>FieldAI</t>
        </is>
      </c>
      <c r="D31" t="inlineStr">
        <is>
          <t>linkedin</t>
        </is>
      </c>
      <c r="E31" t="inlineStr"/>
      <c r="F31" t="inlineStr"/>
      <c r="G31" t="inlineStr">
        <is>
          <t>Irvine, CA</t>
        </is>
      </c>
      <c r="H31" t="inlineStr"/>
      <c r="I31" t="inlineStr">
        <is>
          <t>FieldAI’s Irvine team is where embodied AI meets real robots, real sensors, and real field deployments. Based in the heart of Southern California’s robotics ecosystem, we build risk\-aware, reliable, field\-ready AI systems that solve the hardest problems in robotics and unlock the full potential of embodied intelligence. If you want your work to ship, get tested on hardware, and improve through real deployments, Irvine is the place. We go beyond typical data\-driven approaches or pure transformer\-only architectures, combining rigorous engineering with learning systems proven in globally deployed solutions that deliver results today and get better every time our robots run in the field.
**Who are We?
**Field AI is transforming how robots interact with the real world.
 We are building risk\-aware, reliable, and field\-ready AI systems that address the most complex challenges in robotics, unlocking the full potential of embodied intelligence. We go beyond typical data\-driven approaches or pure transformer\-based architectures, and are charting a new course, with already\-globally\-deployed solutions delivering real\-world results and rapidly improving models through real\-field applications. Learn more at
 https://fieldai.com
 .
**About the Job
 Our
**Field Foundation Model (FFM)
 powers a global fleet of autonomous robots that capture massive streams of multimodal data across diverse, dynamic environments every day. As part of the
**Insight Team
 our mission is to transform this raw, multimodal data into actionable insights that empower our customers and engineers to deliver value.
**Field\-insight Foundation Model (FiFM)
 is at the core of how we transform multimodal data from autonomous robots into actionable insights. As an
**AI/ML Engineer
 on the FiFM team, you will drive
**research and model development
 for one of Field AI’s most ambitious initiatives. Your work will span
**computer vision, vision\-language models (VLMs), multimodal scene understanding, and long\-memory video analysis and search
 , with a strong emphasis on
**agentic AI
 (tool use, memory, multimodal retrieval\-augmented generation).This is a
**full\-cycle ML role
 : you’ll curate datasets, fine\-tune and evaluate models, optimize inference, and deploy them into production. It’s a blend of
**applied research and engineering
 , requiring creativity, rapid experimentation, and rigorous problem\-solving. While FiFM is your primary focus, you’ll also contribute to broader
**perception and insight\-generation initiatives
 across Field AI.
**What You’ll Get To Do:** 
* **Train and fine\-tune** 
 million\- to billion\-parameter
 **multimodal models** 
 , with a focus on
 **computer vision** 
 ,
 **video understanding** 
 , and
 **vision\-language integration**
* **Track state\-of\-the\-art research** 
 , adapt novel algorithms, and integrate them into FiFM
* **Curate datasets** 
 and
 **develop tools** 
 to improve
 **model interpretability**
* **Build scalable evaluation pipelines** 
 for
 **vision** 
 and
 **multimodal models**
* **Contribute** 
 to
 **model observability** 
 ,
 **drift detection** 
 , and
 **error classification**
* **Fine\-tune** 
 and
 **optimize** 
 open\-source
 **VLMs** 
 and
 **multimodal embedding models** 
 for efficiency and robustness
* Build and optimize
 **Multi\-VectorRAG pipelines** 
 with
 **vector DBs and knowledge graphs**
* Create
 **embedding\-based memory and retrieval chains** 
 with token\-efficient chunking strategies
**What You Have:** 
* Master’s/Ph.D. in Computer Science, AI/ML, Robotics, or equivalent industry experience
* 2\+ years of industry experience or relevant publications in CV/ML/AI
* Strong expertise in
 **computer vision, video understanding, temporal modeling, and VLMs**
* Proficiency in
 **Python and PyTorch** 
 with production\-level coding skills
* Experience building
 **pipelines for large\-scale video/image datasets**
* Familiarity with
 **AWS or other cloud platforms** 
 for ML training and deployment
* Understanding of
 **MLOps best practices** 
 (CI/CD, experiment tracking)
* Hands\-on experience fine\-tuning open\-source
 **multimodal models** 
 using HuggingFace, DeepSpeed, vLLM, FSDP, LoRA/QLoRA
* Knowledge of
 **precision tradeoffs** 
 (FP16, bfloat16, quantization) and
 **multi\-GPU optimization**
* Ability to
 **design scalable evaluation pipelines** 
 for vision/VLMs and agent performance
**The Extras That Set You Apart:** 
* Experience with
 **Agentic/RAG pipelines and knowledge graphs** 
 (LangChain, LangGraph, LlamaIndex, OpenSearch, FAISS, Pinecone)
* Familiarity with
 **agent operations logging and evaluation frameworks**
* Background in
 **optimization** 
 : token cost reduction, chunking strategies, reranking, and retrieval latency tuning
* Experience deploying models under
 **quantized (int4/int8\) and distributed multi\-GPU inference**
* Exposure to
 **open\-vocabulary detection, zero/few\-shot learning, multimodal RAG**
* Knowledge of
 **temporal\-spatial modeling** 
 (event/scene graphs)
* Experience deploying AI in
 **edge or resource\-constrained environments**
 Our salary range is generous and we consider each individual’s background and experience when determining final compensation. Base pay may vary based on role scope, job\-related knowledge, skills, experience, and the Irvine, California market.
**Why Join FieldAI in Irvine?** 
 In Irvine, you will work where the robots are. Our local team builds and tests systems on real hardware with real sensors, then ships them to operate in unstructured, previously unknown environments around the world. We are solving one of robotics’ hardest challenges: reliable deployment outside the lab. Our Field Foundational Models™ raise the bar for perception, planning, localization, and manipulation, with an emphasis on explainability and safety for real\-world use.
 You will collaborate with a world\-class team that thrives on creativity, resilience, and bold thinking. We bring deep experience from organizations such as DeepMind, NASA JPL, Boston Dynamics, NVIDIA, Amazon, Tesla Autopilot, Cruise, Zoox, Toyota Research Institute, and SpaceX, along with a track record of field deployments and strong performance in DARPA challenge segments.
**Be Part of the Next Robotics Revolution** 
 We are looking for builders who want their work to leave the whiteboard and show up on robots. If you enjoy tackling tough, uncharted questions and working across disciplines, you will find your people here. Our teams span AI, software, robotics engineering, product, field deployment, and technical communication, all focused on shipping systems that perform in the real world.
 Our headquarters is in Irvine, and we partner closely with teams there as well as colleagues across the US and around the world. Join us in Southern California and help define what dependable, field\-ready autonomy looks like.
 We value diverse perspectives and are committed to fostering an inclusive workplace. We evaluate candidates and employees based on merit, qualifications, and performance, and we do not discriminate on the basis of race, color, gender, national origin, ethnicity, veteran status, disability status, age, sexual orientation, gender identity, marital status, or any other legally protected statu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2">
      <c r="A32" t="inlineStr">
        <is>
          <t>li-4374596245</t>
        </is>
      </c>
      <c r="B32" t="inlineStr">
        <is>
          <t>Principal AI Engineer</t>
        </is>
      </c>
      <c r="C32" t="inlineStr">
        <is>
          <t>Gazelle Global</t>
        </is>
      </c>
      <c r="D32" t="inlineStr">
        <is>
          <t>linkedin</t>
        </is>
      </c>
      <c r="E32" t="inlineStr"/>
      <c r="F32" t="inlineStr"/>
      <c r="G32" t="inlineStr">
        <is>
          <t>Iowa, United States</t>
        </is>
      </c>
      <c r="H32" t="inlineStr"/>
      <c r="I32" t="inlineStr">
        <is>
          <t>Are you ready to architect the future of AI at scale?
 We’re seeking a highly accomplished Principal AI Engineer to lead the design, architecture, and enterprise delivery of cutting\-edge AI and Machine Learning solutions. This is a strategic, hands\-on leadership role for someone who thrives at the intersection of technical depth, innovation, and organizational impact.
**Your Profile:** 
* Deep expertise in advanced ML systems and GenAI/LLM solutions
* Proven experience architecting enterprise\-scale AI platforms
* Strong cloud experience (Azure/AWS/GCP)
* Hands\-on expertise with Databricks, SQL, and modern data processing frameworks
* A balance of strategic vision and technical execution
**The Role:** 
**AI Strategy \&amp; Leadership** 
* Define and drive the enterprise AI roadmap and architecture
* Mentor AI/ML engineers and guide adoption of GenAI, LLMs, and AI platforms
**AI/ML Architecture \&amp; Innovation** 
* Design scalable ML and GenAI solutions across NLP, CV, analytics, and automation
* Build reusable AI frameworks, LLM\-powered systems, and enterprise AI assistants
**End\-to\-End AI Systems** 
* Lead full AI lifecycle: data → training → deployment → monitoring
* Build cloud\-native platforms (Azure, AWS, GCP) with high reliability and governance
**MLOps \&amp; Platform Excellence** 
* Architect robust CI/CD pipelines, model monitoring, and automated retraining
* Ensure scalable, secure, production\-grade AI systems
**Cross\-Functional Collaboration** 
* Translate business challenges into high\-impact AI solutions
* Represent AI architecture in executive and technical decision\-making
 This is more than a technical position; it’s an opportunity to shape the AI capability of an entire organization, influence executive strategy, and build systems that operate at real enterprise scale.
 If you’re passionate about architecting intelligent systems that drive measurable business transformation, we want to connect.
 📩 Apply now or message us directly to learn more.</t>
        </is>
      </c>
    </row>
    <row r="33">
      <c r="A33" t="inlineStr">
        <is>
          <t>li-4326268411</t>
        </is>
      </c>
      <c r="B33" t="inlineStr">
        <is>
          <t>Generative AI Engineer - Demand Science Portfolio</t>
        </is>
      </c>
      <c r="C33" t="inlineStr">
        <is>
          <t>Conagra Brands</t>
        </is>
      </c>
      <c r="D33" t="inlineStr">
        <is>
          <t>linkedin</t>
        </is>
      </c>
      <c r="E33" t="inlineStr"/>
      <c r="F33" t="inlineStr"/>
      <c r="G33" t="inlineStr">
        <is>
          <t>Chicago, IL</t>
        </is>
      </c>
      <c r="H33" t="inlineStr"/>
      <c r="I33" t="inlineStr">
        <is>
          <t>Reporting to the Director of Information Technology, you will join Conagra Brands as a Demand Science Generative AI Engineer, playing a key role in reinventing our culture and IT capabilities to deliver business value and support strategic goals. You will orchestrate AI solutions, develop applications, and explore emerging technologies to create best\-in\-class experiences on Conagra platforms. This hybrid role offers an exciting opportunity to collaborate across IT and business teams while driving innovation in consumer demand, marketing strategy, and product development.
**You Impact**
* Deliver agentic AI solutions. Taking AI use cases and POCs from business teams and turning them into end user products\- Orchestrating AI workflows and building cohesive end user experiences on Conagra platforms.
* Spend time between developing high quality software with internal and external teams to deliver against product features and stories
* Help determine product prioritization and technology roadmaps with development vendor resources and integration resources.
* Contribute to solution paths for both technical and business problems.
* Partner across IT and the business to support agile application development, DevOps with short\-cycle iterations to deliver value.
* Participate in all Agile ceremonies, including: planning, pointing, demos, and retros
* Prioritize unit tests, both manual and automated, to ensure the highest code quality
* Contribute to the delivery pipeline using CI/CD best practices
* Collaborate with the team on technical blueprints / designs to develop specific features / stories
* Define enabling features to achieve a product's architectural roadmaps. Support the product manager and delivery manager in defining non\-functional requirements for features.
* Develop system integrations following established application integration architecture framework and standards.
* Work with Business Analysts and Quality Assurance (QA) to ensure requirements are deliverable and testable.
**Your Experience**
* BS/BA or greater in Computer Science, Mathematics, Software Engineering, Computer Engineering, or a related field
* 2\+ yrs. of related software development experience with Visual Studio, C\#, Windows, MSSQL and backend data loads, and JavaScript
* Experience working in a .NET enterprise environment and a proficient level understanding of OOP/SOLID principles.
* Familiarity and experience with agentic AI and concepts (orchestration, observability, Judging, MCP protocol, A2A)
* Experience With ML / Gen AI capabilities, LLM's, vector stores, text\-to\-speech etc.
* Experience working in an environment with big data (Databricks / snowflake, Data warehousing)
* Experience using Git and Azure DevOps, understanding of one\-branch or trunk\-based development
* Experience using CI/CD pipelines
* Experience with cloud infrastructure (Azure preferred) including Kubernetes, having experience with IaC and Terraform a plus
* Experience with cloud engineering concepts (serverless development, infrastructure as code, distributed computing)
* Versed in Agile, Continuous Delivery, and DevOps methodologies
* Experience using various unit testing frameworks
* Demonstrated individual and team success using agile methodologies to deliver
* Ability to work 3 days per week onsite (Tues, Weds \&amp; Thurs)
**Compensation**
 Pay Range:$72,500\-$107,000
*The annual salary listed above is the expected offering for this position. An employee’s actual annual salary will be based on but not limited to: location, relevant experience/level and skillset, while balancing internal Conagra employees’ equity. Conagra Brands will comply with applicable law regarding minimum salaries for exempt employees.*
**Our Benefits**
 We care about your total well\-being and will support you with the following, subject to your location and role:
* Health: Comprehensive healthcare plans, wellness incentive program, mental wellbeing support and fitness reimbursement
* Wealth: Great pay, bonus incentive opportunity, matching 401(k) and stock purchase plan
* Growth: Career development opportunities, employee resource groups, on\-demand learning and tuition reimbursement
* Balance: Paid\-time off, parental leave, flexible work\-schedules (subject to your location and role) and volunteer opportunities
**Our Company**
 At Conagra Brands, we have a rich heritage of making great food. We aspire to have the most impactful, energized and inclusive culture in food. As a member of our 18,000\+ person team across 40\+ locations, you are empowered to reach your potential, make an impact and own your career. We're in the business of building champions – within our people and our iconic brands like Birds Eye ®, Slim Jim® and Reddi\-Wip®.
 Our focus on innovation extends beyond making great food, it also reflects our commitment to embracing new solutions that positively impact our team, the communities we serve and the health of our planet. Foodies Welcome.
 Conagra Brands is an equal opportunity employer and considers qualified applicants for employment without regard to sex, race, color, religion, ethnic or national origin, gender, sexual orientation, gender identity or expression, age, pregnancy, leave status, disability, veteran status, genetic information and/or any other characteristic or status protected by national, federal, state or local law. Reasonable accommodation may be made upon request.</t>
        </is>
      </c>
    </row>
    <row r="34">
      <c r="A34" t="inlineStr">
        <is>
          <t>li-4357437084</t>
        </is>
      </c>
      <c r="B34" t="inlineStr">
        <is>
          <t>Autonomous Vehicle AI Engineer II Computer Vision and Path Planning</t>
        </is>
      </c>
      <c r="C34" t="inlineStr">
        <is>
          <t>Blue Origin</t>
        </is>
      </c>
      <c r="D34" t="inlineStr">
        <is>
          <t>linkedin</t>
        </is>
      </c>
      <c r="E34" t="inlineStr"/>
      <c r="F34" t="inlineStr"/>
      <c r="G34" t="inlineStr"/>
      <c r="H34" t="inlineStr"/>
      <c r="I34"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Advanced Concepts and Enterprise Engineering (ACE), supporting Blue Origin’s mission of millions of people living and working in space for the benefit of Earth. The team fosters innovation and drives engineering workflows of the future, shared solutions and standards, simplicity and lower costs, and manufacturable design.
 This is an entry\-level position for a passionate and driven engineer who wants to apply their skills in AI, machine learning, and robotics to solve some of the most challenging problems in spaceflight. You will be part of a dynamic team responsible for creating systems that allow our vehicles to perceive their environment, make intelligent decisions, and execute complex maneuvers with precision and safety. This role is ideal for a recent graduate with a strong academic and project\-based background in autonomous systems.
**Key Responsibilities**
* Contribute to the development of AI\-driven computer vision algorithms to accurately perceive and understand a vehicle's environment using data from cameras, LiDAR, and other sensors.
* Develop, train, and test machine learning models for object detection, classification, semantic segmentation, and anomaly detection specific to autonomous driving scenarios.
* Implement and test path planning algorithms using modern decision\-making techniques to ensure safe and efficient navigation of space vehicles during in\-space operations.
* Train, validate, and deploy neural networks for real\-time performance on flight\-qualified hardware, optimizing for accuracy, speed, and reliability.
* Collaborate with a multidisciplinary team of GNC, software, and hardware engineers to integrate AI/ML solutions into the vehicle's avionics and flight software systems.
* Design, build, and use high\-fidelity simulation environments to test and validate autonomous algorithms against a wide range of mission scenarios and off\-nominal conditions.
* Analyze data from simulations and flight tests to assess and improve the performance of perception and decision\-making systems.
* Support the continuous improvement of in\-house machine learning pipelines and tools for data management, model training, and performance monitoring.
* Optimize AI models for edge and cloud deployment, addressing challenges such as latency, model compression, and distributed computing for vehicle fleets.
**Minimum Qualifications**
* PhD in Computer Science, Robotics, AI, Machine Learning, Aerospace Engineering, or a related field.
* Alternatively, a Master’s degree in a related field with demonstrated project, research, professional, or internship experience in autonomous systems.
* Demonstrated experience applying deep learning to computer vision or decision\-making, preferably through academic research, significant projects, or internships.
* Strong theoretical understanding of sensor fusion, environmental perception, and path planning algorithms.
* High proficiency in Python and/or C\+\+, along with experience using deep learning libraries such as PyTorch or TensorFlow.
* A passion for space exploration and a desire to apply your skills to solve complex, real\-world challenges.
* Ability to work collaboratively in a fast\-paced, cross\-functional team environment.
* Excellent analytical and problem\-solving skills, with a creative and first\-principles approach.
**Desired**
* Experience with simulation environments (e.g., Gazebo, NVIDIA Isaac Sim) and their application to robotics or aerospace.
* Familiarity with classical Guidance, Navigation, and Control (GNC) concepts.
* Experience with transformers and large machine learning models.
* Hands\-on experience with deploying and debugging software on embedded systems or robotic hardware.
* Contributions to open\-source projects or publications in relevant academic conferences (e.g., CVPR, ICRA, NeurIPS, AIAA SciTech/GNC).
 As an Autonomous Vehicle AI Engineer, you'll have the opportunity to make a significant impact on the future of transportation by crafting the vision systems and decision\-making algorithms that define the safety and reliability of our autonomous vehicles. Your contributions will be vital in driving forward innovation in a field that promises to revolutionize global mobility. If you are passionate about AI and its potential in the autonomous vehicle industry, we encourage you to apply.
**Compensation Range For**
 WA applicants is $134,961\.00 \- $188,945\.40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“Know Your Rights,”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35">
      <c r="A35" t="inlineStr">
        <is>
          <t>li-4368387783</t>
        </is>
      </c>
      <c r="B35" t="inlineStr">
        <is>
          <t>Mid-level Machine Learning Engineer | ONSITE | DFW</t>
        </is>
      </c>
      <c r="C35" t="inlineStr">
        <is>
          <t>Motion Recruitment</t>
        </is>
      </c>
      <c r="D35" t="inlineStr">
        <is>
          <t>linkedin</t>
        </is>
      </c>
      <c r="E35" t="inlineStr"/>
      <c r="F35" t="inlineStr"/>
      <c r="G35" t="inlineStr">
        <is>
          <t>Dallas, TX</t>
        </is>
      </c>
      <c r="H35" t="inlineStr"/>
      <c r="I35" t="inlineStr">
        <is>
          <t>**Applicants must be currently authorized to work in the United States on a full\-time basis, now and in the future.**
 As a consulting firm, we are looking for a highly talented and flexible mid\-level Machine Learning Engineer. In this role, you will be responsible for taking machine learning models from prototype to production, building scalable infrastructure, and ensuring the reliable deployment of ML\-powered products for our clients.
 You will work closely with data scientists, engineers, and consultants—including on real\-time and stream\-processing systems—to design and deliver production\-grade Machine Learning (ML) solutions. You will also collaborate with client stakeholders to build robust, maintainable, and scalable systems that operate reliably in both batch and streaming environments.
**Location**
 This position is hybrid, with in\-office reporting
 **four days per week** 
 in
 **Dallas, TX** 
 .
**Required Skills \&amp; Experience**
* Build and maintain CI/CD pipelines for ML workflows and deployments
* Strong experience with version control systems (Git)
* Develop APIs and services that integrate ML models into client products
* Design and build scalable ML infrastructure to support training, deployment, and monitoring
**Desired Skills \&amp; Experience**
* Experience with cloud platforms (AWS, GCP, or Azure)
* Familiarity with data processing tools (e.g., Pandas, NumPy, Spark)
* Exposure to large\-scale or real\-time ML systems
* Bachelor’s or Master’s degree in Computer Science, Engineering, or a related field
**Compensation**
* Annual performance\-based bonus
**Benefits**
* Medical insurance
* Dental benefits
* Vision benefits
* Paid Time Off (PTO)
* 401(k)
**Posted By:** 
 Madelynn Britton</t>
        </is>
      </c>
    </row>
    <row r="36">
      <c r="A36" t="inlineStr">
        <is>
          <t>li-4368395372</t>
        </is>
      </c>
      <c r="B36" t="inlineStr">
        <is>
          <t>Senior Machine Learning Engineer II</t>
        </is>
      </c>
      <c r="C36" t="inlineStr">
        <is>
          <t>CesiumAstro</t>
        </is>
      </c>
      <c r="D36" t="inlineStr">
        <is>
          <t>linkedin</t>
        </is>
      </c>
      <c r="E36" t="inlineStr"/>
      <c r="F36" t="inlineStr"/>
      <c r="G36" t="inlineStr">
        <is>
          <t>Austin, TX</t>
        </is>
      </c>
      <c r="H36" t="inlineStr"/>
      <c r="I36" t="inlineStr">
        <is>
          <t>***Please Note:** 
 To conform with the United States Government Space Technology Export Regulations, the applicant must be a U.S. citizen, lawful permanent resident of the U.S., conditional resident, asylee or refugee (protected individuals as defined by 8 U.S.C. 1324b(a)(3\)), or eligible to obtain the required authorizations from the U.S. Department of State.*
 At
 **CesiumAstro** 
 , we are developers and pioneers of out\-of\-the\-box communication systems for satellites, UAVs, launch vehicles, and other space and airborne platforms. We take pride in our dynamic and cross\-functional work environment, which allows us to learn, develop, and engage across our organization. If you are looking for hands\-on, interactive, and autonomous work, CesiumAstro is the place for you. We are actively seeking passionate, collaborative, energetic, and forward\-thinking individuals to join our team.
 We are looking for a
 **Senior Machine Learning Engineer II** 
 to contribute to the development and deployment of machine learning solutions for our advanced distributed processing platforms. This role is highly collaborative, working closely with product, backend, and systems engineering teams to design, integrate, and maintain robust ML applications that support CesiumAstro’s mission.
**Job Duties And Responsibilities**
* Design, develop, and maintain deep learning pipelines for real\-time data processing.
* Evaluate and curate relevant datasets; establish model benchmarks to measure performance.
* Improve observability and monitoring for deployed ML systems.
* Develop, deploy, and maintain microservices that deliver ML capabilities to production systems.
* Enhance tooling and orchestration for tuning, deployment, and scaling of ML pipelines.
* Collaborate in research and development initiatives, contributing to new ML capabilities for aerospace and defense applications.
* Document designs, workflows, and operational best practices to ensure maintainable and resilient ML systems.
**Job Requirements And Minimum Qualifications**
* Bachelor’s or higher degree in Computer Science, Engineering, or related technical field.
* 6\+ years of professional experience developing production\-ready ML systems in small to medium\-sized organizations (additional experience required for larger organizations).
* Proficiency in Python with demonstrated experience implementing ML algorithms in production environments.
* Experience designing and maintaining APIs for ML services.
* Hands\-on experience deploying and managing ML workflows in Kubernetes environments.
* Strong communication skills with the ability to clearly articulate complex technical ideas.
* Ability to work effectively in a collaborative, Agile engineering team.
**Preferred Experience**
* Knowledge of microservice architectures and distributed data systems.
* Familiarity with aerospace or defense applications of ML systems.
* Track record of contributing to early\-stage or rapidly scaling teams.
 CesiumAstro considers several factors when extending an offer, including but not limited to, the role and associated responsibilities, a candidate’s work experience, education/training, and key skills. Full\-time employment offers include company stock options and a generous benefits package including health, dental, vision, HSA, FSA, life, disability and retirement plans.
 CesiumAstro is an Equal Opportunity employer. All qualified applicants will receive consideration for employment without regard to race, color, religion, sex, national origin, disability, protected Veteran Status, or any other characteristic protected by applicable federal, state, or local law.
*Please note: CesiumAstro does not accept unsolicited resumes from contract agencies or search firms. Any unsolicited resumes submitted to our website or to CesiumAstro team members will be considered property of CesiumAstro, and we will not be obligated to pay any referral fees.*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7">
      <c r="A37" t="inlineStr">
        <is>
          <t>li-4368485256</t>
        </is>
      </c>
      <c r="B37" t="inlineStr">
        <is>
          <t>AI Engineer, Agent Workflows</t>
        </is>
      </c>
      <c r="C37" t="inlineStr">
        <is>
          <t>Burtch Works</t>
        </is>
      </c>
      <c r="D37" t="inlineStr">
        <is>
          <t>linkedin</t>
        </is>
      </c>
      <c r="E37" t="inlineStr"/>
      <c r="F37" t="inlineStr"/>
      <c r="G37" t="inlineStr">
        <is>
          <t>Pittsburgh, PA</t>
        </is>
      </c>
      <c r="H37" t="inlineStr"/>
      <c r="I37" t="inlineStr">
        <is>
          <t>**Job Title:** 
 AI Engineer, Agent Workflows
**Location:** 
 Pittsburgh, PA (onsite)
**About The Company**
 We are a technology company focused on transforming complex, data\-intensive government operations into modern, software\-driven decision systems. Our platform supports supply chain, science and technology, production, sustainment, logistics, and modernization teams with AI\-enabled applications and best\-in\-class data. We are committed to building high\-impact technology that improves mission outcomes, operates in high\-security environments, and attracts top technical talent driven by meaningful problem\-solving.
**Job Summary**
 We are looking for an AI Engineer, Agent Workflows to join our Agentic AI team in Pittsburgh, PA. The ideal candidate will be an experienced engineer with hands\-on experience building LLM\-powered systems capable of executing complex, multi\-step workflows. This role will involve designing, developing, and deploying intelligent agent workflows that operate reliably in production environments.
**Key Responsibilities**
* Design and build agent workflows that perform complex, multi\-step tasks using LLMs and tool orchestration.
* Develop modular agent tools and services that interact with backend systems and data pipelines.
* Implement planning, routing, memory, and tool coordination for intelligent agents.
* Build observability, evaluation, and feedback loops for agent behavior, including telemetry and regression testing.
* Collaborate with product, engineering, and data teams to apply agent\-based solutions to real\-world operational problems.
**Requirements**
* Education: Bachelor’s, Master’s, or Doctorate in Computer Science, Data Science, Engineering, or a related field.
* Experience: Minimum 3 years of experience building and deploying ML or LLM\-powered systems in production environments.
* Skills: Advanced Python programming; experience integrating LLMs; experience with agent frameworks (e.g., Claude Agent SDK, OpenAI Agent SDK); experience with AWS and cloud infrastructure; familiarity with Git version control.
* Other: U.S. Citizenship required; ability to work collaboratively in fast\-paced, ambiguous environments; willingness to travel up to 10%.
**Preferred Qualifications**
 Experience designing multi\-agent or tool\-driven workflows; startup or zero\-to\-one product experience; familiarity with observability systems for LLMs and agents; experience with modern front\-end frameworks (e.g., React or Next.js); experience using GenAI coding tools and best practices; current possession of or ability to obtain a U.S. security clearance.
**Benefits**
* Health and Wellness: Comprehensive medical, dental, and vision coverage
* Work\-Life Balance: Paid time off and flexible work policies
* Professional Development: Opportunities for training and continued learning
* Additional Perks: Mission\-driven work, modern engineering stack, and high\-impact projects</t>
        </is>
      </c>
    </row>
    <row r="38">
      <c r="A38" t="inlineStr">
        <is>
          <t>li-4313095732</t>
        </is>
      </c>
      <c r="B38" t="inlineStr">
        <is>
          <t>AI Engineer</t>
        </is>
      </c>
      <c r="C38" t="inlineStr">
        <is>
          <t>Fisher Investments</t>
        </is>
      </c>
      <c r="D38" t="inlineStr">
        <is>
          <t>linkedin</t>
        </is>
      </c>
      <c r="E38" t="inlineStr"/>
      <c r="F38" t="inlineStr"/>
      <c r="G38" t="inlineStr">
        <is>
          <t>Camas, WA</t>
        </is>
      </c>
      <c r="H38" t="inlineStr"/>
      <c r="I38" t="inlineStr">
        <is>
          <t>**Overview**
 It is an exciting time to join Fisher Investments! We are expanding our Generative AI capabilities to support our international growth. We are looking for an
 **AI Engineer** 
 who will design, build, and optimize advanced AI applications leveraging large language models, GPU‑accelerated computing, and modern API frameworks.
**The Opportunity:**
 The AI Engineer will architect, implement, and optimize production\-ready generative AI systems, working closely with AI leads, ML engineers, and platform teams. You will develop solutions powered by LLMs, NVIDIA GPU frameworks, and scalable microservices, ensuring they are performant, secure, and seamlessly integrated with enterprise systems. You will report to the Application Development Team Leader, Innovation Engineering.
**The Day\-to\-Day:**
* Develop, fine\-tune, and deploy Generative AI models (LLMs, embeddings, RAG pipelines, multimodal models) into production environments
* Optimize GPU‑accelerated training and inference using NVIDIA technologies (NIM and NEMO Framework)
* Apply NVIDIA NIMs for model optimization and scaling, and use NeMo services for model development and fine\-tuning
* Build scalable APIs and microservices using Fast API to expose AI capabilities across the enterprise
* Collaborate with AI Infrastructure team to design robust LLM pipelines for model training and retrieval‑augmented generation
* Integrate AI systems with enterprise applications using secure, cloud\-native architectures
* Ensure AI models are explainable, reliable, and compliant with regulatory and internal governance standards
* Work with cloud\-native AI infrastructure (Azure Foundry, Kubernetes, Docker, vector databases, GPU clusters, Guardrails)
* Monitor and improve model performance through evaluation frameworks, observability tools, and continuous optimization
**Your Qualifications:**
* 10\+ years of experience building data‑driven software solutions, with a strong focus on AI and machine learning
* 5\+ years of experience as an AI Engineer or Software Engineer specializing in Generative AI and LLM‑based systems
* 5\+ years of advanced Python expertise, with a deep proficiency in AI/ML frameworks such as TensorFlow, PyTorch, and Scikit‑learn, plus hands‑on experience with LLMs, embeddings, and RAG architectures
* Experience with distributed training and GPU optimization, including CUDA, RAPIDS, and frameworks used for large‑scale model training
* Familiarity with modern data and feature pipelines, including Spark, Databricks, and Kafka, supporting high‑volume AI workloads
* Hands‑on experience with CI/CD for ML and GenAI workflows, along with containerization and orchestration using Docker and Kubernetes
* Strong knowledge of algorithms, data structures, and ML system design
* Practical experience deploying on Azure AI services, and use NVIDIA NeMo and NIMs for LLM and generative AI workloads
* Bachelor's degree in computer science, Machine Learning, or related field
**Compensation:**
* $175,000 \- $215,000 base salary per year in the state of WA. New hires should expect to start at the lower end of the range depending on experience
* Eligible for a discretionary bonus based on firm and individual performance
**Why Fisher Investments:**
 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
* 100% paid medical, dental and vision premiums for you and your qualifying dependents
* A 50% 401(k) match, up to the IRS maximum
* 20 days of PTO, plus 10 paid holidays
* Family Support programs including 8 week Paid Primary Caregiver Leave, $10,000 fertility, family forming, and hormonal health assistance, and back\-up child, adult, and elder care
* This is an in\-office role. Based on your role, tenure, and performance eligibility you may have the opportunity to participate in our hybrid work from home program. This program is subject to change.
 FISHER INVESTMENTS IS AN EQUAL OPPORTUNITY EMPLOYER</t>
        </is>
      </c>
    </row>
    <row r="39">
      <c r="A39" t="inlineStr">
        <is>
          <t>li-4361214367</t>
        </is>
      </c>
      <c r="B39" t="inlineStr">
        <is>
          <t>Senior Machine Learning Engineer, Game Understanding</t>
        </is>
      </c>
      <c r="C39" t="inlineStr">
        <is>
          <t>Unity</t>
        </is>
      </c>
      <c r="D39" t="inlineStr">
        <is>
          <t>linkedin</t>
        </is>
      </c>
      <c r="E39" t="inlineStr"/>
      <c r="F39" t="inlineStr"/>
      <c r="G39" t="inlineStr">
        <is>
          <t>Mountain View, CA</t>
        </is>
      </c>
      <c r="H39" t="inlineStr"/>
      <c r="I39" t="inlineStr">
        <is>
          <t>**The opportunity**
 At Unity, we’re shaping the future of real\-time 3D development by enabling creators to harness intelligent, autonomous systems. Our next\-generation agentic AI \- goal\-directed, adaptive, and capable of reasoning and planning in dynamic environments \- is transforming how games and simulations come to life.
 We’re looking for a Senior Machine Learning Engineer to lead the development of the foundational AI systems within the Unity engine for game understanding, empowering creators to build more engaging content and have the games better discovered by targeted audiences. You will drive innovation in understanding game semantics, player experience, and how gamers perceive interactive content. Your work will translate cutting\-edge machine learning research into production\-ready systems that demonstrably improve workflows, recommendations, and in\-engine intelligence.
 If you’re excited about advancing AI, multi\-modal foundation models, and intelligent decision\-making in complex, real\-time environments, we encourage you to apply.
**What You'll Be Doing**
* Research, design, and implement the game understanding models.
* Collaborate across internal teams to deliver production use cases.
* End\-to\-end lead the high\-impact initiatives, from data curation and model development, to the production deployment.
* Contribute to the long\-term vision and roadmap for Unity’s agentic AI offerings, ensuring modularity, usability, and performance across platforms.
* Establish and champion best practices for model quality, simulation\-based evaluation, and ML/AI safety within real\-time systems.
**What We're Looking For**
* Advanced degree (MS or Ph.D.) in Computer Science, Machine Learning, or a related field.
* 5\+ years of hands\-on experience developing ML systems, ideally within real\-time or interactive production environments.
* Experience with multi\-modal foundation model, multi\-agent systems, orchestration, or AI tool integration.
* Track record of implementing research in one or more of the following fields: LLM, behavior modeling, reinforcement learning, multi\-modal model, or agentic systems.
* Excel at identifying promising research directions and turning ideas into working codes.
* Proficiency in at least one general\-purpose programming language (e.g., Python, C\+\+, Go, Java) and familiarity with ML frameworks (e.g., PyTorch, TensorFlow).
* Strong system design skills and the ability to architect performant, scalable ML systems.
* Excellent communication and collaboration skills; ability to work effectively with cross\-functional teams including ML researchers, game engine developers, designers, and product managers.
**You might also have**
* Passion for the gaming industry and AI applications in games.
* Familiarity with game development workflows.
* Experience working on large\-scale Ads systems.
* Publications or open\-source contributions in LLM, reinforcement learning, agent\-based modeling, or related areas.
**Benefits**
 At Unity, we want our team members to thrive. We offer a wide range of benefits designed to support well\-being and work\-life balance.
 Please note: Benefits eligibility, specific offerings, and coverage vary based on the country and employment status.
 While specific benefits vary, here are some of the ways we strive to take care of our eligible team members globally: Comprehensive health, life, and disability insurance \| Commute subsidy \| Employee stock ownership \| Competitive retirement/pension plans \| Generous vacation and personal days \| Support for new parents through leave and family\-care programs \| Office food snacks \| Mental Health and Wellbeing programs and support \| Employee Resource Groups \| Global Employee Assistance Program \| Training and development programs \| Volunteering and donation matching program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*Pursuant to the San Francisco Fair Chance Ordinance, we will consider for employment qualified applicants with arrest and conviction records.*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\#SEN
* Note: Certain locations require a good faith disclosure of the base salary range for the role. The actual salary for the successful candidate may differ based on location, experience, and other job\-related factors.
 Gross pay salary
 $172,200—$258,400 USD</t>
        </is>
      </c>
    </row>
    <row r="40">
      <c r="A40" t="inlineStr">
        <is>
          <t>li-4361150137</t>
        </is>
      </c>
      <c r="B40" t="inlineStr">
        <is>
          <t>Distinguished AI Engineer</t>
        </is>
      </c>
      <c r="C40" t="inlineStr">
        <is>
          <t>Capital One</t>
        </is>
      </c>
      <c r="D40" t="inlineStr">
        <is>
          <t>linkedin</t>
        </is>
      </c>
      <c r="E40" t="inlineStr"/>
      <c r="F40" t="inlineStr"/>
      <c r="G40" t="inlineStr">
        <is>
          <t>San Francisco, CA</t>
        </is>
      </c>
      <c r="H40" t="inlineStr"/>
      <c r="I40"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8 years of experience developing AI and ML algorithms or technologies, or a Master's degree in Computer Science, AI, Electrical Engineering, Computer Engineering, or related fields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$269,100 \- $307,200 for Distinguished AI Engineer
 Richmond, VA: $244,700 \- $279,200 for Distinguished AI Engineer
 New York, NY: $293,600 \- $335,100 for Distinguished AI Engineer
 Cambridge, MA: $269,100 \- $307,200 for Distinguished AI Engineer
 San Francisco, CA: $293,600 \- $335,100 for Distinguished AI Engineer
 San Jose, CA: $293,600 \- $335,100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1">
      <c r="A41" t="inlineStr">
        <is>
          <t>li-4361175608</t>
        </is>
      </c>
      <c r="B41" t="inlineStr">
        <is>
          <t>Senior Lead Machine Learning Engineer (Big Data and Machine Learning)</t>
        </is>
      </c>
      <c r="C41" t="inlineStr">
        <is>
          <t>Capital One</t>
        </is>
      </c>
      <c r="D41" t="inlineStr">
        <is>
          <t>linkedin</t>
        </is>
      </c>
      <c r="E41" t="inlineStr"/>
      <c r="F41" t="inlineStr"/>
      <c r="G41" t="inlineStr">
        <is>
          <t>McLean, VA</t>
        </is>
      </c>
      <c r="H41" t="inlineStr"/>
      <c r="I41" t="inlineStr">
        <is>
          <t>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8 years of experience designing and building data\-intensive solutions using distributed computing (Internship experience does not apply)
* At least 4 years of experience programming with Python, Scala, or Java
* At least 3 years of experience building, scaling, and optimizing ML systems
* At least 2 years of experience leading teams developing ML solutions
****Preferred Qualifications:****
* Master's or doctoral degree in computer science, electrical engineering, mathematics, or a similar field
* Experience developing and deploying ML solutions in a public cloud such as AWS, Azure, or Google Cloud Platform
* 4\+ years of on\-the\-job experience with an industry recognized ML framework such as scikit\-learn, PyTorch, Dask, Spark, or TensorFlow
* 3\+ years of experience developing performant, resilient, and maintainable code
* 3\+ years of experience with data gathering and preparation for ML models
* 3\+ years of people management experience
* ML industry impact through conference presentations, papers, blog posts, open source contributions, or patents
* 3\+ years of experience building production\-ready data pipelines that feed ML models
* Ability to communicate complex technical concepts clearly to a variety of audiences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$209,000 \- $238,500 for Sr. Lead Machine Learning Engineer
 McLean, VA: $229,900 \- $262,400 for Sr. Lead Machine Learning Engineer
 New York, NY: $250,800 \- $286,200 for Sr.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2">
      <c r="A42" t="inlineStr">
        <is>
          <t>li-4361245562</t>
        </is>
      </c>
      <c r="B42" t="inlineStr">
        <is>
          <t>Sr. Distinguished AI Engineer</t>
        </is>
      </c>
      <c r="C42" t="inlineStr">
        <is>
          <t>Capital One</t>
        </is>
      </c>
      <c r="D42" t="inlineStr">
        <is>
          <t>linkedin</t>
        </is>
      </c>
      <c r="E42" t="inlineStr"/>
      <c r="F42" t="inlineStr"/>
      <c r="G42" t="inlineStr">
        <is>
          <t>San Francisco, CA</t>
        </is>
      </c>
      <c r="H42" t="inlineStr"/>
      <c r="I42" t="inlineStr">
        <is>
          <t>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10 years of experience developing AI and ML algorithms or technologies, or a Master's degree in Computer Science, AI, Electrical Engineering, Computer Engineering, or related fields plus at least 8 years of experience developing AI and ML algorithms or technologies
* At least 10 years of experience programming with Python, Go, Scala, or Java
**Preferred Qualifications:**
* 9 years of experience deploying scalable and responsible AI solutions on cloud platforms (e.g. AWS, Google Cloud, Azure, or equivalent private cloud)
* Experience architecting, designing, developing, integrating, delivering, and supporting complex enterprise AI systems
* Demonstrated ability to lead and mentor an engineering organization and influence cross\-functional stakeholders up to the SVP level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 Experience building and deploying multi\-modal models for technologies like computer vision, speech recognition, optical character recognition, or other sensor systems in application such as robotics, digital assistants, industrial automation, autonomous driving, or related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$314,800 \- $359,300 for Sr. Distinguished AI Engineer
 Richmond, VA: $286,200 \- $326,700 for Sr. Distinguished AI Engineer
 New York, NY: $343,400 \- $392,000 for Sr. Distinguished AI Engineer
 Cambridge, MA: $314,800 \- $359,300 for Sr. Distinguished AI Engineer
 San Francisco, CA: $343,400 \- $392,000 for Sr. Distinguished AI Engineer
 San Jose, CA: $343,400 \- $392,000 for Sr.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3">
      <c r="A43" t="inlineStr">
        <is>
          <t>li-4361145631</t>
        </is>
      </c>
      <c r="B43" t="inlineStr">
        <is>
          <t>Distinguished AI Engineer</t>
        </is>
      </c>
      <c r="C43" t="inlineStr">
        <is>
          <t>Capital One</t>
        </is>
      </c>
      <c r="D43" t="inlineStr">
        <is>
          <t>linkedin</t>
        </is>
      </c>
      <c r="E43" t="inlineStr"/>
      <c r="F43" t="inlineStr"/>
      <c r="G43" t="inlineStr">
        <is>
          <t>Cambridge, MA</t>
        </is>
      </c>
      <c r="H43" t="inlineStr"/>
      <c r="I43"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8 years of experience developing AI and ML algorithms or technologies, or a Master's degree in Computer Science, AI, Electrical Engineering, Computer Engineering, or related fields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$269,100 \- $307,200 for Distinguished AI Engineer
 Richmond, VA: $244,700 \- $279,200 for Distinguished AI Engineer
 New York, NY: $293,600 \- $335,100 for Distinguished AI Engineer
 Cambridge, MA: $269,100 \- $307,200 for Distinguished AI Engineer
 San Francisco, CA: $293,600 \- $335,100 for Distinguished AI Engineer
 San Jose, CA: $293,600 \- $335,100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4">
      <c r="A44" t="inlineStr">
        <is>
          <t>li-4360755625</t>
        </is>
      </c>
      <c r="B44" t="inlineStr">
        <is>
          <t>Senior AI Engineer  (AI Foundations, LLM Core and Agentic AI)</t>
        </is>
      </c>
      <c r="C44" t="inlineStr">
        <is>
          <t>Capital One</t>
        </is>
      </c>
      <c r="D44" t="inlineStr">
        <is>
          <t>linkedin</t>
        </is>
      </c>
      <c r="E44" t="inlineStr"/>
      <c r="F44" t="inlineStr"/>
      <c r="G44" t="inlineStr">
        <is>
          <t>San Jose, CA</t>
        </is>
      </c>
      <c r="H44" t="inlineStr"/>
      <c r="I44" t="inlineStr">
        <is>
          <t>Senior AI Engineer (AI Foundations, LLM Core and Agentic AI)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$161,800 \- $184,600 for Senior AI Engineer
 McLean, VA: $161,800 \- $184,600 for Senior AI Engineer
 New York, NY: $176,500 \- $201,400 for Senior AI Engineer
 San Francisco, CA: $176,500 \- $201,400 for Senior AI Engineer
 San Jose, CA: $176,500 \- $201,400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5">
      <c r="A45" t="inlineStr">
        <is>
          <t>li-4267541641</t>
        </is>
      </c>
      <c r="B45" t="inlineStr">
        <is>
          <t>Sr. Applied Scientist, Amazon Advertising</t>
        </is>
      </c>
      <c r="C45" t="inlineStr">
        <is>
          <t>Amazon</t>
        </is>
      </c>
      <c r="D45" t="inlineStr">
        <is>
          <t>linkedin</t>
        </is>
      </c>
      <c r="E45" t="inlineStr"/>
      <c r="F45" t="inlineStr"/>
      <c r="G45" t="inlineStr">
        <is>
          <t>Arlington, VA</t>
        </is>
      </c>
      <c r="H45" t="inlineStr"/>
      <c r="I45" t="inlineStr">
        <is>
          <t>**Description**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A3035686</t>
        </is>
      </c>
    </row>
    <row r="46">
      <c r="A46" t="inlineStr">
        <is>
          <t>li-4376082701</t>
        </is>
      </c>
      <c r="B46" t="inlineStr">
        <is>
          <t>Senior Machine Learning Engineer</t>
        </is>
      </c>
      <c r="C46" t="inlineStr">
        <is>
          <t>MetAntz</t>
        </is>
      </c>
      <c r="D46" t="inlineStr">
        <is>
          <t>linkedin</t>
        </is>
      </c>
      <c r="E46" t="inlineStr"/>
      <c r="F46" t="inlineStr"/>
      <c r="G46" t="inlineStr">
        <is>
          <t>San Francisco, CA</t>
        </is>
      </c>
      <c r="H46" t="inlineStr"/>
      <c r="I46" t="inlineStr">
        <is>
          <t>**Role Context**
 Nenu AI builds applied AI systems that must survive real users real data and real constraints. This role is not research theater. It is production ownership. You will design build deploy and operate ML systems that directly shape the product. Expect ambiguity. Expect velocity. Expect accountability.
**What You Will Own**
* End\-to\-end ML lifecycle across real products. Data ingestion feature design model selection training deployment monitoring iteration. No handoffs.
* Production\-grade ML systems built with PyTorch or TensorFlow with attention to latency reliability cost and failure modes.
* Applied GenAI and LLM work where it creates measurable value. Fine\-tuning RAG prompt orchestration evaluation and guardrails. No hype\-first work.
* MLOps foundations. Model versioning CI,CD automated testing deployment pipelines serving layers monitoring and A,B experimentation.
* Tight partnership with product engineering and data. Translate fuzzy business problems into tractable ML solutions and quantify impact.
* Technical leadership. Code reviews model reviews mentoring and raising the bar for ML engineering discipline.
* Incident ownership. Debug production failures data drift performance regressions and bias issues calmly and decisively.
**Required Profile**
 7\+ years of hands\-on ML engineering with clear senior\-level ownership of</t>
        </is>
      </c>
    </row>
    <row r="47">
      <c r="A47" t="inlineStr">
        <is>
          <t>li-4098400419</t>
        </is>
      </c>
      <c r="B47" t="inlineStr">
        <is>
          <t>AI Engineer</t>
        </is>
      </c>
      <c r="C47" t="inlineStr">
        <is>
          <t>Ensemble Health Partners</t>
        </is>
      </c>
      <c r="D47" t="inlineStr">
        <is>
          <t>linkedin</t>
        </is>
      </c>
      <c r="E47" t="inlineStr"/>
      <c r="F47" t="inlineStr"/>
      <c r="G47" t="inlineStr"/>
      <c r="H47" t="inlineStr"/>
      <c r="I47" t="inlineStr">
        <is>
          <t>**Thank you for considering a career at Ensemble Health Partners!**
 Ensemble Health Partners is a leading provider of technology\-enabled revenue cycle management solutions for health systems, including hospitals and affiliated physician groups. They offer end\-to\-end revenue cycle solutions as well as a comprehensive suite of point solutions to clients across the country.
 Ensemble keeps communities healthy by keeping hospitals healthy. We recognize that healthcare requires a human touch, and we believe that every touch should be meaningful. This is why our people are the most important part of who we are. By empowering them to challenge the status quo, we know they will be the difference!
 O.N.E Purpose:
* Customer Obsession: Consistently provide exceptional experiences for our clients, patients, and colleagues by understanding their needs and exceeding their expectations.
* Embracing New Ideas: Continuously innovate by embracing emerging technology and fostering a culture of creativity and experimentation.
* Striving for Excellence: Execute at a high level by demonstrating our “Best in KLAS” Ensemble Difference Principles and consistently delivering outstanding results.
**The Opportunity:**
**Thank you for considering a career at Ensemble Health Partners!**
 Healthcare impacts each of us, yet the current system remains fundamentally broken. Many of us have seen loved ones face the devastating challenge of unaffordable care.
 At Ensemble, we are committed to changing this reality by driving down healthcare costs and eliminating obstacles, creating a system that truly puts people
 **first, last, and always.**
 We are dedicated to revolutionizing healthcare with cutting\-edge, technology\-enabled revenue cycle management solutions for health systems. We’re here to solve how to reduce the friction and improve the cost of healthcare for better client and patient outcomes. As a leader in revenue technology, Ensemble is redefining what is possible in healthcare through innovation, purpose and human\-centered solutions. We offer end\-to\-end revenue cycle solutions as well as a comprehensive suite of point solutions to clients across the country.
**Why do we do what we do? It’s all about our O.N.E Purpose:**
 Our commitment to transforming healthcare goes beyond technology and innovation. It’s rooted in a purpose\-driven approach that emphasizes customer obsession, embraces new ideas, and strives for excellence—principles that define our O.N.E Purpose and inspire everything we do.
* Customer Obsession: Consistently provide exceptional experiences for our clients, patients, and colleagues by understanding their needs and exceeding their expectations.
* Embracing New Ideas: Continuously innovate by embracing emerging technology and fostering a culture of creativity and experimentation.
* Striving for Excellence: Execute at a high level by demonstrating our “Best in KLAS” Ensemble Difference Principles and consistently delivering outstanding results.
 Enabling healthcare professionals with technological solutions is key to the future of healthcare, and at Ensemble, we are solving problems in healthcare with AI.
 Are you passionate about leveraging AI to solve complex problems in healthcare? Do you want to be part of a team that is transforming the industry with cutting\-edge technology? Join Ensemble Health Partners to leverage the superpower of AI to solve some of the most complex problems in healthcare.
**Why Join Us?**
* People First, Last \+ Always: At Ensemble, we prioritize people over processes, valuing your contributions, supporting your growth and enabling you to make a difference every day.
* Make a Difference with Purposeful Work: By leveraging cutting\-edge AI technology, you will play a vital part in reducing healthcare costs, revolutionizing care delivery and enhancing the patient experience.
* Innovate Boldly in a Dynamic Environment: Thrive in a dynamic, entrepreneurial culture within an organization that champions creativity and groundbreaking ideas.
* Shape the Future of Healthcare Across a Robust Client Base: Drive change across a vast client base, empowering healthcare systems at an unprecedented pace. When you innovate here, the ripple effect is enormous.
* Technology\-Driven Innovation: Since 2021, our patented innovations and EIQ has reshaped healthcare through cutting\-edge innovation.
**Job Summary**
 Take on a pivotal role in addressing healthcare’s toughest challenges with advanced AI solutions. As a Lead AI Engineer, you’ll design and implement AI and machine learning models and pipelines – focusing on generative AI, large language models (LLMs) and predictive analytics. Your work will enable hospitals and health systems to operate more efficiently and deliver better patient outcomes.
 The ideal candidate will have expertise in system design, large dataset management and hands on experience with AI frameworks and retrieval augmented generation pipelines. Collaboration with data scientists and product leads will be central to delivering impactful, innovative solutions that redefine healthcare.
**Essential Job Functions**
* Frequent travel may be required
* Design and develop AI algorithms and systems for clinical applications
* Evaluate and deploy models to address complex problems with multimodal data sets
* Utilize advanced techniques (deep learning, neural networks, ML algorithms) to generate business insights drive decision\-making
* Automate processes and build infrastructure for the AI team and collaborators
* Foster collaboration between Data Scientists, Product Analysts and the wider organization
* Drive innovation to scale growth through technology, standardization and optimization, ensuring a gold standard of excellence
**Other Preferred Knowledge, Skills And Abilities**
* 5\+ years’ experience implementing AI / ML machine learning solutions.
* Ability to travel as needed
* Bachelors / Masters in relevant fields or equivalent experience in designing, building and evaluating Machine Learning systems.
* 3\+ years’ experience with tools such as pytorch/tensorflow, scikit\-learn, xgboost or equivalent.
* Understanding of MLOps, cloud platforms (Azure / GCP / AWS) and AI toolsets
* Experience with data / code pipelines and deploying Machine Learning models.
* Familiarity with LLM\-enabled tools (e.g. langchain / llamaindex / haystack / Azure AI studio, vector databases) and retrieval techniques
* Strong database skills (SQL, Azure Data Factory, etc.) or Big Data Frameworks (e.g. Hadoop, Spark).
* Skilled in Software Development best practices (Continuous Integration, Unit/Integration Testing, Code Reviews).
* Works well independently and in a team\-based, fast\-paced environment.
* Excellent written and verbal communication skills.
**Job Experience**
* 7 to 10 Years
**Education Level**
* Bachelor's/Master’s Degree or Equivalent Experience
**About Ensemble Health Partners**
 Ensemble Health Partners is at the forefront of healthcare innovation, investing over $70 million annually in technology research and development. With 11 technology patents and over 5,500 deployed AI models, we are dedicated to eliminating administrative complexity and reducing healthcare costs. Our team includes former employees from Google and Meta, and we operate with the entrepreneurial spirit of a start\-up backed by substantial scale and resources.
**Join An Award\-winning Company**
 Five\-time winner of “Best in KLAS” 2020\-2022, 2024\-2025
 Black Book Research's Top Revenue Cycle Management Outsourcing Solution 2021\-2024
 22 Healthcare Financial Management Association (HFMA) MAP Awards for High Performance in Revenue Cycle 2019\-2024
 Leader in Everest Group's RCM Operations PEAK Matrix Assessment 2024
 Clarivate Healthcare Business Insights (HBI) Revenue Cycle Awards for strong performance 2020, 2022\-2023
 Energage Top Workplaces USA 2022\-2024
 Fortune Media Best Workplaces in Healthcare 2024
 Monster Top Workplace for Remote Work 2024
 Great Place to Work certified 2023\-2024
* Innovation
* Work\-Life Flexibility
* Leadership
* Purpose \+ Values
 Bottom line, we believe in empowering people and giving them the tools and resources needed to thrive. A few of those include:
* Associate Benefits – We offer a comprehensive benefits package designed to support the physical, emotional, and financial health of you and your family, including healthcare, time off, retirement, and well\-being programs.
* Our Culture – Ensemble is a place where associates can do their best work and be their best selves. We put people first, last and always. Our culture is rooted in collaboration, growth, and innovation.
* Growth – We invest in your professional development. Each associate will earn a professional certification relevant to their field and can obtain tuition reimbursement.
* Recognition – We offer quarterly and annual incentive programs for all employees who go beyond and keep raising the bar for themselves and the company.
 Ensemble Health Partners is an equal employment opportunity employer. It is our policy not to discriminate against any applicant or employee based on race, color, sex, sexual orientation, gender, gender identity, religion, national origin, age, disability, military or veteran status, genetic information or any other basis protected by applicable federal, state, or local laws. Ensemble Health Partners also prohibits harassment of applicants or employees based on any of these protected categories.
 Ensemble Health Partners provides reasonable accommodations to qualified individuals with disabilities in accordance with the Americans with Disabilities Act and applicable state and local law. If you require accommodation in the application process, please contact TA@ensemblehp.com.
 This posting addresses state specific requirements to provide pay transparency. Compensation decisions consider many job\-related factors, including but not limited to geographic location; knowledge; skills; relevant experience; education; licensure; internal equity; time in position. A candidate entry rate of pay does not typically fall at the minimum or maximum of the role’s range.
 EEOC – Know Your Rights
 FMLA Rights \- English
 La FMLA Español
 E\-Verify Participating Employer (English and Spanish)
 Know your Rights</t>
        </is>
      </c>
    </row>
    <row r="48">
      <c r="A48" t="inlineStr">
        <is>
          <t>li-4368444803</t>
        </is>
      </c>
      <c r="B48" t="inlineStr">
        <is>
          <t>Machine Learning Engineer</t>
        </is>
      </c>
      <c r="C48" t="inlineStr">
        <is>
          <t>Booz Allen Hamilton</t>
        </is>
      </c>
      <c r="D48" t="inlineStr">
        <is>
          <t>linkedin</t>
        </is>
      </c>
      <c r="E48" t="inlineStr"/>
      <c r="F48" t="inlineStr"/>
      <c r="G48" t="inlineStr">
        <is>
          <t>Washington, DC</t>
        </is>
      </c>
      <c r="H48" t="inlineStr"/>
      <c r="I48" t="inlineStr">
        <is>
          <t>**Job Number: R0232390**
 Machine Learning Engineer
**The Opportunity:**
 As a programmer,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innovation across the DoD market. As a machine learning engineer on our defense technology team, you’ll train, test, deploy, and maintain models that learn from data.
 In this role, you’ll own and define the direction of mission\-critical solutions by implementing AI that enables faster mission success. You’ll be part of a large community of machine learning engineers across the company and collaborate with data engineers, data scientists, solutions architects, and product owners to deliver world\-class solutions to implement a wide variety of AI use cases. Your skills and extensive technical expertise will guide clients as they navigate the landscape of ML algorithms, tools, and frameworks.
 Work with us to solve real\-world challenges and define AI strategy for national security.
 Join us. The world can’t wait.
**You Have:**
* 3\+ years of experience with artificial intelligence, data science, or machine learning engineering, including developing and deploying MLE models
* 3\+ years of experience with Python coding and libraries, including scikit\-learn, TensorFlow, or PyTorch
* Experience with developing code using a common programming language, including Python, C\+\+, Rust, or Java
* Experience with deep learning, computer vision, or generative AI
* Experience with supervised and unsupervised learning
* Experience with data handling and model development
* Ability to solve client issues and problems
* Secret clearance
* Bachelor's degree
**Nice If You Have:**
* Experience with generative and agentic AI technologies, such as LLMs, MCP, LangChain, or LangGraph
* Ability to develop and maintain scalable data stores that supply big data in forms needed for business analysis
* Ability to create software for retrieving, parsing, and processing structured and unstructured data
* Master's degree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49">
      <c r="A49" t="inlineStr">
        <is>
          <t>li-4376089629</t>
        </is>
      </c>
      <c r="B49" t="inlineStr">
        <is>
          <t>Senior Machine Learning Engineer</t>
        </is>
      </c>
      <c r="C49" t="inlineStr">
        <is>
          <t>Jobright.ai</t>
        </is>
      </c>
      <c r="D49" t="inlineStr">
        <is>
          <t>linkedin</t>
        </is>
      </c>
      <c r="E49" t="inlineStr"/>
      <c r="F49" t="inlineStr"/>
      <c r="G49" t="inlineStr"/>
      <c r="H49" t="inlineStr"/>
      <c r="I49" t="inlineStr">
        <is>
          <t>This role is part of the
 **Jobright TNT** 
 \- the private hiring network connecting top talent with top AI startups like
 **Perplexity, Mercor, Cresta, Suno and 150 more.** 
 This is
 **not a mass job posting** 
 . Only select, high\-signal candidates are invited to Jobright TNT and recommended directly to hiring teams
**Hiring Company:** 
 Cresta
**One\-liner:** 
 Cresta is a $1\.6B enterprise AI platform born out of the Stanford AI Lab, transforming how Fortune 500 companies run their contact centers.
 Why Join Us:
**Role Responsibilities** 
* Build and optimize agentic AI workflows that enable users to dynamically interact with and refine outputs from ML systems
* Research and implement advanced ML and NLP techniques, including transformer\-based models, embeddings, and retrieval\-augmented generation
* Develop evaluation frameworks to assess accuracy, robustness, and usability of ML/LLM models in production environments
* Design, train, and deploy machine learning models for tasks such as classification, entity identification, information extraction, retrieval, topic discovery, and structured insight generation
* Architect and optimize RAG pipelines for grounding LLMs with enterprise data to ensure accuracy and reliability
* Collaborate with engineers, UX designers, and product managers to integrate AI\-driven capabilities into Cresta’s platform
* Optimize ML pipelines and data processing systems to operate efficiently at scale
**Qualifications** 
 Required
* Master's or Ph.D. in Computer Science, Machine Learning, AI, or a related field
* 5\+ years of hands\-on experience building and deploying ML models in production
* Strong knowledge of ML frameworks and NLP libraries (e.g., PyTorch, TensorFlow, Hugging Face, spaCy, NLTK)
* Solid experience with modern ML techniques including transformer architectures, embeddings, retrieval systems, and large\-scale model training
* Experience designing and deploying Retrieval\-Augmented Generation pipelines for enterprise use cases
* Familiarity with evaluation and benchmarking frameworks for ML/LLM models
* Strong passion for AI\-driven innovation, with a proven ability to deliver impactful, production\-grade solutions
**How can I join Jobright TNT:** 
 If this is your first time applying to a Jobright TNT role, the process works as follows:
 1\. Apply to your first Jobright TNT role
 2\. We review your background to determine if you meet the TNT quality bar
 3\. If qualified, your application is directly recommended to the employer
 4\. Once accepted into TNT, you may be:
 \- Invited to apply for other exclusive TNT\-only roles
 \- Invited to private, invite\-only hiring events with top startups
 You will be notified of your TNT selection result.
 PS: All Jobright TNT roles are 100% real, directly hired by top AI startups we partner with, and come with priority review and higher response rates than the normal application queue.</t>
        </is>
      </c>
    </row>
    <row r="50">
      <c r="A50" t="inlineStr">
        <is>
          <t>li-4368392591</t>
        </is>
      </c>
      <c r="B50" t="inlineStr">
        <is>
          <t>Lead AI Engineer</t>
        </is>
      </c>
      <c r="C50" t="inlineStr">
        <is>
          <t>OutSystems</t>
        </is>
      </c>
      <c r="D50" t="inlineStr">
        <is>
          <t>linkedin</t>
        </is>
      </c>
      <c r="E50" t="inlineStr"/>
      <c r="F50" t="inlineStr"/>
      <c r="G50" t="inlineStr">
        <is>
          <t>San Francisco County, CA</t>
        </is>
      </c>
      <c r="H50" t="inlineStr"/>
      <c r="I50" t="inlineStr">
        <is>
          <t>**There are NO limits to your career: come shape the future and be part of a truly unique global culture at OutSystems!**
**Lead AI Engineer, Agentic Solutions Acceleration**
**📍** 
 Hybrid role requiring three days per week on\-site in Menlo Park.
**The Role: Architecting, Guiding, and Scaling Enterprise AI Agents**
 The Lead AI Engineer will be the principal technical authority for the design, development, and deployment of the core AI Agent systems within the Solutions Team. You will be responsible for defining the reference architecture for all agentic solutions, mentoring senior engineers, and ensuring technical alignment with the Director's strategic vision.
**Key Responsibilities**
* Architectural Leadership \&amp; Strategy (Primary Focus)
* Define Agent Reference Architecture: Establish the standardized, reusable, and secure reference architecture for building, testing, and deploying all AI Agents within the OutSystems solutions portfolio.
* Technology Vetting: Evaluate and select the core Generative AI models, orchestration frameworks (e.g., LangChain, Semantic Kernel), and MLOps tools used by the team, balancing state\-of\-the\-art capabilities with enterprise reliability.
* Design Reviews: Lead architectural and code reviews for all agent components, ensuring scalability, security (especially around data leakage and access control), and compliance with Responsible AI principles.
* Advanced Development \&amp; Integration
* Complex Agent Development: Remain hands\-on by designing and coding the most complex, high\-impact agent components or tools that interact with core enterprise systems.
* Low\-Code Integration Strategy: Define the API and integration strategies for seamlessly and securely connecting agent back\-ends with the low\-code applications built on OutSystems.
* Performance and Governance: Oversee performance tuning of agents and implement robust logging, monitoring, and tracing mechanisms for all AI services in production.
* Mentorship and Alignment
* Technical Guidance: Mentor and guide the team of Senior AI Engineers and developers, fostering a culture of technical excellence, continuous learning, and innovation.
* Cross\-Functional Alignment: Collaborate closely with the Director of Solutions and Product Management to translate strategic objectives into clear, executable technical roadmaps and deliver solutions that meet market needs.
**Required Skills \&amp; Experience**
**Technical Expertise (The Must\-Haves)**
* AI Agent and System Architecture: 8\+ years of experience in software engineering, with experience building production\-grade AI Agents and complex intelligent systems within the enterprise.
* Generative AI Expert: Mastery of LLMs, advanced prompt engineering, RAG strategies, fine\-tuning, and grounding techniques. Proven ability to design agentic systems that require complex reasoning and tool use.
* Framework Leadership: Expert\-level knowledge and practical experience leading teams utilizing major AI Agent orchestration frameworks (LangChain, Semantic Kernel, or deep internal frameworks).
* Python and Scalability: Expert\-level coding skills in Python, coupled with extensive experience in cloud\-native deployment, containerization (Docker/Kubernetes), and managing scalable APIs (REST/gRPC).
* Security \&amp; Responsible AI: Demonstrated ability to implement security best practices (e.g., authorization, data masking) and enforce Responsible AI governance and guardrails in production systems.
**Desirable Expertise (A Strong Plus)**
* Low\-Code Platform Knowledge: Familiarity with the OutSystems platform or similar low\-code/no\-code platforms, understanding their integration patterns and architecture limitations.
**Leadership \&amp; Professional Attributes**
* Architectural Vision: Proven track record of defining and driving multi\-year technical roadmaps and architectural standards.
* Team Leadership: Experience successfully mentoring and leading technical peers or small engineering teams.
* Strategic Communicator: Exceptional ability to articulate complex technical risks and opportunities to executive stakeholders and non\-technical partners.
**The Longer Story**
 OutSystems enables enterprise teams to build AI\-powered applications and agents that reduce manual work, streamline internal operations, and accelerate impact. A proven low\-code foundation combined with agentic AI and AI app generation capabilities empowers teams to move up to 10x faster with the assurance of security, scalability, and governance built in.
 As the future becomes agentic, our customers need us now more than ever. AI has opened the door to extraordinary possibilities—but inside the enterprise, things are moving fast and feeling chaotic. Some early adopters are making progress in production, but for many, AI tools are sprawling without governance, data isn’t ready, and talent isn’t there yet. Enterprises are still drowning in application backlogs and struggling with legacy systems. But with the right platform, AI doesn’t have to add to the chaos. It can become the breakthrough that brings clarity—and drives real, enterprise\-wide impact. At OutSystems, we’ve built that platform, providing the tools necessary for enterprises to overcome these hurdles.
 We are looking for passionate, talented, and motivated people to join us in helping our customers build, deploy, and scale apps and agents—fast, helping them accelerate innovation while enabling secure, governed human\-AI collaboration.
 OutSystems is a truly global company, with more than 850,000 developer community members, 1,700 employees, more than 500 partners, and thousands of active customers in over 75 countries and across 21 industries. Founded in 2001, OutSystems has offices in the United States, United Kingdom, the Netherlands, Portugal, Germany, the UAE, Japan, Hong Kong, Malaysia, Australia, India, and Singapore, and of course has a thriving, worldwide community of remote employees.
 Amongst our customers are some of the world's most recognizable brands across diverse industries—brands like Toyota, Heineken, Bosch, KeyBank, and UCLA. These customers are the reason we have a 4\.6 star rating on G2\. Their success is ours, and their stories demonstrate tangible ROI and transformational impact. We are a 9x Gartner Magic Quadrant Leader for Low\-Code Application Platforms and a multi\-year leader in the Forrester Wave. We’re recognized not just as leaders but as visionaries with a strong ability to execute, now extending our leadership into the AI and agentic application development arena.
**Working at OutSystems**
 Our goal is to ensure that OutSystems is a place for bright, happy, and motivated people who share a common purpose and take pride in doing excellent work to pursue our vision of providing the AI\-powered low\-code development platform enterprise leaders trust to build, secure, and evolve their business applications, agents, and core systems. Our culture is focused on our core values of trust, customer success, innovation, and alignment. Our team members operate with transparency, integrity, and accountability, define success through the lens of the outcomes we deliver for our customers, push the boundaries with excellence, and work together toward our shared vision to deliver on what matters most.
**What do we have to offer you?**
* A company that is always growing, changing, and innovating. We challenge each other to innovate in our products, in our team, and how we use our own technology. And we give our teams space to be proactive and creative.
* Real career opportunities. We care about growth and development. Yes, vertical career progression is a possibility, but it's not the only one. From lateral moves and joining different teams to mastering specialized skills, we support your growth no matter what your goals are.
* Work colleagues that are as smart, hard\-working, and driven as you. We act as one global OutSystems team, taking ownership and working together toward a shared vision.
* Disrupting the status quo is in our DNA. In fact, it’s why our company exists.
* We ask “why” a lot. It helps us connect our individual work to the bigger picture and sometimes even uncover a better way.
 Are you ready for the next step in your career? Then we’d love to hear from you!
 OutSystems nurtures an inclusive culture of diversity, where everyone feels empowered to be their authentic self and perform at their best. A company that embraces the creativity and innovation that comes through diverse perspectives. We are committed to creating a team that reflects society through inclusive programs and initiatives and are proud to be an equal opportunity employer. All qualified applicants receive equal consideration regardless of race, place of origin, color, age, marital status, religion, sex, sexual orientation, gender expression or identity, protected veteran status, disability status or any other status protected by law.</t>
        </is>
      </c>
    </row>
    <row r="51">
      <c r="A51" t="inlineStr">
        <is>
          <t>li-4360775549</t>
        </is>
      </c>
      <c r="B51" t="inlineStr">
        <is>
          <t>Distinguished AI Engineer</t>
        </is>
      </c>
      <c r="C51" t="inlineStr">
        <is>
          <t>Capital One</t>
        </is>
      </c>
      <c r="D51" t="inlineStr">
        <is>
          <t>linkedin</t>
        </is>
      </c>
      <c r="E51" t="inlineStr"/>
      <c r="F51" t="inlineStr"/>
      <c r="G51" t="inlineStr">
        <is>
          <t>Richmond, VA</t>
        </is>
      </c>
      <c r="H51" t="inlineStr"/>
      <c r="I51"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8 years of experience developing AI and ML algorithms or technologies, or a Master's degree in Computer Science, AI, Electrical Engineering, Computer Engineering, or related fields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$269,100 \- $307,200 for Distinguished AI Engineer
 McLean, VA: $269,100 \- $307,200 for Distinguished AI Engineer
 New York, NY: $293,600 \- $335,100 for Distinguished AI Engineer
 Richmond, VA: $244,700 \- $279,200 for Distinguished AI Engineer
 San Francisco, CA: $293,600 \- $335,100 for Distinguished AI Engineer
 San Jose, CA: $293,600 \- $335,100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2">
      <c r="A52" t="inlineStr">
        <is>
          <t>li-4357584592</t>
        </is>
      </c>
      <c r="B52" t="inlineStr">
        <is>
          <t>Staff AI Applied Scientist</t>
        </is>
      </c>
      <c r="C52" t="inlineStr">
        <is>
          <t>Circle</t>
        </is>
      </c>
      <c r="D52" t="inlineStr">
        <is>
          <t>linkedin</t>
        </is>
      </c>
      <c r="E52" t="inlineStr"/>
      <c r="F52" t="inlineStr"/>
      <c r="G52" t="inlineStr"/>
      <c r="H52" t="inlineStr"/>
      <c r="I52"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The AI Applied Scientist is responsible for imagining and building new AI systems that advance Circle's cryptocurrency products. A particular focus will be finding ways to leverage the power of AI while ensuring against mistakes in an environment (cryptocurrency) that is unforgiving of them. You will also serve as a resource for the engineering organization and Circle's employees as a whole on advanced facets of AI usage and recent industry advances.
**What You’ll Work On**
* This is an applied scientist position.
* You should enjoy:
+ Taking a vague mandate or idea,
+ Investigating whether it makes sense to continue further,
+ Partnering with cross\-functional personnel such as product managers to define and build a prototype.
* You are not expected to write production\-ready code on your own.
* You are expected to partner with software engineers to bring successful prototypes to production.
* You should be very comfortable with the mechanics of AI and machine learning, including:
+ Building your own reinforcement learning fine\-tuning system for a model (not just submitting a dataset to the OpenAI fine\-tuning endpoint).
* You should have:
+ An intuitive understanding of which tasks LLMs are likely to perform well or poorly at
+ Awareness of the modern state of the AI industry.
* More broadly, you should be excited to:
+ Take research ideas at the intersection of AI and cryptocurrency,
+ Explore and build based on those ideas.
**What You'll Bring To Circle**
* 7\+ years of experience with significant expertise in AI and machine learning. You should also be knowledgeable of the modern state of AI usage and comfortable with emerging technologies that work on top of LLMs, like MCP and A2A. The AI ecosystem moves very fast and you should be comfortable continuously investigating and adopting bleeding\-edge technologies.
* Strong ability in Python and common machine learning libraries in it (TensorFlow, PyTorch, etc.), as well as knowledge of or an ability to pick up other languages like Javascript/Node.JS/Typescript, Java, and Go.
* Research experience in AI or machine learning, or experience building products based on it.
* Experience with cryptocurrency, blockchains, and smart contracts is a strong plus but not a requirement.
* Comfort with AI\-assisted programming is a plus, but you must also be comfortable going without it. Knowledge of building AI\-assisted programming agents is a strong plus.
* Excellent communication skills allowing you to present complex technical topics at a tenor appropriate to technical and non\-technical audiences.
* Ability to collaborate with remote teams, share ideas, and present concepts effectively.
* Self\-direction and the discipline to identify and achieve clear deliverables even when working on speculative research projects.
* Desire to explore the intersection of AI and crypto.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$195,000 \- $257,500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53">
      <c r="A53" t="inlineStr">
        <is>
          <t>li-4357436197</t>
        </is>
      </c>
      <c r="B53" t="inlineStr">
        <is>
          <t>Staff AI Applied Scientist</t>
        </is>
      </c>
      <c r="C53" t="inlineStr">
        <is>
          <t>Circle</t>
        </is>
      </c>
      <c r="D53" t="inlineStr">
        <is>
          <t>linkedin</t>
        </is>
      </c>
      <c r="E53" t="inlineStr"/>
      <c r="F53" t="inlineStr"/>
      <c r="G53" t="inlineStr"/>
      <c r="H53" t="inlineStr"/>
      <c r="I53"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The AI Applied Scientist is responsible for imagining and building new AI systems that advance Circle's cryptocurrency products. A particular focus will be finding ways to leverage the power of AI while ensuring against mistakes in an environment (cryptocurrency) that is unforgiving of them. You will also serve as a resource for the engineering organization and Circle's employees as a whole on advanced facets of AI usage and recent industry advances.
**What You’ll Work On**
* This is an applied scientist position.
* You should enjoy:
+ Taking a vague mandate or idea,
+ Investigating whether it makes sense to continue further,
+ Partnering with cross\-functional personnel such as product managers to define and build a prototype.
* You are not expected to write production\-ready code on your own.
* You are expected to partner with software engineers to bring successful prototypes to production.
* You should be very comfortable with the mechanics of AI and machine learning, including:
+ Building your own reinforcement learning fine\-tuning system for a model (not just submitting a dataset to the OpenAI fine\-tuning endpoint).
* You should have:
+ An intuitive understanding of which tasks LLMs are likely to perform well or poorly at
+ Awareness of the modern state of the AI industry.
* More broadly, you should be excited to:
+ Take research ideas at the intersection of AI and cryptocurrency,
+ Explore and build based on those ideas.
**What You'll Bring To Circle**
* 7\+ years of experience with significant expertise in AI and machine learning. You should also be knowledgeable of the modern state of AI usage and comfortable with emerging technologies that work on top of LLMs, like MCP and A2A. The AI ecosystem moves very fast and you should be comfortable continuously investigating and adopting bleeding\-edge technologies.
* Strong ability in Python and common machine learning libraries in it (TensorFlow, PyTorch, etc.), as well as knowledge of or an ability to pick up other languages like Javascript/Node.JS/Typescript, Java, and Go.
* Research experience in AI or machine learning, or experience building products based on it.
* Experience with cryptocurrency, blockchains, and smart contracts is a strong plus but not a requirement.
* Comfort with AI\-assisted programming is a plus, but you must also be comfortable going without it. Knowledge of building AI\-assisted programming agents is a strong plus.
* Excellent communication skills allowing you to present complex technical topics at a tenor appropriate to technical and non\-technical audiences.
* Ability to collaborate with remote teams, share ideas, and present concepts effectively.
* Self\-direction and the discipline to identify and achieve clear deliverables even when working on speculative research projects.
* Desire to explore the intersection of AI and crypto.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$195,000 \- $257,500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54">
      <c r="A54" t="inlineStr">
        <is>
          <t>li-4357506288</t>
        </is>
      </c>
      <c r="B54" t="inlineStr">
        <is>
          <t>Staff AI Applied Scientist</t>
        </is>
      </c>
      <c r="C54" t="inlineStr">
        <is>
          <t>Circle</t>
        </is>
      </c>
      <c r="D54" t="inlineStr">
        <is>
          <t>linkedin</t>
        </is>
      </c>
      <c r="E54" t="inlineStr"/>
      <c r="F54" t="inlineStr"/>
      <c r="G54" t="inlineStr"/>
      <c r="H54" t="inlineStr"/>
      <c r="I54"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The AI Applied Scientist is responsible for imagining and building new AI systems that advance Circle's cryptocurrency products. A particular focus will be finding ways to leverage the power of AI while ensuring against mistakes in an environment (cryptocurrency) that is unforgiving of them. You will also serve as a resource for the engineering organization and Circle's employees as a whole on advanced facets of AI usage and recent industry advances.
**What You’ll Work On**
* This is an applied scientist position.
* You should enjoy:
+ Taking a vague mandate or idea,
+ Investigating whether it makes sense to continue further,
+ Partnering with cross\-functional personnel such as product managers to define and build a prototype.
* You are not expected to write production\-ready code on your own.
* You are expected to partner with software engineers to bring successful prototypes to production.
* You should be very comfortable with the mechanics of AI and machine learning, including:
+ Building your own reinforcement learning fine\-tuning system for a model (not just submitting a dataset to the OpenAI fine\-tuning endpoint).
* You should have:
+ An intuitive understanding of which tasks LLMs are likely to perform well or poorly at
+ Awareness of the modern state of the AI industry.
* More broadly, you should be excited to:
+ Take research ideas at the intersection of AI and cryptocurrency,
+ Explore and build based on those ideas.
**What You'll Bring To Circle**
* 7\+ years of experience with significant expertise in AI and machine learning. You should also be knowledgeable of the modern state of AI usage and comfortable with emerging technologies that work on top of LLMs, like MCP and A2A. The AI ecosystem moves very fast and you should be comfortable continuously investigating and adopting bleeding\-edge technologies.
* Strong ability in Python and common machine learning libraries in it (TensorFlow, PyTorch, etc.), as well as knowledge of or an ability to pick up other languages like Javascript/Node.JS/Typescript, Java, and Go.
* Research experience in AI or machine learning, or experience building products based on it.
* Experience with cryptocurrency, blockchains, and smart contracts is a strong plus but not a requirement.
* Comfort with AI\-assisted programming is a plus, but you must also be comfortable going without it. Knowledge of building AI\-assisted programming agents is a strong plus.
* Excellent communication skills allowing you to present complex technical topics at a tenor appropriate to technical and non\-technical audiences.
* Ability to collaborate with remote teams, share ideas, and present concepts effectively.
* Self\-direction and the discipline to identify and achieve clear deliverables even when working on speculative research projects.
* Desire to explore the intersection of AI and crypto.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$195,000 \- $257,500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55">
      <c r="A55" t="inlineStr">
        <is>
          <t>li-4249625447</t>
        </is>
      </c>
      <c r="B55" t="inlineStr">
        <is>
          <t>Principal Applied Scientist, Delivery Foundation Model</t>
        </is>
      </c>
      <c r="C55" t="inlineStr">
        <is>
          <t>Amazon</t>
        </is>
      </c>
      <c r="D55" t="inlineStr">
        <is>
          <t>linkedin</t>
        </is>
      </c>
      <c r="E55" t="inlineStr"/>
      <c r="F55" t="inlineStr"/>
      <c r="G55" t="inlineStr">
        <is>
          <t>Bellevue, WA</t>
        </is>
      </c>
      <c r="H55" t="inlineStr"/>
      <c r="I55" t="inlineStr">
        <is>
          <t>**Description**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
**Basic Qualifications**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
**Company** 
 \- Amazon.com Services LLC
 Job ID: A3006938</t>
        </is>
      </c>
    </row>
    <row r="56">
      <c r="A56" t="inlineStr">
        <is>
          <t>li-4256822486</t>
        </is>
      </c>
      <c r="B56" t="inlineStr">
        <is>
          <t>Principal Applied Scientist, Delivery Foundation Model</t>
        </is>
      </c>
      <c r="C56" t="inlineStr">
        <is>
          <t>Amazon</t>
        </is>
      </c>
      <c r="D56" t="inlineStr">
        <is>
          <t>linkedin</t>
        </is>
      </c>
      <c r="E56" t="inlineStr"/>
      <c r="F56" t="inlineStr"/>
      <c r="G56" t="inlineStr">
        <is>
          <t>Bellevue, WA</t>
        </is>
      </c>
      <c r="H56" t="inlineStr"/>
      <c r="I56" t="inlineStr">
        <is>
          <t>**Description**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
**Basic Qualifications**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
**Company** 
 \- Amazon.com Services LLC
 Job ID: A2998635</t>
        </is>
      </c>
    </row>
    <row r="57">
      <c r="A57" t="inlineStr">
        <is>
          <t>li-4256828066</t>
        </is>
      </c>
      <c r="B57" t="inlineStr">
        <is>
          <t>Principal Applied Scientist, Delivery Foundation Model</t>
        </is>
      </c>
      <c r="C57" t="inlineStr">
        <is>
          <t>Amazon</t>
        </is>
      </c>
      <c r="D57" t="inlineStr">
        <is>
          <t>linkedin</t>
        </is>
      </c>
      <c r="E57" t="inlineStr"/>
      <c r="F57" t="inlineStr"/>
      <c r="G57" t="inlineStr">
        <is>
          <t>Santa Clara, CA</t>
        </is>
      </c>
      <c r="H57" t="inlineStr"/>
      <c r="I57" t="inlineStr">
        <is>
          <t>**Description**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
**Basic Qualifications**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
**Company** 
 \- Amazon.com Services LLC
 Job ID: A2998635</t>
        </is>
      </c>
    </row>
    <row r="58">
      <c r="A58" t="inlineStr">
        <is>
          <t>li-4331395242</t>
        </is>
      </c>
      <c r="B58" t="inlineStr">
        <is>
          <t>Principal Applied Scientist, Advertiser Growth, Amazon Sponsored Products &amp; Brands</t>
        </is>
      </c>
      <c r="C58" t="inlineStr">
        <is>
          <t>Amazon</t>
        </is>
      </c>
      <c r="D58" t="inlineStr">
        <is>
          <t>linkedin</t>
        </is>
      </c>
      <c r="E58" t="inlineStr"/>
      <c r="F58" t="inlineStr"/>
      <c r="G58" t="inlineStr">
        <is>
          <t>Palo Alto, CA</t>
        </is>
      </c>
      <c r="H58" t="inlineStr"/>
      <c r="I58" t="inlineStr">
        <is>
          <t>**Description**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PhD in Computer Science, Statistics or related field.
* 5\+ years of applied ML experience in building customer\-facing recommender systems involving AI, ML, and NLP.
* Hands\-on experience with designing and prototyping AI solutions for real world applications.
**Preferred Qualifications**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A3115279</t>
        </is>
      </c>
    </row>
    <row r="59">
      <c r="A59" t="inlineStr">
        <is>
          <t>li-4331383958</t>
        </is>
      </c>
      <c r="B59" t="inlineStr">
        <is>
          <t>Principal Applied Scientist, Advertiser Growth, Amazon Sponsored Products &amp; Brands</t>
        </is>
      </c>
      <c r="C59" t="inlineStr">
        <is>
          <t>Amazon</t>
        </is>
      </c>
      <c r="D59" t="inlineStr">
        <is>
          <t>linkedin</t>
        </is>
      </c>
      <c r="E59" t="inlineStr"/>
      <c r="F59" t="inlineStr"/>
      <c r="G59" t="inlineStr">
        <is>
          <t>Seattle, WA</t>
        </is>
      </c>
      <c r="H59" t="inlineStr"/>
      <c r="I59" t="inlineStr">
        <is>
          <t>**Description**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PhD in Computer Science, Statistics or related field.
* 5\+ years of applied ML experience in building customer\-facing recommender systems involving AI, ML, and NLP.
* Hands\-on experience with designing and prototyping AI solutions for real world applications.
**Preferred Qualifications**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A3115279</t>
        </is>
      </c>
    </row>
    <row r="60">
      <c r="A60" t="inlineStr">
        <is>
          <t>li-4249629001</t>
        </is>
      </c>
      <c r="B60" t="inlineStr">
        <is>
          <t>Principal Applied Scientist, Delivery Foundation Model</t>
        </is>
      </c>
      <c r="C60" t="inlineStr">
        <is>
          <t>Amazon</t>
        </is>
      </c>
      <c r="D60" t="inlineStr">
        <is>
          <t>linkedin</t>
        </is>
      </c>
      <c r="E60" t="inlineStr"/>
      <c r="F60" t="inlineStr"/>
      <c r="G60" t="inlineStr">
        <is>
          <t>Austin, TX</t>
        </is>
      </c>
      <c r="H60" t="inlineStr"/>
      <c r="I60" t="inlineStr">
        <is>
          <t>**Description**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
**Basic Qualifications**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
**Company** 
 \- Amazon.com Services LLC
 Job ID: A3006938</t>
        </is>
      </c>
    </row>
    <row r="61">
      <c r="A61" t="inlineStr">
        <is>
          <t>li-4377199632</t>
        </is>
      </c>
      <c r="B61" t="inlineStr">
        <is>
          <t>AI/ML Engineer</t>
        </is>
      </c>
      <c r="C61" t="inlineStr">
        <is>
          <t>micro1</t>
        </is>
      </c>
      <c r="D61" t="inlineStr">
        <is>
          <t>linkedin</t>
        </is>
      </c>
      <c r="E61" t="inlineStr"/>
      <c r="F61" t="inlineStr"/>
      <c r="G61" t="inlineStr"/>
      <c r="H61" t="inlineStr"/>
      <c r="I61" t="inlineStr">
        <is>
          <t>**Job Title:** 
 AI/ML Engineer
**Job Type:** 
 Full\-time, Contractual
**Job Summary:** 
 Join our customer's team as a AI/ML Engineer and play a pivotal role in driving mission\-critical government initiatives while also contributing to micro1’s proprietary AI infrastructure, you’ll harness advanced large language models (LLMs), retrieval\-augmented generation (RAG), and multi\-agent orchestration to deliver secure, scalable, and impactful machine learning systems. You’ll work closely with cross\-functional experts, leveraging frontier AI platforms and the latest in agentic AI tooling.
**Key Responsibilities:** 
* Design, implement, and optimize AI/ML models particularly leveraging LLMs, RAG, and prompt engineering for production grade applications.
* Develop and orchestrate multi\-agent systems using frameworks such as LangGraph and LangChain.
* Integrate and deploy solutions on secure cloud environments, including AWS GovCloud, Google GovCloud, Azure IL5\+, Vertex AI, and AWS Bedrock.
* Build robust data pipelines, manage ETL processes, and develop metadata catalogs and ontologies to ensure high\-quality data for AI training and inference.
* Create and maintain REST APIs and SDK integrations to facilitate seamless data and model interactions.
* Collaborate with product, security, and engineering teams to ensure best\-in\-class delivery, following secure coding and DevOps best practices (CI/CD).
* Document technical decisions and communicate complex concepts clearly to both technical and non\-technical stakeholders.
**Required Skills and Qualifications:** 
* Proficiency in Python for AI/ML development, including experience with REST APIs and SDK integration.
* Hands\-on experience with LLMs, RAG systems, and prompt engineering in production environments.
* Familiarity with multi\-agent orchestration, tool use, and frameworks like LangGraph and LangChain.
* Deep understanding of cloud AI services (AWS GovCloud, Google GovCloud, Azure IL5\+, Vertex AI, AWS Bedrock).
* Background in building and maintaining data pipelines, ontologies, metadata catalogs, and ETL processes.
* Strong grasp of secure coding and modern DevOps practices (CI/CD pipelines).
* Exceptional written and verbal communication skills for effective collaboration and documentation.
**Preferred Qualifications:** 
* Experience with AI/agentic platforms, such as Anthropic for Gov, OpenAI Enterprise, Gemini Enterprise, or Grok Enterprise.
* Knowledge of metadata catalog platforms (MCP) and advanced API development techniques.
* Prior exposure to government or highly regulated cloud environments and compliance standards.</t>
        </is>
      </c>
    </row>
    <row r="62">
      <c r="A62" t="inlineStr">
        <is>
          <t>li-4374523034</t>
        </is>
      </c>
      <c r="B62" t="inlineStr">
        <is>
          <t>AI Engineer - Robotics Foundation Model</t>
        </is>
      </c>
      <c r="C62" t="inlineStr">
        <is>
          <t>Alldus</t>
        </is>
      </c>
      <c r="D62" t="inlineStr">
        <is>
          <t>linkedin</t>
        </is>
      </c>
      <c r="E62" t="inlineStr"/>
      <c r="F62" t="inlineStr"/>
      <c r="G62" t="inlineStr">
        <is>
          <t>Sunnyvale, CA</t>
        </is>
      </c>
      <c r="H62" t="inlineStr"/>
      <c r="I62" t="inlineStr">
        <is>
          <t>**About the Company**
* The next era of national security will be shaped by teams that can deploy intelligent machines at scale. We are building a large\-scale multimodal model designed to serve as the cognitive backbone for fleets of autonomous robotic systems operating in complex, real\-world environments.
* Our platform enables operators to coordinate groups of robots using natural language while those systems independently perceive, reason, and execute tasks in dynamic conditions. This is not incremental autonomy — it is a step\-change in how intelligent machines are trained, coordinated, and deployed in mission\-critical settings.
* We are an early\-stage, venture\-backed company operating with urgency and high ownership. This is an opportunity to help define the technical foundation of next\-generation autonomous systems from the ground up.
**About The Role**
* We are seeking an AI Engineer with a strong interest in embodied intelligence and multimodal learning systems.
* You will work across perception, planning, and control, developing and deploying advanced vision\-language\-action (VLA) models that power robotic platforms in adversarial and unstructured environments. This role bridges research and production — translating cutting\-edge ML advances into real\-time, field\-ready autonomy.
* You should expect rapid iteration, aggressive experimentation, and a high degree of ownership. As an early team member, you will influence architecture, technical direction, and engineering standards.
**What You'll Do**
* Design, train, and evaluate advanced multimodal models for autonomous robotic systems
* Build scalable systems for multimodal fusion, continual learning, and domain transfer
* Develop memory, coordination, and tool\-use capabilities for AI agents
* Convert research prototypes into real\-time perception and decision systems suitable for deployment
* Integrate ML pipelines with robotic hardware and onboard autonomy stacks
* Maintain training, simulation, and inference infrastructure
* Run rigorous experiments to measure robustness and performance in unstructured environments
* Stay current on research across vision\-language models, reinforcement learning, computer vision, and agent architectures
* Participate in field validation and deployment testing under real operational constraints
**Must Have Qualifications**
* Must be a US Citizen
* 2\+ years of hands\-on experience building and deploying machine learning systems
* Experience in robotics, autonomous systems, agentic AI, or other real\-time ML applications preferred
* Strong foundation in computer vision, deep learning, multimodal transformers, or agent architectures
* Proficiency in Python and modern ML frameworks such as PyTorch or TensorFlow
* Bonus: experience with JAX, CUDA, distributed training, or low\-latency inference optimization
* Working knowledge of fine\-tuning, reinforcement learning, and large\-scale model training techniques
* Bachelor’s degree in Computer Science, AI, Robotics, or related field; advanced degrees valued
* Proven ability to move from research concepts to production systems in fast\-paced environments
 We are also looking for researchers to work on agents, multi\-modal reasoning, and RL \- as well as AI Infrastructure engineers.</t>
        </is>
      </c>
    </row>
    <row r="63">
      <c r="A63" t="inlineStr">
        <is>
          <t>li-4357452858</t>
        </is>
      </c>
      <c r="B63" t="inlineStr">
        <is>
          <t>Startup-Full Stack AI Engineer-Build AI Glasses and More!</t>
        </is>
      </c>
      <c r="C63" t="inlineStr">
        <is>
          <t>Jobot</t>
        </is>
      </c>
      <c r="D63" t="inlineStr">
        <is>
          <t>linkedin</t>
        </is>
      </c>
      <c r="E63" t="inlineStr"/>
      <c r="F63" t="inlineStr"/>
      <c r="G63" t="inlineStr">
        <is>
          <t>Santa Monica, CA</t>
        </is>
      </c>
      <c r="H63" t="inlineStr"/>
      <c r="I63" t="inlineStr">
        <is>
          <t>Want to learn more about this role and Jobot? Click our Jobot logo and follow our LinkedIn page!
 Job details
**NEW Full Stack AI Engineer Opportunity!**
 This Jobot Job is hosted by Audrey Block
 Are you a fit? Easy Apply now by clicking the "Easy Apply" button and sending us your resume.
 Salary $100,000 \- $150,000 per year
**A Bit About Us**
 We are a startup based out of Los Angeles with a focus on AI for attorneys. This is an exciting product that will change the way attorneys practice. We have hired 3 engineers thus far, and are looking to bring on 3 in Q1\. This posting is for a new grad/junior engineer. Be a part of revolutionary change in AI today!
****Why join us?****
 HUGE Opportunity for growth
 Base salary \+ Equity
 Team events
 Lunch, gym membership, Fun Fridays
 Flexible schedule
**Job Details**
 Job Details
 We are on the hunt for a passionate, innovative Full Stack AI Engineer to join our startup. This is a permanent, full\-time position where you will be given the opportunity to shape the future of our company by working on cutting\-edge technology projects. You will play a crucial role in developing, building, and maintaining AI\-driven products and services.
**Responsibilities**
 As a Full Stack AI Engineer, you will be tasked with the following responsibilities
* Design and build robust, scalable AI\-driven products and services.
* Collaborate closely with cross\-functional teams to understand the needs and translate them into functional and efficient software solutions.
* Develop high\-quality code for the front\-end and back\-end components of our applications, with a focus on back\-end.
* Contribute to the entire product lifecycle from concept to deployment.
* Maintain and improve existing codebases and peer review code changes.
* Leverage existing tools and libraries, suggesting new ones that can improve development efficiencies.
* Document development phases, monitor systems, and ensure the alignment of application components with design specifications.
* Participate in brainstorming sessions and contribute innovative and original ideas to our technology, algorithms, and product.
* Continuously learn about new programming languages, tools, and technologies that can help increase the performance and functionality of our applications.
**Qualifications**
 To be successful in this role, you should have the following qualifications
* A minimum of 1 year of experience as a Full Stack AI Engineer, or in a similar role.
* Proven experience in building and maintaining AI\-driven products and services.
* Strong knowledge of AI, machine learning algorithms, and software development.
* Proficient in Rust, Go, Sold. JS, C\+\+, or Python.
* Experience with front\-end and back\-end development
* Familiarity with GitHub and other version control systems.
* Solid understanding of hardware and product design principles.
* Excellent problem\-solving skills, with a knack for complex challenges.
* Strong communication skills, with the ability to articulate complex technical concepts in a clear and concise manner.
* A degree in Computer Science, Engineering, or a related field would be a plus.
 This is an exciting opportunity for a Full Stack AI Engineer to join a vibrant team and make a significant impact on our products and services. If you are passionate about AI, eager to solve challenging problems, and want to work in a dynamic, fast\-paced environment, we would love to hear from you.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64">
      <c r="A64" t="inlineStr">
        <is>
          <t>li-4354493717</t>
        </is>
      </c>
      <c r="B64" t="inlineStr">
        <is>
          <t>Senior Principal Machine Learning Engineer, Foundational Models</t>
        </is>
      </c>
      <c r="C64" t="inlineStr">
        <is>
          <t>Autodesk</t>
        </is>
      </c>
      <c r="D64" t="inlineStr">
        <is>
          <t>linkedin</t>
        </is>
      </c>
      <c r="E64" t="inlineStr"/>
      <c r="F64" t="inlineStr"/>
      <c r="G64" t="inlineStr">
        <is>
          <t>Plano, TX</t>
        </is>
      </c>
      <c r="H64" t="inlineStr"/>
      <c r="I64" t="inlineStr">
        <is>
          <t>**Job Requisition ID \#**
 26WD94805
 Senior Principal Machine Learning Engineer, Foundational Models
 Position Overview
 Autodesk is transforming the Architecture, Engineering, and Construction (AEC) industry by embedding advanced AI and foundation models into cloud\-native platforms such as AutoCAD, Revit, Construction Cloud, and Forma.
 As a Senior Principal
 *Machine Learning* 
 Engineer, you will act as a technical leader and delivery owner for complex, high\-impact ML initiatives spanning foundation models,
 *reinforcement* 
 learning, data systems, and large\-scale ML platforms. You will operate at the intersection of applied research, engineering, and product—setting technical direction while remaining hands\-on in the areas of highest complexity and risk.
 This role is designed for a senior ML tech lead with a proven track record of owning and delivering ML systems at scale, including training and operating models in large, distributed environments.
**Reporting:** 
 ML Development Manager, AEC Solutions
**Location:** 
 US or Canada (Remote or Hybrid)
**Responsibilities**
* Technical Strategy \&amp; Leadership: Define the long\-term technical vision for Generative AI and Foundation Model infrastructure within the AEC Solutions team. Influence architectural decisions across the broader organization.
* End\-to\-End Delivery: Lead the design, development, and delivery of complex ML systems. Own the full lifecycle from model architecture selection and data strategy to distributed training and production deployment.
* Foundation Model Engineering: Drive the development of large\-scale training pipelines. Collaborate with Research Scientists to translate experimental ideas (custom architectures, novel loss functions) into scalable, performant code.
* Scalability \&amp; Infrastructure: Architect solutions for distributed training (e.g., FSDP, Megatron\-LM, DeepSpeed) on massive compute clusters. Identify and resolve bottlenecks in data processing and model parallelism to maximize training throughput.
* Mentorship \&amp; Influence: Mentor Principal and Senior engineers, fostering a culture of technical ownership, rigorous experimentation, and best practices. Act as a technical partner to Product Management and Engineering leadership.
* Cross\-Functional Collaboration: Partner effectively with Data Engineering, Platform, and Research teams to integrate large\-scale multimodal AEC data (3D geometry, images, text) into model development workflows.
* Operational Excellence: Establish standards for model evaluation, versioning, monitoring, and MLOps best practices to ensure reproducibility and reliability in a high\-stakes production environment.
**Minimum Qualifications**
* Master’s or PhD in a field related to AI/ML such as Computer Science, Mathematics, Statistics, Physics, Computational Linguistics, or related disciplines
* 10\+ years of experience in machine learning, AI, or related fields, with a proven track record of technical leadership and hands\-on implementation
* Demonstrated experience mentoring engineers and leading technical projects in cross\-functional environments
* Proven history of leading the delivery of large\-scale ML systems from conception to production
* Expert\-level understanding of deep learning architectures (Transformers, Diffusion models) and modern frameworks (PyTorch is required)
* Hands\-on experience with distributed training frameworks and techniques (e.g., PyTorch Distributed, Ray, DeepSpeed, Megatron, CUDA optimization) in HPC or cloud environments (AWS/Azure)
* Strong proficiency in Python, with an emphasis on performance profiling, debugging, and writing robust, maintainable production code
* Excellent ability to translate complex technical concepts into clear insights for executive leadership and cross\-functional partners
**Preferred Qualifications**
* Experience with large foundation model training in distributed compute environments
* Experience designing data pipelines for multimodal datasets at the terabyte/petabyte scale (using Spark, Iceberg, etc.)
* Experience constructing internal developer platforms for ML, utilizing tools like Kubernetes, Slurm, or Metaflow
* A portfolio demonstrating the successful translation of academic research papers into tangible product features
* Background in AEC, computational geometry, or experience working with 3D data representations (BIM, CAD, meshes, point clouds)
 The Ideal Candidate
* Owns outcomes, not just components
* Has operated ML systems at real scale, including the messy parts
* Brings strong technical judgment shaped by production experience
* Thrives in ambiguous problem spaces and drives clarity
* Enjoys mentoring senior engineers and shaping technical culture
* Is motivated by delivering real\-world impact at scale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is>
      </c>
    </row>
    <row r="65">
      <c r="A65" t="inlineStr">
        <is>
          <t>li-4359926273</t>
        </is>
      </c>
      <c r="B65" t="inlineStr">
        <is>
          <t>Distinguished AI Engineer</t>
        </is>
      </c>
      <c r="C65" t="inlineStr">
        <is>
          <t>Capital One</t>
        </is>
      </c>
      <c r="D65" t="inlineStr">
        <is>
          <t>linkedin</t>
        </is>
      </c>
      <c r="E65" t="inlineStr"/>
      <c r="F65" t="inlineStr"/>
      <c r="G65" t="inlineStr">
        <is>
          <t>New York, NY</t>
        </is>
      </c>
      <c r="H65" t="inlineStr"/>
      <c r="I65"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8 years of experience developing AI and ML algorithms or technologies, or a Master's degree in Computer Science, AI, Electrical Engineering, Computer Engineering, or related fields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$269,100 \- $307,200 for Distinguished AI Engineer
 Richmond, VA: $244,700 \- $279,200 for Distinguished AI Engineer
 New York, NY: $293,600 \- $335,100 for Distinguished AI Engineer
 Cambridge, MA: $269,100 \- $307,200 for Distinguished AI Engineer
 San Francisco, CA: $293,600 \- $335,100 for Distinguished AI Engineer
 San Jose, CA: $293,600 \- $335,100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6">
      <c r="A66" t="inlineStr">
        <is>
          <t>li-4376069373</t>
        </is>
      </c>
      <c r="B66" t="inlineStr">
        <is>
          <t>Sr Machine Learning Engineer</t>
        </is>
      </c>
      <c r="C66" t="inlineStr">
        <is>
          <t>The Walt Disney Company</t>
        </is>
      </c>
      <c r="D66" t="inlineStr">
        <is>
          <t>linkedin</t>
        </is>
      </c>
      <c r="E66" t="inlineStr"/>
      <c r="F66" t="inlineStr"/>
      <c r="G66" t="inlineStr">
        <is>
          <t>Lake Buena Vista, FL</t>
        </is>
      </c>
      <c r="H66" t="inlineStr"/>
      <c r="I66" t="inlineStr">
        <is>
          <t>**Department Description**
 At Disney, we’re storytellers. We make the impossible, possible. The Walt Disney Company is a world\-class entertainment and technological leader. Walt’s passion was to continuously envision new ways to move audiences around the world—a passion that remains our touchstone in an enterprise that stretches from theme parks, resorts and a cruise line to sports, news, movies and a variety of other businesses. Uniting each endeavor is a commitment to creating and delivering unforgettable experiences — and we’re constantly looking for new ways to enhance these exciting experiences.
 The Enterprise Technology mission is to deliver technology solutions that align to business strategies while enabling enterprise efficiency and promoting cross\-company collaborative innovation. Our group drives competitive advantage by enhancing our consumer experiences, enabling business growth, and advancing operational excellence.
**Team Description**
 Reporting to the Director of Automation, Tooling, and Observability within Global Network Engineering \&amp; Operations (GNEO), the Machine Learning / Software Engineer plays a critical role in designing, developing, and implementing self\-healing infrastructure management systems for enterprise\-wide, production environments. This role combines deep expertise in machine learning, AI technology, software engineering, and DevOps to create reusable patterns, frameworks, and services to improve reliability across Services and Platforms. The candidate will serve as a thought leader, identifying opportunities for and applying advanced analytics, predictive modeling, and AI to large\-scale telemetry, changes, events and incident data to derive actionable insights. The role focuses on building, deploying, and operating machine learning models that proactively detect issues, predict failures, and drive automated, self\-healing remediation across enterprise systems. The role is intentionally machine learning and AI heavy and is intended to be a strategic driver in that space.
**What You’ll Do**
* Work alongside our first\-class applications, infrastructure \&amp; operations teams to understand current manual processes and business requirements
* Architect, design, and implement reusable machine learning frameworks, patterns, and services that integrate into the enterprise automation and observability platforms
* Design, train, and deploy machine learning models for anomaly detection, forecasting, predictive analytics, event correlation, pattern recognition, classification, causal analysis, and more in distributed environments that can be used to surface leading indicators of failure
* Build near\-real\-time inference pipelines that generate actionable insights from live telemetry, including continuous streams of metrics, logs, traces, and operational events
* Create data abstractions and perform feature engineering on high\-volume, high\-cardinality telemetry data
* Evaluate model performance using real production signals and continuously iterate to improve accuracy and reliability
* Build closed\-loop, event\-driven systems where model signals trigger automated remediation actions
* Partner with infrastructure and SRE teams to identify opportunities and integrate machine learning and AI\-driven insights into operational tools, workflows, and dashboards
* Analyze incident and historical data to uncover leading indicators and predictive signals
* Own the full machine learning lifecycle: experimentation, validation, deployment, monitoring, and retraining
* Breakdown targeted, manual processes into reusable software modules that leverage machine learning models
* Build emulation and simulation environments (digital twins) of the infrastructure to test AI/ML\-driven automation under realistic scenarios and allow for faster ideation and iteration for architects and engineers.
* Develop algorithms and frameworks to integrate machine learning and AI technologies into our orchestration platform
* Ensure service reliability, performance, and operational uptime through code\-driven solutions.
* Conduct root cause analysis, design fault\-tolerant architectures, and enable self\-healing automation.
* Implement monitoring dashboards and KPIs to provide visibility into automation and tooling performance.
* Collaborate with cross\-functional teams including network engineers, software developers, machine learning engineers, and operations teams across the enterprise.
* Support the integration of commercial and open\-source tools while maintaining a vendor\-agnostic implementation
**Required Qualifications \&amp; Skills**
* 7\+ years of software engineering experience, with expertise in automation, machine learning, and AI technologies
* Proven hands\-on experience building production\-grade ML models and inference pipelines; strong proficiency with modern ML frameworks such as PyTorch, TensorFlow, Scikit\-learn, etc.
* Design, train, and deploy machine learning models for anomaly detection, forecasting, predictive analytics, event correlation, pattern recognition, classification, causal analysis, and more in distributed environments that can be used to surface leading indicators of failure
* Proven hands\-on experience using software to build frontend, APIs and backend functionality; strong proficiency with Python, JavaScript, TypeScript, Go, or Rust
* Build emulation and simulation environments (digital twins) of the infrastructure to test AI/ML\-driven automation under realistic scenarios and allow for faster ideation and iteration for architects and engineers.
* Strong hands\-on experience building and deploying event\-driven or streaming data, machine learning models in production
* Solid foundation in statistics, data analysis, and applied machine learning techniques
* Experience working with large\-scale, real\-world datasets (noisy, incomplete, non\-standardized, and evolving)
* Experience operationalizing models in distributed, production environments
* Ability to translate ambiguous operational problems into solvable machine learning use cases
* Experience with modern cloud platforms, container orchestration (Kubernetes/Docker), identity/auth frameworks, data and workflow orchestration.
* Experience with AI/ML technologies and data engineering concepts. Preferred: Proven hands\-on building AI agents.
* Demonstrated success designing and building enterprise\-scale systems and reusable software frameworks.
* Strong communication, collaboration and leadership skills
* Applies systems thinking to understand how individual components fit into larger, more holistic solutions.
* Capable of quickly shifting between detailed, hands\-on work and high\-level strategic thinking.
**Preferred Qualifications**
* Certifications such as Kubernetes (CKA/CKAD), AWS/Azure/GCP certifications, CCNP/DevNet or NVIDIA AI engineer.
* Experience developing low\-code/no\-code automation platforms or reusable developer toolkits.
* Contributions to open\-source automation, machine learning, AI, observability, or DevOps communities.
* Applying unsupervised and semi\-supervised learning for anomaly detection and signal discovery
* Applying complex event processing and event correlation techniques
* Building time\-series forecasting models for capacity, latency, and failure prediction
* Experience with feature stores, offline/online feature pipelines, and feature reuse
* Implementing model monitoring for drift, bias, and performance degradation
* Experience with reinforcement learning or decision models for automated remediation and optimization
* Working with real\-time or near\-real\-time inference pipelines
* Experience labeling, curating, and managing training data derived from production telemetry
* Experience mentoring engineers, sharing knowledge, and fostering a learning culture
* Demonstrated curiosity and continuous learning mindset, with a passion for exploring emerging AI/ML, automation, and platform technologies
**Required Education**
* Bachelor’s degree in Computer Science, Information Systems, Software, Electrical or Electronics Engineering, or comparable field of study, and/or equivalent work experience
**Preferred Education**
* Master’s degree in Computer Science, Engineering, or related discipline.
 \#DISNEYTECH
 The hiring range for this position in Burbank, CA is $155,700 \- $208,700 per year and in Seattle is $163,100 \- $218,700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67">
      <c r="A67" t="inlineStr">
        <is>
          <t>li-4369694465</t>
        </is>
      </c>
      <c r="B67" t="inlineStr">
        <is>
          <t>Software/AI Engineer (New Grad)</t>
        </is>
      </c>
      <c r="C67" t="inlineStr">
        <is>
          <t>FurtherAI</t>
        </is>
      </c>
      <c r="D67" t="inlineStr">
        <is>
          <t>linkedin</t>
        </is>
      </c>
      <c r="E67" t="inlineStr"/>
      <c r="F67" t="inlineStr"/>
      <c r="G67" t="inlineStr">
        <is>
          <t>San Francisco, CA</t>
        </is>
      </c>
      <c r="H67" t="inlineStr"/>
      <c r="I67" t="inlineStr">
        <is>
          <t>**About FurtherAI**
 At FurtherAI, we’re building the next generation of AI agents for the insurance industry \- a trillion\-dollar market ready for transformation.
 We’ve raised more than
 **$30M from top investors (Andreesen Horowitz, YC, Nexus, South Park Commons, Converge)** 
 and have grown 10x in revenue this year alone. Our customers include some of the largest names in insurance (we recently closed a top 5 insurance company in the world), and our team combines deep AI expertise with proven company\-building experience.
 Now, we’re looking for an exceptional
 **Software/AI Engineer (New Grad)** 
 to join our early team and help shape both our product and culture.
**About The Role**
 We’re looking for a
 **Software / AI Engineer (New Grad)** 
 to join our engineering team and help build the foundation of FurtherAI’s
 **AI Workspace for Insurance** 
 .
 In this role, you’ll work on end\-to\-end product features spanning AI model integration, data processing pipelines, and scalable backend systems. You’ll collaborate closely with senior engineers, AI researchers, and founders to bring real\-world insurance workflows to life — transforming how underwriters, claims adjusters, and brokers get work done.
 This is a rare opportunity to join a technical, high\-performing early team and grow quickly alongside the company.
**Why Join FurtherAI?**
**High Impact:** 
 Work on technology that’s redefining how AI powers the modern insurance enterprise.
**Hands\-On Learning:** 
 Collaborate directly with senior engineers, AI scientists, and founders building real applied AI.
**Mission\-Driven:** 
 Help modernize one of the world’s most complex industries with practical, explainable AI.
**Early Team:** 
 Gain full visibility into product, research, and customer impact — shaping the foundation of our
 **AI Workspace for Insurance** 
 as we scale.
**Responsibilities:**
* Develop, test, and deploy production\-level code across our backend and AI systems.
* Collaborate with AI researchers to integrate and optimize large language models for insurance workflows.
* Build data processing and evaluation pipelines for unstructured document inputs (PDFs, emails, images).
* Contribute to core infrastructure, from APIs to orchestration logic powering our AI Workspace for Insurance.
* Work cross\-functionally with product and customer teams to identify and solve real business problems with AI.
* Participate in design reviews, code reviews, and rapid iteration cycles.
**You Might Be a Fit if You:**
* Are a recent CS, EE, or related STEM graduate (Bachelor’s or Master’s) with a strong foundation in software engineering.
* Have hands\-on experience with Python, TypeScript/JavaScript, or similar modern languages.
* Understand or are excited to learn about large language models (LLMs), NLP, or applied AI systems.
* Are curious, resourceful, and comfortable working in fast\-moving, ambiguous environments.
* Want to see your code drive visible impact in the real world — not just in research.
**Bonus:**
* Previous internship or project experience in AI/ML or full\-stack development.
* Experience working with frameworks like PyTorch, LangChain, or FastAPI.
* Interest in insurance, fintech, or other regulated industries.
**Tech Stack \-** 
 Python, FastAPI, TypeScript, Next.js, React, PostgreSQL, AWS, LangChain, OpenAI API
**Compensation And Benefits**
* Fully covered, best\-in\-class health, dental, and vision benefits
* Competitive Compensation, meaningful stock options, company 401(k)
* Unlimited PTO
* Outstanding in\-office culture in the heart of San Francisco
* Lunch and dinner onsite
* Team events, such as happy hours and off\-sites
* Pre\-tax Commuter benefits
 Compensation Range: $125K \- $165K</t>
        </is>
      </c>
    </row>
    <row r="68">
      <c r="A68" t="inlineStr">
        <is>
          <t>li-4377533944</t>
        </is>
      </c>
      <c r="B68" t="inlineStr">
        <is>
          <t>Junior AI/ML Engineer (Remote)</t>
        </is>
      </c>
      <c r="C68" t="inlineStr">
        <is>
          <t>Lensa</t>
        </is>
      </c>
      <c r="D68" t="inlineStr">
        <is>
          <t>linkedin</t>
        </is>
      </c>
      <c r="E68" t="inlineStr"/>
      <c r="F68" t="inlineStr"/>
      <c r="G68" t="inlineStr">
        <is>
          <t>Boston, MA</t>
        </is>
      </c>
      <c r="H68" t="inlineStr"/>
      <c r="I6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FocusKPI Inc.. Clicking "Apply Now" or "Read more" on Lensa redirects you to the job board/employer site. Any information collected there is subject to their terms and privacy notice.
 Location: Remote (EST preferred)
 Type: Paid Internship or Contract (Full\-time)
 Start Date: Immediate
 Role Overview
 We are seeking a Junior AI/ML Engineer to support the development of an enterprise AI chatbot and data intelligence system. This role will focus on building interactive AI agents that connect to enterprise databases, generate insights, and support decision\-making.
 The position includes hands\-on work in both LLM\-based chatbot/agent development and machine learning , including building prediction models and integrating them into production workflows. This is a client\-facing technical role requiring strong coding ability, analytical thinking, and the ability to work in a fast\-paced environment.
 Key Responsibilities
* Develop and deploy AI chatbot/agent solutions for enterprise use cases
* Integrate LLM\-based agents with structured and unstructured enterprise data
* Connect chat interfaces to SQL/enterprise databases and internal APIs
* Build and integrate machine learning models (prediction, classification, clustering, etc.)
* Perform data preprocessing, feature engineering, and model evaluation
* Integrate ML outputs into chatbot or workflow interfaces
* Support data pipeline development and automation
* Collaborate with internal team and occasionally clients to understand requirements
* Document model logic, workflows, and implementation details
**Required Qualifications**
* Bachelor’s or Master’s degree in Computer Science, Data Science, Statistics, Engineering, or related quantitative field
* Strong Python programming skills
* Hands\-on experience with machine learning (regression, classification, clustering, or similar)
* Familiarity with ML libraries such as scikit\-learn, pandas, numpy, or similar
* Experience working with databases (SQL, PostgreSQL, or similar)
* Familiarity with LLM APIs (OpenAI, Claude, or open\-source models)
* Experience building APIs or backend services (FastAPI, Flask, or similar)
* Strong analytical and problem\-solving skills
* Ability to work independently and communicate clearly
**Preferred Qualifications**
* Graduate degree or currently pursuing MS in AI, Data Science, or related field
* Experience with agent frameworks (LangChain, LlamaIndex, LangGraph, CrewAI, etc.)
* Experience deploying or integrating ML models into applications
* Knowledge of vector databases or embeddings
* Familiarity with AWS, GCP, or Azure
* Prior internship or project experience building AI/ML applications
 How to Apply
 Please submit the following to danz@focuskpi.com :
* Resume
* GitHub or portfolio that includes at least one agentic or AI chatbot project
* A short written explanation (3–6 paragraphs) of one project, including:
* What problem the agent/chatbot solves
* Architecture and tools used (LLM, framework, database, etc.)
* Your specific contribution
* Challenges encountered and how you solved them
 Candidates without project examples or explanation will not be considered.
 Immediate start preferred.
 NOTICE: Please be aware of fraudulent emails regarding job postings, job offers and fake checks. FocusKPI's recruiting team will strictly reach out via @focuskpi.com email domain. If you have received fraudulent emails now or in the past, please report it to https://reportfraud.ftc.gov/ . The domain @focuskpijobs.com is fraudulent and not related to FocusKPI. Please do not not reply or communicate to anyone with @focuskpijobs.com.
 Powered by JazzHR
 If you have questions about this posting, please contact support@lensa.com</t>
        </is>
      </c>
    </row>
    <row r="69">
      <c r="A69" t="inlineStr">
        <is>
          <t>li-4333355314</t>
        </is>
      </c>
      <c r="B69" t="inlineStr">
        <is>
          <t>Machine Learning Engineer</t>
        </is>
      </c>
      <c r="C69" t="inlineStr">
        <is>
          <t>Robert Half</t>
        </is>
      </c>
      <c r="D69" t="inlineStr">
        <is>
          <t>linkedin</t>
        </is>
      </c>
      <c r="E69" t="inlineStr"/>
      <c r="F69" t="inlineStr"/>
      <c r="G69" t="inlineStr">
        <is>
          <t>El Segundo, CA</t>
        </is>
      </c>
      <c r="H69" t="inlineStr"/>
      <c r="I69" t="inlineStr">
        <is>
          <t>**Title:** 
 3D Machine Learning Engineer
**Location:** 
 Hybrid – El Segundo, CA
**Compensation:** 
 Up to $190,000 DOE \+ benefits
 We’re seeking a
 **3D Machine Learning Engineer** 
 to join our innovative R\&amp; D team developing cutting\-edge vision systems and AI\-driven 3D modeling solutions. This hybrid role in
 **El Segundo** 
 offers the opportunity to work on challenging projects at the intersection of
 **computer vision, deep learning, and image processing** 
 .
**Responsibilities** 
* Design, train, and optimize deep learning models using
 **TensorFlow** 
 and
 **Python** 
 for 2D and 3D visual data.
* Develop algorithms for
 **3D reconstruction** 
 ,
 **object recognition** 
 , and
 **scene understanding** 
 .
* Implement and evaluate models for
 **image segmentation** 
 ,
 **depth estimation** 
 , and
 **motion tracking** 
 .
* Collaborate with multidisciplinary teams of engineers and researchers to deploy models into production environments.
* Contribute to data preprocessing, augmentation, and model performance evaluation.
 For immediate consideration, direct message Reid Gormly on LinkedIN Today and Apply now
**Qualifications** 
* **Bachelor’s degree** 
 in Computer Science, Engineering, Mathematics, or related STEM field.
* **2\+ years** 
 of professional experience in
 **machine learning** 
 or
 **computer vision** 
 .
* Strong programming skills in
 **Python** 
 and experience with
 **TensorFlow** 
 (PyTorch a plus).
* Hands\-on experience with
 **2D/3D image processing** 
 ,
 **feature extraction** 
 , and
 **geometric modeling** 
 .
* Familiarity with 3D data formats (e.g., point clouds, meshes, depth maps) and visualization tools.
* Excellent problem\-solving skills and ability to work in a collaborative environment.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Robert Half will consider for employment qualified applicants with arrest or conviction records in accordance with the Los Angeles County Fair Chance Ordinance for Employers and the California Fair Chance Act.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t>
        </is>
      </c>
    </row>
    <row r="70">
      <c r="A70" t="inlineStr">
        <is>
          <t>li-4377556114</t>
        </is>
      </c>
      <c r="B70" t="inlineStr">
        <is>
          <t>Applied Machine Learning Engineer</t>
        </is>
      </c>
      <c r="C70" t="inlineStr">
        <is>
          <t>Jack &amp; Jill</t>
        </is>
      </c>
      <c r="D70" t="inlineStr">
        <is>
          <t>linkedin</t>
        </is>
      </c>
      <c r="E70" t="inlineStr"/>
      <c r="F70" t="inlineStr"/>
      <c r="G70" t="inlineStr"/>
      <c r="H70" t="inlineStr"/>
      <c r="I70" t="inlineStr">
        <is>
          <t>This is a job that Jill, our AI Recruiter, is recruiting for on behalf of one of our customers.
 She will pick the best candidates from Jack's network
 The next step is to speak to Jack.
 Applied Machine Learning Engineer
**Company Description:** 
 Fast\-growing AI startup
**Job Description:** 
 Join a high\-velocity team focused on solving complex technical challenges through applied machine learning. You will develop and deploy models that bridge the gap between theoretical research and production\-grade products. This role offers the opportunity to work alongside intelligent problem solvers in a collaborative environment where cross\-disciplinary expertise is highly valued.
**Location:** 
 San Francisco, USA
**Why this role is remarkable:** 
* Work on cutting\-edge applications involving computer vision, graph theory, and symbolic AI in a fast\-paced environment.
* Join a well\-funded organization backed by top\-tier VCs at a pivotal stage of their product evolution.
* Benefit from a culture that values diverse backgrounds in math, physics, and science alongside traditional computer science.
**What you will do:** 
* Design and implement scalable machine learning models to solve real\-world technical problems.
* Collaborate with engineering teams to integrate AI capabilities into production\-ready software systems.
* Experiment with symbolic AI and graph theory to enhance the intelligence of existing platforms.
**The ideal candidate:** 
* Has zero to seven years of experience with a strong background in an early\-stage startup environment.
* Possesses applied exposure to computer vision, graph theory, or symbolic AI frameworks.
* Holds a degree in a quantitative field such as Computer Science, Mathematics, Physics, or Engineering.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**Next steps** 
 Step 1\. Visit
 **our website** 
 .
 Step 2\. Click
 **'Talk to Jack'** 
 .
 Step 3\. Talk to Jack so he can understand your experience and ambitions.
 Step 4\. Jack will make sure Jill (the AI agent working for the company) considers you for this role.
 Step 5\. If Jill thinks you're a great fit and her client wants to meet you, they will make the introduction.
 Step 6\. If not, Jack will find you excellent alternatives. All for free.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t>
        </is>
      </c>
    </row>
    <row r="71">
      <c r="A71" t="inlineStr">
        <is>
          <t>li-4376471407</t>
        </is>
      </c>
      <c r="B71" t="inlineStr">
        <is>
          <t>Machine Learning Engineer</t>
        </is>
      </c>
      <c r="C71" t="inlineStr">
        <is>
          <t>Insight Global</t>
        </is>
      </c>
      <c r="D71" t="inlineStr">
        <is>
          <t>linkedin</t>
        </is>
      </c>
      <c r="E71" t="inlineStr"/>
      <c r="F71" t="inlineStr"/>
      <c r="G71" t="inlineStr">
        <is>
          <t>San Jose, CA</t>
        </is>
      </c>
      <c r="H71" t="inlineStr"/>
      <c r="I71" t="inlineStr">
        <is>
          <t>**Title** 
 : Machine Learning (ML) Engineer
**Location** 
 : San Jose, CA
**Compensation** 
 : Up to $130,000
**Job Description** 
 Insight Global is looking for a ML Engineer to join a growing client's team to cover a variety of responsibilities:
* Build and evaluate ML models such as classification, regression, anomaly detection and time series
* Perform feature engineering and exploratory analysis on semiconductor datasets
* Support model deployment with senior ML staff
* Assist with model monitoring and documentation
* Experiment with modern analytics and LLM techniques
* Data Engineering Support: Help build and maintain ETL or ELT pipelines, perform data quality checks and validation, and Ensure data accessibility across cloud or on premise environments
* Cross Functional Collaboration
**Required Skills \&amp; Experience** 
* Strong Python proficiency
* Experience with ML modeling using Scikit learn, TensorFlow or PyTorch
* Hands on work with Pandas and NumPy
* Exposure to data engineering concepts like ETL or ELT
* Basic understanding of APIs
* Experience with Docker or other container tools
* Comfort in Linux environments
* Experience with dashboards like Power BI, Tableau or Dash
**Education** 
 :
* BS or MS in CS, Data Science, Engineering, Applied Math or similar
* Project, internship or coursework based ML experience
**Nice to Have Skills \&amp; Experience** 
 • Experience with cloud platforms
 • Exposure to MLOps tools like MLflow, Kubeflow or W\&amp;B
 • Experience with time series modeling or anomaly detection
 • Semiconductor data experience
 • Understanding of model monitoring or retraining workflows
 • Familiarity with SQL or dbt
 •Any experience with workflow orchestration tools like Airflow or Prefect</t>
        </is>
      </c>
    </row>
    <row r="72">
      <c r="A72" t="inlineStr">
        <is>
          <t>li-4376455995</t>
        </is>
      </c>
      <c r="B72" t="inlineStr">
        <is>
          <t>Machine Learning Engineer III - Generative AI - Windreich Department of Artificial Intelligence &amp; Human Health Research</t>
        </is>
      </c>
      <c r="C72" t="inlineStr">
        <is>
          <t>Mount Sinai Health System</t>
        </is>
      </c>
      <c r="D72" t="inlineStr">
        <is>
          <t>linkedin</t>
        </is>
      </c>
      <c r="E72" t="inlineStr"/>
      <c r="F72" t="inlineStr"/>
      <c r="G72" t="inlineStr">
        <is>
          <t>New York, NY</t>
        </is>
      </c>
      <c r="H72" t="inlineStr"/>
      <c r="I72" t="inlineStr">
        <is>
          <t>**Description**
 The Windreich Department of AI \&amp; Human Health is rapidly advancing the use of technology to improve health outcomes and is at the forefront of AI implementation within the Mount Sinai Health.
 Machine Learning Engineer III will oversee the design and development of sophisticated machine learning systems. They will collaborate closely with cross\-functional teams to drive innovation and ensure the successful implementation of machine learning solutions.
**Responsibilities**
**End\-to\-End System Responsibility:**
* Assume complete ownership of the entire machine learning system development process.
* Coordinate closely with other team members and other engineering teams to ensure seamless integration and alignment with broader organizational goals and workflows.
* Lead the collaborative efforts with cross\-functional teams, including data scientists and product managers, to ensure the successful deployment and robust maintenance of machine learning models.
* Oversee the continuous monitoring and timely updating of deployed models to guarantee enduring performance and reliability.
**Technical Leadership**
* Exhibit technical leadership and mentorship to Machine Learning Engineer I, II, and other team members.
* Encourage knowledge exchange and promote professional growth within the team.
* Establish and enforce best practices for machine learning system development, including coding standards, code reviews, and comprehensive documentation.
* Serve as the primary contact for technical inquiries related to machine learning within the team, providing expert guidance and solutions.
**Problem\-Solving**
* Utilize advanced problem\-solving skills to navigate and resolve complex technical challenges and obstacles.
* Foster a collaborative environment for brainstorming and implementing effective solutions with the team and other departments.
**Research And Development**
* Remain up\-to\-date with the latest advancements and trends in the fields of software engineering and machine learning.
* Conduct proactive research to uncover new methods and techniques applicable to future projects.
* Lead initiatives to explore, test, and implement new technologies and frameworks, ensuring the team is always at the forefront of industry innovations.
**Collaboration And Communication**
* Engage in effective communication and collaboration across various teams within the organization to ensure alignment and coordination in the execution of machine learning projects.
* Facilitate transparent and timely communication with all relevant stakeholders, ensuring that all are kept informed of project statuses, challenges, and achievements.
* Work collaboratively with cross\-functional teams, fostering a cooperative environment for the seamless integration of machine learning systems into diverse organizational processes and workflows.
* Contribute to building strong interdepartmental relationships, enabling the efficient exchange of knowledge and expertise, and ensuring the successful realization of machine learning initiatives.
**Additional Responsibilities**
* Develop and maintain project work plans, including critical tasks, milestones, timelines, interdependencies, and contingencies. Tracks and reports progress. Keeps stakeholders apprised of project status and implications for completion.
* Prepare clear, well\-organized project\-specific documentation, including, at a minimum, analytic methods used, key decision points and caveats, with sufficient detail to support comprehension and replication.
* Mentor other analysts on how to a) determine appropriate statistical analysis methods, b) leverage appropriate programing languages and tools, and c) generate and interpret statistical analysis outputs.
* Share development and process knowledge with other analysts in order to assure redundancy and continuously builds a core of analytical strength within the organization.
* Adheres to corporate standards for performance metrics, data collection, data integrity, query design, and reporting format to ensure high quality, meaningful analytic output.
* Works closely with IT on the ongoing improvement of Mount Sinai’s integrated data warehouse, driven by strategic and business needs, and designed to ensure data and reporting consistency throughout the organization.
* Demonstrates advanced level proficiency with the principles and methodologies of process improvement. Applies these in the execution of responsibilities in support of a process focused approach.
* Other duties as assigned.
**Qualifications**
* Bachelor’s degree in Computer Science, Data Science, or a related field.
* 4\+ years of relevant experience in machine learning and back\-end software development.
* Demonstrated end\-to\-end machine learning system development and operation experience, covering the complete Software Development Life Cycle (SDLC).
* Proficiency in multiple programming languages and machine learning frameworks and tools.
* Solid experience with both SQL and NoSQL databases.
* Extensive experience with Big Data technologies like Apache Spark.
* Hands\-on experience in Unix environments.
* Practical knowledge and experience with at least one cloud system among AWS, Azure, or Google Cloud.
* Familiarity with continuous development and integration systems such as Jenkins, Git, Azure DevOps, and Terraform.
* A proven history in developing, deploying, and operating efficient and reliable machine learning systems.
* Strong leadership and effective communication skills to facilitate cross\-functional collaboration throughout the organization.
* Experience in providing mentorship
**Employer Description**
**Strength through Unity and Inclusion**
 The Mount Sinai Health System is committed to fostering an environment where everyone can contribute to excellence. We share a common dedication to delivering outstanding patient care. When you join us, you become part of Mount Sinai’s unparalleled legacy of achievement, education, and innovation as we work together to transform healthcare. We encourage all team members to actively participate in creating a culture that ensures fair access to opportunities, promotes inclusive practices, and supports the success of every individual.
 At Mount Sinai, our leaders are committed to fostering a workplace where all employees feel valued, respected, and empowered to grow. We strive to create an environment where collaboration, fairness, and continuous learning drive positive change, improving the well\-being of our staff, patients, and organization. Our leaders are expected to challenge outdated practices, promote a culture of respect, and work toward meaningful improvements that enhance patient care and workplace experiences. We are dedicated to building a supportive and welcoming environment where everyone has the opportunity to thrive and advance professionally. Explore this opportunity and be part of the next chapter in our history.
**About The Mount Sinai Health System**
 Mount Sinai Health System is one of the largest academic medical systems in the New York metro area, with more than 48,000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 medical and emotional needs at the center of all treatment. The Health System includes more than 9,000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top 5 in Cardiology/Heart Surgery, and top 20 in Diabetes/Endocrinology, Gastroenterology/GI Surgery, Neurology/Neurosurgery, Orthopedics, Pulmonology/Lung Surgery, Rehabilitation, and Urology. New York Eye and Ear Infirmary of Mount Sinai is ranked No. 12 in Ophthalmology. U.S. News \&amp; World Report’s “Best Children’s Hospitals” ranks Mount Sinai Kravis Children's Hospital among the country’s best in several pediatric specialties. The Icahn School of Medicine at Mount Sinai is ranked No. 11 nationwide in National Institutes of Health funding and in the 99th percentile in research dollars per investigator according to the Association of American Medical Colleges. Newsweek’s “The World’s Best Smart Hospitals” ranks The Mount Sinai Hospital as No. 1 in New York and in the top five globally, and Mount Sinai Morningside in the top 20 globally.
**Equal Opportunity Employer**
 The Mount Sinai Health System is an equal opportunity employer, complying with all applicable federal civil rights laws. We do not discriminate, exclude, or treat individuals differently based on race, color, national origin, age, religion, disability, sex, sexual orientation, gender, veteran status, or any other characteristic protected by law. We are deeply committed to fostering an environment where all faculty, staff, students, trainees, patients, visitors, and the communities we serve feel respected and supported. Our goal is to create a healthcare and learning institution that actively works to remove barriers, address challenges, and promote fairness in all aspects of our organization.
**Compensation**
 The Mount Sinai Health System (MSHS) provides salary ranges that comply with the New York City Law on Salary Transparency in Job Advertisements. The salary range for the role is $132000 \- $198065 Annually. Actual salaries depend on a variety of factors, including experience, education, and operational need. The salary range or contractual rate listed does not include bonuses/incentive, differential pay or other forms of compensation or benefits.</t>
        </is>
      </c>
    </row>
    <row r="73">
      <c r="A73" t="inlineStr">
        <is>
          <t>li-4375696590</t>
        </is>
      </c>
      <c r="B73" t="inlineStr">
        <is>
          <t>Machine Learning Engineer</t>
        </is>
      </c>
      <c r="C73" t="inlineStr">
        <is>
          <t>NeerInfo Solutions</t>
        </is>
      </c>
      <c r="D73" t="inlineStr">
        <is>
          <t>linkedin</t>
        </is>
      </c>
      <c r="E73" t="inlineStr"/>
      <c r="F73" t="inlineStr"/>
      <c r="G73" t="inlineStr">
        <is>
          <t>Richardson, TX</t>
        </is>
      </c>
      <c r="H73" t="inlineStr"/>
      <c r="I73" t="inlineStr">
        <is>
          <t>**Job Title: ML Engineer** 
**Location: Richardson, TX (Onsite)** 
**Job type: full\-time** 
 Job Description
 We are seeking a ML Engineer with expertise in Computer Vision, Edge AI deployment, GCP cloud services, and retail domain workflows. Candidate will be responsible for designing scalable ML pipelines, optimizing CV models for edge devices, and operationalizing AI solutions in production environments using MLOPS framework for Model Management. Candidate will work with clients to understand the issues they face, diagnose problems, design solutions and facilitate solution deployment on GCP cloud.
**Required Qualifications:** 
* Bachelor’s degree or foreign equivalent required from an accredited institution. Will also consider three years of progressive experience in the specialty in lieu of every year of education
* At least 4 years of experience in Information Technology
* Strong hands\-on experience with MLOps, model deployment, CI/CD, and monitoring.
* Proficiency in Computer Vision frameworks: OpenCV, TensorFlow, PyTorch, ONNX, YOLO, etc
* Experience deploying AI models on edge devices, Deepstream, Nvidia Services
* Advanced Python development skills with experience in designing scalable ml systems, automations, sdk, multiprocessing etc
* Hands\-on with containerization, model optimization, and hardware acceleration
* Solid understanding of data pipelines, feature stores, and ML model lifecycle
* Implementation of MLOps tools like Grafana, Prometheus, Poetry, Snyk and others
**Preferred Qualifications:** 
* Experience with GCP cloud services and Kubernetes
* Experienced in Agile way of working, manage team effort and track through JIRA
* Certifications in GCP, MLOps and Computer vision Technology
* High Impact client communication
* Domain experience with Retail Clients
* Strong problem\-solving skills and ability to evaluate multiple solution paths
* Excellent communication and stakeholder management skills</t>
        </is>
      </c>
    </row>
    <row r="74">
      <c r="A74" t="inlineStr">
        <is>
          <t>li-4377560382</t>
        </is>
      </c>
      <c r="B74" t="inlineStr">
        <is>
          <t>Founding Machine Learning Engineer</t>
        </is>
      </c>
      <c r="C74" t="inlineStr">
        <is>
          <t>Pragmatike</t>
        </is>
      </c>
      <c r="D74" t="inlineStr">
        <is>
          <t>linkedin</t>
        </is>
      </c>
      <c r="E74" t="inlineStr"/>
      <c r="F74" t="inlineStr"/>
      <c r="G74" t="inlineStr">
        <is>
          <t>Pennsylvania, United States</t>
        </is>
      </c>
      <c r="H74" t="inlineStr"/>
      <c r="I74" t="inlineStr">
        <is>
          <t>Location: New York, NY
 Start date: ASAP
 Languages: English (required)
**About The Role**
 Pragmatike is hiring on behalf of a high\-growth AI cybersecurity company backed by top\-tier investors and strategic AI leaders. The company is building the security layer for the AI era, protecting enterprises against AI\-powered threats such as deepfakes, smishing, and synthetic voice attacks.
 Following a major Series B funding round led by industry\-leading AI and venture partners, the company is entering a critical growth phase. Trusted by major banks, technology companies, and healthcare organizations, they are scaling rapidly to meet enterprise demand in a $200B\+ market opportunity.
 We are looking for a
 **Staff Machine Learning Engineer** 
 to define and build the companys ML capabilities from the ground up. ML is central to the product vision. This role is not about incremental optimization — it is about owning the strategy, infrastructure, and execution of machine learning across the organization.
 There is currently no dedicated ML infrastructure or ML team. You will establish the foundations: define where ML drives product value, design production systems end\-to\-end, and set the technical direction for how ML evolves across the company.
 This is a high\-impact, highly autonomous role suited for someone who has built ML systems in production and is ready to architect an ML function from zero to scale.
**What Youll Do**
* Define the companys ML strategy: where ML should be applied across products, what infrastructure is required, and how to approach build vs. buy decisions.
* Design and build production ML systems end\-to\-end — including data pipelines, model training workflows, evaluation frameworks, and inference serving.
* Establish rigorous evaluation methodology to measure model quality, detect regressions, and support data\-driven iteration.
* Own the data strategy: determine what data is needed, how it should be labeled, how feedback loops are structured, and how models continuously improve.
* Partner closely with product and backend engineers to integrate ML into customer\-facing systems.
* Write production\-quality code within the existing codebase and contribute to architectural decisions.
* Over time, help recruit, mentor, and lead the ML team as the function expands.
**What Were Looking For**
* 8\+ years of experience building ML systems in production environments.
* Experience standing up ML infrastructure at an early\-stage startup or serving as the senior/lead ML engineer at a company.
* Strong software engineering fundamentals with production experience in languages such as Python, Java, or TypeScript.
* Experience with cloud\-based ML infrastructure (e.g., SageMaker, Bedrock, Modal, Baseten, or similar platforms).
* Hands\-on experience with ML and data frameworks such as PyTorch, TensorFlow, Spark, or equivalent tools.
* Comfortable working across the stack — infrastructure, backend systems, and data platforms.
* Demonstrated ability to mentor engineers and elevate technical standards within a team.
* High autonomy and ownership mindset, with the ability to define direction and execute without predefined playbooks.
**Bonus Points**
* Experience building ML systems for security, fraud detection, or adversarial environments.
* Experience working with LLMs in production (evaluation, fine\-tuning, retrieval systems, guardrails).
* Background in real\-time inference systems or high\-throughput distributed systems.
* Experience making strategic build vs. buy infrastructure decisions.
* Previous startup experience in high\-growth environments.
**Why This Role Will Pivot Your Career**
* Strategic AI backing: Supported by leading AI and venture investors shaping the future of AI infrastructure and cybersecurity.
* Founding\-level impact: Build and define the ML function from zero in a company where ML is core to product value.
* Enterprise traction: Products already trusted by major banks, tech firms, and healthcare organizations.
* Massive market opportunity: Positioned in a rapidly expanding AI cybersecurity space.
* Leadership path: Opportunity to evolve into Head of ML as the organization scales.
* Ownership \&amp; autonomy: Direct influence over architecture, infrastructure, and long\-term technical direction.
**Benefits**
* Competitive salary \&amp; equity options
* Health, Dental, and Vision
* 401k
* Hybrid flexibility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
 Compensation Range: $300K \- $400K</t>
        </is>
      </c>
    </row>
    <row r="75">
      <c r="A75" t="inlineStr">
        <is>
          <t>li-4376432896</t>
        </is>
      </c>
      <c r="B75" t="inlineStr">
        <is>
          <t>ML Engineer</t>
        </is>
      </c>
      <c r="C75" t="inlineStr">
        <is>
          <t>Typeface</t>
        </is>
      </c>
      <c r="D75" t="inlineStr">
        <is>
          <t>linkedin</t>
        </is>
      </c>
      <c r="E75" t="inlineStr"/>
      <c r="F75" t="inlineStr"/>
      <c r="G75" t="inlineStr">
        <is>
          <t>Palo Alto, CA</t>
        </is>
      </c>
      <c r="H75" t="inlineStr"/>
      <c r="I75" t="inlineStr">
        <is>
          <t>**About Typeface**
 We help the world’s biggest brands move from brief to fully personalized campaigns — in days, not months.
 Founded by Abhay Parasnis and backed by Microsoft, GV, Salesforce, Lightspeed, Madrona and Menlo, we’re building category\-defining technology at the intersection of creativity and AI with real impact. Join us to help shape the future of enterprise marketing.
**What You’ll Do**
 As a
 **Machine Learning Engineer** 
 , you will be responsible for building machine learning models/systems and innovative web applications that deliver the power of Generative AI to our customers. You will work closely with designers, product managers and other engineers driving the technical designs and implementations.
**How You’ll Make An Impact**
* Define the roadmap for generation of various content types including text, image, audio and video enabling us to generate brand\-affinized, hyper\-personalized, and safe content
* Own the delivery of key business, product and technology initiatives across design, specification, development, testing, and launch.
* Establish and implement processes for model training, fine\-tuning, testing, and operating the Generative AI models at significant scale.
* Investigate, prototype and deliver innovative solutions
* Collaborate with other engineers, Product and Business Teams to identify new ways to improve our product and drive growth
* Establish a data\-driven development culture by driving the definition, tracking, and operationalizing of feature, product, and company\-level metrics
**What You Bring**
* Bachelor or Master's degree in computer science or a related field
* Experience with building and evolving ML Training and Inferencing systems at significant scale with a purpose of solving real\-world problems.
* 3\+ years of prior experience designing, building and scaling systems for training, testing, and running Machine Learning models at scale
* Have a track record of coming up with new ideas or improving upon existing ideas in machine learning, demonstrated by accomplishments such as first author publications or projects
* Proficiency in Python, C/C\+\+ (or equivalent)
* Ability to create self\-contained, reusable, and testable modules and passionate about prototyping
* Bonus: Prior experience with AzureML, GCP Vertex, AWS Sagemaker or similar platforms
* Bonus: Hands\-on experience in deploying and tuning Generative AI models in cloud or on local system
* Bonus: Experience working at a high\-growth startup or tech company
* Bonus: Publications and research experiences in ML venues and/or vision/language applications
**Location**
 This is a hybrid role based in our Palo Alto HQ. We collaborate in\-office 3 days a week.
**Base Salary**
 The range for this role is $135,000\-$180,000\. Actual compensation may vary based on level, experience, and skillset as assessed in the interview process.
**Benefits**
* Competitive compensation — including salary, equity, and 401(k)
* Full medical, dental, and vision insurance for you and your family
* HSA and FSA options to support your financial wellness
* Flexible time off — including parental leave
* Well\-being programs — resources to support your mental and physical health
* Daily lunch \&amp; snacks
* Mentorship \&amp; impact — work closely with top AI leaders on products that ship
**Equality Opportunity Statement**
 We welcome and encourage applicants from all backgrounds. Employment decisions are made without regard to race, color, religion, sex, sexual orientation, gender identity or expression, national origin, age, disability, medical condition, veteran status, or any other legally protected status. We comply with applicable laws in every jurisdiction where we operate.
**Why You’ll Love Working Here**
* Build something big — Be part of a fast\-growing startup defining a new category: marketing orchestration powered by Agentic AI.
* Your work will matter — Trusted by Fortune 100 companies, our platform delivers 10x content velocity and 90% faster campaigns.
* A\+ team — Collaborate with veterans from Adobe, Microsoft, Google, and top AI companies.
* Backed by the best — GV, Salesforce Ventures, Microsoft, Lightspeed, Madrona and Menlo ($165M raised).
* Recognized for innovation — TIME Best Inventions, Fast Company Next Big Thing in Tech, Gartner Cool Vendor, Adweek AI Company of the Year, LinkedIn Top Startup, Webby Award (AI Work \&amp; Productivity).</t>
        </is>
      </c>
    </row>
    <row r="76">
      <c r="A76" t="inlineStr">
        <is>
          <t>li-4377519197</t>
        </is>
      </c>
      <c r="B76" t="inlineStr">
        <is>
          <t>Machine Learning Engineer</t>
        </is>
      </c>
      <c r="C76" t="inlineStr">
        <is>
          <t>CVS Health</t>
        </is>
      </c>
      <c r="D76" t="inlineStr">
        <is>
          <t>linkedin</t>
        </is>
      </c>
      <c r="E76" t="inlineStr"/>
      <c r="F76" t="inlineStr"/>
      <c r="G76" t="inlineStr">
        <is>
          <t>New York, NY</t>
        </is>
      </c>
      <c r="H76" t="inlineStr"/>
      <c r="I76"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At CVS Health, we’re reshaping the future of CRM Marketing through AI\-driven optimization and decision\-making to better serve millions of customers nationwide. We’re looking for a
 **Machine Learning Engineer** 
 to help build and scale the next generation of data science and AI products in the journey. In this role, you’ll leverage your engineering background and expertise in ML to work on complex technical problems, build new features, and improve existing products. Your solutions will impact tens of millions of customers, influencing how they manage their health and everyday purchases.
 Collaborating closely with data science, data engineering, marketing, operations, and other cross\-functional teams, you’ll architect, develop, deploy, and operationalize ML systems that transform first\-party data and measurement signals into reliable decision engines \- reducing cycle times, increasing impact, and enabling closed\-loop, in\-flight optimization. You will also continuously improve model deployment pipelines, strengthening ML infrastructure, and integrating emerging AI technologies into real business workflows.
 If you are excited by hard problems, large scale of data and systems, and shipping models that actually get used, this is the job.
**What You’ll Do**
* Architect, design, build, and test end to end pipelines leveraging artificial intelligence, machine learning, reinforcement learning to drive CRM Marketing optimization and automation including customer targeting, content recommendation, frequency optimization, propensity, uplift and LTV models etc.
* Implement CICD for ML including automated testing, model versioning, monitoring, and orchestration for models in production
* Lead the design of Agentic AI solutions to marketing workflow automation, optimize ML infrastructure, and guide the development of data preparation and model optimization strategies.
* Collaborate with Data Science, Engineering, and business teams to turn prototypes into production\-ready solutions that meet business needs and drive measurable outcomes
* Provide technical leadership on complex projects. Mentor other engineers and data scientists in best practices, code quality, and scalable architecture. Influence our ML and data roadmap.
**What We’re Looking For**
**Must\-Have**
* 3\+ years of hands\-on experience developing machine learning systems in production environment
* 3\+ years of Python programming experience. Familiarity with ML frameworks (e.g., PyTorch, TensorFlow) and MLOps platforms (e.g., Kubeflow, Vertex)
* 2\+ years of SQL experience working with large\-scale data (e.g., Snowflake, BigQuery)
* 2\+ years of leading design and architecture of new and existing system experience
* Strong background in one or more of the following: reinforcement learning, causal inference, LLM, MCP
* Experience as a mentor or tech lead
* Ability to work and influence cross\-functionally with strong communication skills
**Preferred**
* Proficiency with full\-stack framework (e.g, Node.js, React)
* Experience with real time scoring using tools like Spark, Kafka, Airflow
* Solid backend engineering skills in Python, including APIs and data modeling
* A/B testing and experimentation experience
**Education**
* Bachelor’s degree in Computer Science, Engineering, Math, Statistics, or related field (or equivalent experience)
* Master’s degree preferred
**Anticipated Weekly Hours**
 40
**Time Type**
 Full time
**Pay Range**
**The Typical Pay Range For This Role Is**
 $86,520\.00 \- $173,040\.00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03/29/2026
 Qualified applicants with arrest or conviction records will be considered for employment in accordance with all federal, state and local laws.</t>
        </is>
      </c>
    </row>
    <row r="77">
      <c r="A77" t="inlineStr">
        <is>
          <t>li-4377520091</t>
        </is>
      </c>
      <c r="B77" t="inlineStr">
        <is>
          <t>Senior AI Engineer, AI Labs</t>
        </is>
      </c>
      <c r="C77" t="inlineStr">
        <is>
          <t>NPR</t>
        </is>
      </c>
      <c r="D77" t="inlineStr">
        <is>
          <t>linkedin</t>
        </is>
      </c>
      <c r="E77" t="inlineStr"/>
      <c r="F77" t="inlineStr"/>
      <c r="G77" t="inlineStr">
        <is>
          <t>Washington, DC</t>
        </is>
      </c>
      <c r="H77" t="inlineStr"/>
      <c r="I77" t="inlineStr">
        <is>
          <t>**Overview**
*A thriving, mission\-driven multimedia organization, NPR produces award\-winning news, information, and music programming in partnership with hundreds of independent public radio stations across the nation. The NPR audience values information, creativity, curiosity, and social responsibility – and our employees do too. We are innovators and leaders in diverse fields, from journalism and digital media to IT and development. Every day, our employees and member stations touch the lives of millions worldwide.*
*Across our organization, we’re building a workplace where collaboration is essential, diverse voices are heard, and inclusion is the key to our success. We are committed to doing the right thing in our journalism and in every role at NPR* 
*.* 
*This means that integrity, adherence to our ethical standards, and compliance with legal obligations are fundamental responsibilities for every employee at NPR.*
**Intro to Position**
 The Senior AI Engineer, AI Labs, is a foundational role in building NPR's first Generative AI (GAI)\-focused product development team. Reporting to the VP of AI Labs, this engineer will be responsible for the technical development and implementation of generative AI solutions. The core mission is to engineer systems that leverage GAI to enhance the quality and actionability of our content metadata, thereby directly supporting the organization's goals of improving content personalization and increasing editorial efficiency. This role involves hands\-on work in integrating AI products into core NPR systems, ensuring solutions are scalable, align with ethical guidelines, and are built upon industry best practices. This is a critical opportunity to shape NPR's technical AI adoption and build a new, innovative function.
**Responsibilities**
* Engineering \&amp; Implementation: Design, develop, and deploy scalable Generative AI (GAI) solutions, focusing on enhancing content metadata quality and actionability to meet organizational objectives.
* Architecture \&amp; Technical Best Practices: Establish and champion technical best practices for Generative AI systems, including MLOps, RAG architectures, prompt engineering, and model evaluation, ensuring high\-quality, maintainable code.
* Cross\-functional Development: Collaborate closely with Product Managers, data scientists, software and infrastructure engineers, and relevant subject matter experts to translate product requirements and roadmaps into robust, production\-ready AI systems.
* System Optimization \&amp; Performance: Implement data\-driven methods, A/B testing, and performance monitoring to optimize the efficiency, scalability, and impact of AI models and pipelines.
* Technical Communication: Clearly articulate technical architectures, development progress, and engineering challenges to product and non\-technical stakeholders.
* Responsible AI: Integrate ethical AI principles and compliance standards directly into the design and implementation of all AI products, in alignment with company policies.
* Technology Scouting: Research and evaluate emerging AI technologies, frameworks, and industry trends to drive continuous technical innovation within the AI Labs.
**The above duties and responsibilities are not an exhaustive list of required responsibilities, duties and skills. Other duties may be assigned, and this job description is subject to change at any time.**
**Minimum Qualifications**
* 5\+ years of professional experience in software development, data science, or machine learning engineering, with a focus on building and deploying production systems.
* 2\+ years of hands\-on experience working with generative AI, machine learning, or data products.
* Expert proficiency in Python and experience creating functional prototypes to validate technical feasibility and user flows.
* Demonstrable understanding and experience building products that leverage Large Language Models, RAG architectures, prompting, function calling, retrieval, vector databases, embeddings, fine\-tuning, and model evaluation.
* Familiarity with building and integrating MCP servers and agentic workflows
* Background in creating QA systems for AI processes and development
* Excellent communication skills and the ability to clearly articulate technical architectures and challenges to product and non\-technical stakeholders.
* A collaborative and respectful approach to work and an ability to adapt quickly to change.
* A deep commitment to the mission of NPR and to the responsible implementation of Generative AI technologies.
**Preferred Qualifications**
* Experience designing and building highly scalable, production\-grade AI/ML pipelines and services.
* Proficiency with cloud platforms, particularly AWS and Google Cloud Platform (GCP) and MLOps tools, particularly MLFlow and Vertex AI.
* Experience with DevOps practices, including CI/CD and enterprise infrastructure\-as\-code.
* Experience working in media organizations and an understanding of media delivery systems.
**Work Location \&amp; Requirements**
* Hybrid Permitted: This is a hybrid permitted role. Some aspects of this role include duties that are better performed at an NPR facility. The employee will be required to be in the office, preferably at the Washington, D.C. location, at least two to three days a week.
**Job Type**
* This is a full\-time, exempt position.
**Compensation**
 Salary Range: The U.S. based anticipated salary range for this opportunity is $160,000 \- 186,000 plus benefits. The range displayed reflects the minimum and maximum salaries NPR expects to provide for new hires for the position across all US locations.
 NPR offers access to comprehensive benefits for employees and dependents. Regular, full\-time employees scheduled to work 30 hours or more per week are eligible to enroll in NPR’s benefits options. Benefits include access to health and wellness, paid time off, and financial well\-being. Plan options include medical, dental, vision, life/ accidental death and dismemberment, long\-term disability, short\-term disability, and voluntary retirement savings to all eligible NPR employees.
**Does this sound like you? If so, we want to hear from you.**
 The range displayed reflects the minimum and maximum salaries NPR expects to provide for new hires for the position across all US locations.
 NPR Pay Range
 $160,000—$186,000 USD
 NPR is an Equal Opportunity Employer. NPR is committed to being an inclusive workplace that welcomes diverse and unique perspectives, all working toward the same goal – to create a more informed public. Qualified applicants receive consideration for employment without regard to race, color, ethnicity, national origin, ancestry, age, religion, religious belief, sex (including pregnancy, childbirth and related medical conditions, lactation, and reproductive health decisions), sexual orientation, gender, gender identity or expression, transgender status, gender non\-conforming status, intersex status, sexual stereotypes, nationality, citizenship status, personal appearance, marital status, family status, family responsibilities, military status, veteran status, mental and physical disability, medical condition, genetic information, genetic characteristics of yourself or a family member, political views and affiliation, unemployment status, protective order status, status as a victim of domestic violence, sexual assault, or stalking, or any other basis prohibited under applicable law.
**If you are a person with a disability needing assistance with the application process, please reach out to employeerelations@npr.org.**
 You may read NPR’s privacy policy to learn about how NPR may handle information you submit with any application.
 Want more NPR? Explore the stories behind the stories on our NPR Extra blog. Get social with NPR Extra on Facebook and Instagram. Find more career opportunities at NPR.org/careers.</t>
        </is>
      </c>
    </row>
    <row r="78">
      <c r="A78" t="inlineStr">
        <is>
          <t>li-4377554483</t>
        </is>
      </c>
      <c r="B78" t="inlineStr">
        <is>
          <t>Staff Machine Learning Engineer, Spot Autonomy</t>
        </is>
      </c>
      <c r="C78" t="inlineStr">
        <is>
          <t>Boston Dynamics</t>
        </is>
      </c>
      <c r="D78" t="inlineStr">
        <is>
          <t>linkedin</t>
        </is>
      </c>
      <c r="E78" t="inlineStr"/>
      <c r="F78" t="inlineStr"/>
      <c r="G78" t="inlineStr">
        <is>
          <t>Waltham, MA</t>
        </is>
      </c>
      <c r="H78" t="inlineStr"/>
      <c r="I78" t="inlineStr">
        <is>
          <t>In this role as a
 **Staff Machine Learning Engineer,** 
 you will have the opportunity to develop Spot’s next generation autonomy capabilities. You will research \&amp; integrate state\-of\-the\-art approaches in the areas of perception, localization and navigation to ensure that our robots can navigate the world robustly and confidently.
**You Will Get To**
* Develop Spot’s next generation localization, mapping, perception and autonomy capabilities and deliver them to the product.
* Apply and develop novel ML\-based approaches to solve complex challenges in semantically\-aware navigation and localization.
* Shape the team's strategy for ML model architectures, datasets, and pipelines to achieve maximum model performance.
* Produce high\-quality, performant code in C\+\+ and Python.
* Design and execute rigorous experiments using both simulated and real\-world robot data to ensure solutions not only achieve state\-of\-the\-art performance but are also robust and computationally efficient in real\-world deployments.
 As a part of the Spot Autonomy Team, you will closely collaborate with other skilled researchers \&amp; engineers who are passionate about Spot’s autonomy capabilities. Being embedded in the broader Spot R\&amp;D team, you will get a chance to further collaborate with other groups and experts from a wide variety of backgrounds.
****To succeed in this role, you should have the following skills and experience****
**Required**
* A Masters degree in Computer Science, Robotics or related field and 3\+ years of professional experience
* A solid understanding of traditional computer vision, robotics and navigation methods (SLAM) and their typical strengths \&amp; shortcomings
* First\-hand experience in Machine Learning and data driven approaches to visual perception problems. A good understanding of recent ML approaches such as LLMs \&amp; ViTs.
* Experience with Machine Learning frameworks (e.g. PyTorch)
* Experienced in writing performant, well\-structured, and testable C\+\+ and Python code
* Be a team player and good communicator, able to work well in a dynamic and collaborative environment
* Have a passion for quality and autonomous robots
**Preferred**
* A PhD in Computer Science, Robotics or related field.
* A strong background in SLAM / factor graphs (e.g. gtsam, g2o, Ceres), and ideally ML\-enhanced navigation, such as semantic SLAM.
* Experience with end\-2\-end semantic navigation approaches.
* A track record of relevant publications or product deliverables.
*The salary or hourly pay range for this position will be clearly stated in the job posting as required by Massachusetts law. The base pay range for this position is between $155,000\.00\- $210,000\.00\. Base pay will depend on multiple individualized factors including, but not limited to internal equity, job related knowledge, skills and experience. This range represents a good faith estimate of compensation at the time of posting. Boston Dynamics offers a generous Benefits package including medical, dental vision, 401(k), paid time off and an annual bonus structure. Additional details regarding these benefit plans will be provided if an employee receives an offer for employment.*</t>
        </is>
      </c>
    </row>
    <row r="79">
      <c r="A79" t="inlineStr">
        <is>
          <t>li-4377564420</t>
        </is>
      </c>
      <c r="B79" t="inlineStr">
        <is>
          <t>AI Engineer</t>
        </is>
      </c>
      <c r="C79" t="inlineStr">
        <is>
          <t>Zone IT Solutions</t>
        </is>
      </c>
      <c r="D79" t="inlineStr">
        <is>
          <t>linkedin</t>
        </is>
      </c>
      <c r="E79" t="inlineStr"/>
      <c r="F79" t="inlineStr"/>
      <c r="G79" t="inlineStr">
        <is>
          <t>Edison, NJ</t>
        </is>
      </c>
      <c r="H79" t="inlineStr"/>
      <c r="I79" t="inlineStr">
        <is>
          <t>We are on the lookout for an innovative and driven
 **AI Engineer** 
 . In this role, you will be responsible for designing, developing, and deploying AI models that will enhance our products and improve our services.
**Requirements**
* Bachelor's or Master's degree in Computer Science, Data Science, or a related field.
* 5\+ years of experience in AI/ML development.
* Strong proficiency in Python, R, or Java.
* Experience with machine learning libraries such as TensorFlow, Keras, or Scikit\-learn.
* Familiarity with data processing tools (e.g., Pandas, NumPy).
* Knowledge of AI model deployment and cloud services (AWS, Google Cloud, Azure).
* Solid understanding of algorithms and data structures.
* Excellent analytical skills and problem\-solving capability.
* Strong communication skills to work effectively with team members and stakeholders.
**Benefits**
**About Us** 
 We specialize in Digital, ERP, and larger IT Services. We offer flexible, efficient and collaborative solutions to any organization that requires IT, experts. Our agile, agnostic, and flexible solutions will help you source the IT Expertise you need. If you are looking for new opportunities, send your profile at Careers.usa@zoneitsolutions.com.
 Also follow our LinkedIn page for new job opportunities and more.
 Zone IT Solutions is an equal opportunity employer and our recruitment process focuses on essential skills and abilities. We encourage applications from a diverse array of backgrounds, including individuals of various ethnicities, cultures, and linguistic backgrounds, as well as those with disabilities.</t>
        </is>
      </c>
    </row>
    <row r="80">
      <c r="A80" t="inlineStr">
        <is>
          <t>li-4374172307</t>
        </is>
      </c>
      <c r="B80" t="inlineStr">
        <is>
          <t>Staff AI Engineer</t>
        </is>
      </c>
      <c r="C80" t="inlineStr">
        <is>
          <t>GoodLeap</t>
        </is>
      </c>
      <c r="D80" t="inlineStr">
        <is>
          <t>linkedin</t>
        </is>
      </c>
      <c r="E80" t="inlineStr"/>
      <c r="F80" t="inlineStr"/>
      <c r="G80" t="inlineStr">
        <is>
          <t>Austin, TX</t>
        </is>
      </c>
      <c r="H80" t="inlineStr"/>
      <c r="I80" t="inlineStr">
        <is>
          <t>**About GoodLeap**
 GoodLeap is a technology company delivering best\-in\-class financing and software products for sustainable solutions, from solar panels and batteries to energy\-efficient HVAC, heat pumps, roofing, windows, and more. Over 1 million homeowners have benefited from our simple, fast, and frictionless technology that makes the adoption of these products more affordable, accessible, and easier to understand. Thousands of professionals deploying home efficiency and solar solutions rely on GoodLeap’s proprietary, AI\-powered applications and developer tools to drive more transparent customer communication, deeper business intelligence, and streamlined payment and operations. Our platform has led to more than $30 billion in financing for sustainable solutions since 2018\.
 GoodLeap is also proud to support our award\-winning nonprofit, GivePower, which is building and deploying life\-saving water and clean electricity systems, changing the lives of more than 1\.6 million people across Africa, Asia, and South America.
 Position Summary
 The Staff Software Engineer will be responsible for building, maintaining, monitoring, and scaling AI products and components in our portfolio. Applying engineering best practices to help ensure a culture of software quality and operational excellence throughout the organization. This role will work directly with Product Managers and other stakeholders to help define the product roadmap and provide input towards the overall technical strategy.
**Essential Job Duties And Responsibilities**
* Collaborate with product, architecture, and design leads to deliver highly\-available, fault\-tolerant products and services.
* Work on significant and unique technical challenges, evaluate and recommend solutions, and guide decision making by considering technical tradeoffs.
* Grasp both the technical and business perspective so you can help drive innovation
* Work autonomously and be self\-disciplined, requiring no supervision or guidance
* Mentor and coach the team members to grow both their technical skills and soft skills.
**Required Skills, Knowledge And Abilities**
* Bachelor's degree
* 7\+ years experience in backend software, ML, or AI engineering
* Highly proficient in ML and AI engineering tools, python/FastAPI, A2A protocol, agent design and evaluation, prompt and context engineering
* Adept with agile software development lifecycle and DevOps principles
* Passion for software development, emerging technologies and culture of innovation
* Excellent communication and interpersonal skills
**Preferred Qualifications**
* Experience with AWS cloud infrastructure, Terraform
* Full\-stack experience building UIs (React/Flutter)
* Statistical \&amp; analysis skills, hypothesis testing, a/b testing, translating technical findings for business stakeholders
 $173,000 \- $200,000 a year
 In addition to the above salary, this role may be eligible for a bonus and equity.
**Additional Information Regarding Job Duties And Job Descriptions**
 Job duties include additional responsibilities as assigned by one's supervisor or other managers related to the position/department. This job description is meant to describe the general nature and level of work being performed; it is not intended to be construed as an exhaustive list of all responsibilities, duties and other skills required for the position. The Company reserves the right at any time with or without notice to alter or change job responsibilities, reassign or transfer job position or assign additional job responsibilities, subject to applicable law. The Company shall provide reasonable accommodations of known disabilities to enable a qualified applicant or employee to apply for employment, perform the essential functions of the job, or enjoy the benefits and privileges of employment as required by the law.
**If you are an extraordinary professional who thrives in a collaborative work culture and values a rewarding career, then we want to work with you! Apply today!**
 We are committed to protecting your privacy. To learn more about how we collect, use, and safeguard your personal information during the application process, please review our
 **Employment Privacy Policy** 
 and
 **Recruiting Policy on AI**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1">
      <c r="A81" t="inlineStr">
        <is>
          <t>li-4374842980</t>
        </is>
      </c>
      <c r="B81" t="inlineStr">
        <is>
          <t>Google ADK AI Engineer</t>
        </is>
      </c>
      <c r="C81" t="inlineStr">
        <is>
          <t>Infosys</t>
        </is>
      </c>
      <c r="D81" t="inlineStr">
        <is>
          <t>linkedin</t>
        </is>
      </c>
      <c r="E81" t="inlineStr"/>
      <c r="F81" t="inlineStr"/>
      <c r="G81" t="inlineStr">
        <is>
          <t>Cupertino, CA</t>
        </is>
      </c>
      <c r="H81" t="inlineStr"/>
      <c r="I81" t="inlineStr">
        <is>
          <t>Infosys is seeking
 **Google ADK AI Engineer.** 
 In this role, you will interface with key stakeholders and apply your technical proficiency across different stages of the Software Development Life Cycle including Requirements Elicitation, Application Architecture definition and Design. You will play an important role in creating the high\-level design artifacts. You will also deliver high quality code deliverables for a module, lead validation for all types of testing and support activities related to implementation, transition, and warranty. You will be part of a learning culture, where teamwork and collaboration are encouraged, excellence is rewarded, and diversity is respected and valued.
**Required Qualifications**
* Bachelor’s degree or foreign equivalent required from an accredited institution. Will also consider three years of progressive experience in the specialty in lieu of every year of education.
* Candidate must be located within commuting distance of Cupertino, CA or be willing to relocate to the area. This position may require travel within the US
* Candidates authorized to work for any employer in the United States without employer\-based visa sponsorship are welcome to apply. Infosys is unable to provide immigration sponsorship for this role at this time
* At least 4 years of Information Technology experience.
* Strong programming skills in Python and applied experience with a range of LLMs.
* Expert in applying and extending AI agent frameworks (Google ADK, LangChain, etc.)
* Hands\-on experience developing, deploying, and operating AI agents in production
* Experience deploying AI systems in large\-scale, hybrid environments with a focus on performance and reliability
* Experience in writing SQL
**Preferred Qualifications**
* A portfolio of deployed agentic systems that have delivered significant, measurable impact.
* Experience in evaluation frameworks for AI agents.
* Proven years of software development or machine learning experience.
* Proven expertise in optimizing AI agents for latency, scalability, and cost.
* Experience in Big data would be an added advantage
* A track record of thought leadership or contributions to the field of agentic AI.
* M.S. or PhD in computer science, machine learning, or a related field or equivalent practical experience
* Good understanding of Agile software development frameworks
* Strong communication and Analytical skills
* Ability to work in teams in a diverse, multi\-stakeholder environment comprising of Business and Technology teams
* Experience and desire to work in a global delivery environment
 The job entails sitting as well as working at a computer for extended periods of time. Should be able to communicate by telephone, email or face to face. Travel may be required as per the job requirements.
 Along with competitive pay, as a full\-time Infosys employee you are also eligible for the following benefits: \-
* Medical/Dental/Vision/Life Insurance
* Long\-term/Short\-term Disability
* Health and Dependent Care Reimbursement Accounts
* Insurance (Accident, Critical Illness, Hospital Indemnity, Legal)
* 401(k) plan and contributions dependent on salary level
* Paid holidays plus Paid Time Off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row>
    <row r="82">
      <c r="A82" t="inlineStr">
        <is>
          <t>li-4374835830</t>
        </is>
      </c>
      <c r="B82" t="inlineStr">
        <is>
          <t>Senior Machine Learning Engineer-EN</t>
        </is>
      </c>
      <c r="C82" t="inlineStr">
        <is>
          <t>CAE</t>
        </is>
      </c>
      <c r="D82" t="inlineStr">
        <is>
          <t>linkedin</t>
        </is>
      </c>
      <c r="E82" t="inlineStr"/>
      <c r="F82" t="inlineStr"/>
      <c r="G82" t="inlineStr">
        <is>
          <t>Arlington, TX</t>
        </is>
      </c>
      <c r="H82" t="inlineStr"/>
      <c r="I82" t="inlineStr">
        <is>
          <t>**Who We Are:** 
* CAE Vision: Our vision is to be the worldwide partner of choice in defense and security, and civil aviation by revolutionizing our customers’ training and critical operations with digitally immersive solutions to elevate safety, efficiency and readiness.
* CAE Defense \&amp; Security Mission: CAE's Defense and Security business unit focuses on helping prepare military customers to develop and maintain the highest levels of mission readiness.
* CAE Values: Empowerment, Innovation, Excellence, Integrity and OneCAE make us who we are and we strive to make a difference in the world while helping each other succeed.
**What We Have to Offer:** 
* Comprehensive and competitive benefits package and flexibility that promotes work\-life balance
* A work environment where all employees are valued, respected and safe
* Freedom to succeed by enabling team members to deliver, take initiatives and make decisions
* Recognition, professional development, advancement and having fun!
**Summary** 
 We are seeking a highly skilled and experienced Machine Learning Engineer to join our growing AI \&amp; Data Science team in R\&amp;D. This role is ideal for someone passionate about solving complex problems using data\-driven approaches and deploying scalable machine learning solutions in production environments. Additionally, this role will focus on designing scalable NLP systems powered by state\-of\-the\-art transformer models, optimizing inference performance, and integrating LLMs into real\-world products. You’ll collaborate with cross\-functional teams to deliver intelligent, language\-driven solutions that enhance user experience and business outcomes. This position is onsite with locations in Tampa FL, Arlington TX, or Orlando FL.
**Essential Duties And Responsibilities**
 Reasonable accommodations may be made to enable individuals with disabilities to perform the essential functions.
* Design, develop, and deploy machine learning models for real\-world applications.
* Build scalable data pipelines and model training workflows using modern tools and frameworks.
* Conduct rigorous model evaluation, validation, and performance tuning.
* Monitor and maintain deployed models, ensuring reliability and accuracy over time.
* Design, fine\-tune, and deploy LLMs (LLaMA, Mistral, etc.) for various NLP tasks such as summarization, question answering, semantic search, and chatbots.
* Develop scalable and efficient model serving infrastructure using tools like ONNX, TensorRT, DeepSpeed, or vLLM.
* Implement retrieval\-augmented generation (RAG) pipelines using vector databases (e.g., FAISS, Weaviate, Pinecone, Milvus).
* Optimize LLM inference for latency, throughput, and cost across cloud and edge environments.
* Collaborate with cross\-functional teams to understand business requirements and translate them into ML solutions.
* Stay current with the latest research and trends in machine learning, AI \&amp; LLMs.
* Mentor junior engineers and contribute to team knowledge sharing.
* Document processes, models, and decisions for transparency and reproducibility.
**Qualifications And Education Requirements**
* Bachelor’s or Master’s degree in Computer Science, Machine Learning, or related field. PhD is a plus.
* 5\+ years of software development experience, with at least 2 years focused on NLP or LLMs.
* Proficiency in ML frameworks (PyTorch, TensorFlow, Scikit\-learn, CUDA).
* Good understanding of distributed systems, understanding of microservice architecture and REST APIs.
* Strong understanding of MLOps tools and practices (MLflow, Airflow, DVC).
* Hands\-on experience with Hugging Face Transformers, LangChain, and OpenAI APIs.
* Technology proficiency with cloud platforms (AWS, GCP, Azure), Linux, and container orchestration (Docker, Kubernetes).
* Proven track record of deploying ML models in production environments.
* Experience in working with SQL/NoSQL database systems such as MySQL, MongoDB or Elasticsearch.
* Due to U.S. Government contract requirements, only U.S. citizens are eligible for this role.
**Preferred Skills**
* Experience with deep learning, NLP, computer vision, or reinforcement learning.
* Experience with feature engineering and model interpretability techniques.
* Knowledge of prompt engineering and prompt optimization strategies.
* Experience with multi\-modal models (e.g., combining text with image or audio inputs).
* Familiarity with distributed training and model parallelism.
* Experience with fine\-tuning LLMs using LoRA, QLoRA, or PEFT techniques is a plus.
* Familiarity with CI/CD pipelines and version control (Git).
* Ability to work in a fast\-paced, agile development environment.
**Security Responsibilities** 
 Must comply with all company security and data protection / usage policies and procedures.  Personally responsible for proper marking and handling of all information and materials, in any form. Shall not divulge any information, or afford access, to other employees not having a need\-to\-know. Shall not divulge information outside company without management approval.  All government and proprietary information will be accessed and stored electronically on company provided resources.
* Incumbent must be eligible for DoD Personal Security Clearance.
**Due to U.S. Government contract requirements, only U.S. citizens are eligible for this role.** 
**Work Environment and Physical Demands**
* Duties performed in an office environment and manufacturing facility.
* Must be able to work overtime on and off\-shifts as required.
* May be required to sit down for long lengths of time.
* May be required to climb stairs.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**CAE USA Inc. is an equal opportunity employer, and all qualified applicants will be considered for employment without regard to any protected characteristic, including disability and protected veteran status, as defined under federal, state, or local laws.** 
**Applicants needing reasonable accommodations should contact their recruiter at any point in the recruitment process.  If you need assistance to submit your application because of incompatible assistive technology or a disability, please contact us at hrops@caemilusa.com**
**About CAE**
*At CAE, our mission is clear: to help make the world a safer place. For nearly 80 years, we’ve driven innovation in simulation, training, and mission readiness to support critical operations worldwide. By leveraging advanced technologies, we empower our customers to operate smarter, faster, and more sustainably. Join a purpose\-driven organization where bold ideas are encouraged, collaboration drives progress, and your growth fuels our shared success.*
**Position Type**
 Regular
**Equal Opportunity Employer**
*CAE is an equal opportunity employer committed to providing equal employment opportunities to all applicants and employees without regard to race, color, national origin, age, religion, sex, disability status, protected veteran status, or any other characteristic protected by federal, state or local laws. At CAE, everyone is welcome to contribute to our success. Applicants needing reasonable accommodations should contact their recruiter at any point in the recruitment process. If you need assistance to submit your application because of incompatible assistive technology or a disability, please contact us at* 
 CAECarrieres\-Careers@cae.com
 *.*
**Data Privacy**
 Privacy Statement \| CAE
*CAE thanks all applicants for their interest. However, only those whose background and experience match the requirements of the role will be contacted.*</t>
        </is>
      </c>
    </row>
    <row r="83">
      <c r="A83" t="inlineStr">
        <is>
          <t>li-4367373684</t>
        </is>
      </c>
      <c r="B83" t="inlineStr">
        <is>
          <t>Lead AI Engineer</t>
        </is>
      </c>
      <c r="C83" t="inlineStr">
        <is>
          <t>Elevance Health</t>
        </is>
      </c>
      <c r="D83" t="inlineStr">
        <is>
          <t>linkedin</t>
        </is>
      </c>
      <c r="E83" t="inlineStr"/>
      <c r="F83" t="inlineStr"/>
      <c r="G83" t="inlineStr">
        <is>
          <t>Mason, OH</t>
        </is>
      </c>
      <c r="H83" t="inlineStr"/>
      <c r="I83" t="inlineStr">
        <is>
          <t>Location: This role requires associates to be
 **in\-office 3 days per week** 
 , fostering collaboration and connectivity, while providing flexibility to support productivity and work\-life balance. This approach combines structured office engagement with the autonomy of virtual work, promoting a dynamic and adaptable workplace. Alternate locations may be considered if candidates reside within commuting distance from an office
 Please note that per our policy on hybrid/virtual work, candidates not within a reasonable commuting distance from the posting location(s) will not be considered for employment, unless an accommodation is granted as required by law.
*PLEASE NOTE: This position is not eligible for current or future visa sponsorship*
 The
 **Lead AI Engineer** 
 will drive the design, development, and deployment of AI solutions in healthcare. This role focuses on building production\-grade, compliant, and trustworthy AI systems that improve healthcare outcomes, operational efficiency, and decision\-making. You will lead AI initiatives end\-to\-end while working closely with clinical, product, data, and engineering teams in a highly regulated environment.
**How You Will Make An Impact**
* Lead the architecture and implementation of AI and Agentic AI solutions for healthcare use cases.
* Design scalable, secure, and compliant AI systems aligned with healthcare regulations.
* Establish standards for model governance, validation, monitoring, and explainability.
* May implement improvements in stability, performance, and scalability across major business\-critical systems.
* May implement processes to reduce barriers and roadblocks in projects, services, and processes in order to operate more efficiently.
* Build, train, and deploy ML and deep learning models using healthcare data (claims, EHR, clinical notes, imaging, etc.).
* Develop data pipelines for structured and unstructured healthcare data.
* Implement APIs and services to serve AI models in production environments.
* Apply and evaluate Generative AI and LLMs for healthcare use cases (clinical summarization, coding support, member engagement, operational automation).
* Develops and defines application scope and objectives and supervises the preparation of technical and/or functional specifications from with programs will be written.
* Performs technical design reviews and code reviews.
* Ensure AI solutions meet HIPAA, PHI, and data privacy requirements.
* Implement responsible AI practices including bias detection, fairness evaluation, and explainability.
* Collaborate with legal, compliance, and security teams on model governance.
* Partner with product managers, clinicians, data scientists, and business stakeholders to translate healthcare needs into AI solutions.
* Identify high\-impact healthcare AI use cases and guide prioritization.
* Communicate complex AI concepts clearly to clinical and non\-technical audiences.
* Owns the technical development environment and works on the Enterprise team.
* Leads multiple or large projects and facilitates large group JAD sessions for requirements, modeling in several disciplines.
* Mentor and guide AI engineers in best practices and healthcare\-specific considerations.
* Review code, models, and architectures.
* Contribute to hiring, onboarding, and building a high\-performing AI team.
**Minimum Requirements**
* Requires an BA/BS degree in Information Technology, Computer Science or related field of study and a minimum of 7 years related experience; multi\-platform, multi\-dimensional experience, and expert level experience with business and technical applications; or any combination of education and experience, which would provide an equivalent background.
**Preferred Skills, Capabilities And Experiences**
* 7\+ years of software engineering experience, with 4\+ years in AI/ML roles.
* Strong expertise in Python and ML frameworks (PyTorch, TensorFlow, scikit\-learn).
* Proven experience deploying AI/ML models into production healthcare environments.
* Solid understanding of:
* Machine learning and deep learning techniques.
* Model evaluation, validation, and monitoring.
* Data pipelines and feature engineering.
* Experience with cloud platforms (AWS, Azure), including secure data handling.
* Familiarity with MLOps practices (CI/CD, model versioning, drift detection).
* Strong understanding of data privacy and security principles.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The health of our associates and communities is a top priority for Elevance Health. We require all new candidates in certain patient/member\-facing roles to become vaccinated against COVID\-19 and Influenza.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Qualified applicants with arrest or conviction records will be considered for employment in accordance with all federal, state, and local laws, including, but not limited to, the Los Angeles County Fair Chance Ordinance and the California Fair Chance Act.</t>
        </is>
      </c>
    </row>
    <row r="84">
      <c r="A84" t="inlineStr">
        <is>
          <t>li-4377518196</t>
        </is>
      </c>
      <c r="B84" t="inlineStr">
        <is>
          <t>Senior Machine Learning Engineer - Azure</t>
        </is>
      </c>
      <c r="C84" t="inlineStr">
        <is>
          <t>Logic20/20, Inc.</t>
        </is>
      </c>
      <c r="D84" t="inlineStr">
        <is>
          <t>linkedin</t>
        </is>
      </c>
      <c r="E84" t="inlineStr"/>
      <c r="F84" t="inlineStr"/>
      <c r="G84" t="inlineStr">
        <is>
          <t>Seattle, WA</t>
        </is>
      </c>
      <c r="H84" t="inlineStr"/>
      <c r="I84" t="inlineStr">
        <is>
          <t>We’re a ten\-time “Best Company to Work For,” where intelligent, talented people come together to do outstanding work—and have a lot of fun while they’re at it. We offer a solution\-focused environment full of collaboration and dedication, to our goals and to each other. You’ll have the opportunity to drive your own success in a supportive, globally connected environment. From advanced tools and technology to an immersive company culture, working at Logic20/20 means working on the leading edge, with a community of the right people around you.
**Job Description**
 Logic20/20 is seeking a Senior Machine Learning Engineer to support data science teams utilizing artificial intelligence and machine learning to predict and analyze computer vision or customer intent models. This is an exciting opportunity to make an impact by leveraging AI and ML techniques to create production\-level systems through the application of machine learning models.
**What you’ll do:**
* Create frameworks to predict a variety of outcomes in different scenarios
* Create models of customer satisfaction that provide detailed insight into what causes a customer to take different actions
* Collaborate with other data scientists and stakeholders on projects
* Develop solutions in Python
* Develop production\-grade solutions
* Work in Hadoop, Redshift, and Spark
* Translate business and product questions into analytics projects
* Communicate clearly over written and oral channels while translating complex methodologies and analytical results into high\-level insights
**Qualifications**
* 5\-10 years of experience in a data science and/or machine learning role with deep expertise in Python.
* Strong experience with Azure, Azure ML, and Terraform.
* Experience building and managing robust CI/CD pipelines for machine learning workflows, including model training, evaluation, and deployment.
* Knowledge of professional enterprise software development and practices, including software lifecycle, best coding practices, version control, architecture, testing, and deployment.
* Familiarity with popular machine learning libraries and frameworks, including TensorFlow, Keras, etc.
* Knowledge of statistics and Machine Learning techniques.
* Experience with GitHub.
* Experience building data pipelines.
**Preferred qualifications**
* Experience with PyTorch.
* Experience developing and deploying image models.
* Master's degree/PhD in computer science or related field.
**Additional Information**
 At Logic20/20, we believe in recognizing and rewarding exceptional talent. Logic20/20 offers a competitive compensation package, with a target base salary range of $125,865 \- $141,150 for this role. The final base salary offered is dependent on factors such as relevant experience, skills, qualifications, and location. Eligible employees may also qualify for performance\-based bonuses and other incentives.
 All your information will be kept confidential according to EEO guidelines.
**Learn more about life at Logic20/20!**
 Visit our Life at Logic page to explore our culture, benefits, and what makes Logic20/20 a great place to grow your career!
**Core Values**
 At Logic20/20, we are guided by three core values: Drive toward Excellence, Act with Integrity \&amp; Foster a Culture of We. These values were generated and agreed upon by our employees—and they help us pursue our goal of being one of the best companies to work for and to work with. Learn more at https://www.logic2020\.com/company/our\-values.
**Equal Opportunity Statement**
 We believe that people should be celebrated: for their talents, ideas, and skills, but most of all, for what makes them unique. We prohibit harassment and/or discrimination based on age, race, creed, color, religion, sex, national origin, ancestry, disability status, veteran status, sexual orientation, gender identity or expression, genetic information, marital status, citizenship status, or any other basis as protected by federal, state, or local law.
 To learn more about our DE\&amp;I initiatives, please visit: https://www.logic2020\.com/company/diversity\-equity\-inclusion
**Privacy Policy**
 During the recruitment and hiring process, we gather, process, and store some of your personal data. We consider data privacy a priority. For further information, please view our company privacy policy.</t>
        </is>
      </c>
    </row>
    <row r="85">
      <c r="A85" t="inlineStr">
        <is>
          <t>li-4377561412</t>
        </is>
      </c>
      <c r="B85" t="inlineStr">
        <is>
          <t>AI/ML Engineer - Remote</t>
        </is>
      </c>
      <c r="C85" t="inlineStr">
        <is>
          <t>Jobgether</t>
        </is>
      </c>
      <c r="D85" t="inlineStr">
        <is>
          <t>linkedin</t>
        </is>
      </c>
      <c r="E85" t="inlineStr"/>
      <c r="F85" t="inlineStr"/>
      <c r="G85" t="inlineStr">
        <is>
          <t>New York, United States</t>
        </is>
      </c>
      <c r="H85" t="inlineStr"/>
      <c r="I85" t="inlineStr">
        <is>
          <t>This position is posted by Jobgether on behalf of a partner company. We are currently looking for a Remote AI/ML Software Engineer. In this role, you will design, build, and deploy secure and scalable software and data systems that directly support mission operations and analytics. As a hands\-on engineer, you will not only enjoy writing code but also the challenge of solving real\-world problems in secure, distributed environments. Your contributions will empower our partner in delivering advanced technology solutions, integrating people and processes to tackle complex challenges effectively. This position is pivotal in advancing the capabilities of mission applications by ensuring reliable and efficient software solutions.
**Accountabilities**
* Design and implement APIs, data pipelines, and simulation runtime logic for mission applications.
* Develop software using modern programming languages such as Java, Python, C\+\+, or TypeScript/Angular.
* Write clean, testable, and maintainable code following secure coding practices.
* Build and integrate modular microservices for improved scalability and maintainability.
* Deploy containerized services using Docker, Kubernetes, and CI/CD pipelines.
* Implement Infrastructure\-as\-Code and automation scripts for rapid deployment.
* Contribute to secure deployments across hybrid or disconnected environments.
* Develop distributed systems and data integration frameworks using message buses like Kafka or Redis.
**Requirements**
* Must be a U.S. citizen and willing to obtain and maintain a security clearance.
* 6\-10\+ years of professional software engineering experience.
* 3\+ years of experience with DevSecOps and Zero\-Trust processes in DoD environments.
* Strong full\-stack or systems engineering background.
* Proficiency in one or more programming languages: Java, Python, C\+\+, or TypeScript/Angular.
* Experience with containerized, cloud\-native solutions using Docker and Kubernetes.
* Complete understanding of distributed systems and message buses.
* Experience developing or integrating analytics and AI models into production systems.
**Benefits**
* Competitive salary and comprehensive benefits package.
* Flexible remote work environment.
* Professional development and training opportunities.
* Contribution to impactful projects in mission\-critical areas.
* Collaborative and supportive team culture.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6">
      <c r="A86" t="inlineStr">
        <is>
          <t>li-4376428577</t>
        </is>
      </c>
      <c r="B86" t="inlineStr">
        <is>
          <t>Data &amp; ML Engineer</t>
        </is>
      </c>
      <c r="C86" t="inlineStr">
        <is>
          <t>EssilorLuxottica</t>
        </is>
      </c>
      <c r="D86" t="inlineStr">
        <is>
          <t>linkedin</t>
        </is>
      </c>
      <c r="E86">
        <f>HYPERLINK("https://www.linkedin.com/jobs/view/4376428577", "https://www.linkedin.com/jobs/view/4376428577")</f>
        <v/>
      </c>
      <c r="F86">
        <f>HYPERLINK("https://careers.essilorluxottica.com/job/Dallas-Data-&amp;-ML-Engineer-TX-75204/1367431833/&amp;urlHash=ND3H", "https://careers.essilorluxottica.com/job/Dallas-Data-&amp;-ML-Engineer-TX-75204/1367431833/&amp;urlHash=ND3H")</f>
        <v/>
      </c>
      <c r="G86" t="inlineStr">
        <is>
          <t>Dallas, TX</t>
        </is>
      </c>
      <c r="H86" t="inlineStr"/>
      <c r="I86" t="inlineStr">
        <is>
          <t>**Requisition I** 
**D:** 
 918774
 **Store \#:** 
 A00152 Tech Srvcs Wholesale DAL\-T
**Position** 
 : Full\-Time
**Total Rewards: Benefits/Incentive Information**
 If you’ve worn a pair of glasses, we’ve already met.
 We are a global leader in the design, manufacture, and distribution of ophthalmic lenses, frames, and sunglasses. We offer our industry stakeholders in over 150 countries access to a global platform of high\-quality vision care products such as the Essilor brand, with Varilux, Crizal, Eyezen, Stellest and Transitions, iconic brands that consumers love such as Ray\-Ban, Oakley, Persol and Oliver Peoples, as well as a network that offers consumers high\-quality vision care and best\-in\-class shopping experiences such as Sunglass Hut, LensCrafters, and Target Optical, and leading e\-commerce platforms.
 Our portfolio of more than 150 renowned brands span various categories, from frames, lenses and instruments to brick and mortar and digital distribution as well as mid\-range to premium segments. Our Shared Services Team, accompany and enable others within the EssilorLuxottica collective to achieve their targets. They keep people and projects running smoothly, ensuring every part of our business is provided for and well taken care of.
 Join our global community of over 200,000 dedicated employees around the world in driving the transformation of the eyewear and eyecare industry. Discover more by following us on LinkedIn!
**GENERAL FUNCTION**
 The Data \&amp; ML Engineer designs, builds, and operates scalable, secure, and reliable data and machine learning platforms primarily on Azure, with exposure to AWS and GCP when applicable. This role requires expertise in Python or Scala, data processing frameworks (e.g., Spark), and container orchestration tools like Kubernetes. Strong proficiency in CI/CD, DevOps, and MLOps is essential to support the deployment and operationalization of analytics and AI solutions. The role partners closely with Applied Data Scientists to enable production‑ready models and robust engineering foundations.
**Major Duties And Responsibilities**
* Design, develop, and operate large\-scale data ingestion, transformation, and storage pipelines
* Manage ML infrastructure and CI/CD, DevOps, and MLOps pipelines for model training and deployment
* Optimize platform performance, reliability, cost, and availability
* Ensure data security, governance, and regulatory compliance
* Collaborate with Applied Data Scientists to productionize models
* Design ETL/ELT workflows using Azure Data Factory and orchestration tools
* Structure Lakehouse, Data Lake, and Synapse environments for scalable analytics
* Organize data formats, schemas, and versioning (Delta, Parquet, JSON, CSV)
* Build reusable pipelines and ML components to accelerate delivery
* Implement monitoring, logging, and alerting for data and ML pipelines
* Champion best practices for scalable data and ML platforms
* Drive automation and infrastructure\-as\-code approaches
* Guide solution design for performance, resilience, and cost efficiency
* Lead troubleshooting and root\-cause analysis for pipeline issues
* Mentor engineers in cloud\-native, big data, and MLOps practices
**Basic Qualifications**
* Bachelor’s degree in Computer Science, Engineering, or related field
* Experience as a Data Engineer, ML Engineer, or Platform Engineer
* Strong hands on experience with Azure and big data platforms
* Proficiency in Python, SQL, Scala, and scripting languages
* Experience building production grade data pipelines
* Ability to independently deliver complex data and ML engineering solutions
**Preferred Qualifications**
* Master’s degree in related discipline
* Experience with Azure Databricks, Spark, Synapse, MLFlow
* Experience with Docker, AKS, APIs, and containerized ML workloads
* Experience with Azure Data Factory or Airflow
* Exposure to SAP CDC and enterprise data integration
* Experience in agile, fast paced, cross functional environments
* Strong ownership and independence
* Ability to translate analytical needs into scalable engineering solutions
* Strong collaboration skills with data scientists and business teams
* Excellent problem solving and troubleshooting capabilities
* Focus on reliability, scalability, and operational excellence
 This posting is for an existing vacancy within our business. Employee pay is determined by multiple factors, including geography, experience, qualifications, skills and local minimum wage requirements. In addition, you may also be offered a competitive bonus and/or commission plan, which complements a first\-class total rewards package. Benefits may include health care, retirement savings, paid time off/vacation, and various employee discounts.
 EssilorLuxottica complies with all applicable laws related to the application and hiring process. If you would like to provide feedback regarding an active job posting, or if you are an individual with a disability who would like to request a reasonable accommodation, please call the EssilorLuxottica SpeakUp Hotline at 844\-303\-0229 (be sure to provide your name, job id number, and contact information so that we may follow up in a timely manner) or email HRCompliance@luxotticaretail.com .
 We are an Equal Opportunity Employer.  All qualified applicants will receive consideration for employment without regard to race, color, gender, national origin, social origin, social condition, being perceived as a victim of domestic violence, sexual aggression or stalking, religion, age, disability, sexual orientation, gender identity or expression, citizenship, ancestry, veteran or military status, marital status, pregnancy (including unlawful discrimination on the basis of a legally protected pregnancy or maternity leave), genetic information or any other characteristics protected by law. Native Americans in the US receive preference in accordance with Tribal Law.</t>
        </is>
      </c>
    </row>
    <row r="87">
      <c r="A87" t="inlineStr">
        <is>
          <t>li-4377511643</t>
        </is>
      </c>
      <c r="B87" t="inlineStr">
        <is>
          <t>Entry Level- Data Scientist- ML -GenAI Engineer (5 of 6 positions)</t>
        </is>
      </c>
      <c r="C87" t="inlineStr">
        <is>
          <t>Capgemini</t>
        </is>
      </c>
      <c r="D87" t="inlineStr">
        <is>
          <t>linkedin</t>
        </is>
      </c>
      <c r="E87">
        <f>HYPERLINK("https://www.linkedin.com/jobs/view/4377511643", "https://www.linkedin.com/jobs/view/4377511643")</f>
        <v/>
      </c>
      <c r="F87">
        <f>HYPERLINK("https://www.capgemini.com/jobs/396218-en_GB_SAPBTP/Entry-Level\u002d\u002dData-Scientist\u002d\u002dML\u002d\u002dGenAI-Engineer-(5-of-6-positions)&amp;urlHash=-pZf", "https://www.capgemini.com/jobs/396218-en_GB_SAPBTP/Entry-Level\u002d\u002dData-Scientist\u002d\u002dML\u002d\u002dGenAI-Engineer-(5-of-6-positions)&amp;urlHash=-pZf")</f>
        <v/>
      </c>
      <c r="G87" t="inlineStr">
        <is>
          <t>Bellevue, WA</t>
        </is>
      </c>
      <c r="H87" t="inlineStr"/>
      <c r="I87"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**About the job you’re considering** 
 :
 The Data Scientist / ML Engineer will demonstrate excellent knowledge of ML algorithms (e.g., Linear Regression, Logistic Regression, Clustering/Segmentation, Decision Tree, Random Forest, GBM, DNN, Naive Bayes, Support Vector Machine, etc.) to lead efforts, teams, projects, and engage with customers.
**About The Role**
* Responsible for developing and implementing AI\-assisted marketing analytics solutions that address customer needs using data science and machine learning.
* Work closely with multi\-functional teams to deliver innovative solutions that drive business growth and improve customer engagement.
**Job Description \- Grade Specific**
**Your Roles \&amp; Responsibilities:**
* Design, implement, and optimize machine learning models (supervised, unsupervised, and reinforcement learning).
* Work on projects involving NLP, computer vision, recommendation systems, and predictive analytics.
* Perform feature engineering, data preprocessing, and model selection.
* Collaborate with Data Engineers to acquire and preprocess large datasets.
* Build and maintain data pipelines to support model training, testing, and deployment.
* Ensure data quality, consistency, and reliability.
* Deploy ML models into production environments using CI/CD and MLOps practices.
* Monitor model performance, retrain models, and manage model versioning.
* Optimize inference performance and resource utilization.
* Stay current with emerging ML/AI technologies, frameworks, and research.
* Evaluate new algorithms, tools, and libraries to improve model performance.
* Experiment with novel approaches to solve complex business problems.
* Work with software engineers, data scientists, and product managers to integrate ML solutions into applications.
* Mentor junior engineers and share best practices in ML development and deployment.
 The base compensation range for this role in the posted location is:$46,400 to $111,090\.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88">
      <c r="A88" t="inlineStr">
        <is>
          <t>li-4369694465</t>
        </is>
      </c>
      <c r="B88" t="inlineStr">
        <is>
          <t>Software/AI Engineer (New Grad)</t>
        </is>
      </c>
      <c r="C88" t="inlineStr">
        <is>
          <t>FurtherAI</t>
        </is>
      </c>
      <c r="D88" t="inlineStr">
        <is>
          <t>linkedin</t>
        </is>
      </c>
      <c r="E88">
        <f>HYPERLINK("https://www.linkedin.com/jobs/view/4369694465", "https://www.linkedin.com/jobs/view/4369694465")</f>
        <v/>
      </c>
      <c r="F88">
        <f>HYPERLINK("https://jobs.ashbyhq.com/furtherai/282de7b6-0117-4e7a-b1f6-c2d256af4a47/application?utm_source=OewnN6E9dj&amp;source=Linkedin&amp;urlHash=pMQn", "https://jobs.ashbyhq.com/furtherai/282de7b6-0117-4e7a-b1f6-c2d256af4a47/application?utm_source=OewnN6E9dj&amp;source=Linkedin&amp;urlHash=pMQn")</f>
        <v/>
      </c>
      <c r="G88" t="inlineStr">
        <is>
          <t>San Francisco, CA</t>
        </is>
      </c>
      <c r="H88" t="inlineStr"/>
      <c r="I88" t="inlineStr">
        <is>
          <t>**About FurtherAI**
 At FurtherAI, we’re building the next generation of AI agents for the insurance industry \- a trillion\-dollar market ready for transformation.
 We’ve raised more than
 **$30M from top investors (Andreesen Horowitz, YC, Nexus, South Park Commons, Converge)** 
 and have grown 10x in revenue this year alone. Our customers include some of the largest names in insurance (we recently closed a top 5 insurance company in the world), and our team combines deep AI expertise with proven company\-building experience.
 Now, we’re looking for an exceptional
 **Software/AI Engineer (New Grad)** 
 to join our early team and help shape both our product and culture.
**About The Role**
 We’re looking for a
 **Software / AI Engineer (New Grad)** 
 to join our engineering team and help build the foundation of FurtherAI’s
 **AI Workspace for Insurance** 
 .
 In this role, you’ll work on end\-to\-end product features spanning AI model integration, data processing pipelines, and scalable backend systems. You’ll collaborate closely with senior engineers, AI researchers, and founders to bring real\-world insurance workflows to life — transforming how underwriters, claims adjusters, and brokers get work done.
 This is a rare opportunity to join a technical, high\-performing early team and grow quickly alongside the company.
**Why Join FurtherAI?**
**High Impact:** 
 Work on technology that’s redefining how AI powers the modern insurance enterprise.
**Hands\-On Learning:** 
 Collaborate directly with senior engineers, AI scientists, and founders building real applied AI.
**Mission\-Driven:** 
 Help modernize one of the world’s most complex industries with practical, explainable AI.
**Early Team:** 
 Gain full visibility into product, research, and customer impact — shaping the foundation of our
 **AI Workspace for Insurance** 
 as we scale.
**Responsibilities:**
* Develop, test, and deploy production\-level code across our backend and AI systems.
* Collaborate with AI researchers to integrate and optimize large language models for insurance workflows.
* Build data processing and evaluation pipelines for unstructured document inputs (PDFs, emails, images).
* Contribute to core infrastructure, from APIs to orchestration logic powering our AI Workspace for Insurance.
* Work cross\-functionally with product and customer teams to identify and solve real business problems with AI.
* Participate in design reviews, code reviews, and rapid iteration cycles.
**You Might Be a Fit if You:**
* Are a recent CS, EE, or related STEM graduate (Bachelor’s or Master’s) with a strong foundation in software engineering.
* Have hands\-on experience with Python, TypeScript/JavaScript, or similar modern languages.
* Understand or are excited to learn about large language models (LLMs), NLP, or applied AI systems.
* Are curious, resourceful, and comfortable working in fast\-moving, ambiguous environments.
* Want to see your code drive visible impact in the real world — not just in research.
**Bonus:**
* Previous internship or project experience in AI/ML or full\-stack development.
* Experience working with frameworks like PyTorch, LangChain, or FastAPI.
* Interest in insurance, fintech, or other regulated industries.
**Tech Stack \-** 
 Python, FastAPI, TypeScript, Next.js, React, PostgreSQL, AWS, LangChain, OpenAI API
**Compensation And Benefits**
* Fully covered, best\-in\-class health, dental, and vision benefits
* Competitive Compensation, meaningful stock options, company 401(k)
* Unlimited PTO
* Outstanding in\-office culture in the heart of San Francisco
* Lunch and dinner onsite
* Team events, such as happy hours and off\-sites
* Pre\-tax Commuter benefits
 Compensation Range: $125K \- $165K</t>
        </is>
      </c>
    </row>
    <row r="89">
      <c r="A89" t="inlineStr">
        <is>
          <t>li-4377533944</t>
        </is>
      </c>
      <c r="B89" t="inlineStr">
        <is>
          <t>Junior AI/ML Engineer (Remote)</t>
        </is>
      </c>
      <c r="C89" t="inlineStr">
        <is>
          <t>Lensa</t>
        </is>
      </c>
      <c r="D89" t="inlineStr">
        <is>
          <t>linkedin</t>
        </is>
      </c>
      <c r="E89">
        <f>HYPERLINK("https://www.linkedin.com/jobs/view/4377533944", "https://www.linkedin.com/jobs/view/4377533944")</f>
        <v/>
      </c>
      <c r="F89" t="inlineStr"/>
      <c r="G89" t="inlineStr">
        <is>
          <t>Boston, MA</t>
        </is>
      </c>
      <c r="H89" t="inlineStr"/>
      <c r="I8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FocusKPI Inc.. Clicking "Apply Now" or "Read more" on Lensa redirects you to the job board/employer site. Any information collected there is subject to their terms and privacy notice.
 Location: Remote (EST preferred)
 Type: Paid Internship or Contract (Full\-time)
 Start Date: Immediate
 Role Overview
 We are seeking a Junior AI/ML Engineer to support the development of an enterprise AI chatbot and data intelligence system. This role will focus on building interactive AI agents that connect to enterprise databases, generate insights, and support decision\-making.
 The position includes hands\-on work in both LLM\-based chatbot/agent development and machine learning , including building prediction models and integrating them into production workflows. This is a client\-facing technical role requiring strong coding ability, analytical thinking, and the ability to work in a fast\-paced environment.
 Key Responsibilities
* Develop and deploy AI chatbot/agent solutions for enterprise use cases
* Integrate LLM\-based agents with structured and unstructured enterprise data
* Connect chat interfaces to SQL/enterprise databases and internal APIs
* Build and integrate machine learning models (prediction, classification, clustering, etc.)
* Perform data preprocessing, feature engineering, and model evaluation
* Integrate ML outputs into chatbot or workflow interfaces
* Support data pipeline development and automation
* Collaborate with internal team and occasionally clients to understand requirements
* Document model logic, workflows, and implementation details
**Required Qualifications**
* Bachelor’s or Master’s degree in Computer Science, Data Science, Statistics, Engineering, or related quantitative field
* Strong Python programming skills
* Hands\-on experience with machine learning (regression, classification, clustering, or similar)
* Familiarity with ML libraries such as scikit\-learn, pandas, numpy, or similar
* Experience working with databases (SQL, PostgreSQL, or similar)
* Familiarity with LLM APIs (OpenAI, Claude, or open\-source models)
* Experience building APIs or backend services (FastAPI, Flask, or similar)
* Strong analytical and problem\-solving skills
* Ability to work independently and communicate clearly
**Preferred Qualifications**
* Graduate degree or currently pursuing MS in AI, Data Science, or related field
* Experience with agent frameworks (LangChain, LlamaIndex, LangGraph, CrewAI, etc.)
* Experience deploying or integrating ML models into applications
* Knowledge of vector databases or embeddings
* Familiarity with AWS, GCP, or Azure
* Prior internship or project experience building AI/ML applications
 How to Apply
 Please submit the following to danz@focuskpi.com :
* Resume
* GitHub or portfolio that includes at least one agentic or AI chatbot project
* A short written explanation (3–6 paragraphs) of one project, including:
* What problem the agent/chatbot solves
* Architecture and tools used (LLM, framework, database, etc.)
* Your specific contribution
* Challenges encountered and how you solved them
 Candidates without project examples or explanation will not be considered.
 Immediate start preferred.
 NOTICE: Please be aware of fraudulent emails regarding job postings, job offers and fake checks. FocusKPI's recruiting team will strictly reach out via @focuskpi.com email domain. If you have received fraudulent emails now or in the past, please report it to https://reportfraud.ftc.gov/ . The domain @focuskpijobs.com is fraudulent and not related to FocusKPI. Please do not not reply or communicate to anyone with @focuskpijobs.com.
 Powered by JazzHR
 If you have questions about this posting, please contact support@lensa.com</t>
        </is>
      </c>
    </row>
    <row r="90">
      <c r="A90" t="inlineStr">
        <is>
          <t>li-4333355314</t>
        </is>
      </c>
      <c r="B90" t="inlineStr">
        <is>
          <t>Machine Learning Engineer</t>
        </is>
      </c>
      <c r="C90" t="inlineStr">
        <is>
          <t>Robert Half</t>
        </is>
      </c>
      <c r="D90" t="inlineStr">
        <is>
          <t>linkedin</t>
        </is>
      </c>
      <c r="E90">
        <f>HYPERLINK("https://www.linkedin.com/jobs/view/4333355314", "https://www.linkedin.com/jobs/view/4333355314")</f>
        <v/>
      </c>
      <c r="F90" t="inlineStr"/>
      <c r="G90" t="inlineStr">
        <is>
          <t>El Segundo, CA</t>
        </is>
      </c>
      <c r="H90" t="inlineStr"/>
      <c r="I90" t="inlineStr">
        <is>
          <t>**Title:** 
 3D Machine Learning Engineer
**Location:** 
 Hybrid – El Segundo, CA
**Compensation:** 
 Up to $190,000 DOE \+ benefits
 We’re seeking a
 **3D Machine Learning Engineer** 
 to join our innovative R\&amp; D team developing cutting\-edge vision systems and AI\-driven 3D modeling solutions. This hybrid role in
 **El Segundo** 
 offers the opportunity to work on challenging projects at the intersection of
 **computer vision, deep learning, and image processing** 
 .
**Responsibilities** 
* Design, train, and optimize deep learning models using
 **TensorFlow** 
 and
 **Python** 
 for 2D and 3D visual data.
* Develop algorithms for
 **3D reconstruction** 
 ,
 **object recognition** 
 , and
 **scene understanding** 
 .
* Implement and evaluate models for
 **image segmentation** 
 ,
 **depth estimation** 
 , and
 **motion tracking** 
 .
* Collaborate with multidisciplinary teams of engineers and researchers to deploy models into production environments.
* Contribute to data preprocessing, augmentation, and model performance evaluation.
 For immediate consideration, direct message Reid Gormly on LinkedIN Today and Apply now
**Qualifications** 
* **Bachelor’s degree** 
 in Computer Science, Engineering, Mathematics, or related STEM field.
* **2\+ years** 
 of professional experience in
 **machine learning** 
 or
 **computer vision** 
 .
* Strong programming skills in
 **Python** 
 and experience with
 **TensorFlow** 
 (PyTorch a plus).
* Hands\-on experience with
 **2D/3D image processing** 
 ,
 **feature extraction** 
 , and
 **geometric modeling** 
 .
* Familiarity with 3D data formats (e.g., point clouds, meshes, depth maps) and visualization tools.
* Excellent problem\-solving skills and ability to work in a collaborative environment.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Robert Half will consider for employment qualified applicants with arrest or conviction records in accordance with the Los Angeles County Fair Chance Ordinance for Employers and the California Fair Chance Act.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t>
        </is>
      </c>
    </row>
    <row r="91">
      <c r="A91" t="inlineStr">
        <is>
          <t>li-4377556114</t>
        </is>
      </c>
      <c r="B91" t="inlineStr">
        <is>
          <t>Applied Machine Learning Engineer</t>
        </is>
      </c>
      <c r="C91" t="inlineStr">
        <is>
          <t>Jack &amp; Jill</t>
        </is>
      </c>
      <c r="D91" t="inlineStr">
        <is>
          <t>linkedin</t>
        </is>
      </c>
      <c r="E91">
        <f>HYPERLINK("https://www.linkedin.com/jobs/view/4377556114", "https://www.linkedin.com/jobs/view/4377556114")</f>
        <v/>
      </c>
      <c r="F91">
        <f>HYPERLINK("https://jackandjill.ai/jack/job-listing?utm_source=job_listing&amp;utm_medium=job_board&amp;utm_campaign=be47def5-2937-4aaa-be1c-cb6be882202a&amp;urlHash=aW1m", "https://jackandjill.ai/jack/job-listing?utm_source=job_listing&amp;utm_medium=job_board&amp;utm_campaign=be47def5-2937-4aaa-be1c-cb6be882202a&amp;urlHash=aW1m")</f>
        <v/>
      </c>
      <c r="G91" t="inlineStr"/>
      <c r="H91" t="inlineStr"/>
      <c r="I91" t="inlineStr">
        <is>
          <t>This is a job that Jill, our AI Recruiter, is recruiting for on behalf of one of our customers.
 She will pick the best candidates from Jack's network
 The next step is to speak to Jack.
 Applied Machine Learning Engineer
**Company Description:** 
 Fast\-growing AI startup
**Job Description:** 
 Join a high\-velocity team focused on solving complex technical challenges through applied machine learning. You will develop and deploy models that bridge the gap between theoretical research and production\-grade products. This role offers the opportunity to work alongside intelligent problem solvers in a collaborative environment where cross\-disciplinary expertise is highly valued.
**Location:** 
 San Francisco, USA
**Why this role is remarkable:** 
* Work on cutting\-edge applications involving computer vision, graph theory, and symbolic AI in a fast\-paced environment.
* Join a well\-funded organization backed by top\-tier VCs at a pivotal stage of their product evolution.
* Benefit from a culture that values diverse backgrounds in math, physics, and science alongside traditional computer science.
**What you will do:** 
* Design and implement scalable machine learning models to solve real\-world technical problems.
* Collaborate with engineering teams to integrate AI capabilities into production\-ready software systems.
* Experiment with symbolic AI and graph theory to enhance the intelligence of existing platforms.
**The ideal candidate:** 
* Has zero to seven years of experience with a strong background in an early\-stage startup environment.
* Possesses applied exposure to computer vision, graph theory, or symbolic AI frameworks.
* Holds a degree in a quantitative field such as Computer Science, Mathematics, Physics, or Engineering.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**Next steps** 
 Step 1\. Visit
 **our website** 
 .
 Step 2\. Click
 **'Talk to Jack'** 
 .
 Step 3\. Talk to Jack so he can understand your experience and ambitions.
 Step 4\. Jack will make sure Jill (the AI agent working for the company) considers you for this role.
 Step 5\. If Jill thinks you're a great fit and her client wants to meet you, they will make the introduction.
 Step 6\. If not, Jack will find you excellent alternatives. All for free.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t>
        </is>
      </c>
    </row>
    <row r="92">
      <c r="A92" t="inlineStr">
        <is>
          <t>li-4376471407</t>
        </is>
      </c>
      <c r="B92" t="inlineStr">
        <is>
          <t>Machine Learning Engineer</t>
        </is>
      </c>
      <c r="C92" t="inlineStr">
        <is>
          <t>Insight Global</t>
        </is>
      </c>
      <c r="D92" t="inlineStr">
        <is>
          <t>linkedin</t>
        </is>
      </c>
      <c r="E92">
        <f>HYPERLINK("https://www.linkedin.com/jobs/view/4376471407", "https://www.linkedin.com/jobs/view/4376471407")</f>
        <v/>
      </c>
      <c r="F92" t="inlineStr"/>
      <c r="G92" t="inlineStr">
        <is>
          <t>San Jose, CA</t>
        </is>
      </c>
      <c r="H92" t="inlineStr"/>
      <c r="I92" t="inlineStr">
        <is>
          <t>**Title** 
 : Machine Learning (ML) Engineer
**Location** 
 : San Jose, CA
**Compensation** 
 : Up to $130,000
**Job Description** 
 Insight Global is looking for a ML Engineer to join a growing client's team to cover a variety of responsibilities:
* Build and evaluate ML models such as classification, regression, anomaly detection and time series
* Perform feature engineering and exploratory analysis on semiconductor datasets
* Support model deployment with senior ML staff
* Assist with model monitoring and documentation
* Experiment with modern analytics and LLM techniques
* Data Engineering Support: Help build and maintain ETL or ELT pipelines, perform data quality checks and validation, and Ensure data accessibility across cloud or on premise environments
* Cross Functional Collaboration
**Required Skills \&amp; Experience** 
* Strong Python proficiency
* Experience with ML modeling using Scikit learn, TensorFlow or PyTorch
* Hands on work with Pandas and NumPy
* Exposure to data engineering concepts like ETL or ELT
* Basic understanding of APIs
* Experience with Docker or other container tools
* Comfort in Linux environments
* Experience with dashboards like Power BI, Tableau or Dash
**Education** 
 :
* BS or MS in CS, Data Science, Engineering, Applied Math or similar
* Project, internship or coursework based ML experience
**Nice to Have Skills \&amp; Experience** 
 • Experience with cloud platforms
 • Exposure to MLOps tools like MLflow, Kubeflow or W\&amp;B
 • Experience with time series modeling or anomaly detection
 • Semiconductor data experience
 • Understanding of model monitoring or retraining workflows
 • Familiarity with SQL or dbt
 •Any experience with workflow orchestration tools like Airflow or Prefect</t>
        </is>
      </c>
    </row>
    <row r="93">
      <c r="A93" t="inlineStr">
        <is>
          <t>li-4376455995</t>
        </is>
      </c>
      <c r="B93" t="inlineStr">
        <is>
          <t>Machine Learning Engineer III - Generative AI - Windreich Department of Artificial Intelligence &amp; Human Health Research</t>
        </is>
      </c>
      <c r="C93" t="inlineStr">
        <is>
          <t>Mount Sinai Health System</t>
        </is>
      </c>
      <c r="D93" t="inlineStr">
        <is>
          <t>linkedin</t>
        </is>
      </c>
      <c r="E93">
        <f>HYPERLINK("https://www.linkedin.com/jobs/view/4376455995", "https://www.linkedin.com/jobs/view/4376455995")</f>
        <v/>
      </c>
      <c r="F93" t="inlineStr"/>
      <c r="G93" t="inlineStr">
        <is>
          <t>New York, NY</t>
        </is>
      </c>
      <c r="H93" t="inlineStr"/>
      <c r="I93" t="inlineStr">
        <is>
          <t>**Description**
 The Windreich Department of AI \&amp; Human Health is rapidly advancing the use of technology to improve health outcomes and is at the forefront of AI implementation within the Mount Sinai Health.
 Machine Learning Engineer III will oversee the design and development of sophisticated machine learning systems. They will collaborate closely with cross\-functional teams to drive innovation and ensure the successful implementation of machine learning solutions.
**Responsibilities**
**End\-to\-End System Responsibility:**
* Assume complete ownership of the entire machine learning system development process.
* Coordinate closely with other team members and other engineering teams to ensure seamless integration and alignment with broader organizational goals and workflows.
* Lead the collaborative efforts with cross\-functional teams, including data scientists and product managers, to ensure the successful deployment and robust maintenance of machine learning models.
* Oversee the continuous monitoring and timely updating of deployed models to guarantee enduring performance and reliability.
**Technical Leadership**
* Exhibit technical leadership and mentorship to Machine Learning Engineer I, II, and other team members.
* Encourage knowledge exchange and promote professional growth within the team.
* Establish and enforce best practices for machine learning system development, including coding standards, code reviews, and comprehensive documentation.
* Serve as the primary contact for technical inquiries related to machine learning within the team, providing expert guidance and solutions.
**Problem\-Solving**
* Utilize advanced problem\-solving skills to navigate and resolve complex technical challenges and obstacles.
* Foster a collaborative environment for brainstorming and implementing effective solutions with the team and other departments.
**Research And Development**
* Remain up\-to\-date with the latest advancements and trends in the fields of software engineering and machine learning.
* Conduct proactive research to uncover new methods and techniques applicable to future projects.
* Lead initiatives to explore, test, and implement new technologies and frameworks, ensuring the team is always at the forefront of industry innovations.
**Collaboration And Communication**
* Engage in effective communication and collaboration across various teams within the organization to ensure alignment and coordination in the execution of machine learning projects.
* Facilitate transparent and timely communication with all relevant stakeholders, ensuring that all are kept informed of project statuses, challenges, and achievements.
* Work collaboratively with cross\-functional teams, fostering a cooperative environment for the seamless integration of machine learning systems into diverse organizational processes and workflows.
* Contribute to building strong interdepartmental relationships, enabling the efficient exchange of knowledge and expertise, and ensuring the successful realization of machine learning initiatives.
**Additional Responsibilities**
* Develop and maintain project work plans, including critical tasks, milestones, timelines, interdependencies, and contingencies. Tracks and reports progress. Keeps stakeholders apprised of project status and implications for completion.
* Prepare clear, well\-organized project\-specific documentation, including, at a minimum, analytic methods used, key decision points and caveats, with sufficient detail to support comprehension and replication.
* Mentor other analysts on how to a) determine appropriate statistical analysis methods, b) leverage appropriate programing languages and tools, and c) generate and interpret statistical analysis outputs.
* Share development and process knowledge with other analysts in order to assure redundancy and continuously builds a core of analytical strength within the organization.
* Adheres to corporate standards for performance metrics, data collection, data integrity, query design, and reporting format to ensure high quality, meaningful analytic output.
* Works closely with IT on the ongoing improvement of Mount Sinai’s integrated data warehouse, driven by strategic and business needs, and designed to ensure data and reporting consistency throughout the organization.
* Demonstrates advanced level proficiency with the principles and methodologies of process improvement. Applies these in the execution of responsibilities in support of a process focused approach.
* Other duties as assigned.
**Qualifications**
* Bachelor’s degree in Computer Science, Data Science, or a related field.
* 4\+ years of relevant experience in machine learning and back\-end software development.
* Demonstrated end\-to\-end machine learning system development and operation experience, covering the complete Software Development Life Cycle (SDLC).
* Proficiency in multiple programming languages and machine learning frameworks and tools.
* Solid experience with both SQL and NoSQL databases.
* Extensive experience with Big Data technologies like Apache Spark.
* Hands\-on experience in Unix environments.
* Practical knowledge and experience with at least one cloud system among AWS, Azure, or Google Cloud.
* Familiarity with continuous development and integration systems such as Jenkins, Git, Azure DevOps, and Terraform.
* A proven history in developing, deploying, and operating efficient and reliable machine learning systems.
* Strong leadership and effective communication skills to facilitate cross\-functional collaboration throughout the organization.
* Experience in providing mentorship
**Employer Description**
**Strength through Unity and Inclusion**
 The Mount Sinai Health System is committed to fostering an environment where everyone can contribute to excellence. We share a common dedication to delivering outstanding patient care. When you join us, you become part of Mount Sinai’s unparalleled legacy of achievement, education, and innovation as we work together to transform healthcare. We encourage all team members to actively participate in creating a culture that ensures fair access to opportunities, promotes inclusive practices, and supports the success of every individual.
 At Mount Sinai, our leaders are committed to fostering a workplace where all employees feel valued, respected, and empowered to grow. We strive to create an environment where collaboration, fairness, and continuous learning drive positive change, improving the well\-being of our staff, patients, and organization. Our leaders are expected to challenge outdated practices, promote a culture of respect, and work toward meaningful improvements that enhance patient care and workplace experiences. We are dedicated to building a supportive and welcoming environment where everyone has the opportunity to thrive and advance professionally. Explore this opportunity and be part of the next chapter in our history.
**About The Mount Sinai Health System**
 Mount Sinai Health System is one of the largest academic medical systems in the New York metro area, with more than 48,000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 medical and emotional needs at the center of all treatment. The Health System includes more than 9,000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top 5 in Cardiology/Heart Surgery, and top 20 in Diabetes/Endocrinology, Gastroenterology/GI Surgery, Neurology/Neurosurgery, Orthopedics, Pulmonology/Lung Surgery, Rehabilitation, and Urology. New York Eye and Ear Infirmary of Mount Sinai is ranked No. 12 in Ophthalmology. U.S. News \&amp; World Report’s “Best Children’s Hospitals” ranks Mount Sinai Kravis Children's Hospital among the country’s best in several pediatric specialties. The Icahn School of Medicine at Mount Sinai is ranked No. 11 nationwide in National Institutes of Health funding and in the 99th percentile in research dollars per investigator according to the Association of American Medical Colleges. Newsweek’s “The World’s Best Smart Hospitals” ranks The Mount Sinai Hospital as No. 1 in New York and in the top five globally, and Mount Sinai Morningside in the top 20 globally.
**Equal Opportunity Employer**
 The Mount Sinai Health System is an equal opportunity employer, complying with all applicable federal civil rights laws. We do not discriminate, exclude, or treat individuals differently based on race, color, national origin, age, religion, disability, sex, sexual orientation, gender, veteran status, or any other characteristic protected by law. We are deeply committed to fostering an environment where all faculty, staff, students, trainees, patients, visitors, and the communities we serve feel respected and supported. Our goal is to create a healthcare and learning institution that actively works to remove barriers, address challenges, and promote fairness in all aspects of our organization.
**Compensation**
 The Mount Sinai Health System (MSHS) provides salary ranges that comply with the New York City Law on Salary Transparency in Job Advertisements. The salary range for the role is $132000 \- $198065 Annually. Actual salaries depend on a variety of factors, including experience, education, and operational need. The salary range or contractual rate listed does not include bonuses/incentive, differential pay or other forms of compensation or benefits.</t>
        </is>
      </c>
    </row>
    <row r="94">
      <c r="A94" t="inlineStr">
        <is>
          <t>li-4375696590</t>
        </is>
      </c>
      <c r="B94" t="inlineStr">
        <is>
          <t>Machine Learning Engineer</t>
        </is>
      </c>
      <c r="C94" t="inlineStr">
        <is>
          <t>NeerInfo Solutions</t>
        </is>
      </c>
      <c r="D94" t="inlineStr">
        <is>
          <t>linkedin</t>
        </is>
      </c>
      <c r="E94">
        <f>HYPERLINK("https://www.linkedin.com/jobs/view/4375696590", "https://www.linkedin.com/jobs/view/4375696590")</f>
        <v/>
      </c>
      <c r="F94" t="inlineStr"/>
      <c r="G94" t="inlineStr">
        <is>
          <t>Richardson, TX</t>
        </is>
      </c>
      <c r="H94" t="inlineStr"/>
      <c r="I94" t="inlineStr">
        <is>
          <t>**Job Title: ML Engineer** 
**Location: Richardson, TX (Onsite)** 
**Job type: full\-time** 
 Job Description
 We are seeking a ML Engineer with expertise in Computer Vision, Edge AI deployment, GCP cloud services, and retail domain workflows. Candidate will be responsible for designing scalable ML pipelines, optimizing CV models for edge devices, and operationalizing AI solutions in production environments using MLOPS framework for Model Management. Candidate will work with clients to understand the issues they face, diagnose problems, design solutions and facilitate solution deployment on GCP cloud.
**Required Qualifications:** 
* Bachelor’s degree or foreign equivalent required from an accredited institution. Will also consider three years of progressive experience in the specialty in lieu of every year of education
* At least 4 years of experience in Information Technology
* Strong hands\-on experience with MLOps, model deployment, CI/CD, and monitoring.
* Proficiency in Computer Vision frameworks: OpenCV, TensorFlow, PyTorch, ONNX, YOLO, etc
* Experience deploying AI models on edge devices, Deepstream, Nvidia Services
* Advanced Python development skills with experience in designing scalable ml systems, automations, sdk, multiprocessing etc
* Hands\-on with containerization, model optimization, and hardware acceleration
* Solid understanding of data pipelines, feature stores, and ML model lifecycle
* Implementation of MLOps tools like Grafana, Prometheus, Poetry, Snyk and others
**Preferred Qualifications:** 
* Experience with GCP cloud services and Kubernetes
* Experienced in Agile way of working, manage team effort and track through JIRA
* Certifications in GCP, MLOps and Computer vision Technology
* High Impact client communication
* Domain experience with Retail Clients
* Strong problem\-solving skills and ability to evaluate multiple solution paths
* Excellent communication and stakeholder management skills</t>
        </is>
      </c>
    </row>
    <row r="95">
      <c r="A95" t="inlineStr">
        <is>
          <t>li-4377545199</t>
        </is>
      </c>
      <c r="B95" t="inlineStr">
        <is>
          <t>Senior AI Engineer</t>
        </is>
      </c>
      <c r="C95" t="inlineStr">
        <is>
          <t>Jack &amp; Jill</t>
        </is>
      </c>
      <c r="D95" t="inlineStr">
        <is>
          <t>linkedin</t>
        </is>
      </c>
      <c r="E95">
        <f>HYPERLINK("https://www.linkedin.com/jobs/view/4377545199", "https://www.linkedin.com/jobs/view/4377545199")</f>
        <v/>
      </c>
      <c r="F95" t="inlineStr"/>
      <c r="G95" t="inlineStr">
        <is>
          <t>San Francisco, CA</t>
        </is>
      </c>
      <c r="H95" t="inlineStr"/>
      <c r="I95" t="inlineStr">
        <is>
          <t>This is a job that Jill, our AI Recruiter, is recruiting for on behalf of one of our customers.
 She will pick the best candidates from Jack's network
 The next step is to speak to Jack.
 Senior AI Engineer
**Company Description:** 
 High\-growth global AI startup
**Job Description:** 
 You will lead the development of enterprise\-grade agentic workflows, moving beyond simple demos to architecting robust orchestration layers. Responsible for the entire agent lifecycle from system design and prompt engineering to latency optimization and rigorous evaluation you will define AI engineering best practices while mentoring a talented team of engineers.
**Location:** 
 San Francisco, USA
**Why this role is remarkable:** 
* Lead the architectural design of complex, multi\-agent systems using cutting\-edge frameworks like LangGraph and LangChain.
* Join a well\-funded venture backed by top\-tier VCs with a mission to scale AI/LLM services at an enterprise level.
* Enjoy a high\-impact leadership role with access to top global AI researchers and a collaborative, entrepreneurial culture.
**What you will do:** 
* Lead the design of multi\-agent systems capable of handling long\-running, asynchronous enterprise tasks and complex tool definitions.
* Build automated evaluation pipelines to measure accuracy and success metrics, ensuring production\-grade reliability and minimal hallucinations.
* Optimize RAG pipelines and model selection to balance performance, cost, and latency for massive scale operations.
**The ideal candidate:** 
* 5\+ years of engineering experience with a deep focus on LLM orchestration, productionizing RAG, and expert\-level Python skills.
* Proven track record in LLMOps, including monitoring, tracing, and designing modular, testable code for AI applications.
* Pragmatic problem\-solver who understands both the modern data stack and when to apply simple heuristics versus complex agentic behaviors.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**Next steps** 
 Step 1\. Visit
 **our website** 
 .
 Step 2\. Click
 **'Talk to Jack'** 
 .
 Step 3\. Talk to Jack so he can understand your experience and ambitions.
 Step 4\. Jack will make sure Jill (the AI agent working for the company) considers you for this role.
 Step 5\. If Jill thinks you're a great fit and her client wants to meet you, they will make the introduction.
 Step 6\. If not, Jack will find you excellent alternatives. All for free.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t>
        </is>
      </c>
    </row>
    <row r="96">
      <c r="A96" t="inlineStr">
        <is>
          <t>li-4377560382</t>
        </is>
      </c>
      <c r="B96" t="inlineStr">
        <is>
          <t>Founding Machine Learning Engineer</t>
        </is>
      </c>
      <c r="C96" t="inlineStr">
        <is>
          <t>Pragmatike</t>
        </is>
      </c>
      <c r="D96" t="inlineStr">
        <is>
          <t>linkedin</t>
        </is>
      </c>
      <c r="E96">
        <f>HYPERLINK("https://www.linkedin.com/jobs/view/4377560382", "https://www.linkedin.com/jobs/view/4377560382")</f>
        <v/>
      </c>
      <c r="F96" t="inlineStr"/>
      <c r="G96" t="inlineStr">
        <is>
          <t>Pennsylvania, United States</t>
        </is>
      </c>
      <c r="H96" t="inlineStr"/>
      <c r="I96" t="inlineStr">
        <is>
          <t>Location: New York, NY
 Start date: ASAP
 Languages: English (required)
**About The Role**
 Pragmatike is hiring on behalf of a high\-growth AI cybersecurity company backed by top\-tier investors and strategic AI leaders. The company is building the security layer for the AI era, protecting enterprises against AI\-powered threats such as deepfakes, smishing, and synthetic voice attacks.
 Following a major Series B funding round led by industry\-leading AI and venture partners, the company is entering a critical growth phase. Trusted by major banks, technology companies, and healthcare organizations, they are scaling rapidly to meet enterprise demand in a $200B\+ market opportunity.
 We are looking for a
 **Staff Machine Learning Engineer** 
 to define and build the companys ML capabilities from the ground up. ML is central to the product vision. This role is not about incremental optimization — it is about owning the strategy, infrastructure, and execution of machine learning across the organization.
 There is currently no dedicated ML infrastructure or ML team. You will establish the foundations: define where ML drives product value, design production systems end\-to\-end, and set the technical direction for how ML evolves across the company.
 This is a high\-impact, highly autonomous role suited for someone who has built ML systems in production and is ready to architect an ML function from zero to scale.
**What Youll Do**
* Define the companys ML strategy: where ML should be applied across products, what infrastructure is required, and how to approach build vs. buy decisions.
* Design and build production ML systems end\-to\-end — including data pipelines, model training workflows, evaluation frameworks, and inference serving.
* Establish rigorous evaluation methodology to measure model quality, detect regressions, and support data\-driven iteration.
* Own the data strategy: determine what data is needed, how it should be labeled, how feedback loops are structured, and how models continuously improve.
* Partner closely with product and backend engineers to integrate ML into customer\-facing systems.
* Write production\-quality code within the existing codebase and contribute to architectural decisions.
* Over time, help recruit, mentor, and lead the ML team as the function expands.
**What Were Looking For**
* 8\+ years of experience building ML systems in production environments.
* Experience standing up ML infrastructure at an early\-stage startup or serving as the senior/lead ML engineer at a company.
* Strong software engineering fundamentals with production experience in languages such as Python, Java, or TypeScript.
* Experience with cloud\-based ML infrastructure (e.g., SageMaker, Bedrock, Modal, Baseten, or similar platforms).
* Hands\-on experience with ML and data frameworks such as PyTorch, TensorFlow, Spark, or equivalent tools.
* Comfortable working across the stack — infrastructure, backend systems, and data platforms.
* Demonstrated ability to mentor engineers and elevate technical standards within a team.
* High autonomy and ownership mindset, with the ability to define direction and execute without predefined playbooks.
**Bonus Points**
* Experience building ML systems for security, fraud detection, or adversarial environments.
* Experience working with LLMs in production (evaluation, fine\-tuning, retrieval systems, guardrails).
* Background in real\-time inference systems or high\-throughput distributed systems.
* Experience making strategic build vs. buy infrastructure decisions.
* Previous startup experience in high\-growth environments.
**Why This Role Will Pivot Your Career**
* Strategic AI backing: Supported by leading AI and venture investors shaping the future of AI infrastructure and cybersecurity.
* Founding\-level impact: Build and define the ML function from zero in a company where ML is core to product value.
* Enterprise traction: Products already trusted by major banks, tech firms, and healthcare organizations.
* Massive market opportunity: Positioned in a rapidly expanding AI cybersecurity space.
* Leadership path: Opportunity to evolve into Head of ML as the organization scales.
* Ownership \&amp; autonomy: Direct influence over architecture, infrastructure, and long\-term technical direction.
**Benefits**
* Competitive salary \&amp; equity options
* Health, Dental, and Vision
* 401k
* Hybrid flexibility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
 Compensation Range: $300K \- $400K</t>
        </is>
      </c>
    </row>
    <row r="97">
      <c r="A97" t="inlineStr">
        <is>
          <t>li-4376432896</t>
        </is>
      </c>
      <c r="B97" t="inlineStr">
        <is>
          <t>ML Engineer</t>
        </is>
      </c>
      <c r="C97" t="inlineStr">
        <is>
          <t>Typeface</t>
        </is>
      </c>
      <c r="D97" t="inlineStr">
        <is>
          <t>linkedin</t>
        </is>
      </c>
      <c r="E97">
        <f>HYPERLINK("https://www.linkedin.com/jobs/view/4376432896", "https://www.linkedin.com/jobs/view/4376432896")</f>
        <v/>
      </c>
      <c r="F97" t="inlineStr"/>
      <c r="G97" t="inlineStr">
        <is>
          <t>Palo Alto, CA</t>
        </is>
      </c>
      <c r="H97" t="inlineStr"/>
      <c r="I97" t="inlineStr">
        <is>
          <t>**About Typeface**
 We help the world’s biggest brands move from brief to fully personalized campaigns — in days, not months.
 Founded by Abhay Parasnis and backed by Microsoft, GV, Salesforce, Lightspeed, Madrona and Menlo, we’re building category\-defining technology at the intersection of creativity and AI with real impact. Join us to help shape the future of enterprise marketing.
**What You’ll Do**
 As a
 **Machine Learning Engineer** 
 , you will be responsible for building machine learning models/systems and innovative web applications that deliver the power of Generative AI to our customers. You will work closely with designers, product managers and other engineers driving the technical designs and implementations.
**How You’ll Make An Impact**
* Define the roadmap for generation of various content types including text, image, audio and video enabling us to generate brand\-affinized, hyper\-personalized, and safe content
* Own the delivery of key business, product and technology initiatives across design, specification, development, testing, and launch.
* Establish and implement processes for model training, fine\-tuning, testing, and operating the Generative AI models at significant scale.
* Investigate, prototype and deliver innovative solutions
* Collaborate with other engineers, Product and Business Teams to identify new ways to improve our product and drive growth
* Establish a data\-driven development culture by driving the definition, tracking, and operationalizing of feature, product, and company\-level metrics
**What You Bring**
* Bachelor or Master's degree in computer science or a related field
* Experience with building and evolving ML Training and Inferencing systems at significant scale with a purpose of solving real\-world problems.
* 3\+ years of prior experience designing, building and scaling systems for training, testing, and running Machine Learning models at scale
* Have a track record of coming up with new ideas or improving upon existing ideas in machine learning, demonstrated by accomplishments such as first author publications or projects
* Proficiency in Python, C/C\+\+ (or equivalent)
* Ability to create self\-contained, reusable, and testable modules and passionate about prototyping
* Bonus: Prior experience with AzureML, GCP Vertex, AWS Sagemaker or similar platforms
* Bonus: Hands\-on experience in deploying and tuning Generative AI models in cloud or on local system
* Bonus: Experience working at a high\-growth startup or tech company
* Bonus: Publications and research experiences in ML venues and/or vision/language applications
**Location**
 This is a hybrid role based in our Palo Alto HQ. We collaborate in\-office 3 days a week.
**Base Salary**
 The range for this role is $135,000\-$180,000\. Actual compensation may vary based on level, experience, and skillset as assessed in the interview process.
**Benefits**
* Competitive compensation — including salary, equity, and 401(k)
* Full medical, dental, and vision insurance for you and your family
* HSA and FSA options to support your financial wellness
* Flexible time off — including parental leave
* Well\-being programs — resources to support your mental and physical health
* Daily lunch \&amp; snacks
* Mentorship \&amp; impact — work closely with top AI leaders on products that ship
**Equality Opportunity Statement**
 We welcome and encourage applicants from all backgrounds. Employment decisions are made without regard to race, color, religion, sex, sexual orientation, gender identity or expression, national origin, age, disability, medical condition, veteran status, or any other legally protected status. We comply with applicable laws in every jurisdiction where we operate.
**Why You’ll Love Working Here**
* Build something big — Be part of a fast\-growing startup defining a new category: marketing orchestration powered by Agentic AI.
* Your work will matter — Trusted by Fortune 100 companies, our platform delivers 10x content velocity and 90% faster campaigns.
* A\+ team — Collaborate with veterans from Adobe, Microsoft, Google, and top AI companies.
* Backed by the best — GV, Salesforce Ventures, Microsoft, Lightspeed, Madrona and Menlo ($165M raised).
* Recognized for innovation — TIME Best Inventions, Fast Company Next Big Thing in Tech, Gartner Cool Vendor, Adweek AI Company of the Year, LinkedIn Top Startup, Webby Award (AI Work \&amp; Productivity).</t>
        </is>
      </c>
    </row>
    <row r="98">
      <c r="A98" t="inlineStr">
        <is>
          <t>li-4377142818</t>
        </is>
      </c>
      <c r="B98" t="inlineStr">
        <is>
          <t>ML Engineer</t>
        </is>
      </c>
      <c r="C98" t="inlineStr">
        <is>
          <t>Wiraa</t>
        </is>
      </c>
      <c r="D98" t="inlineStr">
        <is>
          <t>linkedin</t>
        </is>
      </c>
      <c r="E98">
        <f>HYPERLINK("https://www.linkedin.com/jobs/view/4377142818", "https://www.linkedin.com/jobs/view/4377142818")</f>
        <v/>
      </c>
      <c r="F98">
        <f>HYPERLINK("https://www.wiraa.com/job-description/us6838F8EE1FC7A669E97F2A02CF8D3438?source=Linkedin&amp;urlHash=IG29", "https://www.wiraa.com/job-description/us6838F8EE1FC7A669E97F2A02CF8D3438?source=Linkedin&amp;urlHash=IG29")</f>
        <v/>
      </c>
      <c r="G98" t="inlineStr"/>
      <c r="H98" t="inlineStr"/>
      <c r="I98" t="inlineStr">
        <is>
          <t>**About Elevate**
 Elevate is a comprehensive consulting firm dedicated to inspiring high\-performing organizations to push beyond their current limits. Since its establishment in 2018, the company has specialized in brand consulting, sales strategy, data\-driven insights, and talent optimization, providing clients with a competitive edge in capturing and retaining audience attention. Originally focused on supporting sports teams and leagues to ignite innovation and enhance performance, Elevate has evolved to serve some of the world's most ambitious businesses across media, entertainment, and consumer brands. The company's proprietary technology, diverse data sources, and innovative software products, combined with insightful analysis and a people\-centric approach, enable clients to gain a holistic view of their customers. This foundation supports intelligent decision\-making related to marketing investments, growth strategies, and operational efficiency.
**About The Role**
 Elevate is embarking on a transformative journey transitioning from a traditional consulting firm to a product\-led organization, where technology will serve as a primary revenue driver. We are seeking a talented Machine Learning Engineer to join our rapidly expanding engineering team, responsible for laying the groundwork for this new direction. In this role, you will collaborate closely with engineers, data scientists, and product leaders to develop intelligent systems that enhance our product platforms. Your primary focus will be on designing and deploying machine learning models for dynamic pricing, demand forecasting, recommendation engines, and predictive analytics. These models will empower our clients to maximize revenue streams and optimize their business outcomes. Your contributions will directly influence how we price products, recommend content, and streamline operations across our platforms, making a tangible impact on our company's growth and client success.
**Qualifications**
* 3\+ years of experience building and deploying machine learning systems in production environments
* Strong proficiency in Python programming
* Experience with ML frameworks such as PyTorch, TensorFlow, scikit\-learn, or similar
* Hands\-on experience deploying ML models, including MLOps practices, model versioning, and A/B testing
* Proficiency in building data processing pipelines for training and inference
* Experience with cloud ML platforms such as AWS SageMaker, GCP AI Platform, or Azure ML
* Understanding of product engineering principles and customer\-centric solutions
* Strong problem\-solving skills with a focus on understanding core issues before developing solutions
* Ability to adopt a rapid experimentation mindset and measure success by business impact
* Excellent communication skills to articulate ML capabilities and limitations to diverse stakeholders
* Experience working with development agency partners (preferred)
* Background in pricing systems, recommendation engines, or transactional platforms (preferred)
**Responsibilities**
* Design, develop, and deploy machine learning models for dynamic pricing, demand forecasting, and recommendation systems
* Build and optimize data pipelines for training, inference, and real\-time data processing
* Implement MLOps practices including model versioning, monitoring, and continuous deployment
* Collaborate with product managers and stakeholders to understand business problems and translate them into ML solutions
* Integrate ML models seamlessly into product backend services and APIs
* Ensure models are scalable and capable of handling real\-time inference at scale
* Lead technical planning for expanding ML capabilities across platforms
* Establish best practices for ML development, deployment, and monitoring pipelines
* Participate in rapid experimentation to validate model performance and business value
* Work cross\-functionally with engineering, data science, and product teams to deliver cohesive ML\-powered solutions
**Benefits**
* Competitive medical, dental, and vision insurance plans
* Life insurance, short\-term and long\-term disability coverage
* Flexible spending accounts (FSA) and health savings accounts (HSA)
* 401(k) plan with employer matching contributions
* 14 paid holidays annually
* Unlimited paid time off (PTO)
* Paid parental leave to support work\-life balance
* Remote work flexibility with potential hybrid arrangements in select cities
 Equal Opportunity
 Elevate is committed to fostering an inclusive environment and is proud to be an equal opportunity employer. We celebrate diversity and do not discriminate based on race, color, religion, gender, sexual orientation, gender identity, national origin, disability, veteran status, or any other protected characteristic. All employment decisions are made based on qualifications, merit, and business needs. We encourage all qualified candidates to apply and welcome those requiring accommodations during the application process.</t>
        </is>
      </c>
    </row>
    <row r="99">
      <c r="A99" t="inlineStr">
        <is>
          <t>li-4356420889</t>
        </is>
      </c>
      <c r="B99" t="inlineStr">
        <is>
          <t>Founding Machine Learning Engineer</t>
        </is>
      </c>
      <c r="C99" t="inlineStr">
        <is>
          <t>AIC</t>
        </is>
      </c>
      <c r="D99" t="inlineStr">
        <is>
          <t>linkedin</t>
        </is>
      </c>
      <c r="E99">
        <f>HYPERLINK("https://www.linkedin.com/jobs/view/4356420889", "https://www.linkedin.com/jobs/view/4356420889")</f>
        <v/>
      </c>
      <c r="F99" t="inlineStr"/>
      <c r="G99" t="inlineStr"/>
      <c r="H99" t="inlineStr"/>
      <c r="I99" t="inlineStr">
        <is>
          <t>**About the job** 
 The U.S. is in a Cold War\-like “space race” to lead in physical AI and our supply chain needs urgent transformation to scale manufacturing of electronics for robotics. This transformation will determine if the U.S. can preserve its role as the world’s largest and most innovative economy, reestablish deterrence superiority, and, if confronted, prevail against its most capable adversary since WWII.
 The Machine Learning Engineer is our architect of intelligence. They will focus on developing and deploying models and systems that power our proprietary system, Keystone.
**What You'll Build** 
 An important and enduring company. AI\-native operating system for manufacturers. ML pipelines predicting downtime, optimizing changeovers, and reducing defects using factory telemetry and validated against OEE.
**What You Have** 
* 2\+ years building production AI/ML systems
* Experience with real\-world data challenges
* Passion for the physical world and helping the best version of America thrive
* Bonus: specific experience in manufacturing/supply chain/industrials
**Our Interview Process** 
1. Recruiter Screen (30mins)
2. Video Call w/ Founder (1hr)
3. Video Call w. Co\-Founder (1hr)
4. Working Session (90mins w/ co\-founders \+ 30 mins to meet current eng staff)
**Comp: $180K\-$250K \+ Meaningful Founding Engineer Equity** 
 We are on\-site 5x a week, this role will be:
*Full\-Time On\-Site, Los Angeles (El Segundo area)*</t>
        </is>
      </c>
    </row>
    <row r="100">
      <c r="A100" t="inlineStr">
        <is>
          <t>li-4377157149</t>
        </is>
      </c>
      <c r="B100" t="inlineStr">
        <is>
          <t>Machine Learning Engineer</t>
        </is>
      </c>
      <c r="C100" t="inlineStr">
        <is>
          <t>Wiraa</t>
        </is>
      </c>
      <c r="D100" t="inlineStr">
        <is>
          <t>linkedin</t>
        </is>
      </c>
      <c r="E100">
        <f>HYPERLINK("https://www.linkedin.com/jobs/view/4377157149", "https://www.linkedin.com/jobs/view/4377157149")</f>
        <v/>
      </c>
      <c r="F100" t="inlineStr"/>
      <c r="G100" t="inlineStr"/>
      <c r="H100" t="inlineStr"/>
      <c r="I100" t="inlineStr">
        <is>
          <t>**About The Company**
 Toyota Connected is a global leader in mobility and data\-driven solutions, dedicated to transforming the automotive experience through innovative technology. Since its inception in 2016, Toyota Connected has been at the forefront of integrating big data, cloud computing, and advanced analytics to enhance vehicle connectivity, safety, and customer engagement. The company aims to create a more personal, intuitive, and safe driving experience by leveraging cutting\-edge solutions that connect vehicles, drivers, and services seamlessly. With a strong commitment to diversity, inclusion, and sustainability, Toyota Connected strives to empower its customers and employees alike, fostering a culture of innovation and continuous improvement.
**About The Role**
 Toyota Connected’s Labs team is seeking a highly skilled Machine Learning Engineer to join our dynamic and innovative environment. In this role, you will utilize advanced machine learning and statistical techniques to develop state\-of\-the\-art solutions for complex, unsolved problems that directly impact our business and customer experience. The ideal candidate is results\-driven, deeply technical, and passionate about applying machine learning to voice, text, and other data modalities. You will be responsible for translating research concepts into practical implementations, designing scalable ML systems, and collaborating across teams to drive innovation. This position offers an exciting opportunity to work on challenging problems in a fast\-paced Agile environment, contributing to the development of next\-generation products that redefine mobility and connectivity.
**Qualifications**
* 3\+ years of hands\-on experience in Machine Learning within a corporate environment
* Proficiency in programming with Python
* Experience working with TensorFlow or PyTorch frameworks
* Strong background in Natural Language Processing (NLP)
* Knowledge of algorithm design and complexity analysis
* Experience implementing solutions in cloud environments such as AWS or Azure (preferred)
* Experience designing and deploying ML pipelines in production settings (preferred)
* Strong decision\-making and problem\-solving skills
* Ability to analyze data, assess risks, and develop effective solutions quickly
* Proven ability to learn new technologies and adapt to evolving industry standards
* Collaborative mindset with experience working with cross\-functional teams including developers, designers, and product managers
* Ownership of projects with a proactive approach to ensure quality and timely delivery
* Results\-oriented with a focus on achieving measurable outcomes
**Responsibilities**
* Translate complex research concepts from white papers into efficient, maintainable code implementations
* Develop and maintain clean code adhering to industry standards and best practices
* Share knowledge of architecture patterns and emerging technologies with team members
* Contribute to system design through writing and reviewing Request for Comments (RFCs)
* Participate in interview panels to assess and onboard junior Machine Learning Engineers
* Review merge requests and ensure code quality through rigorous testing and validation
* Identify and implement unit and integration tests to ensure robustness of code contributions
* Execute the full machine learning lifecycle, including data cleansing, feature engineering, and model selection
* Build scalable, automated processes for large\-scale data analysis, model training, validation, and deployment
* Stay current with research developments and technological advancements to enhance existing methods
* Collaborate within Agile Scrum teams to prototype, design, and deploy predictive models and algorithms
* Utilize statistical, machine learning, and deep learning techniques for research and product development
* Drive innovation by exploring new methodologies and applying them to real\-world problems
**Benefits**
* Competitive salary and comprehensive benefits package
* Career development opportunities and a clear path for advancement
* Annual training budget of $2,500 for professional growth
* Unlimited paid time off and flexible work arrangements for work\-life balance
* Home office stipend of $1,000 to support ergonomic remote work setup
* Four months of paid parental leave to support new parents
* Adoption assistance of $5,000 for regular adoptions and $6,000 for special needs cases
* 401(k) plan with a generous company match, fully vested from day one
* Vehicle discounts for Toyota and Lexus models
* Vehicle allowance for leasing or purchasing Toyota and Lexus vehicles
* Participation in annual hackathons to foster creativity and innovation
* Annual wellness stipend of $1,000 to promote health and well\-being
* Complimentary catered lunches onsite, with healthy options available
* Access to fully stocked Nespresso bars for coffee and tea
* Casual dress code to promote comfort and authenticity
* Free covered parking to protect your vehicle from weather elements
 Equal Opportunity
 Toyota Connected is an equal opportunity employer. We celebrate diversity and are committed to creating an inclusive environment for all employees. We do not discriminate based on race, color, religion, gender, gender identity or expression, sexual orientation, national origin, genetics, disability, age, or veteran status. We are dedicated to providing reasonable accommodations for qualified individuals with disabilities or medical conditions. If you require an accommodation during the application process, please contact our HR team. We believe that diverse perspectives and experiences foster innovation and drive our success, and we welcome applicants from all backgrounds to join our team.</t>
        </is>
      </c>
    </row>
    <row r="101">
      <c r="A101" t="inlineStr">
        <is>
          <t>li-4377561412</t>
        </is>
      </c>
      <c r="B101" t="inlineStr">
        <is>
          <t>AI/ML Engineer - Remote</t>
        </is>
      </c>
      <c r="C101" t="inlineStr">
        <is>
          <t>Jobgether</t>
        </is>
      </c>
      <c r="D101" t="inlineStr">
        <is>
          <t>linkedin</t>
        </is>
      </c>
      <c r="E101">
        <f>HYPERLINK("https://www.linkedin.com/jobs/view/4377561412", "https://www.linkedin.com/jobs/view/4377561412")</f>
        <v/>
      </c>
      <c r="F101">
        <f>HYPERLINK("https://jobs.lever.co/jobgether/3ba9b53c-efc4-4228-a392-6d179af53413/apply?source=LinkedIn&amp;urlHash=bFGQ", "https://jobs.lever.co/jobgether/3ba9b53c-efc4-4228-a392-6d179af53413/apply?source=LinkedIn&amp;urlHash=bFGQ")</f>
        <v/>
      </c>
      <c r="G101" t="inlineStr">
        <is>
          <t>New York, United States</t>
        </is>
      </c>
      <c r="H101" t="inlineStr"/>
      <c r="I101" t="inlineStr">
        <is>
          <t>This position is posted by Jobgether on behalf of a partner company. We are currently looking for a Remote AI/ML Software Engineer. In this role, you will design, build, and deploy secure and scalable software and data systems that directly support mission operations and analytics. As a hands\-on engineer, you will not only enjoy writing code but also the challenge of solving real\-world problems in secure, distributed environments. Your contributions will empower our partner in delivering advanced technology solutions, integrating people and processes to tackle complex challenges effectively. This position is pivotal in advancing the capabilities of mission applications by ensuring reliable and efficient software solutions.
**Accountabilities**
* Design and implement APIs, data pipelines, and simulation runtime logic for mission applications.
* Develop software using modern programming languages such as Java, Python, C\+\+, or TypeScript/Angular.
* Write clean, testable, and maintainable code following secure coding practices.
* Build and integrate modular microservices for improved scalability and maintainability.
* Deploy containerized services using Docker, Kubernetes, and CI/CD pipelines.
* Implement Infrastructure\-as\-Code and automation scripts for rapid deployment.
* Contribute to secure deployments across hybrid or disconnected environments.
* Develop distributed systems and data integration frameworks using message buses like Kafka or Redis.
**Requirements**
* Must be a U.S. citizen and willing to obtain and maintain a security clearance.
* 6\-10\+ years of professional software engineering experience.
* 3\+ years of experience with DevSecOps and Zero\-Trust processes in DoD environments.
* Strong full\-stack or systems engineering background.
* Proficiency in one or more programming languages: Java, Python, C\+\+, or TypeScript/Angular.
* Experience with containerized, cloud\-native solutions using Docker and Kubernetes.
* Complete understanding of distributed systems and message buses.
* Experience developing or integrating analytics and AI models into production systems.
**Benefits**
* Competitive salary and comprehensive benefits package.
* Flexible remote work environment.
* Professional development and training opportunities.
* Contribution to impactful projects in mission\-critical areas.
* Collaborative and supportive team culture.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2">
      <c r="A102" t="inlineStr">
        <is>
          <t>li-4377532955</t>
        </is>
      </c>
      <c r="B102" t="inlineStr">
        <is>
          <t>AI Engineer - Remote</t>
        </is>
      </c>
      <c r="C102" t="inlineStr">
        <is>
          <t>Lensa</t>
        </is>
      </c>
      <c r="D102" t="inlineStr">
        <is>
          <t>linkedin</t>
        </is>
      </c>
      <c r="E102">
        <f>HYPERLINK("https://www.linkedin.com/jobs/view/4377532955", "https://www.linkedin.com/jobs/view/4377532955")</f>
        <v/>
      </c>
      <c r="F102">
        <f>HYPERLINK("https://lensa.com/cgw/20652dba04dd457cbe790a8161fe7df3tjo1?jpsi=directemployers&amp;publisher_preference=easier_apply&amp;utm_campaign=Engineers&amp;utm_medium=slot&amp;utm_source=linkedin&amp;utm_term=jse&amp;urlHash=dli7", "https://lensa.com/cgw/20652dba04dd457cbe790a8161fe7df3tjo1?jpsi=directemployers&amp;publisher_preference=easier_apply&amp;utm_campaign=Engineers&amp;utm_medium=slot&amp;utm_source=linkedin&amp;utm_term=jse&amp;urlHash=dli7")</f>
        <v/>
      </c>
      <c r="G102" t="inlineStr">
        <is>
          <t>Minnetonka, MN</t>
        </is>
      </c>
      <c r="H102" t="inlineStr"/>
      <c r="I10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UnitedHealth Group. Clicking "Apply Now" or "Read more" on Lensa redirects you to the job board/employer site. Any information collected there is subject to their terms and privacy notice.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We are seeking a highly skilled and motivated Senior AI Engineer with deep expertise in Generative AI, Large Language Models (LLMs), and cloud\-native AI platforms. The ideal candidate will have a strong foundation in AI/ML, hands\-on experience with LangChain, LangGraph, and familiarity with AWS Bedrock and Azure AI Foundry. This role involves building secure, scalable, and responsible GenAI solutions while collaborating across teams to drive innovation and impact.
 You'll enjoy the flexibility to work remotely \* from anywhere within the U.S. as you take on some tough challenges.
 For all hires in the Minneapolis or Washington, D.C. area, you will be required to work in the office a minimum of four days per week.
**Primary Responsibilities**
* Design, develop, and deploy AI/ML and Generative AI models for predictive, prescriptive, and generative analytics across healthcare datasets
* Implement advanced architectures including LLMs (GPT, Gemini, LLaMA), Retrieval\-Augmented Generation (RAG), and Agentic Frameworks
* Build and optimize end\-to\-end pipelines using Python (Sci\-kit Learn, Pandas, Flask, LangChain), PySpark, T\-SQL and SQL
* Develop and fine\-tune multiple GenAI models for NLP, summarization, prompt engineering, and conversational AI
* Apply MLOps best practices: model versioning, drift analysis, quantization, MLFlow, containerization with Docker, and CI/CD pipelines
* Work with cloud platforms: Azure (Databricks, ML Studio, Data Factory, Data Lake, Delta Tables), AWS, and GCP for scalable deployments
* Integrate data warehousing solutions like Snowflake and manage large\-scale data pipelines
* Collaborate in an Agile environment, participate in sprint planning, and maintain code repositories using GitHub/Git
* Ensure compliance with security and governance standards for healthcare data
* Coach and mentor junior team members
**Technical Skillset**
* AI/ML Foundations
* Design and implement machine learning and deep learning models for classification, NLP tasks.
* Build and maintain end\-to\-end ML pipelines including data preprocessing, model training, evaluation, and deployment.
* Generative AI \&amp; LLM Engineering
* Develop and fine\-tune LLM\-based applications using LangChain, LangGraph, and other GenAI frameworks.
* Build Multi Agentic workflows and RAG (Retrieval\-Augmented Generation) pipelines for enterprise use cases.
* Leverage AWS Bedrock and Google Vertex AI for scalable and production\-grade GenAI deployments.
* LLM Security \&amp; Responsible AI
* Implement guardrails to prevent prompt injection, reduce hallucinations, and ensure safe model outputs.
* Apply best practices for LLM security, including output moderation, access control, and auditability.
* Ensure compliance with Responsible AI principles\-fairness, transparency, and explainability.
* Cloud\-Native AI Development
* Deploy and manage GenAI solutions on AWS and Google Suite, utilizing services like Bedrock, SageMaker, Vertex AI.
* Integrate LLMs with enterprise systems using REST APIs, SDKs, and orchestration tools.
* Collaboration \&amp; Mentorship
* Work closely with product managers, data scientists, and platform teams to translate business needs into GenAI solutions.
* Mentor junior engineers and contribute to internal knowledge\-sharing initiatives.
 You'll be rewarded and recognized for your performance in an environment that will challenge you and give you clear direction on what it takes to succeed in your role as well as provide development for other roles you may be interested in.
**Required Qualifications**
* 5\+ years of hands\-on experience in AI/ML techniques like Prompt Engineering , RAG (Retrieval Augmented Generation) and Agentic AI
* Hands\-on experience with Generative AI frameworks/architectures (LangChain, HuggingFace, OpenAI APIs)
* Solid expertise in Python, PySpark, T\-SQL, SQL, and big data technologies (Hadoop, Spark)
* Deep knowledge of statistics, data modeling, and simulation
* Proficiency in cloud technologies: Azure (Databricks, ML Studio), AWS Bedrock, Azure Foundry, Kafka, and cloud\-native AI services
* Familiarity with CI/CD pipelines, GitHub Actions, and containerization tools
* Solid understanding of LLM security, prompt engineering, and responsible AI practices
* Proven excellent problem\-solving skills and ability to handle ambiguity
**Preferred Qualifications**
* Internal Data management and Big data handling experience
* Experience with LLMs (GPT, Gemini, LLaMA) and prompt\-based learning
* Knowledge of Kafka, TensorFlow, and advanced deep learning architectures (CNNs, Autoencoders)
* Solid understanding of Agile methodologies and DevOps practices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$72,800 to $130,000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
 If you have questions about this posting, please contact support@lensa.com</t>
        </is>
      </c>
    </row>
    <row r="103">
      <c r="A103" t="inlineStr">
        <is>
          <t>li-4377548650</t>
        </is>
      </c>
      <c r="B103" t="inlineStr">
        <is>
          <t>AI/ML Engineer (Remote)</t>
        </is>
      </c>
      <c r="C103" t="inlineStr">
        <is>
          <t>Jobgether</t>
        </is>
      </c>
      <c r="D103" t="inlineStr">
        <is>
          <t>linkedin</t>
        </is>
      </c>
      <c r="E103">
        <f>HYPERLINK("https://www.linkedin.com/jobs/view/4377548650", "https://www.linkedin.com/jobs/view/4377548650")</f>
        <v/>
      </c>
      <c r="F103">
        <f>HYPERLINK("https://jobs.lever.co/jobgether/c86ded22-3822-4252-b61d-886706df1244/apply?source=LinkedIn&amp;urlHash=xlIQ", "https://jobs.lever.co/jobgether/c86ded22-3822-4252-b61d-886706df1244/apply?source=LinkedIn&amp;urlHash=xlIQ")</f>
        <v/>
      </c>
      <c r="G103" t="inlineStr">
        <is>
          <t>Michigan, United States</t>
        </is>
      </c>
      <c r="H103" t="inlineStr"/>
      <c r="I103" t="inlineStr">
        <is>
          <t>This position is posted by Jobgether on behalf of a partner company. We are currently looking for a Remote AI/ML Software Engineer. In this role, you will design, build, and deploy secure and scalable software and data systems that directly support mission operations and analytics. As a hands\-on engineer, you will not only enjoy writing code but also the challenge of solving real\-world problems in secure, distributed environments. Your contributions will empower our partner in delivering advanced technology solutions, integrating people and processes to tackle complex challenges effectively. This position is pivotal in advancing the capabilities of mission applications by ensuring reliable and efficient software solutions.
**Accountabilities**
* Design and implement APIs, data pipelines, and simulation runtime logic for mission applications.
* Develop software using modern programming languages such as Java, Python, C\+\+, or TypeScript/Angular.
* Write clean, testable, and maintainable code following secure coding practices.
* Build and integrate modular microservices for improved scalability and maintainability.
* Deploy containerized services using Docker, Kubernetes, and CI/CD pipelines.
* Implement Infrastructure\-as\-Code and automation scripts for rapid deployment.
* Contribute to secure deployments across hybrid or disconnected environments.
* Develop distributed systems and data integration frameworks using message buses like Kafka or Redis.
**Requirements**
* Must be a U.S. citizen and willing to obtain and maintain a security clearance.
* 6\-10\+ years of professional software engineering experience.
* 3\+ years of experience with DevSecOps and Zero\-Trust processes in DoD environments.
* Strong full\-stack or systems engineering background.
* Proficiency in one or more programming languages: Java, Python, C\+\+, or TypeScript/Angular.
* Experience with containerized, cloud\-native solutions using Docker and Kubernetes.
* Complete understanding of distributed systems and message buses.
* Experience developing or integrating analytics and AI models into production systems.
**Benefits**
* Competitive salary and comprehensive benefits package.
* Flexible remote work environment.
* Professional development and training opportunities.
* Contribution to impactful projects in mission\-critical areas.
* Collaborative and supportive team culture.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4">
      <c r="A104" t="inlineStr">
        <is>
          <t>li-4377561413</t>
        </is>
      </c>
      <c r="B104" t="inlineStr">
        <is>
          <t>AI/ML Engineer - REMOTE</t>
        </is>
      </c>
      <c r="C104" t="inlineStr">
        <is>
          <t>Jobgether</t>
        </is>
      </c>
      <c r="D104" t="inlineStr">
        <is>
          <t>linkedin</t>
        </is>
      </c>
      <c r="E104">
        <f>HYPERLINK("https://www.linkedin.com/jobs/view/4377561413", "https://www.linkedin.com/jobs/view/4377561413")</f>
        <v/>
      </c>
      <c r="F104" t="inlineStr"/>
      <c r="G104" t="inlineStr">
        <is>
          <t>Illinois, United States</t>
        </is>
      </c>
      <c r="H104" t="inlineStr"/>
      <c r="I104" t="inlineStr">
        <is>
          <t>This position is posted by Jobgether on behalf of a partner company. We are currently looking for a Remote AI/ML Software Engineer. In this role, you will design, build, and deploy secure and scalable software and data systems that directly support mission operations and analytics. As a hands\-on engineer, you will not only enjoy writing code but also the challenge of solving real\-world problems in secure, distributed environments. Your contributions will empower our partner in delivering advanced technology solutions, integrating people and processes to tackle complex challenges effectively. This position is pivotal in advancing the capabilities of mission applications by ensuring reliable and efficient software solutions.
**Accountabilities**
* Design and implement APIs, data pipelines, and simulation runtime logic for mission applications.
* Develop software using modern programming languages such as Java, Python, C\+\+, or TypeScript/Angular.
* Write clean, testable, and maintainable code following secure coding practices.
* Build and integrate modular microservices for improved scalability and maintainability.
* Deploy containerized services using Docker, Kubernetes, and CI/CD pipelines.
* Implement Infrastructure\-as\-Code and automation scripts for rapid deployment.
* Contribute to secure deployments across hybrid or disconnected environments.
* Develop distributed systems and data integration frameworks using message buses like Kafka or Redis.
**Requirements**
* Must be a U.S. citizen and willing to obtain and maintain a security clearance.
* 6\-10\+ years of professional software engineering experience.
* 3\+ years of experience with DevSecOps and Zero\-Trust processes in DoD environments.
* Strong full\-stack or systems engineering background.
* Proficiency in one or more programming languages: Java, Python, C\+\+, or TypeScript/Angular.
* Experience with containerized, cloud\-native solutions using Docker and Kubernetes.
* Complete understanding of distributed systems and message buses.
* Experience developing or integrating analytics and AI models into production systems.
**Benefits**
* Competitive salary and comprehensive benefits package.
* Flexible remote work environment.
* Professional development and training opportunities.
* Contribution to impactful projects in mission\-critical areas.
* Collaborative and supportive team culture.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5">
      <c r="A105" t="inlineStr">
        <is>
          <t>li-4316621707</t>
        </is>
      </c>
      <c r="B105" t="inlineStr">
        <is>
          <t>Senior AI Engineer</t>
        </is>
      </c>
      <c r="C105" t="inlineStr">
        <is>
          <t>MoxiWorks</t>
        </is>
      </c>
      <c r="D105" t="inlineStr">
        <is>
          <t>linkedin</t>
        </is>
      </c>
      <c r="E105">
        <f>HYPERLINK("https://www.linkedin.com/jobs/view/4316621707", "https://www.linkedin.com/jobs/view/4316621707")</f>
        <v/>
      </c>
      <c r="F105" t="inlineStr"/>
      <c r="G105" t="inlineStr">
        <is>
          <t>Bellevue, WA</t>
        </is>
      </c>
      <c r="H105" t="inlineStr"/>
      <c r="I105" t="inlineStr">
        <is>
          <t>****Position****
 : Senior AI Engineer
****Location****
 : Bellevue, WA Headquarters\-Hybrid (3 days per week) / Remote
****Annual Salary Range****
 : $160\-$190 (depending on experience)
****Reports to:****
 Engineering Manager (with potential to grow into Lead AI Engineer reporting to VP Engineering
**To Be Considered**
****MUST****
 be a current local resident with the ability to be in the Bellevue office 3 days a week
* MoxiWorks does not sponsor U.S. work authorizations for this position, including H\-1B, O\-1, and TN visas. We’re also unable to consider candidates on F\-1 EAD.
**Who We Are**
 MoxiWorks is a real estate technology company built by real estate pros, for real estate pros. Our marketing platform helps agents and brokerages stay focused on what matters most: finding, winning, and closing more deals.
 With decades of industry experience, we understand the challenges because we’ve lived them. That’s why everything we build is designed to make real estate easier, from connecting systems to simplifying follow\-up.
 Trusted by 800\+ brokerages and 400,000 agents, MoxiWorks is a leader in PropTech and a proud partner to the people moving this industry forward.
**Our Core Values**
* Customer First
* Innovative
* Passionate
* Sense of Urgency
* Accountable \&amp; Reliable
* Relentless Execution
*****“Come join MoxiWorks as we are committed in delivering results with shared purpose with values that empower and connects us”.*****
**About The Role**
 We’re building an exciting new product in the real estate tech space — and we’re looking for a Senior AI Engineer to join our founding AI team. This role is ideal for someone who’s passionate about turning generative AI concepts into production\-ready features and shaping the future of intelligent software experiences.
 You’ll play a key role in architecting and delivering AI\-powered agents that leverage our existing product ecosystem built on Ruby on Rails and React, while tapping into AWS AI infrastructure to deploy scalable, secure, and high\-performing systems.
 As one of the first AI engineers on the team, you’ll have the opportunity to grow into a Lead AI Engineer role — mentoring others, driving AI strategy, and influencing technical direction across our products.
**Your Next Opportunity**
* AI Agent Development: Design, build, and maintain intelligent, autonomous, or conversational AI agents to enhance user productivity and automate key workflows.
* AI/ML System Development: Architect, develop, and maintain scalable end\-to\-end AI systems and generative AI applications leveraging AWS AI services and open\-source frameworks.
* Full\-Stack Integration: Collaborate with backend (Ruby on Rails) and frontend (React) engineers to seamlessly integrate AI\-driven features into our core product experience.
* Data Pipeline Management: Develop and manage robust data pipelines for ingestion, processing, and transformation of real estate datasets to power model training and inference.
* Collaboration \&amp; Leadership: Partner closely with product, data, and engineering teams to define requirements, validate solutions, and champion AI best practices.
* Performance Monitoring: Monitor and optimize deployed models, APIs, and agents for reliability, accuracy, and cost efficiency.
* Innovation \&amp; Research: Evaluate and apply new technologies in Large Language Models (LLMs), Retrieval\-Augmented Generation (RAG), and agentic AI to solve complex real\-world problems.
* Technical Leadership: Provide mentorship to peers, contribute to coding standards, and help shape the long\-term AI technical roadmap.
* Lifecycle Ownership: Manage the full AI development lifecycle — from concept and design through to deployment, performance tracking, and iteration.
****What Qualifies You?****
* Bachelor’s or advanced degree in Computer Science, Data Science, or related field.
* 5\+ years of experience in AI, ML, or software engineering roles with strong exposure to production\-grade AI systems.
* Proficiency in Python and familiarity with frameworks such as PyTorch, TensorFlow, or LangChain.
* Hands\-on experience deploying AI models or services in a cloud environment (AWS preferred).
* Solid understanding of data structures, algorithms, and distributed system design.
* Strong grasp of LLMs, Generative AI, and RAG methodologies.
* Excellent collaboration skills and a track record of delivering results in cross\-functional teams.
**Preferred**
* Experience integrating AI into web applications built on Ruby on Rails and React.
* Familiarity with vector databases (e.g., Pinecone, FAISS, or Weaviate) and embeddings for information retrieval.
* Exposure to MLOps tools and best practices (SageMaker, MLflow, etc.).
* Interest in real estate or property technology applications.
**Career Growth Path**
 This role offers a clear progression into Lead AI Engineer — responsible for technical direction, mentoring, and team leadership as we scale our AI function. You’ll play a pivotal role in defining our AI strategy and establishing best practices across product and engineering teams.
**Moxians Are Covered**
 All benefits are subject to review on an annual basis whereas we continuously assess our total reward proposition aligning with the needs of our people, our business and the market.
 Benefits are offered 1st of the month.
 View Full Benefit Program: Sequoia
* Medical/Dental/Vision
* Paid Time Off
* Holiday Pay\-11 days
* Breavement\-3 days
* Get paid on your birthday
* STD/LTD\-company paid
* Supplemental Life, Critical Illness, Accident
* PerkSpot
* Employee Assistance Program
* Wellbeing Program
* Discounted Pet Insurance
* Office Lunch
* Employee Engagement Programs
 Note: benefits may vary by country and region we operate in.
**EEO Statement**
 MoxiWorks is an Equal Opportunity Employer. Qualified applicants will receive consideration for employment without regard to race, color, gender, religion, sex, sexual orientation, age, disability, military status, or national origin or any other characteristic protected under federal, state, or applicable local law.
 As part of the employment process, MoxiWorks conducts comprehensive background checks on all final candidates for employment. The background check process may include a review of criminal history, credit history, employment verification, education verification, and other relevant information.
 MoxiWorks is committed to complying with all applicable federal, state, and local laws concerning background checks. We ensure that our background check process is fair, consistent, and transparent, and we follow all legal requirements regarding the timing and scope of such checks.
 For positions in jurisdictions with specific legal requirements, such as restrictions on the timing of criminal history inquiries, we will conduct these checks in accordance with local laws and only after a conditional offer of employment has been made, where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2026-02-25T03:34:23Z</dcterms:created>
  <dcterms:modified xsi:type="dcterms:W3CDTF">2026-02-25T03:34:23Z</dcterms:modified>
</cp:coreProperties>
</file>