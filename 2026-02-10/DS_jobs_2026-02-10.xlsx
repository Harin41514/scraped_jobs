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in-2302e74c7d025f3f</t>
        </is>
      </c>
      <c r="B2" t="inlineStr">
        <is>
          <t>Fraud Prevention Data Scientist - Vice President</t>
        </is>
      </c>
      <c r="C2" t="inlineStr">
        <is>
          <t>JPMorganChase</t>
        </is>
      </c>
      <c r="D2" t="inlineStr">
        <is>
          <t>indeed</t>
        </is>
      </c>
      <c r="E2" t="inlineStr"/>
      <c r="F2" t="inlineStr"/>
      <c r="G2" t="inlineStr">
        <is>
          <t>Seattle, WA, US</t>
        </is>
      </c>
      <c r="H2" s="2" t="n">
        <v>46062</v>
      </c>
      <c r="I2" t="inlineStr">
        <is>
          <t>**JOB DESCRIPTION**  
The Corporate \&amp; Investment Bank is a global leader across investment banking, wholesale payments, markets and securities services. The world’s most important corporations, governments and institutions entrust us with their business in more than 100 countries.
As a Data Science leader within the Payments Organization, you will draw on your expertise in business and technology to spearhead solutions that power our strategic goals. Your role is one of trusted advisor and dynamic leader; big\-picture visionary and experienced technologist. You'll be working closely with other senior leaders across the firm to understand and influence strategic decisions.
As a Trust \&amp; Safety employee within the Payments Organization, you will be at the forefront of Fraud Prevention in the business domains of Fraud Prevention (for both Card and ACH/ Wire channels), Sanctions, Onboarding Risk and other similar problems. Fraud is a temporal problem \- you will perform deep dives and guide your team members to maintain a laser focus on the emerging threats and influence the development of the appropriate solutions (ML/ rules) to address the problem. You will develop the right metrics to measure business performance on an ongoing basis. You will closely work with machine learning scientists, SDEs and Product managers to build the fraud prevention solution.
**Job Responsibilities**
* Collaborate with business, operations and other technology colleagues to understand company needs and devise technical solutions
* Develop the roadmap of projects while partnering with various stakeholders for product delivery
* Research and analyze data sets using a variety of statistical techniques
* Develop solutions and work with partner teams to implement the solutions in production
* Communicate results and ideas to key decision makers
* Hire and Develop of the team and provide mentoring and coaching
**Required qualifications, capabilities and skills:**
* BS/BA degree with 6\+ years of experience
* Expert knowledge of digital Fraud Prevention, as well as the ability to understand the relationship between strategic goals and technology solutions
* Expertise in deep diving into the Fraud vectors and working with colleagues to build out solutions to address fraud problems.
* Proven skills in data analysis, business process and application, and communication
* Expertise in working in partnership with colleagues throughout the firm and in leading collaborative teams to achieve common goals
**Preferred qualifications, capabilities and skills :**
* Ability to independently research and propose alternatives with some guidance as to problem relevance
* Experience with consumer finance products or domains like working capital, fraud prevention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
      <c r="A3" t="inlineStr">
        <is>
          <t>in-7b07e2facc7e19d3</t>
        </is>
      </c>
      <c r="B3" t="inlineStr">
        <is>
          <t>Data Scientist, Senior</t>
        </is>
      </c>
      <c r="C3" t="inlineStr">
        <is>
          <t>Pacific Gas and Electric</t>
        </is>
      </c>
      <c r="D3" t="inlineStr">
        <is>
          <t>indeed</t>
        </is>
      </c>
      <c r="E3" t="inlineStr"/>
      <c r="F3" t="inlineStr"/>
      <c r="G3" t="inlineStr">
        <is>
          <t>Oakland, CA, US</t>
        </is>
      </c>
      <c r="H3" s="2" t="n">
        <v>46061</v>
      </c>
      <c r="I3" t="inlineStr">
        <is>
          <t>Requisition ID \# 170314
**Job Category:** Accounting / Finance
**Job Level:** Individual Contributor
**Business Unit:** Information Technology
**Work Type:** Hybrid
**Job Location:** Oakland
Department Overview
The Data Science \&amp; Artificial Intelligence Department consists of a “Delivery” team that develop data science and machine learning solutions.
As a Delivery team, this Department uses industry leading data science and change management practices to drive PG\&amp;E’s transition to the sustainable grid of the future. The Department works cross\-functionally across the company to enable data driven decisions applying analytics, as well as improvements to relevant business processes. Deployed to some of PG\&amp;E’s highest priority arenas, the Department does not specialize in a traditional utility domain, such as asset management or program administration, but instead specializes in extracting useful insights from disparate datasets and facilitating actions informed by these insights.
Position Summary
PG\&amp;E is looking for a senior Data Scientist with experience in Computer Vision delivering data science products end\-to\-end. In this role, the successful candidates will be uniquely positioned at the forefront of utility industry analytics, having the opportunity to advance PG\&amp;E’s triple bottom line of People, Planet, and Prosperity. This team works on a wide variety of difficult problems, offering great variety in the work, and constant opportunity to explore and learn. Current and past engagements include: Developing computer vision models that improve, accelerate, and automate grid asset inspections processes Predicting electric Transmission \&amp; Distribution equipment failure before it occurs, allowing for proactive maintenance Forming the analytical framework behind PG\&amp;E’s Transmission Public Safety Power Shutoff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and the midpoint $126,000 \- $163,000\. The final decision will be made on a case\-by\-case basis related to the factors above. This job is also eligible to participate in PG\&amp;E’s discretionary incentive compensation programs.
**Bay Area Min:** $ 126,000
**Bay Area Max:** $ 200,000
This position is hybrid, working from your remote office and the Oakland General Office (OGO) based on business needs.
What You'll Do Develop, calibrate, validate, and maintain scalable computer vision ML algorithms to extract intelligence from image\-based data. Iterate and incorporate new ML algorithms to continuously improve product performance under a variety of conditions. Identify optimal analytical methods and solutions for algorithm development. Provide insight and recommendations for the architecture design based on information obtained from machine learning algorithms, advanced mathematical models, and business expertise. Create data pipelines to add structure to the resultant data extracted from images, and work to integrate the data into other algorithms and visualization tools and platforms. Provide technical expertise in building an analytics\-driven product pipeline. Assess needs and recommend experiments and projects, suggest new algorithmic development, and drive tactical decisions about approaches and data requirements. Collaborate with end\-user and product owners to understand computer vision needs. Design and implement methodologies for testing and accuracy assessment. Provide production support for computer vision components. Further the goals and positive, professional image of the Division through effective dealings with customers, stakeholders and other MEPPI divisions.
Qualifications
**Minimum:** Bachelor’s degree in data science, Machine Learning, Computer Science, Physics, Econometrics or Economics, Engineering, Mathematics, Applied Sciences, Statistics, or equivalent field 4 years of experience in computer vision, machine learning, and/or image processing
**Desired:** Master’s degree in data science, Machine Learning, Computer Science, Physics, Econometrics or Economics, Engineering, Mathematics, Applied Sciences, Statistics, or equivalent field Advanced software engineering skills and experience with Python programming knowledge of deep learning, including semantic segmentation and object detection Ability to learn, adapt and utilize new technology related to the Power\-I Substation Monitoring Platform Advanced interpersonal, communications and presentation skills Advanced analytical and problem\-solving skills Advanced computer skills with emphasis on Microsoft Office products to prepare reports, analysis and schedules Experience with handling large datasets and cloud computing platforms (e.g. AWS, Azure, GCP, or other enterprise level analytics platforms Experience turning business needs into technical requirements, and structuring developments, analysis and validation plans to meet requirements Relevant industry experience (electric or gas utility, EV charging infrastructure, Vehicle\-Grid integration, distributed energy resources, analytics consulting, etc.)</t>
        </is>
      </c>
    </row>
    <row r="4">
      <c r="A4" t="inlineStr">
        <is>
          <t>in-dde31997b758b7bd</t>
        </is>
      </c>
      <c r="B4" t="inlineStr">
        <is>
          <t>Sr Principal Applied Scientist, Cost of Cloud Optimization ML/AI</t>
        </is>
      </c>
      <c r="C4" t="inlineStr">
        <is>
          <t>Oracle</t>
        </is>
      </c>
      <c r="D4" t="inlineStr">
        <is>
          <t>indeed</t>
        </is>
      </c>
      <c r="E4" t="inlineStr"/>
      <c r="F4" t="inlineStr"/>
      <c r="G4" t="inlineStr">
        <is>
          <t>US</t>
        </is>
      </c>
      <c r="H4" s="2" t="n">
        <v>46058</v>
      </c>
      <c r="I4" t="inlineStr">
        <is>
          <t>**Job Description:**
* Lead AI development from Context Aware Agents, Action Agents to Reasoning Agents, with Multi Agent Orchestration. This will involve strategy and planning through several critical milestones across team of Applied Scientists, Data Engineers and Business Stakeholders. This is a hands on role, requiring coding, testing, delivery and ongoing maintenance and training for solutions in production, as well as fostering business partnership and accountability every step of the way.
* Lead ML Model Development: Lead the design, development and productionalization of advanced machine learning models for time series and anomaly detection. Responsible for optimizing models to enhance precision, ensuring high performance, accuracy and reliability.
Use machine learning, data mining, statistical techniques, and others to create actionable, meaningful, and scalable solutions that drive Cloud Capacity Management and Cost Optimization.  
	+
* Provide proactive leadership, demonstrating self\-sufficiency, influencing and team building skills while creating and socializing innovative machine learning and AI solutions.
	+ Mentor and collaborate with other Applied Scientists and Engineers for continuous improvement with best practices and tools for machine learning, model development, and AI agentic frameworks.
	+ Collaborate closely with data engineers to integrate models into production and ensure continuous monitoring and improvement of productionalized models, MLOps and AIOps processes. Validate that data in SDS is relevant, trustworthy and actionable and ensure SDS provides required data and level of granularity for advanced Machine Learning and AI solutions.
* Work closely with business teams to understand business requirements and proactively provide new data science driven insights and AI solutions.
	+ Address business/customer problems and questions using statistical and data science techniques to achieve business goals and KPI's. Provide actionable insights from models to senior leadership and stakeholders.
	+ In addition to developing AI solutions, be comfortable with our data and be an expert in in\-depth analyses and insights through dashboards \&amp; visualizations. Experience with Analytic tools such as Oracle Analytics Cloud (OAC) or Tableau.
	+ Ensure thorough documentation of models and AI development from Business Problem through to design, implementation, and Business impacts of results.
	+ Manage AI Projects within SDS Scrum focusing on timely delivery and continuous improvement of AI solutions.
**Requirements:**
* Extensive Experience: 6\-10\+ years of experience in developing and deploying machine learning, AI and Agents, in a large industry cloud environment.
* Educational Requirements: Advanced degree (Ph.D. or Masters) in Computer Science, AI, Machine Learning, Data Science, or a related field. Ph.D with minimum of 6 years experience or Masters with minimum of 10 years experience required.
* Technical Requirements: Strong expertise in SQL, Python, Application Development, Reporting tools and deep learning frameworks such as PyTorch and TensorFlow.
	+ Extensive experience with time\-series data, forecasting, clustering, anomaly detection, feature engineering, and model optimization techniques.
	+ AI Agents: Knowledge and hands\-on experience with AI and AI agent frameworks, particularly OCI Generative AI Agents is a plus. Proven ability to develop and deploy autonomous AI Agents in real\-world large industry cloud environment.
	+ Preferred experience with Oracle suite of Cloud products and services including Oracle Autonomous Database (ADB\-S 26ai), Oracle Analytics Cloud (OAC), Oracle Data Science Service, OCI Generative AI Agents, Oracle Apex.
* Cloud Environments: Required experience with cloud services (e.g. AWS, Azure, Oracle Cloud Infrastructure) with a proven track record of deploying AI and machine learning models in a cloud environment.
	+ Preferred experience working with OCI Oracle Cloud Infrastructure, with an understanding of SaaS services, observability and DevOps.
	+ Experience with Cloud SaaS Service Capacity Planning, Management and Cost Optimization is a plus.
* Problem\-Solving Skills: Excellent problem\-solving skills, with the ability to identify and address potential issues proactively. Experience in troubleshooting and optimizing machine learning models, AI Agent model selection, accuracy, data quality issues.
* Business and Leadership Skills: Proven leadership skills with a track record of leading, collaboration, strong communication and influencing skills both within team and across organizations, including presenting complex technical concepts to non\-technical stakeholders or executives. Expert business skills to engage and understand business problems and priorities, then explain how AI or Data Science solutions provide impactful business insights.
* Adaptability: Ability to thrive in a fast\-paced, dynamic environment, managing multiple tasks and projects simultaneously. Eagerness to continuously learn and adapt to new technologies and methodologies.
\#LI\-JC1
\#LI\-REMOTE</t>
        </is>
      </c>
    </row>
    <row r="5">
      <c r="A5" t="inlineStr">
        <is>
          <t>in-830b19c33e4f7988</t>
        </is>
      </c>
      <c r="B5" t="inlineStr">
        <is>
          <t>Principal Data Scientist – Fintech Analytics</t>
        </is>
      </c>
      <c r="C5" t="inlineStr">
        <is>
          <t>Intuit</t>
        </is>
      </c>
      <c r="D5" t="inlineStr">
        <is>
          <t>indeed</t>
        </is>
      </c>
      <c r="E5" t="inlineStr"/>
      <c r="F5" t="inlineStr"/>
      <c r="G5" t="inlineStr">
        <is>
          <t>Mountain View, CA, US</t>
        </is>
      </c>
      <c r="H5" s="2" t="n">
        <v>46062</v>
      </c>
      <c r="I5" t="inlineStr">
        <is>
          <t>**Overview**
------------
At Intuit, we are building the financial operating system that powers money movement across our ecosystem—QuickBooks, TurboTax, Credit Karma, and Mailchimp. The Fintech Platform team sits at the center of this mission, enabling secure, reliable, and scalable movement of billions of dollars annually across payments, banking, balance, lending, and global rails.  
We are seeking a Principal Data Scientist, Fintech Analytics to lead data science and decision intelligence for our money movement platforms. This is a highly visible, high\-impact role responsible for transforming complex transactional data into predictive insights that improve reliability, revenue, risk management, and customer trust.  
This role goes far beyond dashboards or retrospective analysis. You will act as a thought partner to Fintech product, engineering, risk, finance, and operations leaders, owning analytical strategy across performance, fraud, declines, funds availability, and platform health. Your work will directly influence platform architecture decisions, risk posture, investment prioritization, and long\-term growth. **Responsibilities**
* Lead principal\-level data science initiatives across Intuit’s Fintech money movement platforms, spanning payments, balance, banking, lending, and global rails
* Build and evolve predictive and diagnostic models to understand and improve transaction success, authorization rates, latency, fraud losses, and funds availability
* Own business and platform observability from a data science lens—connecting system behavior to customer impact, revenue outcomes, and risk exposure
* Partner deeply with Product, Engineering, Risk, Finance, and Operations leaders to shape data\-informed strategy and trade\-offs
* Drive root\-cause analysis for complex, ambiguous issues such as payment declines, anomaly detection, fraud spikes, reconciliation gaps, and cross\-rail performance differences
* Develop frameworks to quantify business impact during incidents and systemic changes, enabling faster and better executive decision\-making
* Influence roadmap and investment decisions by translating model outputs into clear narratives, scenarios, and recommendations
* Establish best practices for model governance, metric definitions, experimentation, and analytical rigor across Fintech
* Mentor and elevate other data scientists and analysts through technical leadership, reviews, and knowledge sharing
 **Qualifications**
* 10\+ years of experience in data science, applied machine learning, or quantitative analytics, with ownership of mission\-critical systems
* Strong experience working with large\-scale transactional or event\-driven data, ideally in fintech, payments, banking, or other regulated financial domains
* Deep understanding of money movement concepts such as payment rails, authorization flows, settlement, reconciliation, fraud, chargebacks, and funds availability
* Proven track record of building models that drive real business outcomes, not just academic or offline results
* Advanced proficiency in SQL and strong experience with Python (or equivalent) for data science and modeling
* Experience with anomaly detection, forecasting, classification, causal analysis, or optimization in production environments
* Exceptional ability to translate complex analyses into clear, executive\-level insights
* Comfortable operating in ambiguity, owning problems end\-to\-end from formulation to impact
* Bachelor’s degree in a quantitative field (Engineering, Computer Science, Mathematics, Statistics, or equivalent); advanced degree preferred but not required
Why This Role Matters?
This role is foundational to Intuit’s ability to operate and scale a trusted financial platform. The Principal Data Scientist will be a single\-threaded owner for understanding and predicting how billions of dollars move through our systems, enabling Intuit to proactively manage risk, maximize revenue, and deliver exceptional customer experiences at scale.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$ 240,000\- 324,500</t>
        </is>
      </c>
    </row>
    <row r="6">
      <c r="A6" t="inlineStr">
        <is>
          <t>in-ffb4fad38fb76d71</t>
        </is>
      </c>
      <c r="B6" t="inlineStr">
        <is>
          <t>Applied Scientist for Frontier AI Copilot</t>
        </is>
      </c>
      <c r="C6" t="inlineStr">
        <is>
          <t>Microsoft</t>
        </is>
      </c>
      <c r="D6" t="inlineStr">
        <is>
          <t>indeed</t>
        </is>
      </c>
      <c r="E6" t="inlineStr"/>
      <c r="F6" t="inlineStr"/>
      <c r="G6" t="inlineStr">
        <is>
          <t>Redmond, WA, US</t>
        </is>
      </c>
      <c r="H6" s="2" t="n">
        <v>46061</v>
      </c>
      <c r="I6" t="inlineStr">
        <is>
          <t>**Overview**  
We are building a frontier AI team inside the Office Product Group to push the next generation of **agentic AI systems embedded directly into Office applications**. This team sits at the intersection of research and product: inventing new model\- and system\-level capabilities, and shipping them at global scale to hundreds of millions of users.
As an **Applied Scientist**, you will design, train, evaluate, and deploy agentic AI systems that reason, act, and collaborate across tools, documents, and other agents—grounded in real product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agentic AI systems** for Office apps (Excel, Word, PowerPoint, Outlook), including planning, tool use, memory, and long\-horizon task execution.
* **Develop agent\-to\-agent communication frameworks**, enabling coordination, delegation, and verification across specialized agents.
* **Advance low\-resource code generation and transformation**, including adapting models to domain\-specific languages, formulas, and semi\-structured representations.
* **Fine\-tune and post\-train foundation models** (SFT, preference optimization, RLHF/PO variants) for reliability, controllability, and product\-grade behavior.
* **Own evaluation and benchmarking**: design task\-level, system\-level, and human\-in\-the\-loop evals that reflect real Office workflows—not just academic metrics.
* **Partner closely with engineers and PMs** to turn research ideas into scalable, shippable features with clear UX and performance guarantees.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**Preferred Qualifications:**
* Understanding of **evaluation methodology** for generative and agentic systems, including offline benchmarks and online experimentation.
* Hands\-on experience with **LLMs and agentic systems**, including prompting, tool calling, memory, and orchestration.
* Experience with **fine\-tuning and post\-training** large models (SFT, preference learning, reward modeling, or RL\-style approaches).
* Ability to move comfortably between **research prototypes and production systems**.
* Communication skills and a product mindset—comfort owning ambiguous problems end\-to\-end.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in-4be465b251a1f20d</t>
        </is>
      </c>
      <c r="B7" t="inlineStr">
        <is>
          <t>Cleared - Data Scientist (Multiple Levels)</t>
        </is>
      </c>
      <c r="C7" t="inlineStr">
        <is>
          <t>Noblis</t>
        </is>
      </c>
      <c r="D7" t="inlineStr">
        <is>
          <t>indeed</t>
        </is>
      </c>
      <c r="E7" t="inlineStr"/>
      <c r="F7" t="inlineStr"/>
      <c r="G7" t="inlineStr">
        <is>
          <t>Bethesda, MD, US</t>
        </is>
      </c>
      <c r="H7" s="2" t="n">
        <v>46061</v>
      </c>
      <c r="I7" t="inlineStr">
        <is>
          <t>Responsibilities:
**Noblis is seeking a Cleared Data Scientist (Multiple Levels) with IC experience to support our SETA contract in Bethesda, MD.**
The Data Scientist will be responsible for, and not limited to:* Driving data science effectiveness by evaluating analytical capabilities, conducting technique assessments, identifying methodology gaps, establishing performance metrics, and aligning with organizational business objectives.
* Leading continuous improvement initiatives through data process analysis, architectural enhancements, analytical workflow optimization, and capability enhancement roadmaps.
* Enhancing predictive modeling capabilities by designing implementation procedures, developing standardized approaches for different model types, establishing validation protocols, and coordinating cross\-functional model deployment activities.
* Improving business intelligence through effective reporting templates, actionable data dashboards, real\-time visualization mechanisms, and contextual insight distribution.
* Optimizing analytics tool usage by maximizing platform effectiveness, fine\-tuning algorithms, synthesizing multi\-source data, ensuring system integration, and recommending technical enhancements.
* Implementing data automation by identifying suitable processes, designing ETL workflows, developing code scripts, implementing automated analysis responses, and documenting procedures.
* Managing the data reporting lifecycle from collection to distribution, ensuring timely delivery, implementing feedback mechanisms, establishing archival procedures, and meeting compliance requirements.
* Fostering agile data science approaches through methodologies like analytics sprints, retrospectives, iterative development, and balancing innovation with governance requirements.
* Coordinating cross\-functional data initiatives by serving as a liaison between teams, aligning analytics with organizational goals, facilitating knowledge sharing, and building stakeholder relationships.
* Leading data integration through architecture design, API implementation, data normalization, integration testing, and comprehensive documentation.
* Driving advanced analytics by developing collection strategies, implementing statistical techniques, creating insightful visualizations, designing KPIs, and leveraging data for strategic decision\-making.
Required Qualifications:
* Experience possessing in\-depth knowledge of: Data science toolkits, data analytics and statistical analysis as well as data discovery, use and exploitation within multi\-cloud environments.
* Experience with in\-depth knowledge of standard data science languages (SQL, R, Python, Julia).
* Experience understanding Data integration and data management fundamentals and how to successfully adopt those for data science projects from development into production.
* Experience with understanding customer needs and visualizing data in the most effective way possible for a given project or study.
* Experience related to working with unstructured datasets.
* Experience with technical writing, ability to communicate complex data in simple, actionable ways.
**Required minimum skills and knowledge:*** US Citizenship is required.
* Active Top Secret/SCI clearance with Polygraph.
* Bachelor's degree in computer science, data science, or a related field.
 **Multiple levels can be accommodated.*** Senior Level:
	+ Bachelor's degree with 6 years of experience OR Master’s Degree with 4 years of experience OR PhD with 2 years of experience OR Associate's degree with 8 years of experience OR High\-School with 11 years of experience
	+ Compensation: $120,700 \- $188,725
* Expert Level:
	+ Bachelor's degree with 8 years of experience OR Master’s Degree with 6 years of experience OR PhD with 4 years of experience OR Associate's degree 11 years of experience OR High\-School with 14 years of experience
	+ Compensation: $146,200 \- $228,400
Desired Qualifications:
* IC experience is highly desirable.
* Experience with having successfully demonstrated the ability to independently conduct the appropriate analysis to offer recommendations, solutions, and alternatives to resolve issues, concerns, problems, or methods.
* Experience in establishing strong working relationships with program managers as well as organization leadership; tracking task order efforts to rapidly identify and resolve potential and new problems; and identifying and resolving administrative and contractual issues related to a support services contract.
* Ability to solve problems in a rapidly changing environment, and interface with customers directly.
* Strong understanding of intelligence disciplines, methodologies, and the intelligence cycle.
* Ability to work in a fast paced, dynamic, and team environment.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$120,700\.00 \- USD $222,850\.00 /Yr.</t>
        </is>
      </c>
    </row>
    <row r="8">
      <c r="A8" t="inlineStr">
        <is>
          <t>in-d614593d25e3dbf3</t>
        </is>
      </c>
      <c r="B8" t="inlineStr">
        <is>
          <t>Cancer Biology Omics Associate Data Scientist</t>
        </is>
      </c>
      <c r="C8" t="inlineStr">
        <is>
          <t>MD Anderson Cancer Center</t>
        </is>
      </c>
      <c r="D8" t="inlineStr">
        <is>
          <t>indeed</t>
        </is>
      </c>
      <c r="E8" t="inlineStr"/>
      <c r="F8" t="inlineStr"/>
      <c r="G8" t="inlineStr">
        <is>
          <t>Houston, TX, US</t>
        </is>
      </c>
      <c r="H8" s="2" t="n">
        <v>46060</v>
      </c>
      <c r="I8" t="inlineStr">
        <is>
          <t>The Immunology department at MD Anderson Cancer Center seeks to determine the fundamental cellular and molecular mechanisms of a wide range of processes by which the body recognizes and eliminates pathogens and use these findings to unleash the patient's own immune system against previously treatment\-resistant cancers. Treating the immune system rather than the cancer itself, the therapeutics developed are applicable to many cancers.
The Associate Data Scientist in the Bullman Lab will assist in the computational analysis of spatial single\-cell transcriptomic and proteomic data from patient tumors generated from platforms such as CosMx Spatial Molecular Imager. Analyses will involve identifying spatially localized cellular niches, characterizing immune and epithelial cell states, modeling cell\-cell communication, and uncovering pathways through which host\-microbe interactions influence tumor biology.  
The ideal candidate brings experience in single\-cell or spatial biology, cancer biology omics or genomics, and proficiency in Python, supported by relevant academic training and applied research or industry experience.  
Minimum $42\.31 \- Midpoint $52\.88 \- Maximum $63\.46  
The typical work schedule is onsite.  
Work location: Texas Medical Center.  
**Why Us?**  
Joining MD Anderson means contributing directly to research that shapes the future of cancer treatment while developing deep technical and scientific expertise. This role offers opportunities for collaboration, growth, and meaningful impact within a mission\-driven environment that values both innovation and work\-life balance.  
* Employer\-paid medical coverage starting day one for employees working 30\+ hours/week, plus optional group dental, vision, life, AD\&amp;D, and disability insurance.
* Accruals for PTO and Extended Illness Bank, plus paid holidays, wellness, childcare, and other leave options.
* Tuition Assistance Program after six months of service and access to extensive wellness, fitness, and employee resource groups.
* Defined\-benefit pension through the Teachers Retirement System, voluntary retirement plans, and employer\-paid life and reduced salary protection programs.
**Responsibilities**  
**1\. Analyze \&amp; Integrate Single\-Cell and Spatial Omics Data**  
Process and interpret single\-cell RNA\-seq, spatial transcriptomic, and spatial proteomic datasets.  
Apply clustering, differential expression, trajectory inference, and spatial proximity methods.  
Integrate multimodal datasets from CosMx, MIBI, STOmics, and GeoMx platforms.  
Identify spatially localized cellular niches and characterize immune and epithelial cell states.  
Model cell\-cell interactions and evaluate host\-microbe influences on tumor biology.  
**2\. Develop Computational Pipelines**  
Build and maintain reproducible Python and R analysis pipelines.  
Document workflows and ensure consistency across high\-dimensional omics analyses.  
Conduct pathway enrichment and network analyses to identify relevant biological trends.  
Generate publication\-quality figures for manuscripts, grants, and presentations.  
**3\. Collaborate \&amp; Communicate Research Findings**  
Partner with interdisciplinary team members to interpret data and support experimental planning.  
Present analytical results in lab meetings and project discussions.  
Maintain organized code, metadata, and supplementary materials to ensure reproducibility and data sharing.  
**EDUCATION**  
Required: Bachelor's Degree Biomedical Engineering, Electrical Engineering, Computer Engineering, Physics, Applied Mathematics, Statistics, Computer Science, Computational Biology, or related field.  
**WORK EXPERIENCE**  
Required: Two years Scientific software or industry development/analysis.  
Preferred: Must have prior experience in single\-cell or spatial biology, cancer biology omics, or cancer genomics, and demonstrate proficiency in Python.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178822
* Employment Status: Full\-Time
* Employee Status: Regular
* Work Week: Day/Evening, Days
* Minimum Salary: US Dollar (USD) 88,000
* Midpoint Salary: US Dollar (USD) 110,000
* Maximum Salary : US Dollar (USD) 132,000
* FLSA: exempt and not eligible for overtime pay
* Fund Type: Soft
* Work Location: Onsite
* Pivotal Position: Yes
* Referral Bonus Available?: Yes
* Relocation Assistance Available?: Yes
\#LI\-Onsite</t>
        </is>
      </c>
    </row>
    <row r="9">
      <c r="A9" t="inlineStr">
        <is>
          <t>in-928d2bc1a35ef0c4</t>
        </is>
      </c>
      <c r="B9" t="inlineStr">
        <is>
          <t>Principal Data Scientist, Agentic Platform</t>
        </is>
      </c>
      <c r="C9" t="inlineStr">
        <is>
          <t>Micron Technology</t>
        </is>
      </c>
      <c r="D9" t="inlineStr">
        <is>
          <t>indeed</t>
        </is>
      </c>
      <c r="E9" t="inlineStr"/>
      <c r="F9" t="inlineStr"/>
      <c r="G9" t="inlineStr">
        <is>
          <t>Folsom, CA, US</t>
        </is>
      </c>
      <c r="H9" s="2" t="n">
        <v>46058</v>
      </c>
      <c r="I9"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Micron’s Data Science experts develop AI and data\-driven solutions to tackle hard to solve challenges in semiconductor process and fab technology development. The team plays a key role in enabling intelligent automation and decision\-making across Micron’s portfolio
**Responsibilities**
--------------------
* Own the creation of AI systems optimizing semiconductor design, product engineering, verification \&amp; validation, and manufacturing workflows using large\-scale data.
* Architect and implement Agentic AI systems that integrate with Modeling tools, EDA tools, design environments, and product/manufacturing test platforms to automate tasks such as spec translation, design verification, product validation, and test log root cause analysis for components and system\-level products.
* Establish and promote Best Known Methods (BKMs) for deploying LLMs and agentic systems in live environments, ensuring reliability, efficiency, and maintainability.
* Benchmark and evaluate model performance using structured evaluation frameworks, and continuously refine models through timely tuning, RLHF, and feedback loops.
* Collaborate with multi\-functional teams—including process engineers, design engineers, product and test engineers, and data scientists—to define high\-impact problem statements and deliver scalable AI solutions.
* Communicate technical insights and solution strategies clearly to both technical and non\-technical team members through compelling data storytelling and visualizations.
**Minimum Qualifications**
--------------------------
* Must have a Master’s, PhD, or equivalent experience in Electrical Engineering, Computer Science, or a related field with 10\+ years of demonstrated experience
* Proficient in Python, with five years of experience working with a variety of semiconductor design \&amp; process datasets. Proficient in using enterprise data platforms like Snowflake, BigQuery, MSSQL, Oracle, and AWS Redshift for scalable data processing and analysis.
* Hands\-on experience building and leading AI/ML projects involving LLMs, RAG, and Agentic workflows deployed, demonstrated expertise in ML frameworks such as PyTorch or TensorFlow.
* Solid understanding of domain\-adapted LLM training with practical experience, including pretraining, post training on in\-domain synthetic datasets, and model quantization for efficient deployment
* Must have shown cloud platform experience such as GCP, AWS, or Azure, including deployment of ML pipelines in production environments.
* Familiarity with LLM evaluation and benchmarking techniques, including RLHF, timely tuning, and reward modeling for hardware\-aware use cases.
* Consistent track record to independently drive AI/ML projects from problem prioritization through deployment in semiconductor environments.
* Excellent interpersonal experience with the ability to collaborate with process technology, silicon design, design verification, validation, and product engineering teams, and translate sophisticated AI/ML concepts into actionable solutions for hardware development.
**Preferred Qualifications**
----------------------------
* Experience includes direct application of AI/ML to semiconductor design, processing, workflows.
* Deep understanding of semiconductor\-specific AI/ML applications.
* Experience with CI/CD pipelines and MLOps practices for ML/LLM deployment.
* Strong understanding of agentic AI frameworks (e.g., LangGraph, AutoGen) and evaluation tools (e.g., AgentEval).
* Shown proficiency in translating sophisticated technical concepts into actionable insights for multi\-functional teams!
The US base salary range that Micron Technology estimates it could pay for this full\-time position is:
$156,000\.00 \- $331,000\.00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0">
      <c r="A10" t="inlineStr">
        <is>
          <t>in-db40b3479ef4fac3</t>
        </is>
      </c>
      <c r="B10" t="inlineStr">
        <is>
          <t>Principal Data Scientist, Agentic Platform</t>
        </is>
      </c>
      <c r="C10" t="inlineStr">
        <is>
          <t>Micron Technology</t>
        </is>
      </c>
      <c r="D10" t="inlineStr">
        <is>
          <t>indeed</t>
        </is>
      </c>
      <c r="E10" t="inlineStr"/>
      <c r="F10" t="inlineStr"/>
      <c r="G10" t="inlineStr">
        <is>
          <t>Boise, ID, US</t>
        </is>
      </c>
      <c r="H10" s="2" t="n">
        <v>46058</v>
      </c>
      <c r="I10"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Micron’s Data Science experts develop AI and data\-driven solutions to tackle hard to solve challenges in semiconductor process and fab technology development. The team plays a key role in enabling intelligent automation and decision\-making across Micron’s portfolio
**Responsibilities**
--------------------
* Own the creation of AI systems optimizing semiconductor design, product engineering, verification \&amp; validation, and manufacturing workflows using large\-scale data.
* Architect and implement Agentic AI systems that integrate with Modeling tools, EDA tools, design environments, and product/manufacturing test platforms to automate tasks such as spec translation, design verification, product validation, and test log root cause analysis for components and system\-level products.
* Establish and promote Best Known Methods (BKMs) for deploying LLMs and agentic systems in live environments, ensuring reliability, efficiency, and maintainability.
* Benchmark and evaluate model performance using structured evaluation frameworks, and continuously refine models through timely tuning, RLHF, and feedback loops.
* Collaborate with multi\-functional teams—including process engineers, design engineers, product and test engineers, and data scientists—to define high\-impact problem statements and deliver scalable AI solutions.
* Communicate technical insights and solution strategies clearly to both technical and non\-technical team members through compelling data storytelling and visualizations.
**Minimum Qualifications**
--------------------------
* Must have a Master’s, PhD, or equivalent experience in Electrical Engineering, Computer Science, or a related field with 10\+ years of demonstrated experience
* Proficient in Python, with five years of experience working with a variety of semiconductor design \&amp; process datasets. Proficient in using enterprise data platforms like Snowflake, BigQuery, MSSQL, Oracle, and AWS Redshift for scalable data processing and analysis.
* Hands\-on experience building and leading AI/ML projects involving LLMs, RAG, and Agentic workflows deployed, demonstrated expertise in ML frameworks such as PyTorch or TensorFlow.
* Solid understanding of domain\-adapted LLM training with practical experience, including pretraining, post training on in\-domain synthetic datasets, and model quantization for efficient deployment
* Must have shown cloud platform experience such as GCP, AWS, or Azure, including deployment of ML pipelines in production environments.
* Familiarity with LLM evaluation and benchmarking techniques, including RLHF, timely tuning, and reward modeling for hardware\-aware use cases.
* Consistent track record to independently drive AI/ML projects from problem prioritization through deployment in semiconductor environments.
* Excellent interpersonal experience with the ability to collaborate with process technology, silicon design, design verification, validation, and product engineering teams, and translate sophisticated AI/ML concepts into actionable solutions for hardware development.
**Preferred Qualifications**
----------------------------
* Experience includes direct application of AI/ML to semiconductor design, processing, workflows.
* Deep understanding of semiconductor\-specific AI/ML applications.
* Experience with CI/CD pipelines and MLOps practices for ML/LLM deployment.
* Strong understanding of agentic AI frameworks (e.g., LangGraph, AutoGen) and evaluation tools (e.g., AgentEval).
* Shown proficiency in translating sophisticated technical concepts into actionable insights for multi\-functional teams!
The US base salary range that Micron Technology estimates it could pay for this full\-time position is:
$156,000\.00 \- $331,000\.00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1">
      <c r="A11" t="inlineStr">
        <is>
          <t>in-7521af858f2ef5b5</t>
        </is>
      </c>
      <c r="B11" t="inlineStr">
        <is>
          <t>Principal Data Scientist, Agentic Platform</t>
        </is>
      </c>
      <c r="C11" t="inlineStr">
        <is>
          <t>Micron Technology</t>
        </is>
      </c>
      <c r="D11" t="inlineStr">
        <is>
          <t>indeed</t>
        </is>
      </c>
      <c r="E11" t="inlineStr"/>
      <c r="F11" t="inlineStr"/>
      <c r="G11" t="inlineStr">
        <is>
          <t>Folsom, CA, US</t>
        </is>
      </c>
      <c r="H11" s="2" t="n">
        <v>46058</v>
      </c>
      <c r="I11"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Micron’s Data Science experts develop AI and data\-driven solutions to tackle hard to solve challenges in semiconductor process and fab technology development. The team plays a key role in enabling intelligent automation and decision\-making across Micron’s portfolio
**Responsibilities**
--------------------
* Own the creation of AI systems optimizing semiconductor design, product engineering, verification \&amp; validation, and manufacturing workflows using large\-scale data.
* Architect and implement Agentic AI systems that integrate with Modeling tools, EDA tools, design environments, and product/manufacturing test platforms to automate tasks such as spec translation, design verification, product validation, and test log root cause analysis for components and system\-level products.
* Establish and promote Best Known Methods (BKMs) for deploying LLMs and agentic systems in live environments, ensuring reliability, efficiency, and maintainability.
* Benchmark and evaluate model performance using structured evaluation frameworks, and continuously refine models through timely tuning, RLHF, and feedback loops.
* Collaborate with multi\-functional teams—including process engineers, design engineers, product and test engineers, and data scientists—to define high\-impact problem statements and deliver scalable AI solutions.
* Communicate technical insights and solution strategies clearly to both technical and non\-technical team members through compelling data storytelling and visualizations.
**Minimum Qualifications**
--------------------------
* Must have a Master’s, PhD, or equivalent experience in Electrical Engineering, Computer Science, or a related field with 10\+ years of demonstrated experience
* Proficient in Python, with five years of experience working with a variety of semiconductor design \&amp; process datasets. Proficient in using enterprise data platforms like Snowflake, BigQuery, MSSQL, Oracle, and AWS Redshift for scalable data processing and analysis.
* Hands\-on experience building and leading AI/ML projects involving LLMs, RAG, and Agentic workflows deployed, demonstrated expertise in ML frameworks such as PyTorch or TensorFlow.
* Solid understanding of domain\-adapted LLM training with practical experience, including pretraining, post training on in\-domain synthetic datasets, and model quantization for efficient deployment
* Must have shown cloud platform experience such as GCP, AWS, or Azure, including deployment of ML pipelines in production environments.
* Familiarity with LLM evaluation and benchmarking techniques, including RLHF, timely tuning, and reward modeling for hardware\-aware use cases.
* Consistent track record to independently drive AI/ML projects from problem prioritization through deployment in semiconductor environments.
* Excellent interpersonal experience with the ability to collaborate with process technology, silicon design, design verification, validation, and product engineering teams, and translate sophisticated AI/ML concepts into actionable solutions for hardware development.
**Preferred Qualifications**
----------------------------
* Experience includes direct application of AI/ML to semiconductor design, processing, workflows.
* Deep understanding of semiconductor\-specific AI/ML applications.
* Experience with CI/CD pipelines and MLOps practices for ML/LLM deployment.
* Strong understanding of agentic AI frameworks (e.g., LangGraph, AutoGen) and evaluation tools (e.g., AgentEval).
* Shown proficiency in translating sophisticated technical concepts into actionable insights for multi\-functional teams!
The US base salary range that Micron Technology estimates it could pay for this full\-time position is:
$156,000\.00 \- $331,000\.00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2">
      <c r="A12" t="inlineStr">
        <is>
          <t>in-77f98b888758a019</t>
        </is>
      </c>
      <c r="B12" t="inlineStr">
        <is>
          <t>Principal Data Scientist, Agentic Platform</t>
        </is>
      </c>
      <c r="C12" t="inlineStr">
        <is>
          <t>Micron Technology</t>
        </is>
      </c>
      <c r="D12" t="inlineStr">
        <is>
          <t>indeed</t>
        </is>
      </c>
      <c r="E12" t="inlineStr"/>
      <c r="F12" t="inlineStr"/>
      <c r="G12" t="inlineStr">
        <is>
          <t>San Jose, CA, US</t>
        </is>
      </c>
      <c r="H12" s="2" t="n">
        <v>46058</v>
      </c>
      <c r="I12"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Micron’s Data Science experts develop AI and data\-driven solutions to tackle hard to solve challenges in semiconductor process and fab technology development. The team plays a key role in enabling intelligent automation and decision\-making across Micron’s portfolio
**Responsibilities**
--------------------
* Own the creation of AI systems optimizing semiconductor design, product engineering, verification \&amp; validation, and manufacturing workflows using large\-scale data.
* Architect and implement Agentic AI systems that integrate with Modeling tools, EDA tools, design environments, and product/manufacturing test platforms to automate tasks such as spec translation, design verification, product validation, and test log root cause analysis for components and system\-level products.
* Establish and promote Best Known Methods (BKMs) for deploying LLMs and agentic systems in live environments, ensuring reliability, efficiency, and maintainability.
* Benchmark and evaluate model performance using structured evaluation frameworks, and continuously refine models through timely tuning, RLHF, and feedback loops.
* Collaborate with multi\-functional teams—including process engineers, design engineers, product and test engineers, and data scientists—to define high\-impact problem statements and deliver scalable AI solutions.
* Communicate technical insights and solution strategies clearly to both technical and non\-technical team members through compelling data storytelling and visualizations.
**Minimum Qualifications**
--------------------------
* Must have a Master’s, PhD, or equivalent experience in Electrical Engineering, Computer Science, or a related field with 10\+ years of demonstrated experience
* Proficient in Python, with five years of experience working with a variety of semiconductor design \&amp; process datasets. Proficient in using enterprise data platforms like Snowflake, BigQuery, MSSQL, Oracle, and AWS Redshift for scalable data processing and analysis.
* Hands\-on experience building and leading AI/ML projects involving LLMs, RAG, and Agentic workflows deployed, demonstrated expertise in ML frameworks such as PyTorch or TensorFlow.
* Solid understanding of domain\-adapted LLM training with practical experience, including pretraining, post training on in\-domain synthetic datasets, and model quantization for efficient deployment
* Must have shown cloud platform experience such as GCP, AWS, or Azure, including deployment of ML pipelines in production environments.
* Familiarity with LLM evaluation and benchmarking techniques, including RLHF, timely tuning, and reward modeling for hardware\-aware use cases.
* Consistent track record to independently drive AI/ML projects from problem prioritization through deployment in semiconductor environments.
* Excellent interpersonal experience with the ability to collaborate with process technology, silicon design, design verification, validation, and product engineering teams, and translate sophisticated AI/ML concepts into actionable solutions for hardware development.
**Preferred Qualifications**
----------------------------
* Experience includes direct application of AI/ML to semiconductor design, processing, workflows.
* Deep understanding of semiconductor\-specific AI/ML applications.
* Experience with CI/CD pipelines and MLOps practices for ML/LLM deployment.
* Strong understanding of agentic AI frameworks (e.g., LangGraph, AutoGen) and evaluation tools (e.g., AgentEval).
* Shown proficiency in translating sophisticated technical concepts into actionable insights for multi\-functional teams!
The US base salary range that Micron Technology estimates it could pay for this full\-time position is:
$156,000\.00 \- $331,000\.00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3">
      <c r="A13" t="inlineStr">
        <is>
          <t>in-af0e0cc87870bf4f</t>
        </is>
      </c>
      <c r="B13" t="inlineStr">
        <is>
          <t>Senior Applied Scientist</t>
        </is>
      </c>
      <c r="C13" t="inlineStr">
        <is>
          <t>Microsoft</t>
        </is>
      </c>
      <c r="D13" t="inlineStr">
        <is>
          <t>indeed</t>
        </is>
      </c>
      <c r="E13" t="inlineStr"/>
      <c r="F13" t="inlineStr"/>
      <c r="G13" t="inlineStr">
        <is>
          <t>Redmond, WA, US</t>
        </is>
      </c>
      <c r="H13" s="2" t="n">
        <v>46058</v>
      </c>
      <c r="I13" t="inlineStr">
        <is>
          <t>**Overview**  
Microsoft Cloud Operations and Innovation (CO\+I) underpins Microsoft’s global cloud infrastructure, driving the innovation, planning, design, construction, and operation of one of the largest data center fleets in the world. We are seeking an exceptional **Senior Applied Scientist** to join the **Data Center Applied AI** team. In this role, you will play a pivotal role in advancing and integrating **cutting‑edge, multimodal agentic AI systems** into core tools and operational workflows that power Microsoft’s data centers. Your work will drive operational efficiency at scale and help advance Microsoft’s mission to empower every person and every organization on the planet to achieve more through intelligent, multimodal AI agents.
As a Senior Applied Scientist, you will **bridge state‑of‑the‑art AI research with production‑grade engineering**, delivering agent architectures that are **reliable, secure, scalable, observable, and measurable**. You will collaborate closely with Business and Engineering to build and deploy agentic capabilities across workflow automation, information retrieval, retrieval‑augmented generation (RAG), tool and function calling, long‑horizon task execution, and multi‑agent orchestration.
This role blends deep AI and applied science expertise with strong engineering judgment, operational rigor, and a bias for action. Success requires end‑to‑end ownership, a growth mindset, and strong customer empathy. Join us to shape the future of agentic AI for data center operations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**Advance Applied AI Research to Improve Quality and Reliability**
	+ Apply deep expertise in **Generative AI, deep learning, NLP, and multimodal models** to translate cutting\-edge research into **high\-impact, production\-ready AI solutions**.
	+ Design and execute experiments that measurably improve **agent planning, memory, grounding, reasoning, and long‑horizon task completion**.
	+ Perform **lightweight fine‑tuning** (e.g., LoRA and related techniques) on multimodal and large multimodal language models—to improve entity recognition, reasoning accuracy, and response quality.
	+ Implement state‑of‑the‑art approaches using **foundation models, advanced prompt engineering, RAG, knowledge graphs, and multi‑agent architectures**, complemented by classical ML techniques where appropriate.
* **Build and Ship Scalable Agentic AI Systems**
	+ Architect and implement **end‑to‑end agent workflows** that decompose user intent into executable plans, intelligently select and invoke tools, and recover gracefully from errors and edge cases.
	+ Rapidly prototype solutions and partner with engineering teams to drive **production deployment**, including debugging live systems and building **AIOps workflows**.
	+ Use data and telemetry to identify AI quality gaps, generate insights, and deliver **proofs of concept** that apply research innovations to real‑world operational challenges.
	+ Design robust **multi‑step reasoning and tool‑use strategies**, including function calling, code execution, APIs, and secure connectors, with strong safety and reliability guardrails.
	+ Drive production excellence across **latency, reliability, cost efficiency, observability, monitoring, and safe fallback behaviors**.
* **Own Evaluation, Metrics, and Iteration Loops**
	+ Define task‑level evaluation metrics for agentic behavior, including **success rate, tool‑call accuracy, step efficiency, hallucination rate, safety violations, time‑to‑completion, and user satisfaction**.
	+ Build and maintain **offline and online evaluation pipelines**, including:
		- Golden datasets, scenario simulators, and regression test suites
		- Human‑in‑the‑loop evaluation frameworks and rubric design
		- A/B experimentation and telemetry‑driven iteration loops
* **Collaborate Across Disciplines and Lead Technical Execution**
	+ Partner with business and engineering stakeholders to translate requirements into **clear technical specifications, research plans, and delivery milestones**.
	+ Lead design reviews and influence engineering decisions across **agent frameworks, model integration, and system architecture**.
	+ Mentor and support other applied scientists and engineers, raising the bar for **applied AI execution and production quality**
* 
* **Other**
* Embody our Culture and Values
**Qualifications** **Required/minimum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**Preferred Qualifications**
* Experience with Azure technology Stack
* Experience with **parameter‑efficient fine‑tuning** techniques (e.g., LoRA) for LLMs or multimodal models.
* Hands‑on experience building **agentic or tool‑augmented LLM systems**, including function calling, planners, and API/tool integration.
* Experience with **advanced RAG architectures**, such as hybrid retrieval, reranking, grounding, and citation strategies.
* Strong **AIOps depth**, including quality drift detection, alerting, rollback, and telemetry‑driven optimization.
* Experience optimizing systems for **latency, reliability, scalability, and cost efficiency** at enterprise scale.
* Prior experience working on **mission‑critical or large‑scale enterprise AI systems**.
* Demonstrated mentorship or technical leadership within applied science or engineering teams.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
      <c r="A14" t="inlineStr">
        <is>
          <t>in-62c38c8664427c91</t>
        </is>
      </c>
      <c r="B14" t="inlineStr">
        <is>
          <t>Senior Applied Scientist</t>
        </is>
      </c>
      <c r="C14" t="inlineStr">
        <is>
          <t>Microsoft</t>
        </is>
      </c>
      <c r="D14" t="inlineStr">
        <is>
          <t>indeed</t>
        </is>
      </c>
      <c r="E14" t="inlineStr"/>
      <c r="F14" t="inlineStr"/>
      <c r="G14" t="inlineStr">
        <is>
          <t>Redmond, WA, US</t>
        </is>
      </c>
      <c r="H14" s="2" t="n">
        <v>46057</v>
      </c>
      <c r="I14" t="inlineStr">
        <is>
          <t>**Overview**  
Do you want to be part of a team which delivers innovative products and machine learning solutions across Microsoft to hundreds of millions of users every month? Does the opportunity to join a fast\-paced, high\-visibility, diverse team in a highly competitive market sound exciting to you? If so, this **Senior Applied Scientist** role with the Microsoft Turing team may be a great fit for you!  
The Microsoft Turing team is an innovative research and engineering team working on state\-of\-the\-art deep learning models to power end user experiences across the company. Senior Applied Scientists and software engineers in the Turing team work together to push the boundaries of large\-scale deep learning models on Turing’s world class distributed training infrastructure. The team is pioneering search, and the core copilot experiences across Microsoft’s ecosystem.  
In addition to ensuring that Microsoft is pushing the state\-of\-the\-art large\-scale models, the Turing team also works on improving experiences across Microsoft’s products and services by working on high value scenarios. The Turing team has shipped capabilities across all of many Microsoft scenarios including M365 Copilots, Bing Chat, semantic search for enterprise and knowledge management, quick reply on Outlook, Smart Compose features in Word, image enhancement models, image search models, as well as many other features across Office, Bing, and Xbox. Most recently, the Turing team launched Analyst Agent in M365 Copilot—one of the first reasoning\-powered agents of its kind.  
If you share our passion for building innovative products and utilizing the power of machine learning in large\-scale real\-world situations for the benefit of our customers, we would love to consider your application.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proficiency in one or more specialized sub‑areas while building broad knowledge across a wider research domain. Apply relevant research methodologies, deepen understanding of key services, platforms, or domains, and identify product opportunities by tracking industry trends and emerging applied technologies.
* Review business requirements and incorporate research to meet business goals. You‘ll provide strategic direction for the kinds of data used to solve problems and apply deep subject matter knowledge to support business impact.
* Participate in onboarding of team members and assist in developing academics to be members of multidiscipline teams. You’ll identify new research talent to join Microsoft and collaborate with the academic community to develop the recruiting pipeline.
*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conducting research as part of a research program (in academic or industry settings).
* Proficient ability and effectiveness working end\-to\-end in a challenging technical problem domain (plan, design, execution, continuous release, and service operation).
* 3\+ years experience creating publications (e.g., patents, libraries, peer\-reviewed academic papers), at conferences like ACL, EMNLP, SIGKDD, AAAI, WSDM, COLING, WWW, NIPS, ICASSP, etc.
* 3\+ years' experience in applying deep learning techniques and drive end\-to\-end AI product development (Search, Recommendation, NLP, Document Understanding, etc), and communicating technical details clearly across organizational boundaries.
\#msturingjobs \#turing \#m365copilot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in-fa99535252ff0dfe</t>
        </is>
      </c>
      <c r="B15" t="inlineStr">
        <is>
          <t>Senior Applied Scientist</t>
        </is>
      </c>
      <c r="C15" t="inlineStr">
        <is>
          <t>Microsoft</t>
        </is>
      </c>
      <c r="D15" t="inlineStr">
        <is>
          <t>indeed</t>
        </is>
      </c>
      <c r="E15" t="inlineStr"/>
      <c r="F15" t="inlineStr"/>
      <c r="G15" t="inlineStr">
        <is>
          <t>Redmond, WA, US</t>
        </is>
      </c>
      <c r="H15" s="2" t="n">
        <v>46056</v>
      </c>
      <c r="I15" t="inlineStr">
        <is>
          <t>**Overview**  
Our team (Signals Modeling) builds the core intelligence that understands and predicts how users interact with ads \- from the first impression through clicks, post\-click engagement, and downstream business outcomes.
We design and train transformer\-based models with billions of parameters that power ad ranking, pricing, and optimization across large\-scale consumer surfaces. These models go well beyond simple click prediction: they reason over long user histories, rich ad and content representations, and heterogeneous event streams to infer user intent and advertiser value, even when ground truth signals are sparse or partially unobservable.
The team owns end\-to\-end ML systems, including large\-scale data and label construction, representation learning, multi\-task and proxy objectives, calibration, and rigorous offline and online evaluation. We build sophisticated training pipelines that transform weak signals (e.g., page visits, dwell time, or engagement events) into high\-quality learning targets, and deploy models that remain robust under delayed conversions and shifting marketplace dynamics.
Engineers and scientists on the team work at the intersection of deep learning, large\-scale experimentation, and marketplace economics, shipping production\-grade models and data pipelines that directly drive revenue and advertiser ROI. This is a hands\-on role with real ownership: you’ll help shape next\-generation transformer architectures, push the limits of scalable training and serving, and see your models make measurable impact in one of the world’s largest ads ecosystems.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modeling and data innovations for ad interaction outcome prediction under partial and noisy feedback.
* Focus on building estimated conversion models, designing data\-driven attribution and weak\-label generation pipelines, and developing robust learning and calibration methods for scenarios where true user outcomes are sparse, delayed, or unobservable.
* Design and evaluate multi\-task and proxy\-signal models, improve offline and online measurement frameworks, and translate modeling advances into production\-ready systems that directly impact ad ranking, bidding, advertiser ROI, and user experience at web scale.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working with noisy, weak, or proxy labels, including building training signals from indirect user behavior.
* Experience with conversion, outcome, or funnel modeling (e.g., post\-click modeling, engagement modeling, attribution, or similar problems).
* Familiarity with model calibration, reliability analysis, or uncertainty estimation in production systems.
* Background in causal inference, attribution, or counterfactual evaluation.
* Experience with large\-scale online marketplaces or ads/recommendation systems.
* Experience designing or operating multi\-task / auxiliary\-task learning systems.
* Proven technical leadership in cross\-team modeling efforts or platform\-level ML systems.
* 4\+ years of industry experience building and shipping machine learning models in production.
* Solid hands\-on experience with modern ML models (e.g., deep learning, tree\-based models, or linear models) and feature engineering.
* Solid understanding of supervised learning and multi\-task learning.
* Practical experience working with large\-scale, real\-world data and building end\-to\-end modeling pipelines (data preparation, training, validation, deployment).
* Experience with offline evaluation and online A/B experimentation for ML systems.
* Solid programming skills in Python and at least one major ML framework (e.g., PyTorch or TensorFlow).
* Ability to independently drive modeling projects from problem definition through production and iteration.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
      <c r="A16" t="inlineStr">
        <is>
          <t>in-b24e0a765f12d6c3</t>
        </is>
      </c>
      <c r="B16" t="inlineStr">
        <is>
          <t>Principal Applied Scientist</t>
        </is>
      </c>
      <c r="C16" t="inlineStr">
        <is>
          <t>Microsoft</t>
        </is>
      </c>
      <c r="D16" t="inlineStr">
        <is>
          <t>indeed</t>
        </is>
      </c>
      <c r="E16" t="inlineStr"/>
      <c r="F16" t="inlineStr"/>
      <c r="G16" t="inlineStr">
        <is>
          <t>Redmond, WA, US</t>
        </is>
      </c>
      <c r="H16" s="2" t="n">
        <v>46056</v>
      </c>
      <c r="I16" t="inlineStr">
        <is>
          <t>**Overview**  
Our Signals Modeling team builds the intelligence that powers how the advertising marketplace understands user behavior, measures impact and optimizes outcomes from initial impressions through downstream conversions and long\-term advertiser value.
We develop large\-scale learning systems that infer intent and causal effects from incomplete and noisy feedback, enabling principled decision\-making across ranking, bidding, pricing, and budget allocation. Our work sits at the foundation of marketplace optimization, where accurate attribution and measurement directly influence billions in advertising spend.
The team designs and operates state\-of\-the\-art modeling platforms spanning representation learning, weak\-supervision, multi\-objective training, calibration, and rigorous experimentation. We transform sparse engagement signals into reliable learning targets and build models that remain robust under delayed conversions, selection bias, and rapidly shifting marketplace dynamics.
As a Principal Applied Scientist, you will help define the future of data\-driven attribution and causal measurement, shaping the methodologies that determine how value is estimated and optimized across the ecosystem. You will partner across research, engineering, and product leadership to introduce advanced inference techniques into production systems operating at massive scale.
This is a high\-ownership role focused on solving structurally hard problems where ground truth is limited, experimentation is non\-trivial, and scientific rigor is essential to unlocking durable marketplace advantage.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Define and drive the scientific and technical strategy for data\-driven attribution (DDA) and causal measurement across advertising systems.
* Establish methodologies for incrementality estimation, counterfactual learning, delayed\-feedback modeling, and bias correction in environments with partial observability.
* Lead the design and production adoption of attribution and causal inference frameworks that improve bidding, ranking, optimization, and advertiser ROI at web scale.
* Set evaluation standards that distinguish correlation from causation and elevate experimental rigor across teams.
* Identify capability gaps and introduce advanced research, tools, or modeling approaches to strengthen measurement foundations.
* Operate across organizational boundaries to align research, engineering, product, and business leaders on measurement strategy.
* Serve as a subject\-matter expert and technical advisor on attribution and causal inference.
* Mentor scientists and influence technical direction to raise the organization’s scientific bar.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2\+ years experience presenting at conferences or other events in the outside research/industry community as an invited speaker.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Recognized expertise in attribution, incrementality, marketplace experimentation, or causal ML.
* Track record of driving multi\-year research or modeling agendas that materially improved product outcomes.
* Experience defining measurement strategy for advertising platforms, marketplaces, or large\-scale recommendation systems.
* Publications, patents, or widely adopted internal methodologies in causal inference, experimentation, econometrics, or applied machine learning.
* History of mentoring senior scientists and elevating organizational scientific capability.
* Experience influencing director\- or VP\-level technical strategy.
* Demonstrated track record of setting technical direction for large\-scale machine learning or statistical systems that delivered measurable business impact.
* Deep expertise in causal inference, data\-driven attribution, treatment effect estimation, counterfactual learning, or experimental design — applied in production environments.
* Experience leading ambiguous, high\-impact initiatives where ground truth is limited and methodological rigor is critical.
* Proven ability to influence strategy and drive adoption of new measurement or modeling approaches beyond an immediate team.
* Significant experience developing and deploying production ML systems across multiple stages of the product lifecycle.
* Solid scientific judgment with a history of selecting appropriate methodologies under real\-world constraints.
* Exceptional communication skills with the ability to translate complex technical concepts into guidance for senior technical and business leaders.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in-be702010c0de8783</t>
        </is>
      </c>
      <c r="B17" t="inlineStr">
        <is>
          <t>Senior Applied Scientist</t>
        </is>
      </c>
      <c r="C17" t="inlineStr">
        <is>
          <t>Microsoft</t>
        </is>
      </c>
      <c r="D17" t="inlineStr">
        <is>
          <t>indeed</t>
        </is>
      </c>
      <c r="E17" t="inlineStr"/>
      <c r="F17" t="inlineStr"/>
      <c r="G17" t="inlineStr">
        <is>
          <t>Seattle, WA, US</t>
        </is>
      </c>
      <c r="H17" s="2" t="n">
        <v>46055</v>
      </c>
      <c r="I17"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**Additional or preferred qualifications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in-9128c96cc2d28bca</t>
        </is>
      </c>
      <c r="B18" t="inlineStr">
        <is>
          <t>Applied Scientist</t>
        </is>
      </c>
      <c r="C18" t="inlineStr">
        <is>
          <t>Microsoft</t>
        </is>
      </c>
      <c r="D18" t="inlineStr">
        <is>
          <t>indeed</t>
        </is>
      </c>
      <c r="E18" t="inlineStr"/>
      <c r="F18" t="inlineStr"/>
      <c r="G18" t="inlineStr">
        <is>
          <t>Seattle, WA, US</t>
        </is>
      </c>
      <c r="H18" s="2" t="n">
        <v>46055</v>
      </c>
      <c r="I18"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**Additional or preferred qualifications :**
Bachelor's Degree in Statistics, Econometrics, Computer Science, Electrical or Computer Engineering, or related field AND 5\+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1\+ year(s) experience creating publications (e.g., patents, peer\-reviewed academic papers).*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in-55f0c61a15729c56</t>
        </is>
      </c>
      <c r="B19" t="inlineStr">
        <is>
          <t>Principal Data Scientist</t>
        </is>
      </c>
      <c r="C19" t="inlineStr">
        <is>
          <t>Microsoft</t>
        </is>
      </c>
      <c r="D19" t="inlineStr">
        <is>
          <t>indeed</t>
        </is>
      </c>
      <c r="E19" t="inlineStr"/>
      <c r="F19" t="inlineStr"/>
      <c r="G19" t="inlineStr">
        <is>
          <t>Redmond, WA, US</t>
        </is>
      </c>
      <c r="H19" s="2" t="n">
        <v>46054</v>
      </c>
      <c r="I19" t="inlineStr">
        <is>
          <t>**Overview**  
Microsoft AI (MAI) creates innovative AI\-powered and personalized web experiences in Microsoft Windows, Edge \&amp; Bing, that inform, entertain, add value, save money, and breathe productivity into the life and work of millions of customers. MAI makes the web work for our consumers, advertisers, and publishers in a safe environment where everyone can get informed, entertained, save money and thrive!
MSN is a personalized content feed powering user experiences across Microsoft. Our mission is to empower every person on the planet to be informed, entertained, and inspired. We are looking for an experienced Principal Data Scientist to join our Growth and Analytics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a host of engaged stakeholders who value your skills and consider you a thought partner in driving the business.
* Collaborate with cross\-functional teams to understand features, estimate impacts and drive engagement improvements based on insights from big data.
* Enhance products by evaluating performance metrics and user feedback. Develop self\-service dashboards and reports for various stakeholders using reporting platforms.
* Analyze large datasets to identify patterns, trends, and content performance to improve the relevance and quality of our recommendation systems.
* Build a metrics system to measure Business Health and quickly identify the root cause when metrics move.
* Conduct business modeling to identify growth opportunities and initiate projects with a positive long\-term ROI.
* Design and conduct A/B tests to evaluate algorithm performance and propose iterative improvements based on the results.
* Effectively communicate findings, insights, and recommendations to both technical and non\-technical stakeholders, enabling informed decision\-making.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7\+ years experience in data science modeling, statistics, analytics, business intelligence, or data\-driven business strategy.
* Previous product analytics, web analytics and or content analytics experience.
* Interpersonal communication and ability to leverage the data to tell a story.
* Demonstrated stakeholder management ability including effective prioritization, clear and concise communication, and delivery of actionable data\-driven insights.
* Knowledge on big data processing from raw events to metrics and insights (PySpark/Scala).
Knowledge of Content ecosystem, Ads and online shopping metrics.  
* 
\#MicrosoftA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in-28baf148dc3f844c</t>
        </is>
      </c>
      <c r="B20" t="inlineStr">
        <is>
          <t>Data Scientist II</t>
        </is>
      </c>
      <c r="C20" t="inlineStr">
        <is>
          <t>Microsoft</t>
        </is>
      </c>
      <c r="D20" t="inlineStr">
        <is>
          <t>indeed</t>
        </is>
      </c>
      <c r="E20" t="inlineStr"/>
      <c r="F20" t="inlineStr"/>
      <c r="G20" t="inlineStr">
        <is>
          <t>Redmond, WA, US</t>
        </is>
      </c>
      <c r="H20" s="2" t="n">
        <v>46051</v>
      </c>
      <c r="I20" t="inlineStr">
        <is>
          <t>**Overview**  
If you have an interest in data and are committed to developing systems that enhance informed decision\-making at Microsoft, the Insights, Data Engineering \&amp; Analytics team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The Insights Data, Employee Experience, Agents, \&amp; Science (IDEAS) Data Science team specializes in transforming complex data into actionable business insights. Our focus is on building robust analytical frameworks and predictive models that drive strategic decisions across the organization by integrating various cross\-signals. By leveraging advanced data engineering, statistical analysis, and machine learning, we deliver accurate business metrics, optimize performance, and uncover growth opportunities. Our mission is to empower stakeholders with data\-driven intelligence that fuels innovation and operational excellence.
As a **Data Scientist II**, you will work on advanced analytics initiatives to drive business insights and strategic decisions. You will design and implement scalable data solutions, apply rigorous statistical methods, and develop predictive models that influence product and business outcomes. This role requires proven technical depth and business acumen to influence business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Key Responsibilities:
* Design and execute controlled experiments to validate hypotheses, including communicating the results to the stakeholders
* Statistical Analysis \&amp; Hypothesis Testing
* Apply advanced statistical techniques (e.g., regression, Bayesian methods, causal inference) to derive actionable insights
* Communicate limitations of the statistical methods clearly to stakeholders
Model Development \&amp; Deployment:
* Develop predictive and prescriptive models using machine learning and AI techniques
* Ensure models are production\-ready, maintainable, and aligned with privacy and compliance standards
* Monitor model performance and iterate based on telemetry and feedback
Data Engineering \&amp; Infrastructure:
* Build ad hoc and production ready data pipelines for large\-scale, diverse datasets
* Partner with Data Engineering teams to ensure robust, secure, and scalable data infrastructure
* Implement best practices for data quality, governance, and monitoring
Business Impact:
* Translate complex analytical findings into clear business recommendations
* Influence product and strategy decisions through data\-driven insights
* Collaborate with cross\-functional teams to align analytics with organizational goals
**Qualifications** **Required Qualifications:**
* Doctorate in Data Science, Mathematics, Statistics, Econometrics, Economics, Operations Research, Computer Science, or related field
	+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3\+ years of experience with SQL, R, Python to implement statistical models, machine learning, and analysis (Recommenders, Prediction, Classification, Clustering, etc.) in big data environment
* Experience on large scale computing systems like COSMOS, Hadoop, MapReduce and/or similar systems
* 2\+ years of experience with written and verbal communication to educate and work with cross functional teams
* 1\+ year of experience in delivering on ambiguous projects with incomplete or imperfect data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in-05912793e8d7e507</t>
        </is>
      </c>
      <c r="B21" t="inlineStr">
        <is>
          <t>Principal Data Scientist</t>
        </is>
      </c>
      <c r="C21" t="inlineStr">
        <is>
          <t>Microsoft</t>
        </is>
      </c>
      <c r="D21" t="inlineStr">
        <is>
          <t>indeed</t>
        </is>
      </c>
      <c r="E21" t="inlineStr"/>
      <c r="F21" t="inlineStr"/>
      <c r="G21" t="inlineStr">
        <is>
          <t>US</t>
        </is>
      </c>
      <c r="H21" s="2" t="n">
        <v>46050</v>
      </c>
      <c r="I21" t="inlineStr">
        <is>
          <t>**Overview**  
Do you thrive on solving complex problems, uncovering insights, and shaping innovative solutions that make a real impact? Are you excited by the challenge of turning data into actionable strategies for some of the world’s most influential organizations? At Microsoft, we believe in empowering every person and every organization on the planet to achieve more.
Our team embraces a growth mindset, values authenticity, and encourages diverse perspectives. We combine technical excellence with creativity to deliver life\-changing innovations that impact billions globally. If you’re passionate about machine learning, AI, and driving business transformation through data, this is your opportunity to lead and inspire.
As a Principal Data Scientist, you will **own end\-to\-end delivery of strategic data science projects** and partner with customers and internal teams to design and implement advanced analytics and AI solutions that create measurable business impact. This role blends deep, hands on technical knowledge with consulting and stakeholder engagement, enabling you to influence decisions and guide adoption of data\-driven strategies.
At Microsoft, our mission to empower every person and every organization on the planet to achieve more guides how we partner with customers to deliver trusted, impactful solutions. With a growth mindset culture, we innovate responsibly and measure success by shared progress people, teams, and customers. Join us to do meaningful work that changes the world and helps shape what’s next for everyone.
 **Responsibilities**  
* Leverage data science and business domain knowledge to improve business performance, evaluate project plans, communicate business goals, and share insights with business stakeholders
* Lead the design and development of Data Science and broader AI solutions of a team of data scientists and engineers.
* Engage with business stakeholders to bring them along with business performance improvement with data and AI
* Apprentice and generate the next generation of data scientists and actively participate and lead their mentoring
* Acquire, prepare, and explore data through querying, visualisation, reporting techniques, and collaboration with other teams, ensuring data integrity.
* Apply machine learning and statistical analysis to develop models, train, optimise, and evaluate them, and communicate findings to stakeholders.
* Test, review, and improve models by analysing performance, incorporating feedback, and contributing to the review process.
* Write and debug efficient and scalable code while collaborating with engineering teams and integrate data models into customer systems.
* Collaborate with customers and Microsoft teams to define business needs, create roadmaps for performance improvements, and influence stakeholders using storytelling and visual tools to drive solution value.
* Uphold ethical standards by emphasizing Responsible AI principles in guiding stakeholders throughout the process.
* Focus on customer needs and perspectives to promote adoption and build trust.
* Develop and execute tailored solutions by overcoming obstacles and leveraging in\-depth knowledge of Microsoft products.
* Maintain transparency about data limitations to set realistic expectations and ensure accountability.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cross functional team members.
* As a demonstrated industry thought leader in data science, you will build an in\-depth understanding of industry problems domain and apply both technical and domain knowledge to drive novel customer experiences. You’ll also write extensible code that solves complex business problems spanning the entire software development lifecycle.
* You will define business, customer, and solution strategy goals, and partner with other teams to identify and explore new opportunities. You’ll also commit to a customer\-oriented focus by acknowledging their needs and offer pragmatic customer solutions that align with their data capabilities.
* You will embody our culture and values.
**Qualifications** **Required/minimum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3 to 5 years of Consulting (including System Integrator, Technical Consulting or Management Consulting) experience.
* Experience developing and deploying Agentic AI solutions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2">
      <c r="A22" t="inlineStr">
        <is>
          <t>in-1482be7623dff6fe</t>
        </is>
      </c>
      <c r="B22" t="inlineStr">
        <is>
          <t>Principal Data Scientist</t>
        </is>
      </c>
      <c r="C22" t="inlineStr">
        <is>
          <t>Microsoft</t>
        </is>
      </c>
      <c r="D22" t="inlineStr">
        <is>
          <t>indeed</t>
        </is>
      </c>
      <c r="E22" t="inlineStr"/>
      <c r="F22" t="inlineStr"/>
      <c r="G22" t="inlineStr">
        <is>
          <t>US</t>
        </is>
      </c>
      <c r="H22" s="2" t="n">
        <v>46049</v>
      </c>
      <c r="I22" t="inlineStr">
        <is>
          <t>**Overview**  
Do you thrive on solving complex problems, uncovering insights, and shaping innovative solutions that make a real impact? Are you excited by the challenge of turning data into actionable strategies for some of the world’s most influential organizations? At Microsoft, we believe in empowering every person and every organization on the planet to achieve more.
Our team embraces a growth mindset, values authenticity, and encourages diverse perspectives. We combine technical excellence with creativity to deliver life\-changing innovations that impact billions globally. If you’re passionate about machine learning, AI, and driving business transformation through data, this is your opportunity to lead and inspire.
As a Principal Data Scientist, you will **own end\-to\-end delivery of strategic data science projects** and partner with customers and internal teams to design and implement advanced analytics and AI solutions that create measurable business impact. This role blends deep, hands on technical knowledge with consulting and stakeholder engagement, enabling you to influence decisions and guide adoption of data\-driven strategies.
At Microsoft, our mission to empower every person and every organization on the planet to achieve more guides how we partner with customers to deliver trusted, impactful solutions. With a growth mindset culture, we innovate responsibly and measure success by shared progress people, teams, and customers. Join us to do meaningful work that changes the world and helps shape what’s next for everyone.
 **Responsibilities**  
* Leverage data science and business domain knowledge to improve business performance, evaluate project plans, communicate business goals, and share insights with business stakeholders
* Lead the design and development of Data Science and broader AI solutions of a team of data scientists and engineers.
* Engage with business stakeholders to bring them along with business performance improvement with data and AI
* Apprentice and generate the next generation of data scientists and actively participate and lead their mentoring
* Acquire, prepare, and explore data through querying, visualisation, reporting techniques, and collaboration with other teams, ensuring data integrity.
* Apply machine learning and statistical analysis to develop models, train, optimise, and evaluate them, and communicate findings to stakeholders.
* Test, review, and improve models by analysing performance, incorporating feedback, and contributing to the review process.
* Write and debug efficient and scalable code while collaborating with engineering teams and integrate data models into customer systems.
* Collaborate with customers and Microsoft teams to define business needs, create roadmaps for performance improvements, and influence stakeholders using storytelling and visual tools to drive solution value.
* Uphold ethical standards by emphasizing Responsible AI principles in guiding stakeholders throughout the process.
* Focus on customer needs and perspectives to promote adoption and build trust.
* Develop and execute tailored solutions by overcoming obstacles and leveraging in\-depth knowledge of Microsoft products.
* Maintain transparency about data limitations to set realistic expectations and ensure accountability.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cross functional team members.
* As a demonstrated industry thought leader in data science, you will build an in\-depth understanding of industry problems domain and apply both technical and domain knowledge to drive novel customer experiences. You’ll also write extensible code that solves complex business problems spanning the entire software development lifecycle.
* You will define business, customer, and solution strategy goals, and partner with other teams to identify and explore new opportunities. You’ll also commit to a customer\-oriented focus by acknowledging their needs and offer pragmatic customer solutions that align with their data capabilities.
* You will embody our culture and values.
**Qualifications** **Required/minimum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**Other Qualifications:**
**Citizenship \&amp; Citizenship Verification:** This position requires verification of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and as a condition of employment, the successful candidate’s citizenship will be verified with a valid passport.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3 to 5 years of Consulting (including System Integrator, Technical Consulting or Management Consulting) experience.
* Experience developing and deploying Agentic AI solutions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3">
      <c r="A23" t="inlineStr">
        <is>
          <t>in-5ca43d4b8e0be1e0</t>
        </is>
      </c>
      <c r="B23" t="inlineStr">
        <is>
          <t>Principal Data Scientist</t>
        </is>
      </c>
      <c r="C23" t="inlineStr">
        <is>
          <t>Oracle</t>
        </is>
      </c>
      <c r="D23" t="inlineStr">
        <is>
          <t>indeed</t>
        </is>
      </c>
      <c r="E23" t="inlineStr"/>
      <c r="F23" t="inlineStr"/>
      <c r="G23" t="inlineStr">
        <is>
          <t>Seattle, WA, US</t>
        </is>
      </c>
      <c r="H23" s="2" t="n">
        <v>46043</v>
      </c>
      <c r="I23" t="inlineStr">
        <is>
          <t>The Oracle Cloud Infrastructure Data Science and Analytics team is seeking a passionate, experienced Principal Data Scientist to tackle complex technical challenges of the Infrastructure Build processes, building sophisticated analytical solutions to drive optimization and efficiency. The candidate should have deep expertise in researching disparate data sources, setting up large\-scale data pipelines, and deploying large language models in OCI's growing Infrastructure space. As OCI continues to grow the customer base and regions, we need hands\-on scientists who can lead data\-driven initiatives to ensure that OCI's Infrastructure is in\-tune to support new regions/ expansions. The ideal candidate is someone who thrives in the face of ambiguity and can quickly distill abstract ideas into concrete solutions and has a proven track record of delivering data\-driven solutions across a highly complex environment involving multiple organizations, departments and teams.  
The Principal Data Scientist will be responsible for statistical analyses, ML/ large language model deployment, forecasting models and lead business intelligence initiatives that impact Infrastructure and Networking for OCI. In addition, this specific role requires a passion for solving high\-impact problems and the ability to jump into any in\-flight project and get it on the rails.
Responsibilities
**What You’ll Do**  
* Explore and research data and answer strategic business questions, with data transformation, statistical analyses, or machine learning methods
* Contribute to development and fine\-tuning LLMs models in the context of Infrastructure builds and Datacenter materials
* Fine\-tune and optimize algorithms and models to ensure scalability, reliability, and performance at a high level
* Collaborate with data scientists and other stakeholders to understand data needs and develop solutions that meet those needs
* Provide guidance and mentorship to junior data scientists, contributing to team knowledge and best practices
* Stay up\-to\-date with the latest developments in machine learning, statistics, and data science, applying new techniques for process/ product improvements
**Minimum Qualifications**  
* BS (or equivalent experience) in Data Science, Computer Science, Applied Mathematics, Engineering, or related quantitative or technical field
* Hands\-on experience with LLMs including fine\-tuning, evaluation, and prompt engineering
* Experience with data warehousing and data lake technologies such as Oracle Object Storage, Apache Hadoop, Apache Hive, or Amazon Redshift.
* Experience analyzing data, generating insights, and telling stories with data
* Good understanding of data governance, data quality, and data security principles
* Creative problem\-solving skills with a rapid prototyping mindset and a collaborative attitude
**Preferred Qualifications (Nice to Have)**  
* Experience with cloud infrastructure and networking domain
* Experience with MLOps, building workflows for model retraining, monitoring and deploying
* Experience working with ambiguous problem and driving it to the finish line
**Why Join Us**  
You’ll be working with critical information related to new builds and expansions from initial planning, ordering to shipment of materials, including traffic demand on network. If you’re passionate about exploring AI solutions in this complex space —and you have the technical depth to back it up—we want to hear from you.</t>
        </is>
      </c>
    </row>
    <row r="24">
      <c r="A24" t="inlineStr">
        <is>
          <t>in-df2c5408d7e34d2b</t>
        </is>
      </c>
      <c r="B24" t="inlineStr">
        <is>
          <t>Principal Associate, Data Scientist - US Card (Fraud)</t>
        </is>
      </c>
      <c r="C24" t="inlineStr">
        <is>
          <t>Capital One</t>
        </is>
      </c>
      <c r="D24" t="inlineStr">
        <is>
          <t>indeed</t>
        </is>
      </c>
      <c r="E24" t="inlineStr"/>
      <c r="F24" t="inlineStr"/>
      <c r="G24" t="inlineStr">
        <is>
          <t>McLean, VA, US</t>
        </is>
      </c>
      <c r="H24" s="2" t="n">
        <v>46061</v>
      </c>
      <c r="I24" t="inlineStr">
        <is>
          <t>Principal Associate, Data Scientist \- US Card (Fraud)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focuses on identifying and neutralizing novel fraud threats. This role will lead the strategy for key models (like our 'Iceberg' project and transaction fraud models) and drive innovation in areas like IP Address intelligence and Business Cards and Payments fraud detection. You will be responsible for guiding the team in developing sophisticated new feature inputs that enhance the protective power of our core Card Fraud models.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
      <c r="A25" t="inlineStr">
        <is>
          <t>in-5e82d051c83cd352</t>
        </is>
      </c>
      <c r="B25" t="inlineStr">
        <is>
          <t>Marketing Mix Optimization – Principal Data Scientist</t>
        </is>
      </c>
      <c r="C25" t="inlineStr">
        <is>
          <t>Citizens</t>
        </is>
      </c>
      <c r="D25" t="inlineStr">
        <is>
          <t>indeed</t>
        </is>
      </c>
      <c r="E25" t="inlineStr"/>
      <c r="F25" t="inlineStr"/>
      <c r="G25" t="inlineStr">
        <is>
          <t>Columbus, OH, US</t>
        </is>
      </c>
      <c r="H25" s="2" t="n">
        <v>46062</v>
      </c>
      <c r="I25" t="inlineStr">
        <is>
          <t>**Description**
There’s no better time to be a Citizen! We are growing and looking to add to our Marketing Analytics team.
The Marketing Analytics team supports Enterprise Marketing with data, analytics, and insights that inform our customer marketing and product strategy across all Lines of Businesses. Marketing Analytics is responsible for analyzing the performance of marketing campaigns across online and offline channels and provides analytical support throughout the marketing campaign lifecycle including pre\-campaign sizing, list production, experimental test design, measurement, optimization, and forecasting.
We are seeking a Principal Data Scientist with strong analytical and algorithmic skills to optimize our marketing investment strategies. In this role, you will design and build advanced decision support systems that facilitate scenario planning for marketing investment decisions, including constrained optimization solutions that leverage a suite of marketing mix models. You will develop relationships with other data scientists as well as partners in Marketing, Product, Finance and Technology Services to collaboratively deliver transformational optimization capabilities.
**Primary responsibilities include:**
* Architect and develop marketing investment optimization frameworks that translate marketing mix models and other analytic outputs into actionable budget allocation and scenario planning across channels, products, markets and time.
* Design and implement non‑linear, constrained optimization solutions that incorporate real‑world business constraints (e.g., budgets, channel minimums/maximums, pacing, and strategic priorities) to support high‑stakes marketing investment decisions.
* Serve as a technical authority on optimization and decision science, guiding best practices in objective function formulation, constraint design, solver selection, and performance validation.
* Partner closely with Marketing, Finance, Product, and Technology stakeholders to frame business questions into well‑defined optimization problems and translate analytical results into clear, decision‑ready recommendations.
* Build robust, scalable decision support tools that enable repeatable scenario analysis and are suitable for operational use by analytics, marketing and business teams.
* Lead the strategic roadmap for marketing optimization capabilities by identifying gaps, prioritizing enhancements, and aligning analytical solutions with evolving business needs.
**Required Skills/Experience:**
* 8\+ years of experience in quantitative analytics including marketing analytics, financial modeling, applied statistics, or equivalent.
* 4\+ years of experience delivering quantitative decision tools for business applications.
* Proven experience turning business problems into rigorous analytic solutions by applying critical thinking and advanced technical \&amp; statistical programming techniques.
* Expertise in Python with 5\+ years of applied experience.
* Proficient with one or more optimization modeling packages and solvers (e.g. GAMS/CONOPT, CPLEX, SCIP, Pyomo, SciPy).
* Expertise translating statistical models into scenario planning and optimization and solve non\-linear, constrained optimization problems.
* A deep understanding of the theory and application of a variety of statistical and machine learning methods and algorithms, including optimization under uncertainty, forecasting, time series analysis, and Bayesian methods
 **Additional Skills/Experience:**
* Strong sense of ownership, relentless curiosity, and self\-driven approach to problem solving.
* Experience in data and analytics in Banking and Financial Services
* Strong written and verbal communication skills required with an ability to successfully communicate analytic results, insights, and resulting business implications to technical and non\-technical audiences.
* Ability to work in a team environment and collaborate with colleagues who have a background in statistics, database development/maintenance, and information technology.
**Education, Certifications and/or Other Professional Credentials:**
* Master’s degree in operations research, computer science, engineering, mathematics, statistics, or similar quantitative field required
 **Hours and Work Schedule:**
* Hours per Week: 40
* Work Schedule: Monday – Friday
* Hybrid: 4 days per week in office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row>
    <row r="26">
      <c r="A26" t="inlineStr">
        <is>
          <t>in-f268b22cf6fc9cd3</t>
        </is>
      </c>
      <c r="B26" t="inlineStr">
        <is>
          <t>Data Scientist, AI/ML</t>
        </is>
      </c>
      <c r="C26" t="inlineStr">
        <is>
          <t>Optimized Payments</t>
        </is>
      </c>
      <c r="D26" t="inlineStr">
        <is>
          <t>indeed</t>
        </is>
      </c>
      <c r="E26" t="inlineStr"/>
      <c r="F26" t="inlineStr"/>
      <c r="G26" t="inlineStr">
        <is>
          <t>Atlanta, GA, US</t>
        </is>
      </c>
      <c r="H26" s="2" t="n">
        <v>46062</v>
      </c>
      <c r="I26" t="inlineStr">
        <is>
          <t>**Who are we?**
Optimized Payments is the only fintech firm purpose\-built to find and unlock value wherever it resides in our portfolio's payment ecosystem. We've assembled a team with deep expertise across payments specialties to develop a proprietary analytics platform that finds actionable insights. We are an Atlanta based 17\-year\-old, and growing, company looking for talented individuals who want to grow with us.
Our client portfolio includes Fortune 500 firms such as Apple, Staples, Safeway, Priceline, AutoNation, and the U.S. Postal Service.
**Who are you?**
We are seeking a visionary and entrepreneurial AI Data Scientist to drive the development of innovative products powered by artificial intelligence. In this role, you'll design, build, and deploy production\-level AI models with a direct focus on shaping and launching new products and solutions. You will collaborate closely with product managers, engineers, and business teams to identify opportunities where AI can create significant value, and lead initiatives from concept to launch.
Key Responsibilities
* Lead the end\-to\-end development of AI models for new product features and standalone solutions.
* Collaborate with cross\-functional product teams to inform product design with data\-driven insights and AI capabilities.
* Identify areas across our business where AI technologies can drive innovation and competitive advantages.
* Own the process of prototyping, validating, and iterating AI\-powered product ideas.
* Translate research advances and cutting\-edge AI into tangible business applications and product offerings.
* Build predictive modeling, NLP, computer vision, and recommendation systems to directly enhance user experience and deliver differentiated products.
* Develop scalable deployment strategies and work with engineering teams to integrate machine learning and deep learning models into core products.
* Present findings and product concepts to technical and non\-technical stakeholders; advocate for AI\-first product strategies.
Qualifications
* Master's or Ph.D. in Computer Science, AI, Mathematics, Engineering, or related fields.
* 3\+ years designing and deploying AI/ML solutions in a commercial environment, ideally focused on new product development.
* Strong skills in Python (scikit\-learn, TensorFlow, PyTorch, etc.), SQL, and end\-to\-end model deployment.
* Deep understanding of transforming AI research into user\-facing products.
* Experience leading projects from ideation through launch—especially those centered on AI\-powered features or solutions.
* Familiarity with product management and agile development processes.
* Excellent communication, influencing, and collaboration skills.
Preferred Skills
* Hands\-on experience in building AI\-driven SaaS or platform products.
* Experience experimentation, A/B testing, and user feedback for model improvement.
* Awareness of responsible and ethical AI product development.
* Track record of patents, publications, or measurable product impact from AI deployments.
**What we offer:**
For Full\-time Optimized Payments employees, we're offering the following benefits and perks
* Competitive salary and benefits package.
* Stock Options
* 401(K) Plan
* Generous PTO \+ Paid Holidays
* Opportunity to be part of a dynamic, fast\-growing company that will double in size in two years.
* Hybrid work environment with flexibility to work from home 3 days a week.
* A collaborative and inclusive company culture where your ideas are valued.
* **Free onsite covered parking and access to a full gym with showers.**
**Employment Equity**
Optimized Payments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provincial and/or federal law. Accommodations for candidates with disabilities are available on request during all aspects of the recruitment and selection process. If accommodation is needed during the recruitment and selection process, please contact us and we will work with you to meet your accessibility needs.</t>
        </is>
      </c>
    </row>
    <row r="27">
      <c r="A27" t="inlineStr">
        <is>
          <t>in-c4a90df8eb1bf31e</t>
        </is>
      </c>
      <c r="B27" t="inlineStr">
        <is>
          <t>Lead Data Scientist</t>
        </is>
      </c>
      <c r="C27" t="inlineStr">
        <is>
          <t>Work From Home</t>
        </is>
      </c>
      <c r="D27" t="inlineStr">
        <is>
          <t>indeed</t>
        </is>
      </c>
      <c r="E27" t="inlineStr"/>
      <c r="F27" t="inlineStr"/>
      <c r="G27" t="inlineStr">
        <is>
          <t>Nashville, TN, US</t>
        </is>
      </c>
      <c r="H27" s="2" t="n">
        <v>46062</v>
      </c>
      <c r="I27" t="inlineStr">
        <is>
          <t>##### **Introduction**
Do you want to join an organization that invests in you as a Lead Data Scientist? At HCA, you come first. HCA Healthcare has committed up to $300 million in programs to support our incredible team members over the course of three years.
##### **Benefits**
Work from Home,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Lead Data Scientist like you to be a part of our team.
##### **Job Summary and Qualifications**
Job Summary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
"Good people beget good people."\- Dr. Thomas Frist, Sr.  
HCA Healthcare Co\-Founder
We are a family 270,000 dedicated professionals! Our Talent Acquisition team is reviewing applications for our Lead Data Scientist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28">
      <c r="A28" t="inlineStr">
        <is>
          <t>in-a51a3259c7a0897f</t>
        </is>
      </c>
      <c r="B28" t="inlineStr">
        <is>
          <t>Data scientist-5</t>
        </is>
      </c>
      <c r="C28" t="inlineStr">
        <is>
          <t>Realign</t>
        </is>
      </c>
      <c r="D28" t="inlineStr">
        <is>
          <t>indeed</t>
        </is>
      </c>
      <c r="E28" t="inlineStr"/>
      <c r="F28" t="inlineStr"/>
      <c r="G28" t="inlineStr">
        <is>
          <t>Newark, DE, US</t>
        </is>
      </c>
      <c r="H28" s="2" t="n">
        <v>46062</v>
      </c>
      <c r="I28" t="inlineStr">
        <is>
          <t>Newark, Delaware 19711 Posted February 10th, 2026
 Looking for more job opportunities? Click here!
Job Type: Full Time
Job Category: IT
Job Description
**Title : Data scientist****Location : Newark, Delaware** **Must Have Technical/Functional Skills :****Primary: Artificial intelligence, ML, LLM****Secondary: Data science, Python, NLP, Agile tools****Experience: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Required Skills
DATA ANALYST</t>
        </is>
      </c>
    </row>
    <row r="29">
      <c r="A29" t="inlineStr">
        <is>
          <t>in-a8e53620209159bc</t>
        </is>
      </c>
      <c r="B29" t="inlineStr">
        <is>
          <t>Sr. Data Scientist</t>
        </is>
      </c>
      <c r="C29" t="inlineStr">
        <is>
          <t>Visa</t>
        </is>
      </c>
      <c r="D29" t="inlineStr">
        <is>
          <t>indeed</t>
        </is>
      </c>
      <c r="E29" t="inlineStr"/>
      <c r="F29" t="inlineStr"/>
      <c r="G29" t="inlineStr">
        <is>
          <t>Foster City, CA, US</t>
        </is>
      </c>
      <c r="H29" s="2" t="n">
        <v>46063</v>
      </c>
      <c r="I2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Post Purchase Platform manages all network level disputes and chargebacks and is the foundation for creating innovative solutions that drive exceptional value for clients. Because it's Visa, the platform is modular, secure, robust, and resilient. And because it’s Visa, our data scientists have access to a treasure trove of structured and un\-structured data.
At Visa, we believe AI technologies have the potential to radically transform the payment and post\-purchase landscape. We launched multiple AI initiates to enable this next era.
Make an impact with a purpose\-driven industry leader. Join us today and be part of AI transformation journey at Visa.
We are looking for a versatile, curious, and energetic Senior Data Scientist to join our team. We are the backbone for innovative data science and artificial intelligence developments for the Visa Post Purchase Platform, and we thrive on solving complex challenges on a global scale!
As a Senior Data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Implements, monitors and maintains a suite of production machine learning, NLP models and Gen AI products that adhere to data science and machine learning standards.
* Develops strategies and tools for and leads team's efforts to drive efficiencies across data extraction, frequent retuning of models and ensure data quality and completeness using data wrangling, LLMs and artificial intelligence.
* Ensures adherence to Visa’s model review management processes, data management principles, governance, process, and tools to maintain data quality across products.
* Advises on technical specifications during discussions with collaborators (e.g., model review management team, software development team, product team, clients) to identify and clarify sophisticated technical or business requirements and identify business needs and upstream and/or downstream system/application dependencies.
* Identifies complex trends across relevant data sources and uses insights to plan platform\-wide future solution updates.
* Owns and maintains dashboards that use SQL to collect data from an internal data warehouse. Develop visualizations to make your complex analyses accessible to a broad audience.
* Find opportunities to create new data products out of analyses
* Provides ad\-hoc data analysis support and conducts data studies for Visa account management, business development and other internal teams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Four (4\) years of experience designing, building/fine tuning ML/AI models around fraud detection. E.g., XGBoost, NLP models, Neural Network models, e.t.c
* Four (4\) years of experience solving data problems using data technologies (e.g., SQL, Hadoop, Hive, NoSQL)
* Expert in : Python
* One (1\) year of experience in using LLMs for feature extraction from textual data
* One (1\) year of experience in building dashboards with Tableau or Power BI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161,400\.00 to 258,500\.00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0">
      <c r="A30" t="inlineStr">
        <is>
          <t>in-9604410f54163d9c</t>
        </is>
      </c>
      <c r="B30" t="inlineStr">
        <is>
          <t>(USA) Senior, Data Scientist</t>
        </is>
      </c>
      <c r="C30" t="inlineStr">
        <is>
          <t>Walmart</t>
        </is>
      </c>
      <c r="D30" t="inlineStr">
        <is>
          <t>indeed</t>
        </is>
      </c>
      <c r="E30" t="inlineStr"/>
      <c r="F30" t="inlineStr"/>
      <c r="G30" t="inlineStr">
        <is>
          <t>Sunnyvale, CA, US</t>
        </is>
      </c>
      <c r="H30" s="2" t="n">
        <v>46062</v>
      </c>
      <c r="I30" t="inlineStr">
        <is>
          <t>**Position Summary...**
-----------------------
As a Senior Data Scientist on Walmart’s Last Mile Delivery (LMD) Strategy \&amp; Science team, you will design, develop, and deploy advanced data science solutions that optimize Walmart’s end\-to\-end LMD ecosystem. This role is deeply hands\-on and focused on applying optimization, machine learning, simulation, and GenAI/LLMs to solve complex, large\-scale logistics problems. You will influence algorithmic decisions that directly impact customer experience, driver performance, and cost efficiency, while partnering closely with product, engineering, and business leaders.**What you'll do...**
---------------------
**Key Responsibilities**
* Design, develop, and maintain **scalable data science models and algorithms** supporting core Last Mile Delivery platforms.
* Apply **optimization, simulation, machine learning, and advanced analytics** to improve routing, capacity planning, dispatch, and operational efficiency.
* Build and deploy **GenAI and LLM\-based solutions** to support operational insights, decision automation, and planning workflows.
* Develop **LLM\-driven agents** that enable grounded, context\-aware reasoning across LMD use cases.
* Partner with engineering teams to **productionize models**, ensuring reliability, performance, and monitoring at scale.
* Collaborate with product, operations, and business stakeholders to translate complex problems into measurable data science solutions.
* Conduct large\-scale data analysis and experimentation to quantify impact, evaluate tradeoffs, and inform platform decisions.
* Communicate technical findings and recommendations to senior stakeholders in a clear, concise, and business\-focused manner.
* Contribute to data science standards, modeling best practices, and reusable frameworks across the LMD Strategy \&amp; Science organization.
**What You’ll Bring**
* 6–8\+ years of experience in **data science, machine learning, applied optimization, or operations research**.
* Strong hands\-on experience with **optimization techniques, statistical modeling, simulation, and ML systems**.
* Proficiency in **Python, SQL**, and experience deploying models in cloud environments (e.g., GCP).
* Experience applying or building **GenAI / LLM\-based solutions** in applied or production settings.
* Demonstrated ability to work independently on ambiguous, high\-impact problems in cross\-functional environments.
* Strong communication skills with the ability to connect analytical work to **business and operational outcomes**.
**Preferred Qualifications**
* Advanced degree (**PhD or Master’s**) in **Operations Research, Statistics, Computer Science, Mathematics, or a closely related quantitative field**
* Experience in **logistics, transportation, supply chain, or E\-commerce platforms**.
* Familiarity with **large\-scale optimization systems, experimentation frameworks, or decision support tools**.
* Experience working on **platform or ecosystem\-level data products**.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1">
      <c r="A31" t="inlineStr">
        <is>
          <t>in-f9bde268886f0f87</t>
        </is>
      </c>
      <c r="B31" t="inlineStr">
        <is>
          <t>(USA) Senior, Data Scientist</t>
        </is>
      </c>
      <c r="C31" t="inlineStr">
        <is>
          <t>Walmart</t>
        </is>
      </c>
      <c r="D31" t="inlineStr">
        <is>
          <t>indeed</t>
        </is>
      </c>
      <c r="E31" t="inlineStr"/>
      <c r="F31" t="inlineStr"/>
      <c r="G31" t="inlineStr">
        <is>
          <t>Hoboken, NJ, US</t>
        </is>
      </c>
      <c r="H31" s="2" t="n">
        <v>46062</v>
      </c>
      <c r="I31" t="inlineStr">
        <is>
          <t>**Position Summary...**
-----------------------
**What you'll do...**
---------------------
At Walmart, we pride ourselves for knowing our customers and connecting with them better than any other company. We interact with our customers across more categories than any company in the world. The **Customer Decision Science** team which is a part of the Customer Insights \&amp; Strategy team in the Marketing org at Walmart analyzes every store trip, web and app visit, service interaction, search, click, purchase and survey response to help deliver the easiest shopping experience digitally and physically. We are a team of decision science practitioners who work together to uncover the why behind the customer behavior while measuring the outcomes from a customer and competitive lens. As a **Senior Data Scientist** in the team, you will have the unique opportunity to leverage the power of technology, big data and analytics to improve the lives of the 100M\+ households that shop at Walmart every year. You will be responsible for driving Walmart’s High Value Habits initiatives by identifying the primary accelerators and decelerators of customer loyalty, translating these findings into actionable insights that directly inform high\-level business strategy. **What We’re Looking For**
* **Well balanced skills** – People have trouble pinning you down. Both business and technical/data teams claim you as their own. You are equal parts technical and functional. You are equally comfortable and effective in persuading both technical and business audiences.
* **Data science \&amp; analytics expertise** – You excel at translating ambiguous business questions into concrete, actionable analysis plans and then executing them with precision. You are a pro at designing and building new and impactful customer\-centric KPIs and metrics to measure customer and competitive dynamics. You are equally strong at getting into the weeds and making sure that the data needed to support these metrics is consistent and available. You are very comfortable rolling up your sleeves when needed to write complex SQL queries, building User Defined Functions (UDFs) to scale logic, and strive to balance speed with effective code design. You have mastery over the fundamentals of machine learning techniques (such as regression, clustering algorithms and/or causal inference) along with cohort analyses.
* **High Agency** – You are able to use your expert understanding of data structures in order to scope and define data needs to execute projects. You are a relentless unblocker; when faced with technical debt or data gaps, you take the initiative to find a path forward without needing permission.
* **Project ownership** – You are able to independently execute and oversee end\-to\-end projects with a high degree of ambiguity. You have strong organizational skills that enable you to manage multiple priorities, set expectations and collaborate across stakeholders, managers and peers.
* **Business acumen** – You are able to translate insights into relevant business recommendations, anticipate the needs of business stakeholders and connect the dots across various teams, research and insights in order to build convincing and synthesized business recommendations.
* **Great communicator** – You’re capable of telling the story behind the data to an executive audience and you are a pro at building slide decks that can simplify any complex story. You can customize your communication style based on stakeholders. You can easily translate a business question to an analysis technique and provide specs to engineering teams or analysts.
* **Data visualization** – You are a pro at leveraging visualization to build compelling stories based on context to integrate multiple pieces of information into cohesive insights.
* **People leadership** – You can influence decision making across peers and managers by supporting your point of view with data\-driven insights.
**Responsibilities**
* Lead and execute advanced analytics for Walmart’s High Valua Habits initiatives, focusing on deepening customer loyalty and retention through data\-driven strategic planning.
* Proactively identify opportunities for business growth by mining customer data and translating these findings into a prioritized research and analytics roadmap.
* Design, build, and deploy sophisticated quantitative frameworks (causal inference, propensity models, cohort analyses) that move beyond correlation to establish cause\-and\-effect in customer behavior.
* Lead project teams that include Data Engineering, Product, Marketing, Strategy and Finance to ensure data\-driven insights are integrated into the product roadmap and financial forecasts.
* Implementing and scaling best practices. This includes writing/reviewing **User Defined Functions (UDFs)** to standardize complex business logic and advocating for reproducible research practices in **R**.
* **Executive Influence:** Act as a subject matter expert in leadership forums, using data to challenge assumptions and drive a customer\-centric culture.
**Qualifications** **Minimum Qualifications**
* BA/BS in Mathematics, Statistics, Computer Science, Economics, or related field with 3\-5\+ years of experience in Data Science/Analytics; OR a Master’s degree with 2\-3\+ years of experience; OR a PhD with 2\+ years of experience.
* Mastery of SQL (BigQuery/Hive preferred). Expert experience building scalable, reusable data assets including the design and deployment of **User Defined Functions (UDFs)** to handle high\-cardinality data and complex business transformations.
* Expert proficiency in **R** or **Python** for statistical modeling, simulation, and data visualization (e.g., Tidyverse, ggplot2, Shiny for R; pandas, scikit\-learn, statsmodels for Python). Proven ability to write production\-grade, reproducible code.
* Deep proficiency in **cohort analyses**, **clickstream data**, and customer metrics. Proven track record of leveraging high\-volume web/app event data to drive customer growth and inform product or marketing strategy.
* Extensive experience in experimental design and observational causal methodologies (e.g., Propensity Score Matching, Difference\-in\-Differences, Synthetic Control).
* Demonstrated ability to manage multiple high\-impact projects simultaneously with high agency and minimal oversight.
**Preferred Qualifications**
* Experience developing internal R packages/UDFs to standardize team workflow
* Deep experience in cloud\-based big data environments (GCP/BigQuery or Snowflake), with a focus on optimizing query performance and cost.
* Experience leading code reviews and mentoring junior team members on statistical best practices and efficient coding standards.
* Prior experience in Retail, E\-commerce, or analyzing complex omni\-channel customer journeys.
**Why You’ll Love Working Here** We value high\-ownership mentalities and intellectual curiosity. You will have the autonomy to solve massive problems at the scale of the world’s largest retailer, with the resources and data to see your insights turn into real\-world customer impact.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221 River St, Hoboken, NJ 07030,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
      <c r="A32" t="inlineStr">
        <is>
          <t>in-c0b710e966ef06a4</t>
        </is>
      </c>
      <c r="B32" t="inlineStr">
        <is>
          <t>Data Scientist Lead - TikTok Short Video</t>
        </is>
      </c>
      <c r="C32" t="inlineStr">
        <is>
          <t>TikTok</t>
        </is>
      </c>
      <c r="D32" t="inlineStr">
        <is>
          <t>indeed</t>
        </is>
      </c>
      <c r="E32" t="inlineStr"/>
      <c r="F32" t="inlineStr"/>
      <c r="G32" t="inlineStr">
        <is>
          <t>San Jose, CA, US</t>
        </is>
      </c>
      <c r="H32" s="2" t="n">
        <v>46062</v>
      </c>
      <c r="I32" t="inlineStr">
        <is>
          <t>Technology
Data Scientist Lead \- TikTok Short Video
Location
:
San Jose
Employment Type
:
Regular
Job Code
:
A170187A
Responsibilities
**Team Introduction:**  
The TikTok User Growth Team taps into the product's growth potential and drives user growth through technology. We not only implement user growth methodologies in the product and continuously consolidate growth capabilities, but also explore TikTok's multi\-modal product ecosystem to fuel the rapid growth of user scale.
We work extremely closely with the business, collaborating with product and operation colleagues to explore user growth methodologies and continuously strengthen the business's growth capacity. Together, we conduct insightful analysis based on business data performance to identify business opportunities, analyze diverse business needs against different growth models, and deliver technical design and implementation accordingly.
We also optimize and upgrade our architectures and systems from a technical perspective, conduct pure technical transformations, and leverage technology to drive business development and evolution.
**Key Responsibilities:**  
* Be responsible for data analysis work related to TikTok's user growth business and provide insightful analytical capabilities for the business
* Accurately and comprehensively understand the business, assist in setting business growth goals, decompose key achievement paths, and implement robust process monitoring and early warning measures
* Dissect the driving factors of business growth, diagnose growth\-related issues, investigate and attribute data anomalies, and build automated anomaly attribution tools
* Conduct special analysis on critical issues, gain insights into the essence of problems, and propose data\-driven optimization suggestions or solutions
* Demonstrate excellent organizational and collaboration skills; partner with product R\&amp;D, data and algorithm teams to support strategy iteration through rigorous analysis, data mining, causal inference, A/B testing and other methods, drive the implementation of optimization plans, quantitatively evaluate strategy effectiveness, and boost key business metrics
* In the course of supporting business development, think and summarize proactively, and precipitate growth analysis methodologies and data efficiency tools
Qualifications
**Minimum Qualifications:**  
* Bachelor’s degree or above in Computer Science, Statistics, Mathematics or related fields, with 5\+ years of work experience
* Proficiency in statistical analysis tools such as SQL, Python and R; mastery of analytical methods including regression, classification, clustering, machine learning, A/B testing and causal inference
* Excellent communication and logical thinking skills, with structured thinking, acute data insight, rigorous attention to detail and a strong sense of curiosity
* Strong organizational and collaboration capabilities, self\-motivated work attitude and resilience
**Preferred Qualifications:**  
* Experience in user product analysis or the data science field in internet companies
* Industry experience related to user growth
Job Information
【For Pay Transparency】Compensation Description (Annually)
The base salary range for this position in the selected city is $201000 \- $395280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3">
      <c r="A33" t="inlineStr">
        <is>
          <t>in-6fa2abd608e33566</t>
        </is>
      </c>
      <c r="B33" t="inlineStr">
        <is>
          <t>Applied Scientist, Safety ML</t>
        </is>
      </c>
      <c r="C33" t="inlineStr">
        <is>
          <t>Amazon.com</t>
        </is>
      </c>
      <c r="D33" t="inlineStr">
        <is>
          <t>indeed</t>
        </is>
      </c>
      <c r="E33" t="inlineStr"/>
      <c r="F33" t="inlineStr"/>
      <c r="G33" t="inlineStr">
        <is>
          <t>San Francisco, CA, US</t>
        </is>
      </c>
      <c r="H33" s="2" t="n">
        <v>46037</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4">
      <c r="A34" t="inlineStr">
        <is>
          <t>in-8a97e2694bda6bdd</t>
        </is>
      </c>
      <c r="B34" t="inlineStr">
        <is>
          <t>Applied Scientist, Safety ML</t>
        </is>
      </c>
      <c r="C34" t="inlineStr">
        <is>
          <t>Amazon.com</t>
        </is>
      </c>
      <c r="D34" t="inlineStr">
        <is>
          <t>indeed</t>
        </is>
      </c>
      <c r="E34" t="inlineStr"/>
      <c r="F34" t="inlineStr"/>
      <c r="G34" t="inlineStr">
        <is>
          <t>Seattle, WA, US</t>
        </is>
      </c>
      <c r="H34" s="2" t="n">
        <v>46037</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5">
      <c r="A35" t="inlineStr">
        <is>
          <t>in-a3da6f221846b922</t>
        </is>
      </c>
      <c r="B35" t="inlineStr">
        <is>
          <t>Applied Scientist, LLM Code Agents, Kiro Science</t>
        </is>
      </c>
      <c r="C35" t="inlineStr">
        <is>
          <t>Amazon.com</t>
        </is>
      </c>
      <c r="D35" t="inlineStr">
        <is>
          <t>indeed</t>
        </is>
      </c>
      <c r="E35" t="inlineStr"/>
      <c r="F35" t="inlineStr"/>
      <c r="G35" t="inlineStr">
        <is>
          <t>Seattle, WA, US</t>
        </is>
      </c>
      <c r="H35" s="2" t="n">
        <v>46035</v>
      </c>
      <c r="I3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6">
      <c r="A36" t="inlineStr">
        <is>
          <t>in-2dd78648a6b86c77</t>
        </is>
      </c>
      <c r="B36" t="inlineStr">
        <is>
          <t>Applied Scientist, LLM Code Agents, Kiro Science</t>
        </is>
      </c>
      <c r="C36" t="inlineStr">
        <is>
          <t>Amazon.com</t>
        </is>
      </c>
      <c r="D36" t="inlineStr">
        <is>
          <t>indeed</t>
        </is>
      </c>
      <c r="E36" t="inlineStr"/>
      <c r="F36" t="inlineStr"/>
      <c r="G36" t="inlineStr">
        <is>
          <t>Santa Clara, CA, US</t>
        </is>
      </c>
      <c r="H36" s="2" t="n">
        <v>46035</v>
      </c>
      <c r="I3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7">
      <c r="A37" t="inlineStr">
        <is>
          <t>in-b3e52d6871c87f30</t>
        </is>
      </c>
      <c r="B37" t="inlineStr">
        <is>
          <t>Senior Data Scientist, Amazon Stores Finance Science, Amazon Stores Finance Science</t>
        </is>
      </c>
      <c r="C37" t="inlineStr">
        <is>
          <t>Amazon.com</t>
        </is>
      </c>
      <c r="D37" t="inlineStr">
        <is>
          <t>indeed</t>
        </is>
      </c>
      <c r="E37" t="inlineStr"/>
      <c r="F37" t="inlineStr"/>
      <c r="G37" t="inlineStr">
        <is>
          <t>Sunnyvale, CA, US</t>
        </is>
      </c>
      <c r="H37" s="2" t="n">
        <v>46034</v>
      </c>
      <c r="I37"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8">
      <c r="A38" t="inlineStr">
        <is>
          <t>in-389ffb7791a9c52e</t>
        </is>
      </c>
      <c r="B38" t="inlineStr">
        <is>
          <t>Senior Data Scientist, Amazon Stores Finance Science, Amazon Stores Finance Science</t>
        </is>
      </c>
      <c r="C38" t="inlineStr">
        <is>
          <t>Amazon.com</t>
        </is>
      </c>
      <c r="D38" t="inlineStr">
        <is>
          <t>indeed</t>
        </is>
      </c>
      <c r="E38" t="inlineStr"/>
      <c r="F38" t="inlineStr"/>
      <c r="G38" t="inlineStr">
        <is>
          <t>Seattle, WA, US</t>
        </is>
      </c>
      <c r="H38" s="2" t="n">
        <v>46034</v>
      </c>
      <c r="I38"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9">
      <c r="A39" t="inlineStr">
        <is>
          <t>in-6080094d620da19a</t>
        </is>
      </c>
      <c r="B39" t="inlineStr">
        <is>
          <t>Senior Data Scientist, Amazon Stores Finance Science, Amazon Stores Finance Science</t>
        </is>
      </c>
      <c r="C39" t="inlineStr">
        <is>
          <t>Amazon.com</t>
        </is>
      </c>
      <c r="D39" t="inlineStr">
        <is>
          <t>indeed</t>
        </is>
      </c>
      <c r="E39" t="inlineStr"/>
      <c r="F39" t="inlineStr"/>
      <c r="G39" t="inlineStr">
        <is>
          <t>Bellevue, WA, US</t>
        </is>
      </c>
      <c r="H39" s="2" t="n">
        <v>46034</v>
      </c>
      <c r="I3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40">
      <c r="A40" t="inlineStr">
        <is>
          <t>in-19b6da8a90ee2160</t>
        </is>
      </c>
      <c r="B40" t="inlineStr">
        <is>
          <t>Sr Applied Scientist, AWS Proactive Security</t>
        </is>
      </c>
      <c r="C40" t="inlineStr">
        <is>
          <t>Amazon.com</t>
        </is>
      </c>
      <c r="D40" t="inlineStr">
        <is>
          <t>indeed</t>
        </is>
      </c>
      <c r="E40" t="inlineStr"/>
      <c r="F40" t="inlineStr"/>
      <c r="G40" t="inlineStr">
        <is>
          <t>Sunnyvale, CA, US</t>
        </is>
      </c>
      <c r="H40" s="2" t="n">
        <v>46030</v>
      </c>
      <c r="I4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1">
      <c r="A41" t="inlineStr">
        <is>
          <t>in-0ca66620b8cab068</t>
        </is>
      </c>
      <c r="B41" t="inlineStr">
        <is>
          <t>Sr Applied Scientist, AWS Proactive Security</t>
        </is>
      </c>
      <c r="C41" t="inlineStr">
        <is>
          <t>Amazon.com</t>
        </is>
      </c>
      <c r="D41" t="inlineStr">
        <is>
          <t>indeed</t>
        </is>
      </c>
      <c r="E41" t="inlineStr"/>
      <c r="F41" t="inlineStr"/>
      <c r="G41" t="inlineStr">
        <is>
          <t>Herndon, VA, US</t>
        </is>
      </c>
      <c r="H41" s="2" t="n">
        <v>46030</v>
      </c>
      <c r="I41"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2">
      <c r="A42" t="inlineStr">
        <is>
          <t>in-9d24bc331888efab</t>
        </is>
      </c>
      <c r="B42" t="inlineStr">
        <is>
          <t>Sr Applied Scientist, AWS Proactive Security</t>
        </is>
      </c>
      <c r="C42" t="inlineStr">
        <is>
          <t>Amazon.com</t>
        </is>
      </c>
      <c r="D42" t="inlineStr">
        <is>
          <t>indeed</t>
        </is>
      </c>
      <c r="E42" t="inlineStr"/>
      <c r="F42" t="inlineStr"/>
      <c r="G42" t="inlineStr">
        <is>
          <t>Arlington, VA, US</t>
        </is>
      </c>
      <c r="H42" s="2" t="n">
        <v>46030</v>
      </c>
      <c r="I4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3">
      <c r="A43" t="inlineStr">
        <is>
          <t>in-356656c8ef240b8d</t>
        </is>
      </c>
      <c r="B43" t="inlineStr">
        <is>
          <t>Applied Scientist, Last Mile Delivery Automation</t>
        </is>
      </c>
      <c r="C43" t="inlineStr">
        <is>
          <t>Amazon.com</t>
        </is>
      </c>
      <c r="D43" t="inlineStr">
        <is>
          <t>indeed</t>
        </is>
      </c>
      <c r="E43" t="inlineStr"/>
      <c r="F43" t="inlineStr"/>
      <c r="G43" t="inlineStr">
        <is>
          <t>Bellevue, WA, US</t>
        </is>
      </c>
      <c r="H43" s="2" t="n">
        <v>46026</v>
      </c>
      <c r="I4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in-696108af95ad835f</t>
        </is>
      </c>
      <c r="B44" t="inlineStr">
        <is>
          <t>Applied Scientist, Last Mile Delivery Automation</t>
        </is>
      </c>
      <c r="C44" t="inlineStr">
        <is>
          <t>Amazon.com</t>
        </is>
      </c>
      <c r="D44" t="inlineStr">
        <is>
          <t>indeed</t>
        </is>
      </c>
      <c r="E44" t="inlineStr"/>
      <c r="F44" t="inlineStr"/>
      <c r="G44" t="inlineStr">
        <is>
          <t>Santa Clara, CA, US</t>
        </is>
      </c>
      <c r="H44" s="2" t="n">
        <v>46026</v>
      </c>
      <c r="I4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in-6480b1609ba88f66</t>
        </is>
      </c>
      <c r="B45" t="inlineStr">
        <is>
          <t>Senior Applied Scientist, Distributed SQL</t>
        </is>
      </c>
      <c r="C45" t="inlineStr">
        <is>
          <t>Amazon Web Services</t>
        </is>
      </c>
      <c r="D45" t="inlineStr">
        <is>
          <t>indeed</t>
        </is>
      </c>
      <c r="E45" t="inlineStr"/>
      <c r="F45" t="inlineStr"/>
      <c r="G45" t="inlineStr">
        <is>
          <t>Seattle, WA, US</t>
        </is>
      </c>
      <c r="H45" s="2" t="n">
        <v>46012</v>
      </c>
      <c r="I4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6">
      <c r="A46" t="inlineStr">
        <is>
          <t>in-e5b0b444aed77f9a</t>
        </is>
      </c>
      <c r="B46" t="inlineStr">
        <is>
          <t>Senior Applied Scientist, Distributed SQL</t>
        </is>
      </c>
      <c r="C46" t="inlineStr">
        <is>
          <t>Amazon Web Services</t>
        </is>
      </c>
      <c r="D46" t="inlineStr">
        <is>
          <t>indeed</t>
        </is>
      </c>
      <c r="E46" t="inlineStr"/>
      <c r="F46" t="inlineStr"/>
      <c r="G46" t="inlineStr">
        <is>
          <t>East Palo Alto, CA, US</t>
        </is>
      </c>
      <c r="H46" s="2" t="n">
        <v>46012</v>
      </c>
      <c r="I4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7">
      <c r="A47" t="inlineStr">
        <is>
          <t>in-5ce25209e630a0bd</t>
        </is>
      </c>
      <c r="B47" t="inlineStr">
        <is>
          <t>Applied Scientist II, Prime Video - Personalization and Discovery Science</t>
        </is>
      </c>
      <c r="C47" t="inlineStr">
        <is>
          <t>Amazon.com</t>
        </is>
      </c>
      <c r="D47" t="inlineStr">
        <is>
          <t>indeed</t>
        </is>
      </c>
      <c r="E47" t="inlineStr"/>
      <c r="F47" t="inlineStr"/>
      <c r="G47" t="inlineStr">
        <is>
          <t>Sunnyvale, CA, US</t>
        </is>
      </c>
      <c r="H47" s="2" t="n">
        <v>46012</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8">
      <c r="A48" t="inlineStr">
        <is>
          <t>in-5c1a4c7fc67ea30d</t>
        </is>
      </c>
      <c r="B48" t="inlineStr">
        <is>
          <t>Principal Applied Scientist, Kiro Science</t>
        </is>
      </c>
      <c r="C48" t="inlineStr">
        <is>
          <t>Amazon Web Services</t>
        </is>
      </c>
      <c r="D48" t="inlineStr">
        <is>
          <t>indeed</t>
        </is>
      </c>
      <c r="E48" t="inlineStr"/>
      <c r="F48" t="inlineStr"/>
      <c r="G48" t="inlineStr">
        <is>
          <t>New York, NY, US</t>
        </is>
      </c>
      <c r="H48" s="2" t="n">
        <v>45999</v>
      </c>
      <c r="I4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9">
      <c r="A49" t="inlineStr">
        <is>
          <t>in-c9b59bc0355b0fa5</t>
        </is>
      </c>
      <c r="B49" t="inlineStr">
        <is>
          <t>Principal Applied Scientist, Kiro Science</t>
        </is>
      </c>
      <c r="C49" t="inlineStr">
        <is>
          <t>Amazon Web Services</t>
        </is>
      </c>
      <c r="D49" t="inlineStr">
        <is>
          <t>indeed</t>
        </is>
      </c>
      <c r="E49" t="inlineStr"/>
      <c r="F49" t="inlineStr"/>
      <c r="G49" t="inlineStr">
        <is>
          <t>Santa Clara, CA, US</t>
        </is>
      </c>
      <c r="H49" s="2" t="n">
        <v>45999</v>
      </c>
      <c r="I4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0">
      <c r="A50" t="inlineStr">
        <is>
          <t>in-e4bdd4f721ded60b</t>
        </is>
      </c>
      <c r="B50" t="inlineStr">
        <is>
          <t>Sr. Applied Scientist, Amazon Ads</t>
        </is>
      </c>
      <c r="C50" t="inlineStr">
        <is>
          <t>Amazon.com</t>
        </is>
      </c>
      <c r="D50" t="inlineStr">
        <is>
          <t>indeed</t>
        </is>
      </c>
      <c r="E50" t="inlineStr"/>
      <c r="F50" t="inlineStr"/>
      <c r="G50" t="inlineStr">
        <is>
          <t>Palo Alto, CA, US</t>
        </is>
      </c>
      <c r="H50" s="2"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in-4a0a7e11e15349df</t>
        </is>
      </c>
      <c r="B51" t="inlineStr">
        <is>
          <t>Sr. Applied Scientist, Amazon Ads</t>
        </is>
      </c>
      <c r="C51" t="inlineStr">
        <is>
          <t>Amazon.com</t>
        </is>
      </c>
      <c r="D51" t="inlineStr">
        <is>
          <t>indeed</t>
        </is>
      </c>
      <c r="E51" t="inlineStr"/>
      <c r="F51" t="inlineStr"/>
      <c r="G51" t="inlineStr">
        <is>
          <t>New York, NY, US</t>
        </is>
      </c>
      <c r="H51" s="2"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in-3665dbb92f032dd6</t>
        </is>
      </c>
      <c r="B52" t="inlineStr">
        <is>
          <t>Sr. Applied Scientist, Amazon Ads</t>
        </is>
      </c>
      <c r="C52" t="inlineStr">
        <is>
          <t>Amazon.com</t>
        </is>
      </c>
      <c r="D52" t="inlineStr">
        <is>
          <t>indeed</t>
        </is>
      </c>
      <c r="E52" t="inlineStr"/>
      <c r="F52" t="inlineStr"/>
      <c r="G52" t="inlineStr">
        <is>
          <t>Santa Monica, CA, US</t>
        </is>
      </c>
      <c r="H52" s="2"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in-061df530c4460e72</t>
        </is>
      </c>
      <c r="B53" t="inlineStr">
        <is>
          <t>Sr. Applied Scientist, Amazon Ads</t>
        </is>
      </c>
      <c r="C53" t="inlineStr">
        <is>
          <t>Amazon.com</t>
        </is>
      </c>
      <c r="D53" t="inlineStr">
        <is>
          <t>indeed</t>
        </is>
      </c>
      <c r="E53" t="inlineStr"/>
      <c r="F53" t="inlineStr"/>
      <c r="G53" t="inlineStr">
        <is>
          <t>Tukwila, WA, US</t>
        </is>
      </c>
      <c r="H53" s="2"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in-525aa07e82f885b0</t>
        </is>
      </c>
      <c r="B54" t="inlineStr">
        <is>
          <t>Sr. Applied Scientist, Amazon Ads</t>
        </is>
      </c>
      <c r="C54" t="inlineStr">
        <is>
          <t>Amazon.com</t>
        </is>
      </c>
      <c r="D54" t="inlineStr">
        <is>
          <t>indeed</t>
        </is>
      </c>
      <c r="E54" t="inlineStr"/>
      <c r="F54" t="inlineStr"/>
      <c r="G54" t="inlineStr">
        <is>
          <t>Seattle, WA, US</t>
        </is>
      </c>
      <c r="H54" s="2"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in-610ecb70315ca2ea</t>
        </is>
      </c>
      <c r="B55" t="inlineStr">
        <is>
          <t>Sr. Applied Scientist, Amazon Ads</t>
        </is>
      </c>
      <c r="C55" t="inlineStr">
        <is>
          <t>Amazon.com</t>
        </is>
      </c>
      <c r="D55" t="inlineStr">
        <is>
          <t>indeed</t>
        </is>
      </c>
      <c r="E55" t="inlineStr"/>
      <c r="F55" t="inlineStr"/>
      <c r="G55" t="inlineStr">
        <is>
          <t>Boulder, CO, US</t>
        </is>
      </c>
      <c r="H55" s="2"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in-7d85405d5f682f71</t>
        </is>
      </c>
      <c r="B56" t="inlineStr">
        <is>
          <t>Sr. Applied Scientist, Amazon Ads</t>
        </is>
      </c>
      <c r="C56" t="inlineStr">
        <is>
          <t>Amazon.com</t>
        </is>
      </c>
      <c r="D56" t="inlineStr">
        <is>
          <t>indeed</t>
        </is>
      </c>
      <c r="E56" t="inlineStr"/>
      <c r="F56" t="inlineStr"/>
      <c r="G56" t="inlineStr">
        <is>
          <t>Brooklyn, NY, US</t>
        </is>
      </c>
      <c r="H56" s="2"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in-6e0ac0d3d23fba2a</t>
        </is>
      </c>
      <c r="B57" t="inlineStr">
        <is>
          <t>Sr. Applied Scientist, Amazon Ads</t>
        </is>
      </c>
      <c r="C57" t="inlineStr">
        <is>
          <t>Amazon.com</t>
        </is>
      </c>
      <c r="D57" t="inlineStr">
        <is>
          <t>indeed</t>
        </is>
      </c>
      <c r="E57" t="inlineStr"/>
      <c r="F57" t="inlineStr"/>
      <c r="G57" t="inlineStr">
        <is>
          <t>Boston, MA, US</t>
        </is>
      </c>
      <c r="H57" s="2"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in-cf512caa235c55e1</t>
        </is>
      </c>
      <c r="B58" t="inlineStr">
        <is>
          <t>Sr. Applied Scientist, Amazon Ads</t>
        </is>
      </c>
      <c r="C58" t="inlineStr">
        <is>
          <t>Amazon.com</t>
        </is>
      </c>
      <c r="D58" t="inlineStr">
        <is>
          <t>indeed</t>
        </is>
      </c>
      <c r="E58" t="inlineStr"/>
      <c r="F58" t="inlineStr"/>
      <c r="G58" t="inlineStr">
        <is>
          <t>Corvallis, OR, US</t>
        </is>
      </c>
      <c r="H58" s="2"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in-4d40023a984d7868</t>
        </is>
      </c>
      <c r="B59" t="inlineStr">
        <is>
          <t>Sr. Applied Scientist, Amazon Ads</t>
        </is>
      </c>
      <c r="C59" t="inlineStr">
        <is>
          <t>Amazon.com</t>
        </is>
      </c>
      <c r="D59" t="inlineStr">
        <is>
          <t>indeed</t>
        </is>
      </c>
      <c r="E59" t="inlineStr"/>
      <c r="F59" t="inlineStr"/>
      <c r="G59" t="inlineStr">
        <is>
          <t>Sunnyvale, CA, US</t>
        </is>
      </c>
      <c r="H59" s="2"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in-a3baffd02f0e6c5d</t>
        </is>
      </c>
      <c r="B60" t="inlineStr">
        <is>
          <t>Principal Applied Scientist, Sponsored Products and Brands</t>
        </is>
      </c>
      <c r="C60" t="inlineStr">
        <is>
          <t>Amazon.com</t>
        </is>
      </c>
      <c r="D60" t="inlineStr">
        <is>
          <t>indeed</t>
        </is>
      </c>
      <c r="E60" t="inlineStr"/>
      <c r="F60" t="inlineStr"/>
      <c r="G60" t="inlineStr">
        <is>
          <t>New York, NY, US</t>
        </is>
      </c>
      <c r="H60" s="2" t="n">
        <v>45979</v>
      </c>
      <c r="I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in-039cc7bf0a6bc9a0</t>
        </is>
      </c>
      <c r="B61" t="inlineStr">
        <is>
          <t>Principal Applied Scientist, Sponsored Products and Brands</t>
        </is>
      </c>
      <c r="C61" t="inlineStr">
        <is>
          <t>Amazon.com</t>
        </is>
      </c>
      <c r="D61" t="inlineStr">
        <is>
          <t>indeed</t>
        </is>
      </c>
      <c r="E61" t="inlineStr"/>
      <c r="F61" t="inlineStr"/>
      <c r="G61" t="inlineStr">
        <is>
          <t>Seattle, WA, US</t>
        </is>
      </c>
      <c r="H61" s="2" t="n">
        <v>45979</v>
      </c>
      <c r="I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in-1b424bcb3b7fc962</t>
        </is>
      </c>
      <c r="B62" t="inlineStr">
        <is>
          <t>Applied Scientist, Personalization, DTx Science</t>
        </is>
      </c>
      <c r="C62" t="inlineStr">
        <is>
          <t>Amazon.com</t>
        </is>
      </c>
      <c r="D62" t="inlineStr">
        <is>
          <t>indeed</t>
        </is>
      </c>
      <c r="E62" t="inlineStr"/>
      <c r="F62" t="inlineStr"/>
      <c r="G62" t="inlineStr">
        <is>
          <t>Seattle, WA, US</t>
        </is>
      </c>
      <c r="H62" s="2" t="n">
        <v>45979</v>
      </c>
      <c r="I6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3">
      <c r="A63" t="inlineStr">
        <is>
          <t>in-e4d12ee94ca8a398</t>
        </is>
      </c>
      <c r="B63" t="inlineStr">
        <is>
          <t>Applied Scientist, Personalization, DTx Science</t>
        </is>
      </c>
      <c r="C63" t="inlineStr">
        <is>
          <t>Amazon.com</t>
        </is>
      </c>
      <c r="D63" t="inlineStr">
        <is>
          <t>indeed</t>
        </is>
      </c>
      <c r="E63" t="inlineStr"/>
      <c r="F63" t="inlineStr"/>
      <c r="G63" t="inlineStr">
        <is>
          <t>New York, NY, US</t>
        </is>
      </c>
      <c r="H63" s="2" t="n">
        <v>45979</v>
      </c>
      <c r="I6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4">
      <c r="A64" t="inlineStr">
        <is>
          <t>in-6b6b20ebbc3a5e12</t>
        </is>
      </c>
      <c r="B64" t="inlineStr">
        <is>
          <t>Senior Applied Scientist, Sponsored Products and Brands</t>
        </is>
      </c>
      <c r="C64" t="inlineStr">
        <is>
          <t>Amazon.com</t>
        </is>
      </c>
      <c r="D64" t="inlineStr">
        <is>
          <t>indeed</t>
        </is>
      </c>
      <c r="E64" t="inlineStr"/>
      <c r="F64" t="inlineStr"/>
      <c r="G64" t="inlineStr">
        <is>
          <t>New York, NY, US</t>
        </is>
      </c>
      <c r="H64" s="2" t="n">
        <v>45979</v>
      </c>
      <c r="I6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5">
      <c r="A65" t="inlineStr">
        <is>
          <t>in-32025c1a8598ecf8</t>
        </is>
      </c>
      <c r="B65" t="inlineStr">
        <is>
          <t>Senior Applied Scientist, Sponsored Products and Brands</t>
        </is>
      </c>
      <c r="C65" t="inlineStr">
        <is>
          <t>Amazon.com</t>
        </is>
      </c>
      <c r="D65" t="inlineStr">
        <is>
          <t>indeed</t>
        </is>
      </c>
      <c r="E65" t="inlineStr"/>
      <c r="F65" t="inlineStr"/>
      <c r="G65" t="inlineStr">
        <is>
          <t>Seattle, WA, US</t>
        </is>
      </c>
      <c r="H65" s="2" t="n">
        <v>45979</v>
      </c>
      <c r="I6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6">
      <c r="A66" t="inlineStr">
        <is>
          <t>in-057787ad1d19872e</t>
        </is>
      </c>
      <c r="B66" t="inlineStr">
        <is>
          <t>Principal Applied Scientist, Amazon AGI</t>
        </is>
      </c>
      <c r="C66" t="inlineStr">
        <is>
          <t>Amazon.com</t>
        </is>
      </c>
      <c r="D66" t="inlineStr">
        <is>
          <t>indeed</t>
        </is>
      </c>
      <c r="E66" t="inlineStr"/>
      <c r="F66" t="inlineStr"/>
      <c r="G66" t="inlineStr">
        <is>
          <t>San Francisco, CA, US</t>
        </is>
      </c>
      <c r="H66" s="2" t="n">
        <v>45964</v>
      </c>
      <c r="I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in-8389493c7f083678</t>
        </is>
      </c>
      <c r="B67" t="inlineStr">
        <is>
          <t>Principal Applied Scientist, Amazon AGI</t>
        </is>
      </c>
      <c r="C67" t="inlineStr">
        <is>
          <t>Amazon.com</t>
        </is>
      </c>
      <c r="D67" t="inlineStr">
        <is>
          <t>indeed</t>
        </is>
      </c>
      <c r="E67" t="inlineStr"/>
      <c r="F67" t="inlineStr"/>
      <c r="G67" t="inlineStr">
        <is>
          <t>Boston, MA, US</t>
        </is>
      </c>
      <c r="H67" s="2" t="n">
        <v>45964</v>
      </c>
      <c r="I6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in-a6be10f726c86c23</t>
        </is>
      </c>
      <c r="B68" t="inlineStr">
        <is>
          <t>Applied Scientist, AWS Agentic AI</t>
        </is>
      </c>
      <c r="C68" t="inlineStr">
        <is>
          <t>Amazon Web Services</t>
        </is>
      </c>
      <c r="D68" t="inlineStr">
        <is>
          <t>indeed</t>
        </is>
      </c>
      <c r="E68" t="inlineStr"/>
      <c r="F68" t="inlineStr"/>
      <c r="G68" t="inlineStr">
        <is>
          <t>Santa Clara, CA, US</t>
        </is>
      </c>
      <c r="H68" s="2" t="n">
        <v>45962</v>
      </c>
      <c r="I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in-9812a3ef18306f14</t>
        </is>
      </c>
      <c r="B69" t="inlineStr">
        <is>
          <t>Applied Scientist, AWS Agentic AI</t>
        </is>
      </c>
      <c r="C69" t="inlineStr">
        <is>
          <t>Amazon Web Services</t>
        </is>
      </c>
      <c r="D69" t="inlineStr">
        <is>
          <t>indeed</t>
        </is>
      </c>
      <c r="E69" t="inlineStr"/>
      <c r="F69" t="inlineStr"/>
      <c r="G69" t="inlineStr">
        <is>
          <t>New York, NY, US</t>
        </is>
      </c>
      <c r="H69" s="2" t="n">
        <v>45962</v>
      </c>
      <c r="I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in-e0eea343713504c6</t>
        </is>
      </c>
      <c r="B70" t="inlineStr">
        <is>
          <t>Applied Scientist, AWS Agentic AI</t>
        </is>
      </c>
      <c r="C70" t="inlineStr">
        <is>
          <t>Amazon Web Services</t>
        </is>
      </c>
      <c r="D70" t="inlineStr">
        <is>
          <t>indeed</t>
        </is>
      </c>
      <c r="E70" t="inlineStr"/>
      <c r="F70" t="inlineStr"/>
      <c r="G70" t="inlineStr">
        <is>
          <t>Seattle, WA, US</t>
        </is>
      </c>
      <c r="H70" s="2"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in-feb9268b4366c596</t>
        </is>
      </c>
      <c r="B71" t="inlineStr">
        <is>
          <t>Applied Scientist, Prime Video - Content Understanding, Localization &amp; Enrichment Team</t>
        </is>
      </c>
      <c r="C71" t="inlineStr">
        <is>
          <t>Amazon.com</t>
        </is>
      </c>
      <c r="D71" t="inlineStr">
        <is>
          <t>indeed</t>
        </is>
      </c>
      <c r="E71" t="inlineStr"/>
      <c r="F71" t="inlineStr"/>
      <c r="G71" t="inlineStr">
        <is>
          <t>San Francisco, CA, US</t>
        </is>
      </c>
      <c r="H71" s="2" t="n">
        <v>45943</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2">
      <c r="A72" t="inlineStr">
        <is>
          <t>in-ca83dc98ef3f017d</t>
        </is>
      </c>
      <c r="B72" t="inlineStr">
        <is>
          <t>Applied Scientist, Prime Video - Content Understanding, Localization &amp; Enrichment Team</t>
        </is>
      </c>
      <c r="C72" t="inlineStr">
        <is>
          <t>Amazon.com</t>
        </is>
      </c>
      <c r="D72" t="inlineStr">
        <is>
          <t>indeed</t>
        </is>
      </c>
      <c r="E72" t="inlineStr"/>
      <c r="F72" t="inlineStr"/>
      <c r="G72" t="inlineStr">
        <is>
          <t>Seattle, WA, US</t>
        </is>
      </c>
      <c r="H72" s="2" t="n">
        <v>45943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3">
      <c r="A73" t="inlineStr">
        <is>
          <t>in-b724cfc0cb5caf71</t>
        </is>
      </c>
      <c r="B73" t="inlineStr">
        <is>
          <t>Principal Applied Scientist, Advertiser Growth, Amazon Sponsored Products &amp; Brands</t>
        </is>
      </c>
      <c r="C73" t="inlineStr">
        <is>
          <t>Amazon.com</t>
        </is>
      </c>
      <c r="D73" t="inlineStr">
        <is>
          <t>indeed</t>
        </is>
      </c>
      <c r="E73" t="inlineStr"/>
      <c r="F73" t="inlineStr"/>
      <c r="G73" t="inlineStr">
        <is>
          <t>Seattle, WA,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in-4ef4ccdc7910fe56</t>
        </is>
      </c>
      <c r="B74" t="inlineStr">
        <is>
          <t>Principal Applied Scientist, Advertiser Growth, Amazon Sponsored Products &amp; Brands</t>
        </is>
      </c>
      <c r="C74" t="inlineStr">
        <is>
          <t>Amazon.com</t>
        </is>
      </c>
      <c r="D74" t="inlineStr">
        <is>
          <t>indeed</t>
        </is>
      </c>
      <c r="E74" t="inlineStr"/>
      <c r="F74" t="inlineStr"/>
      <c r="G74" t="inlineStr">
        <is>
          <t>Palo Alto, CA,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in-1ed915ccc3dde87a</t>
        </is>
      </c>
      <c r="B75" t="inlineStr">
        <is>
          <t>Principal Applied Scientist, Advertiser Growth, Amazon Sponsored Products &amp; Brands</t>
        </is>
      </c>
      <c r="C75" t="inlineStr">
        <is>
          <t>Amazon.com</t>
        </is>
      </c>
      <c r="D75" t="inlineStr">
        <is>
          <t>indeed</t>
        </is>
      </c>
      <c r="E75" t="inlineStr"/>
      <c r="F75" t="inlineStr"/>
      <c r="G75" t="inlineStr">
        <is>
          <t>New York, NY,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in-fb716049ef38e26c</t>
        </is>
      </c>
      <c r="B76" t="inlineStr">
        <is>
          <t>Sr. Applied Scientist, SPB Advertiser Guidance</t>
        </is>
      </c>
      <c r="C76" t="inlineStr">
        <is>
          <t>Amazon.com</t>
        </is>
      </c>
      <c r="D76" t="inlineStr">
        <is>
          <t>indeed</t>
        </is>
      </c>
      <c r="E76" t="inlineStr"/>
      <c r="F76" t="inlineStr"/>
      <c r="G76" t="inlineStr">
        <is>
          <t>Seattle, WA,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in-515a3d4fb27d17c2</t>
        </is>
      </c>
      <c r="B77" t="inlineStr">
        <is>
          <t>Applied Scientist</t>
        </is>
      </c>
      <c r="C77" t="inlineStr">
        <is>
          <t>Amazon.com</t>
        </is>
      </c>
      <c r="D77" t="inlineStr">
        <is>
          <t>indeed</t>
        </is>
      </c>
      <c r="E77" t="inlineStr"/>
      <c r="F77" t="inlineStr"/>
      <c r="G77" t="inlineStr">
        <is>
          <t>Palo Alto, CA,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in-178c1843a4552617</t>
        </is>
      </c>
      <c r="B78" t="inlineStr">
        <is>
          <t>Sr. Applied Scientist, SPB Advertiser Guidance</t>
        </is>
      </c>
      <c r="C78" t="inlineStr">
        <is>
          <t>Amazon.com</t>
        </is>
      </c>
      <c r="D78" t="inlineStr">
        <is>
          <t>indeed</t>
        </is>
      </c>
      <c r="E78" t="inlineStr"/>
      <c r="F78" t="inlineStr"/>
      <c r="G78" t="inlineStr">
        <is>
          <t>New York, NY, US</t>
        </is>
      </c>
      <c r="H78" s="2" t="n">
        <v>45939</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in-438b8c25d3267c24</t>
        </is>
      </c>
      <c r="B79" t="inlineStr">
        <is>
          <t>Sr. Applied Scientist, SPB Advertiser Guidance</t>
        </is>
      </c>
      <c r="C79" t="inlineStr">
        <is>
          <t>Amazon.com</t>
        </is>
      </c>
      <c r="D79" t="inlineStr">
        <is>
          <t>indeed</t>
        </is>
      </c>
      <c r="E79" t="inlineStr"/>
      <c r="F79" t="inlineStr"/>
      <c r="G79" t="inlineStr">
        <is>
          <t>Palo Alto, CA,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in-8a24ab2d388f1784</t>
        </is>
      </c>
      <c r="B80" t="inlineStr">
        <is>
          <t>Applied Scientist</t>
        </is>
      </c>
      <c r="C80" t="inlineStr">
        <is>
          <t>Amazon.com</t>
        </is>
      </c>
      <c r="D80" t="inlineStr">
        <is>
          <t>indeed</t>
        </is>
      </c>
      <c r="E80" t="inlineStr"/>
      <c r="F80" t="inlineStr"/>
      <c r="G80" t="inlineStr">
        <is>
          <t>Seattle, WA,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in-79ce12730dfc877b</t>
        </is>
      </c>
      <c r="B81" t="inlineStr">
        <is>
          <t>Applied Scientist</t>
        </is>
      </c>
      <c r="C81" t="inlineStr">
        <is>
          <t>Amazon.com</t>
        </is>
      </c>
      <c r="D81" t="inlineStr">
        <is>
          <t>indeed</t>
        </is>
      </c>
      <c r="E81" t="inlineStr"/>
      <c r="F81" t="inlineStr"/>
      <c r="G81" t="inlineStr">
        <is>
          <t>New York, NY,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in-d102693d8b755857</t>
        </is>
      </c>
      <c r="B82" t="inlineStr">
        <is>
          <t>Applied Scientist II, Prime Video - Personalization and Discovery Science, Personalization and Discovery Science</t>
        </is>
      </c>
      <c r="C82" t="inlineStr">
        <is>
          <t>Amazon.com</t>
        </is>
      </c>
      <c r="D82" t="inlineStr">
        <is>
          <t>indeed</t>
        </is>
      </c>
      <c r="E82" t="inlineStr"/>
      <c r="F82" t="inlineStr"/>
      <c r="G82" t="inlineStr">
        <is>
          <t>New York, NY, US</t>
        </is>
      </c>
      <c r="H82" s="2" t="n">
        <v>45930</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in-8fcc120a58a72f88</t>
        </is>
      </c>
      <c r="B83" t="inlineStr">
        <is>
          <t>Applied Scientist II, Prime Video - Personalization and Discovery Science, Personalization and Discovery Science</t>
        </is>
      </c>
      <c r="C83" t="inlineStr">
        <is>
          <t>Amazon.com</t>
        </is>
      </c>
      <c r="D83" t="inlineStr">
        <is>
          <t>indeed</t>
        </is>
      </c>
      <c r="E83" t="inlineStr"/>
      <c r="F83" t="inlineStr"/>
      <c r="G83" t="inlineStr">
        <is>
          <t>Seattle, WA, US</t>
        </is>
      </c>
      <c r="H83" s="2" t="n">
        <v>45930</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in-e2e3bf1ac46d2a3b</t>
        </is>
      </c>
      <c r="B84" t="inlineStr">
        <is>
          <t>Applied Scientist II, Prime Video - Personalization and Discovery Science, Personalization and Discovery Science</t>
        </is>
      </c>
      <c r="C84" t="inlineStr">
        <is>
          <t>Amazon.com</t>
        </is>
      </c>
      <c r="D84" t="inlineStr">
        <is>
          <t>indeed</t>
        </is>
      </c>
      <c r="E84" t="inlineStr"/>
      <c r="F84" t="inlineStr"/>
      <c r="G84" t="inlineStr">
        <is>
          <t>Sunnyvale, CA, US</t>
        </is>
      </c>
      <c r="H84" s="2" t="n">
        <v>45930</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in-e1cad786fc3f7c92</t>
        </is>
      </c>
      <c r="B85" t="inlineStr">
        <is>
          <t>Applied Scientist, Workplace Health &amp; Safety</t>
        </is>
      </c>
      <c r="C85" t="inlineStr">
        <is>
          <t>Amazon.com</t>
        </is>
      </c>
      <c r="D85" t="inlineStr">
        <is>
          <t>indeed</t>
        </is>
      </c>
      <c r="E85" t="inlineStr"/>
      <c r="F85" t="inlineStr"/>
      <c r="G85" t="inlineStr">
        <is>
          <t>Nashville, TN, US</t>
        </is>
      </c>
      <c r="H85" s="2" t="n">
        <v>45917</v>
      </c>
      <c r="I8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in-2afaee07b78488f2</t>
        </is>
      </c>
      <c r="B86" t="inlineStr">
        <is>
          <t>Applied Scientist, Workplace Health &amp; Safety</t>
        </is>
      </c>
      <c r="C86" t="inlineStr">
        <is>
          <t>Amazon.com</t>
        </is>
      </c>
      <c r="D86" t="inlineStr">
        <is>
          <t>indeed</t>
        </is>
      </c>
      <c r="E86" t="inlineStr"/>
      <c r="F86" t="inlineStr"/>
      <c r="G86" t="inlineStr">
        <is>
          <t>Bellevue, WA, US</t>
        </is>
      </c>
      <c r="H86" s="2" t="n">
        <v>45917</v>
      </c>
      <c r="I8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in-5d554d1bb3e078f1</t>
        </is>
      </c>
      <c r="B87" t="inlineStr">
        <is>
          <t>Applied Scientist II, Creative X - RAPID</t>
        </is>
      </c>
      <c r="C87" t="inlineStr">
        <is>
          <t>Amazon.com</t>
        </is>
      </c>
      <c r="D87" t="inlineStr">
        <is>
          <t>indeed</t>
        </is>
      </c>
      <c r="E87" t="inlineStr"/>
      <c r="F87" t="inlineStr"/>
      <c r="G87" t="inlineStr">
        <is>
          <t>New York, NY, US</t>
        </is>
      </c>
      <c r="H87" s="2" t="n">
        <v>45908</v>
      </c>
      <c r="I8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8">
      <c r="A88" t="inlineStr">
        <is>
          <t>in-59b060426a49c9d2</t>
        </is>
      </c>
      <c r="B88" t="inlineStr">
        <is>
          <t>Applied Scientist II, Creative X - RAPID</t>
        </is>
      </c>
      <c r="C88" t="inlineStr">
        <is>
          <t>Amazon.com</t>
        </is>
      </c>
      <c r="D88" t="inlineStr">
        <is>
          <t>indeed</t>
        </is>
      </c>
      <c r="E88" t="inlineStr"/>
      <c r="F88" t="inlineStr"/>
      <c r="G88" t="inlineStr">
        <is>
          <t>Seattle, WA, US</t>
        </is>
      </c>
      <c r="H88" s="2" t="n">
        <v>45908</v>
      </c>
      <c r="I8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9">
      <c r="A89" t="inlineStr">
        <is>
          <t>in-0390356b446a259f</t>
        </is>
      </c>
      <c r="B89" t="inlineStr">
        <is>
          <t>Sr. Applied Scientist, Prime Video - Personalization and Discovery Science</t>
        </is>
      </c>
      <c r="C89" t="inlineStr">
        <is>
          <t>Amazon.com</t>
        </is>
      </c>
      <c r="D89" t="inlineStr">
        <is>
          <t>indeed</t>
        </is>
      </c>
      <c r="E89" t="inlineStr"/>
      <c r="F89" t="inlineStr"/>
      <c r="G89" t="inlineStr">
        <is>
          <t>Seattle, WA, US</t>
        </is>
      </c>
      <c r="H89" s="2" t="n">
        <v>45896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0">
      <c r="A90" t="inlineStr">
        <is>
          <t>in-d21a9aa00420bda2</t>
        </is>
      </c>
      <c r="B90" t="inlineStr">
        <is>
          <t>Applied Scientist II, Prime Video , Personalization and Discovery Science</t>
        </is>
      </c>
      <c r="C90" t="inlineStr">
        <is>
          <t>Amazon.com</t>
        </is>
      </c>
      <c r="D90" t="inlineStr">
        <is>
          <t>indeed</t>
        </is>
      </c>
      <c r="E90" t="inlineStr"/>
      <c r="F90" t="inlineStr"/>
      <c r="G90" t="inlineStr">
        <is>
          <t>New York, NY, US</t>
        </is>
      </c>
      <c r="H90" s="2" t="n">
        <v>45886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1">
      <c r="A91" t="inlineStr">
        <is>
          <t>in-593013be1ee76fb8</t>
        </is>
      </c>
      <c r="B91" t="inlineStr">
        <is>
          <t>Applied Scientist II, Prime Video , Personalization and Discovery Science</t>
        </is>
      </c>
      <c r="C91" t="inlineStr">
        <is>
          <t>Amazon.com</t>
        </is>
      </c>
      <c r="D91" t="inlineStr">
        <is>
          <t>indeed</t>
        </is>
      </c>
      <c r="E91" t="inlineStr"/>
      <c r="F91" t="inlineStr"/>
      <c r="G91" t="inlineStr">
        <is>
          <t>Seattle, WA, US</t>
        </is>
      </c>
      <c r="H91" s="2" t="n">
        <v>45886</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2">
      <c r="A92" t="inlineStr">
        <is>
          <t>in-1af8b001b4b06042</t>
        </is>
      </c>
      <c r="B92" t="inlineStr">
        <is>
          <t>Applied Scientist II, Prime Video , Personalization and Discovery Science</t>
        </is>
      </c>
      <c r="C92" t="inlineStr">
        <is>
          <t>Amazon.com</t>
        </is>
      </c>
      <c r="D92" t="inlineStr">
        <is>
          <t>indeed</t>
        </is>
      </c>
      <c r="E92" t="inlineStr"/>
      <c r="F92" t="inlineStr"/>
      <c r="G92" t="inlineStr">
        <is>
          <t>Sunnyvale, CA, US</t>
        </is>
      </c>
      <c r="H92" s="2" t="n">
        <v>45886</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3">
      <c r="A93" t="inlineStr">
        <is>
          <t>in-47990110b2396409</t>
        </is>
      </c>
      <c r="B93" t="inlineStr">
        <is>
          <t>Applied Scientist II, Prime Video - Personalization and Discovery Science</t>
        </is>
      </c>
      <c r="C93" t="inlineStr">
        <is>
          <t>Amazon.com</t>
        </is>
      </c>
      <c r="D93" t="inlineStr">
        <is>
          <t>indeed</t>
        </is>
      </c>
      <c r="E93" t="inlineStr"/>
      <c r="F93" t="inlineStr"/>
      <c r="G93" t="inlineStr">
        <is>
          <t>Seattle, WA, US</t>
        </is>
      </c>
      <c r="H93" s="2" t="n">
        <v>45881</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in-e972ada1254aeb7b</t>
        </is>
      </c>
      <c r="B94" t="inlineStr">
        <is>
          <t>Applied Scientist II, Prime Video - Personalization and Discovery Science</t>
        </is>
      </c>
      <c r="C94" t="inlineStr">
        <is>
          <t>Amazon.com</t>
        </is>
      </c>
      <c r="D94" t="inlineStr">
        <is>
          <t>indeed</t>
        </is>
      </c>
      <c r="E94" t="inlineStr"/>
      <c r="F94" t="inlineStr"/>
      <c r="G94" t="inlineStr">
        <is>
          <t>Sunnyvale, CA, US</t>
        </is>
      </c>
      <c r="H94" s="2" t="n">
        <v>45881</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in-fa2a4f84520cbf34</t>
        </is>
      </c>
      <c r="B95" t="inlineStr">
        <is>
          <t>Sr. Applied Scientist, Prime Video - Personalization and Discovery Science</t>
        </is>
      </c>
      <c r="C95" t="inlineStr">
        <is>
          <t>Amazon.com</t>
        </is>
      </c>
      <c r="D95" t="inlineStr">
        <is>
          <t>indeed</t>
        </is>
      </c>
      <c r="E95" t="inlineStr"/>
      <c r="F95" t="inlineStr"/>
      <c r="G95" t="inlineStr">
        <is>
          <t>Sunnyvale, CA, US</t>
        </is>
      </c>
      <c r="H95" s="2"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in-e2ece51d153dd758</t>
        </is>
      </c>
      <c r="B96" t="inlineStr">
        <is>
          <t>Sr. Applied Scientist, Prime Video - Personalization and Discovery Science</t>
        </is>
      </c>
      <c r="C96" t="inlineStr">
        <is>
          <t>Amazon.com</t>
        </is>
      </c>
      <c r="D96" t="inlineStr">
        <is>
          <t>indeed</t>
        </is>
      </c>
      <c r="E96" t="inlineStr"/>
      <c r="F96" t="inlineStr"/>
      <c r="G96" t="inlineStr">
        <is>
          <t>Seattle, WA, US</t>
        </is>
      </c>
      <c r="H96" s="2" t="n">
        <v>45881</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in-18beb707dabadce1</t>
        </is>
      </c>
      <c r="B97" t="inlineStr">
        <is>
          <t>Applied Scientist II, Prime Video - Personalization and Discovery Science</t>
        </is>
      </c>
      <c r="C97" t="inlineStr">
        <is>
          <t>Amazon.com</t>
        </is>
      </c>
      <c r="D97" t="inlineStr">
        <is>
          <t>indeed</t>
        </is>
      </c>
      <c r="E97" t="inlineStr"/>
      <c r="F97" t="inlineStr"/>
      <c r="G97" t="inlineStr">
        <is>
          <t>New York, NY, US</t>
        </is>
      </c>
      <c r="H97" s="2" t="n">
        <v>45881</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in-e696163a7eeb8e90</t>
        </is>
      </c>
      <c r="B98" t="inlineStr">
        <is>
          <t>Sr. Applied Scientist, Prime Video - Personalization and Discovery Science</t>
        </is>
      </c>
      <c r="C98" t="inlineStr">
        <is>
          <t>Amazon.com</t>
        </is>
      </c>
      <c r="D98" t="inlineStr">
        <is>
          <t>indeed</t>
        </is>
      </c>
      <c r="E98" t="inlineStr"/>
      <c r="F98" t="inlineStr"/>
      <c r="G98" t="inlineStr">
        <is>
          <t>New York, NY, US</t>
        </is>
      </c>
      <c r="H98" s="2" t="n">
        <v>45881</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in-7ace1f64b2cb64d5</t>
        </is>
      </c>
      <c r="B99" t="inlineStr">
        <is>
          <t>Applied Scientist III, StoreGen</t>
        </is>
      </c>
      <c r="C99" t="inlineStr">
        <is>
          <t>Amazon.com</t>
        </is>
      </c>
      <c r="D99" t="inlineStr">
        <is>
          <t>indeed</t>
        </is>
      </c>
      <c r="E99" t="inlineStr"/>
      <c r="F99" t="inlineStr"/>
      <c r="G99" t="inlineStr">
        <is>
          <t>Seattle, WA, US</t>
        </is>
      </c>
      <c r="H99" s="2" t="n">
        <v>45868</v>
      </c>
      <c r="I9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in-b5d100959e1a4391</t>
        </is>
      </c>
      <c r="B100" t="inlineStr">
        <is>
          <t>Applied Scientist III, StoreGen</t>
        </is>
      </c>
      <c r="C100" t="inlineStr">
        <is>
          <t>Amazon.com</t>
        </is>
      </c>
      <c r="D100" t="inlineStr">
        <is>
          <t>indeed</t>
        </is>
      </c>
      <c r="E100" t="inlineStr"/>
      <c r="F100" t="inlineStr"/>
      <c r="G100" t="inlineStr">
        <is>
          <t>Sunnyvale, CA, US</t>
        </is>
      </c>
      <c r="H100" s="2" t="n">
        <v>45868</v>
      </c>
      <c r="I10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in-9230882cad144b36</t>
        </is>
      </c>
      <c r="B101" t="inlineStr">
        <is>
          <t>Sr. Applied Scientist, Amazon Advertising</t>
        </is>
      </c>
      <c r="C101" t="inlineStr">
        <is>
          <t>Amazon.com</t>
        </is>
      </c>
      <c r="D101" t="inlineStr">
        <is>
          <t>indeed</t>
        </is>
      </c>
      <c r="E101" t="inlineStr"/>
      <c r="F101" t="inlineStr"/>
      <c r="G101" t="inlineStr">
        <is>
          <t>West Hollywood, CA,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in-7b1fa08ede97628b</t>
        </is>
      </c>
      <c r="B102" t="inlineStr">
        <is>
          <t>Sr. Applied Scientist, Amazon Advertising</t>
        </is>
      </c>
      <c r="C102" t="inlineStr">
        <is>
          <t>Amazon.com</t>
        </is>
      </c>
      <c r="D102" t="inlineStr">
        <is>
          <t>indeed</t>
        </is>
      </c>
      <c r="E102" t="inlineStr"/>
      <c r="F102" t="inlineStr"/>
      <c r="G102" t="inlineStr">
        <is>
          <t>Palo Alto,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in-ff3ff6098becd876</t>
        </is>
      </c>
      <c r="B103" t="inlineStr">
        <is>
          <t>Sr. Applied Scientist, Amazon Advertising</t>
        </is>
      </c>
      <c r="C103" t="inlineStr">
        <is>
          <t>Amazon.com</t>
        </is>
      </c>
      <c r="D103" t="inlineStr">
        <is>
          <t>indeed</t>
        </is>
      </c>
      <c r="E103" t="inlineStr"/>
      <c r="F103" t="inlineStr"/>
      <c r="G103" t="inlineStr">
        <is>
          <t>Austin, TX,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in-50ad4cfa4f36a868</t>
        </is>
      </c>
      <c r="B104" t="inlineStr">
        <is>
          <t>Sr. Applied Scientist, Amazon Advertising</t>
        </is>
      </c>
      <c r="C104" t="inlineStr">
        <is>
          <t>Amazon.com</t>
        </is>
      </c>
      <c r="D104" t="inlineStr">
        <is>
          <t>indeed</t>
        </is>
      </c>
      <c r="E104" t="inlineStr"/>
      <c r="F104" t="inlineStr"/>
      <c r="G104" t="inlineStr">
        <is>
          <t>Arlington, VA,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in-c5e563590315ef5f</t>
        </is>
      </c>
      <c r="B105" t="inlineStr">
        <is>
          <t>Sr. Applied Scientist, Amazon Advertising</t>
        </is>
      </c>
      <c r="C105" t="inlineStr">
        <is>
          <t>Amazon.com</t>
        </is>
      </c>
      <c r="D105" t="inlineStr">
        <is>
          <t>indeed</t>
        </is>
      </c>
      <c r="E105" t="inlineStr"/>
      <c r="F105" t="inlineStr"/>
      <c r="G105" t="inlineStr">
        <is>
          <t>Seattle, WA,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in-a65082c82dc4cbb7</t>
        </is>
      </c>
      <c r="B106" t="inlineStr">
        <is>
          <t>Sr. Applied Scientist, Amazon Advertising</t>
        </is>
      </c>
      <c r="C106" t="inlineStr">
        <is>
          <t>Amazon.com</t>
        </is>
      </c>
      <c r="D106" t="inlineStr">
        <is>
          <t>indeed</t>
        </is>
      </c>
      <c r="E106" t="inlineStr"/>
      <c r="F106" t="inlineStr"/>
      <c r="G106" t="inlineStr">
        <is>
          <t>New York, NY,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in-c7bf7c164c954d28</t>
        </is>
      </c>
      <c r="B107" t="inlineStr">
        <is>
          <t>Sr. Applied Scientist, Amazon Advertising</t>
        </is>
      </c>
      <c r="C107" t="inlineStr">
        <is>
          <t>Amazon.com</t>
        </is>
      </c>
      <c r="D107" t="inlineStr">
        <is>
          <t>indeed</t>
        </is>
      </c>
      <c r="E107" t="inlineStr"/>
      <c r="F107" t="inlineStr"/>
      <c r="G107" t="inlineStr">
        <is>
          <t>Los Angeles, CA,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in-f12722416f6108a2</t>
        </is>
      </c>
      <c r="B108" t="inlineStr">
        <is>
          <t>Sr. Applied Scientist, Amazon Advertising</t>
        </is>
      </c>
      <c r="C108" t="inlineStr">
        <is>
          <t>Amazon.com</t>
        </is>
      </c>
      <c r="D108" t="inlineStr">
        <is>
          <t>indeed</t>
        </is>
      </c>
      <c r="E108" t="inlineStr"/>
      <c r="F108" t="inlineStr"/>
      <c r="G108" t="inlineStr">
        <is>
          <t>Simi Valley, CA,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in-7df41d5c970ad108</t>
        </is>
      </c>
      <c r="B109" t="inlineStr">
        <is>
          <t>Sr. Applied Scientist, Sales AI</t>
        </is>
      </c>
      <c r="C109" t="inlineStr">
        <is>
          <t>Amazon.com</t>
        </is>
      </c>
      <c r="D109" t="inlineStr">
        <is>
          <t>indeed</t>
        </is>
      </c>
      <c r="E109" t="inlineStr"/>
      <c r="F109" t="inlineStr"/>
      <c r="G109" t="inlineStr">
        <is>
          <t>New York, NY, US</t>
        </is>
      </c>
      <c r="H109" s="2" t="n">
        <v>45830</v>
      </c>
      <c r="I1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in-cf6bf1dc0ee307e6</t>
        </is>
      </c>
      <c r="B110" t="inlineStr">
        <is>
          <t>Sr. Applied Scientist, Sales AI</t>
        </is>
      </c>
      <c r="C110" t="inlineStr">
        <is>
          <t>Amazon.com</t>
        </is>
      </c>
      <c r="D110" t="inlineStr">
        <is>
          <t>indeed</t>
        </is>
      </c>
      <c r="E110" t="inlineStr"/>
      <c r="F110" t="inlineStr"/>
      <c r="G110" t="inlineStr">
        <is>
          <t>Sunnyvale, CA, US</t>
        </is>
      </c>
      <c r="H110" s="2" t="n">
        <v>45830</v>
      </c>
      <c r="I1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in-d0db10054d585b58</t>
        </is>
      </c>
      <c r="B111" t="inlineStr">
        <is>
          <t>Sr. Applied Scientist, Sales AI</t>
        </is>
      </c>
      <c r="C111" t="inlineStr">
        <is>
          <t>Amazon.com</t>
        </is>
      </c>
      <c r="D111" t="inlineStr">
        <is>
          <t>indeed</t>
        </is>
      </c>
      <c r="E111" t="inlineStr"/>
      <c r="F111" t="inlineStr"/>
      <c r="G111" t="inlineStr">
        <is>
          <t>Seattle, WA, US</t>
        </is>
      </c>
      <c r="H111" s="2" t="n">
        <v>45830</v>
      </c>
      <c r="I11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in-ea0d66c541c08f9a</t>
        </is>
      </c>
      <c r="B112" t="inlineStr">
        <is>
          <t>Senior Applied Scientist, Delivery Foundation Model</t>
        </is>
      </c>
      <c r="C112" t="inlineStr">
        <is>
          <t>Amazon.com</t>
        </is>
      </c>
      <c r="D112" t="inlineStr">
        <is>
          <t>indeed</t>
        </is>
      </c>
      <c r="E112" t="inlineStr"/>
      <c r="F112" t="inlineStr"/>
      <c r="G112" t="inlineStr">
        <is>
          <t>Santa Clara, CA, US</t>
        </is>
      </c>
      <c r="H112" s="2" t="n">
        <v>45806</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in-8df1d32b21e55bda</t>
        </is>
      </c>
      <c r="B113" t="inlineStr">
        <is>
          <t>Senior Applied Scientist, Delivery Foundation Model</t>
        </is>
      </c>
      <c r="C113" t="inlineStr">
        <is>
          <t>Amazon.com</t>
        </is>
      </c>
      <c r="D113" t="inlineStr">
        <is>
          <t>indeed</t>
        </is>
      </c>
      <c r="E113" t="inlineStr"/>
      <c r="F113" t="inlineStr"/>
      <c r="G113" t="inlineStr">
        <is>
          <t>New York, NY, US</t>
        </is>
      </c>
      <c r="H113" s="2"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in-4758b9875f97b74c</t>
        </is>
      </c>
      <c r="B114" t="inlineStr">
        <is>
          <t>Senior Applied Scientist, Delivery Foundation Model</t>
        </is>
      </c>
      <c r="C114" t="inlineStr">
        <is>
          <t>Amazon.com</t>
        </is>
      </c>
      <c r="D114" t="inlineStr">
        <is>
          <t>indeed</t>
        </is>
      </c>
      <c r="E114" t="inlineStr"/>
      <c r="F114" t="inlineStr"/>
      <c r="G114" t="inlineStr">
        <is>
          <t>Bellevue, WA, US</t>
        </is>
      </c>
      <c r="H114" s="2"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in-d82643201e55f4d8</t>
        </is>
      </c>
      <c r="B115" t="inlineStr">
        <is>
          <t>Principal Applied Scientist, FAR (Frontier AI &amp; Robotics)</t>
        </is>
      </c>
      <c r="C115" t="inlineStr">
        <is>
          <t>Amazon.com</t>
        </is>
      </c>
      <c r="D115" t="inlineStr">
        <is>
          <t>indeed</t>
        </is>
      </c>
      <c r="E115" t="inlineStr"/>
      <c r="F115" t="inlineStr"/>
      <c r="G115" t="inlineStr">
        <is>
          <t>San Francisco, CA, US</t>
        </is>
      </c>
      <c r="H115" s="2" t="n">
        <v>45740</v>
      </c>
      <c r="I11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in-aa8455568f88f1a6</t>
        </is>
      </c>
      <c r="B116" t="inlineStr">
        <is>
          <t>Principal Applied Scientist, FAR (Frontier AI &amp; Robotics)</t>
        </is>
      </c>
      <c r="C116" t="inlineStr">
        <is>
          <t>Amazon.com</t>
        </is>
      </c>
      <c r="D116" t="inlineStr">
        <is>
          <t>indeed</t>
        </is>
      </c>
      <c r="E116" t="inlineStr"/>
      <c r="F116" t="inlineStr"/>
      <c r="G116" t="inlineStr">
        <is>
          <t>Seattle, WA, US</t>
        </is>
      </c>
      <c r="H116" s="2" t="n">
        <v>45740</v>
      </c>
      <c r="I11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in-f1d3ba94b90d2848</t>
        </is>
      </c>
      <c r="B117" t="inlineStr">
        <is>
          <t>Data Scientist - Computer Vision, Data &amp; Machine Learning (DML)</t>
        </is>
      </c>
      <c r="C117" t="inlineStr">
        <is>
          <t>Amazon Web Services</t>
        </is>
      </c>
      <c r="D117" t="inlineStr">
        <is>
          <t>indeed</t>
        </is>
      </c>
      <c r="E117" t="inlineStr"/>
      <c r="F117" t="inlineStr"/>
      <c r="G117" t="inlineStr">
        <is>
          <t>Arlington, VA, US</t>
        </is>
      </c>
      <c r="H117" s="2" t="n">
        <v>46051</v>
      </c>
      <c r="I11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in-69e2c673828f6262</t>
        </is>
      </c>
      <c r="B118" t="inlineStr">
        <is>
          <t>Data Scientist - Computer Vision, Data &amp; Machine Learning (DML)</t>
        </is>
      </c>
      <c r="C118" t="inlineStr">
        <is>
          <t>Amazon Web Services</t>
        </is>
      </c>
      <c r="D118" t="inlineStr">
        <is>
          <t>indeed</t>
        </is>
      </c>
      <c r="E118" t="inlineStr"/>
      <c r="F118" t="inlineStr"/>
      <c r="G118" t="inlineStr">
        <is>
          <t>Herndon, VA, US</t>
        </is>
      </c>
      <c r="H118" s="2" t="n">
        <v>46051</v>
      </c>
      <c r="I118"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in-638f0941a66d8510</t>
        </is>
      </c>
      <c r="B119" t="inlineStr">
        <is>
          <t>Data Scientist- Vision Language Model Researcher, Data &amp; Machine Learning (DML)</t>
        </is>
      </c>
      <c r="C119" t="inlineStr">
        <is>
          <t>Amazon Web Services</t>
        </is>
      </c>
      <c r="D119" t="inlineStr">
        <is>
          <t>indeed</t>
        </is>
      </c>
      <c r="E119" t="inlineStr"/>
      <c r="F119" t="inlineStr"/>
      <c r="G119" t="inlineStr">
        <is>
          <t>Arlington, VA, US</t>
        </is>
      </c>
      <c r="H119" s="2" t="n">
        <v>46051</v>
      </c>
      <c r="I11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0">
      <c r="A120" t="inlineStr">
        <is>
          <t>in-97bf83d39b02aa40</t>
        </is>
      </c>
      <c r="B120" t="inlineStr">
        <is>
          <t>Data Scientist- Vision Language Model Researcher, Data &amp; Machine Learning (DML)</t>
        </is>
      </c>
      <c r="C120" t="inlineStr">
        <is>
          <t>Amazon Web Services</t>
        </is>
      </c>
      <c r="D120" t="inlineStr">
        <is>
          <t>indeed</t>
        </is>
      </c>
      <c r="E120" t="inlineStr"/>
      <c r="F120" t="inlineStr"/>
      <c r="G120" t="inlineStr">
        <is>
          <t>Herndon, VA, US</t>
        </is>
      </c>
      <c r="H120" s="2" t="n">
        <v>46051</v>
      </c>
      <c r="I120"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1">
      <c r="A121" t="inlineStr">
        <is>
          <t>in-4388810b01b0d25f</t>
        </is>
      </c>
      <c r="B121" t="inlineStr">
        <is>
          <t>Applied Scientist, Alexa Smart Home</t>
        </is>
      </c>
      <c r="C121" t="inlineStr">
        <is>
          <t>Amazon.com</t>
        </is>
      </c>
      <c r="D121" t="inlineStr">
        <is>
          <t>indeed</t>
        </is>
      </c>
      <c r="E121" t="inlineStr"/>
      <c r="F121" t="inlineStr"/>
      <c r="G121" t="inlineStr">
        <is>
          <t>Seattle, WA, US</t>
        </is>
      </c>
      <c r="H121" s="2" t="n">
        <v>46033</v>
      </c>
      <c r="I12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2">
      <c r="A122" t="inlineStr">
        <is>
          <t>in-09dfb9fb658e1276</t>
        </is>
      </c>
      <c r="B122" t="inlineStr">
        <is>
          <t>Applied Scientist, Alexa Smart Home</t>
        </is>
      </c>
      <c r="C122" t="inlineStr">
        <is>
          <t>Amazon.com</t>
        </is>
      </c>
      <c r="D122" t="inlineStr">
        <is>
          <t>indeed</t>
        </is>
      </c>
      <c r="E122" t="inlineStr"/>
      <c r="F122" t="inlineStr"/>
      <c r="G122" t="inlineStr">
        <is>
          <t>Sunnyvale, CA, US</t>
        </is>
      </c>
      <c r="H122" s="2" t="n">
        <v>46033</v>
      </c>
      <c r="I12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3">
      <c r="A123" t="inlineStr">
        <is>
          <t>in-a51a3259c7a0897f</t>
        </is>
      </c>
      <c r="B123" t="inlineStr">
        <is>
          <t>Data scientist-5</t>
        </is>
      </c>
      <c r="C123" t="inlineStr">
        <is>
          <t>Realign</t>
        </is>
      </c>
      <c r="D123" t="inlineStr">
        <is>
          <t>indeed</t>
        </is>
      </c>
      <c r="E123">
        <f>HYPERLINK("https://www.indeed.com/viewjob?jk=a51a3259c7a0897f", "https://www.indeed.com/viewjob?jk=a51a3259c7a0897f")</f>
        <v/>
      </c>
      <c r="F123">
        <f>HYPERLINK("https://realign-llc.com/careers/job-details/IT83046DA-5", "https://realign-llc.com/careers/job-details/IT83046DA-5")</f>
        <v/>
      </c>
      <c r="G123" t="inlineStr">
        <is>
          <t>Newark, DE, US</t>
        </is>
      </c>
      <c r="H123" s="3" t="n">
        <v>46062</v>
      </c>
      <c r="I123" t="inlineStr">
        <is>
          <t>Newark, Delaware 19711 Posted February 10th, 2026
 Looking for more job opportunities? Click here!
Job Type: Full Time
Job Category: IT
Job Description
**Title : Data scientist****Location : Newark, Delaware** **Must Have Technical/Functional Skills :****Primary: Artificial intelligence, ML, LLM****Secondary: Data science, Python, NLP, Agile tools****Experience: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Required Skills
DATA ANALYST</t>
        </is>
      </c>
    </row>
    <row r="124">
      <c r="A124" t="inlineStr">
        <is>
          <t>in-c4a90df8eb1bf31e</t>
        </is>
      </c>
      <c r="B124" t="inlineStr">
        <is>
          <t>Lead Data Scientist</t>
        </is>
      </c>
      <c r="C124" t="inlineStr">
        <is>
          <t>Work From Home</t>
        </is>
      </c>
      <c r="D124" t="inlineStr">
        <is>
          <t>indeed</t>
        </is>
      </c>
      <c r="E124">
        <f>HYPERLINK("https://www.indeed.com/viewjob?jk=c4a90df8eb1bf31e", "https://www.indeed.com/viewjob?jk=c4a90df8eb1bf31e")</f>
        <v/>
      </c>
      <c r="F124">
        <f>HYPERLINK("https://careers.hcahealthcare.com/en/jobs/17145581-lead-data-scientist?tm_job=1-INFOR-4055636&amp;tm_event=view&amp;tm_company=2537", "https://careers.hcahealthcare.com/en/jobs/17145581-lead-data-scientist?tm_job=1-INFOR-4055636&amp;tm_event=view&amp;tm_company=2537")</f>
        <v/>
      </c>
      <c r="G124" t="inlineStr">
        <is>
          <t>Nashville, TN, US</t>
        </is>
      </c>
      <c r="H124" s="3" t="n">
        <v>46062</v>
      </c>
      <c r="I124" t="inlineStr">
        <is>
          <t>##### **Introduction**
Do you want to join an organization that invests in you as a Lead Data Scientist? At HCA, you come first. HCA Healthcare has committed up to $300 million in programs to support our incredible team members over the course of three years.
##### **Benefits**
Work from Home,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Lead Data Scientist like you to be a part of our team.
##### **Job Summary and Qualifications**
Job Summary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
"Good people beget good people."\- Dr. Thomas Frist, Sr.  
HCA Healthcare Co\-Founder
We are a family 270,000 dedicated professionals! Our Talent Acquisition team is reviewing applications for our Lead Data Scientist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25">
      <c r="A125" t="inlineStr">
        <is>
          <t>in-60daeea45b92d690</t>
        </is>
      </c>
      <c r="B125" t="inlineStr">
        <is>
          <t>Senior Data Scientist</t>
        </is>
      </c>
      <c r="C125" t="inlineStr">
        <is>
          <t>Pearl, Inc.</t>
        </is>
      </c>
      <c r="D125" t="inlineStr">
        <is>
          <t>indeed</t>
        </is>
      </c>
      <c r="E125">
        <f>HYPERLINK("https://www.indeed.com/viewjob?jk=60daeea45b92d690", "https://www.indeed.com/viewjob?jk=60daeea45b92d690")</f>
        <v/>
      </c>
      <c r="F125">
        <f>HYPERLINK("https://ats.rippling.com/pearl-inc/jobs/dae62bcc-07bb-4701-b434-08400a00d817?jobSite=Indeed", "https://ats.rippling.com/pearl-inc/jobs/dae62bcc-07bb-4701-b434-08400a00d817?jobSite=Indeed")</f>
        <v/>
      </c>
      <c r="G125" t="inlineStr">
        <is>
          <t>Remote, US</t>
        </is>
      </c>
      <c r="H125" s="3" t="n">
        <v>46063</v>
      </c>
      <c r="I125" t="inlineStr">
        <is>
          <t>**About Pearl**  
Pearl is shaping the future of dentistry with a suite of AI solutions developed to establish higher standards of quality and care for patients worldwide. Since 2019, our team has engineered FDA\-cleared computer vision capabilities for interpretation of 2D and 3D dental imagery — industry\-leading capabilities which clinicians, practice owners, labs and insurers use to elevate the efficiency, accuracy and consistency of dental care around the world.
### **The Role**
We’re looking for a Senior Data Scientist to play a critical role in advancing Pearl’s AI\-driven products. You’ll work closely with product, engineering, clinical, and business stakeholders to turn complex data into actionable insights and scalable solutions.
This is a high\-impact role for someone who thrives at the intersection of data science, product thinking, and real\-world healthcare applications.
 **Who We’re Looking For**
* Lead the design and execution of data science projects that directly impact Pearl’s AI products and business outcomes
* Analyze large, complex datasets to uncover insights, trends, and opportunities
* Build and validate statistical models, experiments, and predictive analyses
* Partner with engineering and ML teams to productionize data science work
* Define metrics and KPIs to measure product performance and clinical impact
* Communicate findings clearly to technical and non\-technical stakeholders
* Mentor junior data scientists and promote best practices across the team
 **What You’ll Need to Succeed**
* Bachelor’s or advanced degree in a quantitative discipline (Mathematics, Statistics, Computer Science, Physics, Engineering, or a related field)
* 8\+ years of experience in Data Science, Machine Learning, or Applied AI roles
* Strong foundation in statistics, data processing, and machine learning techniques, with hands\-on experience using widely adopted open\-source frameworks
* Proven track record of developing and deploying production\-ready machine learning systems, including experience with MLOps practices.
* Advanced proficiency in Python and SQL, with experience working in modern cloud data warehouses such as Snowflake
* Experience working with cloud platforms and designing scalable data and ML solutions
* Strong written and oral communication skills
 **What We Offer**
* Competitive Benefit and Compensation Offerings
* Ongoing Training and Development Opportunities
* Unaccrued, Flexible PTO
* Remote Work</t>
        </is>
      </c>
    </row>
    <row r="126">
      <c r="A126" t="inlineStr">
        <is>
          <t>in-1c1194f5dab3809e</t>
        </is>
      </c>
      <c r="B126" t="inlineStr">
        <is>
          <t>Research Data Scientist</t>
        </is>
      </c>
      <c r="C126" t="inlineStr">
        <is>
          <t>University of Notre Dame</t>
        </is>
      </c>
      <c r="D126" t="inlineStr">
        <is>
          <t>indeed</t>
        </is>
      </c>
      <c r="E126">
        <f>HYPERLINK("https://www.indeed.com/viewjob?jk=1c1194f5dab3809e", "https://www.indeed.com/viewjob?jk=1c1194f5dab3809e")</f>
        <v/>
      </c>
      <c r="F126">
        <f>HYPERLINK("https://jobs.smartrecruiters.com/UniversityOfNotreDame/3743990011619525-research-data-scientist", "https://jobs.smartrecruiters.com/UniversityOfNotreDame/3743990011619525-research-data-scientist")</f>
        <v/>
      </c>
      <c r="G126" t="inlineStr">
        <is>
          <t>Notre Dame, IN, US</t>
        </is>
      </c>
      <c r="H126" s="3" t="n">
        <v>46063</v>
      </c>
      <c r="I126" t="inlineStr">
        <is>
          <t>**Company Description**  
The *University of Notre Dame* is more than a workplace; it is a vibrant, mission\-driven community where every employee is valued and supported. Rooted in a tradition of excellence and inspired by our Catholic character, Notre Dame is committed to fostering an environment of care that nurtures the whole person—mind, body, and spirit. Here, you will find a deep sense of belonging, a culture that prioritizes well\-being, and the opportunity to grow your career while being a force for good in the world. Whether contributing to world\-class research, shaping the student experience, or supporting the University’s mission in other ways, you will be part of a dedicated team working to make a meaningful impact on campus and beyond. At Notre Dame, your work matters, and so do you!
 **Job Description** **Summary**
The Mendoza College of Business seeks a **Research Data Scientist** to serve as the primary technical research support professional for the Mendoza Behavioral Lab (MBL) and will also support other faculty research initiatives. This role bridges IT infrastructure, behavioral experimentation, and research technology, enabling faculty and research teams to design, execute, and analyze high\-quality experimental studies efficiently, securely, and reproducibly.
The Research Data Scientist partners closely with Mendoza faculty, Mendoza IT and Central IT to support experimental workflows, maintain lab technology, and develop robust data pipelines across a wide range of behavioral and business research projects.
**Key Responsibilities**
* Provide hands\-on technical and IT support for behavioral experiments, including real\-time troubleshooting to ensure smooth study execution and data integrity.
* Consult with faculty to design, develop, and maintain reproducible data workflows using R, Python, and SQL to build software for experiments and applied research projects.
* Integrate and manage data from multiple sources (e.g., surveys, biometric tools, experimental platforms, VR systems) into clean, analysis\-ready datasets.
* Develop and document data pipelines, scripts, and data dictionaries to support replication, long\-term data management, and research continuity.
* Collaborate with MBL program director and research teams to ensure the study design adheres to IRB requirements and campus security standards.
* Partner with Mendoza IT, Central IT, and the Center for Research Computing to ensure compliance with university policies and best practices.
* Stay current with emerging research technologies and data science tools through professional development, training, and conferences.
**Qualifications** **Required Qualifications**
* Bachelor’s degree in Data Science, Computer Science, Information Systems, or a related field.
* At least 1–2 years of experience in data science, research computing, or applied data workflows.
* Proficiency in R and/or Python and SQL for data manipulation, integration, and analysis.
* Experience with Amazon Web Services and Google Cloud Platforms
* Experience managing and integrating datasets from multiple research or enterprise sources.
* Strong analytical, problem\-solving, and workflow design skills.
* Excellent communication, consulting and documentation skills, with the ability to collaborate across technical and non\-technical teams.
* Commitment to data integrity, security, and compliance in human\-subject research environments.
**Preferred Qualifications**
* Master’s degree in Data Science, Computer Science, or a related field.
* Experience working in academic research labs or behavioral research settings.
* Familiarity with tools such as iMotions, Qualtrics (including JavaScript customization), and VR platforms.
* Experience integrating behavioral and biometric data with enterprise or large\-scale datasets.
* Knowledge of Windows systems administration and enterprise tools (e.g., Active Directory, SCCM, Intune, Group Policy).
* Demonstrated ability to support complex, multi\-study research environments.
**Additional Information*** **Application Deadline to Apply (subject to change):** Sunday, 2/22/26
* **Please note** this is a full\-time (40 hours per week) position that is fully onsite, based within the Mendoza College of Business, supporting the Mendoza Behavioral Lab.
* Salary commensurate with experience
* **Please include** a cover letter in your application for full consideration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is>
      </c>
    </row>
    <row r="127">
      <c r="A127" t="inlineStr">
        <is>
          <t>in-9a5f4cc48652f64f</t>
        </is>
      </c>
      <c r="B127" t="inlineStr">
        <is>
          <t>Data Scientist</t>
        </is>
      </c>
      <c r="C127" t="inlineStr">
        <is>
          <t>Valkyrie Intelligence</t>
        </is>
      </c>
      <c r="D127" t="inlineStr">
        <is>
          <t>indeed</t>
        </is>
      </c>
      <c r="E127">
        <f>HYPERLINK("https://www.indeed.com/viewjob?jk=9a5f4cc48652f64f", "https://www.indeed.com/viewjob?jk=9a5f4cc48652f64f")</f>
        <v/>
      </c>
      <c r="F127">
        <f>HYPERLINK("https://ats.rippling.com/valkyrie/jobs/fefd1294-b508-4159-8818-15df50141c50?jobSite=Indeed", "https://ats.rippling.com/valkyrie/jobs/fefd1294-b508-4159-8818-15df50141c50?jobSite=Indeed")</f>
        <v/>
      </c>
      <c r="G127" t="inlineStr">
        <is>
          <t>Austin, TX, US</t>
        </is>
      </c>
      <c r="H127" s="3" t="n">
        <v>46063</v>
      </c>
      <c r="I127" t="inlineStr">
        <is>
          <t>**Full\-time Employment**: Ability to work as a full\-time employee
**Location:** Austin, TX (Hybrid)
 **About Us:**
Valkyrie is an applied science firm that builds industry\-defining custom AI, Machine Learning and Knowledge Engineering solutions. Our interdisciplinary applied science teams support our clients end\-to\-end—from data normalization through model deployment—solving complex, high\-impact problems across commercial and government sectors. Our work spans industries and institutions including SiriusXM, Activision, Chubb Insurance, and the U.S. Department of Defense. We operate at the intersection of deep technical rigor, operational excellence, and real\-world impact.
 **Data Scientist Position:**
The Data Scientist position is an early\-career scientist excited to contribute to a growing business and apply the scientific method to uncover insights from data. In this role, you will conduct exploratory data analysis (EDA) and data cleaning, build visualizations to communicate project results, engineer data features for statistical and machine learning models, and identify and evaluate novel data sources. You will support data analysis, modeling, and experimentation while collaborating with senior team members on investigations using emerging tools and frameworks. This role is ideal for someone passionate about data, curious by nature, and eager to grow their skills while transforming data into actionable insights.
 **Data Scientist Qualifications:**
* Bachelor’s degree or master’s degree in STEM (Science, Technology, Engineering, Math) or related field
* 1\+ years of professional experience in a scientific role or 2\+ science or engineering focused internships
* 1\+ year Python (preferred) experience in a professional role or 3\+ years of Python in an academic setting
* Some experience with SciKitLearn and Pandas
* Familiarity of various database structures: Relational (SQL), Document (MongoDB), Graph (Neo4j), Column (Google BigTable)
* Experience with Python data visualization packages (Seaborn, Plotly, Matplotlib)
* At least 1 Data Science, AI, and/or ML course completed
* Exceptional written and verbal communications skills along with experience assisting in the preparation and delivering of documentation, proposals, presentations, and structured working sessions to technical and non\-technical audiences.
 **Data Scientist Like\-to\-haves:**
* Some experience with visualization tools: Plotly, Matplotlib, Seaborn, etc.
* 1\+ year experience with SQL
* Experience with Cloud Computing (AWS, Azure, GCP)
* Completed software engineering courses
 **Perks:**
* Tremendous growth potential
* Open and unlimited PTO \&amp; Sick time
* Medical, dental, vision, \&amp; HSA options
* 401K
* Exciting office location in Downtown Austin
* Parking Included
* Onsite gym \&amp; showers
* Stocked kitchen with healthy snacks, drinks, coffee, etc
* Team events including happy hours, catered lunches, and other fun outings
* Innovative, collaborative, and fun work environment that fosters a positive and supportive culture for growth
 **Full\-time Employment**: Ability to work as a full\-time employee
 **The pay range for this role is:**  
75,000 \- 100,000 USD per year(Austin)</t>
        </is>
      </c>
    </row>
    <row r="128">
      <c r="A128" t="inlineStr">
        <is>
          <t>in-a8e53620209159bc</t>
        </is>
      </c>
      <c r="B128" t="inlineStr">
        <is>
          <t>Sr. Data Scientist</t>
        </is>
      </c>
      <c r="C128" t="inlineStr">
        <is>
          <t>Visa</t>
        </is>
      </c>
      <c r="D128" t="inlineStr">
        <is>
          <t>indeed</t>
        </is>
      </c>
      <c r="E128">
        <f>HYPERLINK("https://www.indeed.com/viewjob?jk=a8e53620209159bc", "https://www.indeed.com/viewjob?jk=a8e53620209159bc")</f>
        <v/>
      </c>
      <c r="F128">
        <f>HYPERLINK("https://jobs.smartrecruiters.com/Visa/744000108556814-sr-data-scientist", "https://jobs.smartrecruiters.com/Visa/744000108556814-sr-data-scientist")</f>
        <v/>
      </c>
      <c r="G128" t="inlineStr">
        <is>
          <t>Foster City, CA, US</t>
        </is>
      </c>
      <c r="H128" s="3" t="n">
        <v>46063</v>
      </c>
      <c r="I128"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Post Purchase Platform manages all network level disputes and chargebacks and is the foundation for creating innovative solutions that drive exceptional value for clients. Because it's Visa, the platform is modular, secure, robust, and resilient. And because it’s Visa, our data scientists have access to a treasure trove of structured and un\-structured data.
At Visa, we believe AI technologies have the potential to radically transform the payment and post\-purchase landscape. We launched multiple AI initiates to enable this next era.
Make an impact with a purpose\-driven industry leader. Join us today and be part of AI transformation journey at Visa.
We are looking for a versatile, curious, and energetic Senior Data Scientist to join our team. We are the backbone for innovative data science and artificial intelligence developments for the Visa Post Purchase Platform, and we thrive on solving complex challenges on a global scale!
As a Senior Data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Implements, monitors and maintains a suite of production machine learning, NLP models and Gen AI products that adhere to data science and machine learning standards.
* Develops strategies and tools for and leads team's efforts to drive efficiencies across data extraction, frequent retuning of models and ensure data quality and completeness using data wrangling, LLMs and artificial intelligence.
* Ensures adherence to Visa’s model review management processes, data management principles, governance, process, and tools to maintain data quality across products.
* Advises on technical specifications during discussions with collaborators (e.g., model review management team, software development team, product team, clients) to identify and clarify sophisticated technical or business requirements and identify business needs and upstream and/or downstream system/application dependencies.
* Identifies complex trends across relevant data sources and uses insights to plan platform\-wide future solution updates.
* Owns and maintains dashboards that use SQL to collect data from an internal data warehouse. Develop visualizations to make your complex analyses accessible to a broad audience.
* Find opportunities to create new data products out of analyses
* Provides ad\-hoc data analysis support and conducts data studies for Visa account management, business development and other internal teams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Four (4\) years of experience designing, building/fine tuning ML/AI models around fraud detection. E.g., XGBoost, NLP models, Neural Network models, e.t.c
* Four (4\) years of experience solving data problems using data technologies (e.g., SQL, Hadoop, Hive, NoSQL)
* Expert in : Python
* One (1\) year of experience in using LLMs for feature extraction from textual data
* One (1\) year of experience in building dashboards with Tableau or Power BI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161,400\.00 to 258,500\.00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29">
      <c r="A129" t="inlineStr">
        <is>
          <t>in-8a50acf262f64af6</t>
        </is>
      </c>
      <c r="B129" t="inlineStr">
        <is>
          <t>Senior Data Scientist I</t>
        </is>
      </c>
      <c r="C129" t="inlineStr">
        <is>
          <t>LexisNexis Legal &amp; Professional</t>
        </is>
      </c>
      <c r="D129" t="inlineStr">
        <is>
          <t>indeed</t>
        </is>
      </c>
      <c r="E129">
        <f>HYPERLINK("https://www.indeed.com/viewjob?jk=8a50acf262f64af6", "https://www.indeed.com/viewjob?jk=8a50acf262f64af6")</f>
        <v/>
      </c>
      <c r="F129">
        <f>HYPERLINK("https://relx.wd3.myworkdayjobs.com/en-US/LexisNexisLegal/job/Texas/Senior-Data-Scientist-I_R108577", "https://relx.wd3.myworkdayjobs.com/en-US/LexisNexisLegal/job/Texas/Senior-Data-Scientist-I_R108577")</f>
        <v/>
      </c>
      <c r="G129" t="inlineStr">
        <is>
          <t>TX, US</t>
        </is>
      </c>
      <c r="H129" s="3" t="n">
        <v>46062</v>
      </c>
      <c r="I129" t="inlineStr">
        <is>
          <t>Are you looking to develop your Data Scientist experience?
Would you enjoy working on our cutting\-edge products?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Job Description:
We are seeking a highly skilled AI Engineer with expertise in Retrieval\-Augmented Generation (RAG) and strong Python programming skills to join our innovative team. The ideal candidate will have a deep understanding of AI and machine learning principles, experience with RAG models, and a passion for developing cutting\-edge AI solutions.
Key Responsibilities:* Test, evaluate and and implement AI models with a focus on Retrieval\-Augmented Generation (RAG).
* Strong prompt engineering and prompt testing skills to derive the desired outcome
* Collaborate with cross\-functional teams to integrate AI solutions into existing systems.
* Optimize and fine\-tune RAG models for performance and scalability cost saving.
* Conduct research and stay up\-to\-date with the latest advancements in AI and machine learning.
* Write clean, efficient, and maintainable code in Python.
* Perform data preprocessing, feature engineering, and model evaluation.
* Troubleshoot and debug AI models and applications in a mono\-repo settings.
* Document AI models, processes, and workflows.
Qualifications:* Proven experience as an AI Engineer or similar role.
* Strong proficiency in Python programming.
* In\-depth knowledge of Retrieval\-Augmented Generation (RAG) models.
* undefined
* Proven experience in prompt engineering
* Experience with machine learning frameworks and libraries (e.g., TensorFlow, PyTorch).
* Proficiency in data preprocessing and feature engineering techniques.
* Excellent problem\-solving skills and attention to detail.
* Strong communication and teamwork abilities.
Preferred Skills:* Experience with cloud platforms (e.g., AWS, Azure, Google Cloud).
* Knowledge of natural language processing (NLP) techniques.
* Familiarity with version control systems (e.g., Git).
* Experience with deploying AI models in production environments.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30">
      <c r="A130" t="inlineStr">
        <is>
          <t>in-8629d92b839c8bd1</t>
        </is>
      </c>
      <c r="B130" t="inlineStr">
        <is>
          <t>Data Scientist (AI/ML Focus)</t>
        </is>
      </c>
      <c r="C130" t="inlineStr">
        <is>
          <t>Guidehouse</t>
        </is>
      </c>
      <c r="D130" t="inlineStr">
        <is>
          <t>indeed</t>
        </is>
      </c>
      <c r="E130">
        <f>HYPERLINK("https://www.indeed.com/viewjob?jk=8629d92b839c8bd1", "https://www.indeed.com/viewjob?jk=8629d92b839c8bd1")</f>
        <v/>
      </c>
      <c r="F130">
        <f>HYPERLINK("https://guidehouse.searchgreatcareers.com/job/san-antonio/data-scientist-ai-ml-focus/25181/91584338144", "https://guidehouse.searchgreatcareers.com/job/san-antonio/data-scientist-ai-ml-focus/25181/91584338144")</f>
        <v/>
      </c>
      <c r="G130" t="inlineStr">
        <is>
          <t>San Antonio, TX, US</t>
        </is>
      </c>
      <c r="H130" s="3" t="n">
        <v>46062</v>
      </c>
      <c r="I130" t="inlineStr">
        <is>
          <t>Job Family:
Management Consulting  
Travel Required:
None  
Clearance Required:
Active Secret
What You Will Do:
* Assist in developing AI/ML models for infrastructure analysis.
* Support data cleaning and preprocessing tasks.
* Help create dashboards and visualizations for leadership.
* Participate in automation of workflows using scripts.
* Conduct exploratory data analysis under supervision.
* Document model development steps and maintain code repositories.
* Assist in integrating models into cloud environments.
* Support feature engineering for predictive models.
* Collaborate on wargaming and simulation projects.
* Prepare reports summarizing analysis results.
What You Will Need:
* An ACTIVE and MAINTAINED "SECRET" Federal or DoD security clearance.
* Bachelor’s degree in Data Science or STEM field.
* Experience with Python programming
What Would Be Nice To Have:
* Experience with Jupyter notebooks.
* Understanding of machine learning fundamentals.
* Ability to work with structured datasets.
* Familiarity with data visualization tools.
* Strong analytical and problem\-solving skills.
* Willingness to learn cloud technologies.
* Good communication and documentation skills.
* Ability to follow coding best practices.
* Interest in AI/ML applications for DoD.
* Exposure to cloud platforms like AWS or Azure.
* Knowledge of SQL for data manipulation.
* Familiarity with data engineering concepts.
* Experience with visualization libraries (Matplotlib, Seaborn).
* Understanding of DevSecOps principles.
* Exposure to big data tools like Spark.
* Interest in predictive modeling and optimization.
* Experience with version control tools like Git.
* Knowledge of DoD data governance standards.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31">
      <c r="A131" t="inlineStr">
        <is>
          <t>in-b6bd51955f5139cf</t>
        </is>
      </c>
      <c r="B131" t="inlineStr">
        <is>
          <t>Data Scientist</t>
        </is>
      </c>
      <c r="C131" t="inlineStr">
        <is>
          <t>Ford Motor Company</t>
        </is>
      </c>
      <c r="D131" t="inlineStr">
        <is>
          <t>indeed</t>
        </is>
      </c>
      <c r="E131">
        <f>HYPERLINK("https://www.indeed.com/viewjob?jk=b6bd51955f5139cf", "https://www.indeed.com/viewjob?jk=b6bd51955f5139cf")</f>
        <v/>
      </c>
      <c r="F131">
        <f>HYPERLINK("https://efds.fa.em5.oraclecloud.com/hcmUI/CandidateExperience/en/sites/CX_1/requisitions/preview/57599", "https://efds.fa.em5.oraclecloud.com/hcmUI/CandidateExperience/en/sites/CX_1/requisitions/preview/57599")</f>
        <v/>
      </c>
      <c r="G131" t="inlineStr">
        <is>
          <t>Dearborn, MI, US</t>
        </is>
      </c>
      <c r="H131" s="3" t="n">
        <v>46062</v>
      </c>
      <c r="I131" t="inlineStr">
        <is>
          <t>We are the movers of the world and the makers of the future. We get up every day, roll up our sleeves and build a better world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We are seeking an AI Engineer/Data Scientist under the Global Data Insights \&amp; Analytics (GDIA) organization's Supply Chain Analytics (SCA) team. This team develops innovative, cloud\-native data, AI, and analytics solutions for Ford. We provide data, AI/ML, and advanced analytics solutions to internal partners and co\-develop external applications and provide strategic and engineering support to Ford customers. As an AI Engineer/Data Scientist, you'll be a key player in driving this success.
**Required Qualifications**
* Master's degree (M.S.) in Data Science, Computer Science, Business Analytics, Machine Learning, Statistics, or a related quantitative field.
* 3\+ years of experience in AI/ML, with proven experience developing and deploying machine learning models in a production environment.
* 2\+ years of experience in Google Cloud Platform with solutions designed and implemented at production scale
* 2\+ Experience working with GCP for scheduling and orchestration of data pipelines
* Expertise in SQL for data querying, manipulation, and database interaction.
* Solid understanding of machine learning algorithms, statistical modeling, and data analysis techniques.
* Experience with containerization (e.g., Docker), constructing REST APIs using frameworks like Flask or FastAPI, and adherence to best software development practices (e.g., version control, testing).
Excellent oral, written, and interpersonal communication skills.  
* 
**Even better, you may have...**
* Ph.D. in Data Science, Computer Science, Business Analytics, Machine Learning, Statistics, or a related quantitative field.
* Experience working with Terraform to provision Infrastructure as Code
* Experience in the Supply Chain or Automotive domain.
* Experience in forecasting algorithms, anomaly detection algorithms, optimization models
* Experience in Generative AI, including a strong understanding of ML frameworks, algorithms, and practical implementation.
* Experience in specialized areas such as Natural Language Processing (NLP), deep learning (e.g., TensorFlow, PyTorch), or recommendation systems.
* A record of publications or presentations in recognized journals or conferences.
* Inquisitive, proactive, and interested in learning new tools and techniques
Comfortable working in a fast\-paced and innovative environment where problems are not always well\-defined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This position is a salary grade **8** .
This position is a salary grade **8** and ranges from **$113,580\-190,500\.**
***\*Visa Sponsorship is not provided for this role*** **\***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\#LI\-GH2
* Acquire deep understanding of the business problems and translate them into appropriate business solutions
* Design, develop, and implement end\-to\-end AI/ML pipelines, from data ingestion and preprocessing to model training, evaluation, and deployment.
* Ingest, transform, and analyze large datasets to support the team in launching data products in the Data Factory on Google CloudPlatform (GCP).
* Act as a full\-stack data scientist to develop and deliver advanced analytics models, including classification, anomaly detection, optimization, LLM, and more
* Write clean, efficient, and well\-documented code in Python for data manipulation, feature engineering, and model development.
* Collaborate internally and externally to identify new and novel data sources and explore their potential use in developing actionable business results
* Examine, interpret and report analytical results in both written reports and in oral presentations to varied audiences.</t>
        </is>
      </c>
    </row>
    <row r="132">
      <c r="A132" t="inlineStr">
        <is>
          <t>in-61dbc259c0e1cf59</t>
        </is>
      </c>
      <c r="B132" t="inlineStr">
        <is>
          <t>Data Scientist</t>
        </is>
      </c>
      <c r="C132" t="inlineStr">
        <is>
          <t>The Home Depot</t>
        </is>
      </c>
      <c r="D132" t="inlineStr">
        <is>
          <t>indeed</t>
        </is>
      </c>
      <c r="E132">
        <f>HYPERLINK("https://www.indeed.com/viewjob?jk=61dbc259c0e1cf59", "https://www.indeed.com/viewjob?jk=61dbc259c0e1cf59")</f>
        <v/>
      </c>
      <c r="F132">
        <f>HYPERLINK("https://homedepot.contacthr.com/150988126", "https://homedepot.contacthr.com/150988126")</f>
        <v/>
      </c>
      <c r="G132" t="inlineStr">
        <is>
          <t>Atlanta, GA, US</t>
        </is>
      </c>
      <c r="H132" s="3" t="n">
        <v>46062</v>
      </c>
      <c r="I132" t="inlineStr">
        <is>
          <t>**Position Purpose:**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
 **Key Responsibilities:*** 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
* 20% Communicating Results \- Effectively communicate insights and recommendations to both technical and non\-technical leaders and business customers/partners; Present recommendations in a confident manner in order to influence execution of recommendation; Prepare reports, updates and/or presentations related to progress made on a project or solution; Clearly communicate impacts of recommendations to drive alignment and appropriate implementation
* 10% Business Collaboration \- Incorporate business knowledge into solution approach; Effectively develop trust and collaboration with internal customers and cross\-functional teams; Work with project teams and business partners to determine project goals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
**Direct Manager/Direct Reports:*** This position typically reports to Manager or above
* This position has 0 Direct Reports
**Travel Requirements:*** Typically requires overnight travel less than 10% of the time.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 Must be legally permitted to work in the United States.
**Preferred Qualifications:*** Masters in a quantitative field (Computer Science, Math, Statistics, etc.) or equivalent work experience
* 4\+ years of experience in business intelligence and analytics
* Working knowledge of Microsoft Excel and Power Point
* Experience in a modern scripting language (preferably Python)
* Proficient running queries against data (preferably with Google BigQuery or SQL)
* Proficient with data visualization software (preferably Tableau)
* Proficient utilizing statistical techniques to identify key insights that help solve business problems
* Knowledgeable in Prescriptive Modeling like optimization, computer vision, recommendation, search or NLP
* Demonstrated experience in predictive modeling, data mining and data analysis
**Minimum Education:*** The knowledge, skills and abilities typically acquired through the completion of a bachelor's degree program or equivalent degree in a field of study related to the job.
**Preferred Education:*** No additional education
**Minimum Years of Work Experience:*** 3
**Preferred Years of Work Experience:*** No additional years of experience
**Minimum Leadership Experience:*** None
**Preferred Leadership Experience:*** None
**Certifications:*** None
**Competencies:***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is>
      </c>
    </row>
    <row r="133">
      <c r="A133" t="inlineStr">
        <is>
          <t>in-3615f913a7e46bd1</t>
        </is>
      </c>
      <c r="B133" t="inlineStr">
        <is>
          <t>Data Scientist - Model Governance (Hybrid)</t>
        </is>
      </c>
      <c r="C133" t="inlineStr">
        <is>
          <t>Enova International</t>
        </is>
      </c>
      <c r="D133" t="inlineStr">
        <is>
          <t>indeed</t>
        </is>
      </c>
      <c r="E133">
        <f>HYPERLINK("https://www.indeed.com/viewjob?jk=3615f913a7e46bd1", "https://www.indeed.com/viewjob?jk=3615f913a7e46bd1")</f>
        <v/>
      </c>
      <c r="F133">
        <f>HYPERLINK("https://grnh.se/bwowgu8q1us", "https://grnh.se/bwowgu8q1us")</f>
        <v/>
      </c>
      <c r="G133" t="inlineStr">
        <is>
          <t>Chicago, IL, US</t>
        </is>
      </c>
      <c r="H133" s="3" t="n">
        <v>46062</v>
      </c>
      <c r="I133" t="inlineStr">
        <is>
          <t>*We are interested in every qualified candidate who is eligible to work in the United States. However, we are not able to sponsor visas or take over sponsorship at this time.*
**About the role:**
As a Data Scientist, you will be one of Enova's most valuable team members. You will develop, enhance and test the company's models for use in determining the appropriate lending criteria and verification procedures. You will perform independent model validations to evaluate model fit for purpose, conceptual soundness, mathematical theory and assumptions, data/assumptions, and output reasonableness. At times, you may be asked to conduct ad hoc analysis using statistical and financial tools to recommend for risk management, marketing and operational strategies. You will demonstrate the ability to interpret and organize data, and communicate it effectively to cross functional teams to solve business problems, provide requirements and support implementation.
**Responsibilities:**
* Perform model validation of credit risk models
* Prepare model validation reports and write technical documentation
* Assist analysts in validating and preparing their models for production
* Interact with model stakeholders and business partners to gather information about credit models and risk acceptances
* Support model releases to ensure they are quickly and accurately put into production
* Monitor model performance dashboards, build alerts, and escalate concerns as appropriate
* Support and improve automated model training processes by using data manipulation, and machine learning skills
* Use your programming skills to develop and test programs for custom tool development
**Requirements:**
* Experience in developing advanced credit risk models
* 3\+ years of experience in quantitative analysis in the financial services industry is preferred but not required
* Knowledge of statistical models in risk management
* Advanced programming skills in Python and the ability to write customized programs for meaningful data analysis
* Experience working with relational databases, such as SQL
**Compensation:**
The budgeted annual salary range for this position is$87,000 to $110,00**.** Actual annual salary will be determined based on qualifications, skills, experience, and level assessed during the hiring process and may fall outside of the range shown.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134">
      <c r="A134" t="inlineStr">
        <is>
          <t>in-97eb599eab9830ec</t>
        </is>
      </c>
      <c r="B134" t="inlineStr">
        <is>
          <t>(USA) Distinguished, Data Scientist</t>
        </is>
      </c>
      <c r="C134" t="inlineStr">
        <is>
          <t>Walmart</t>
        </is>
      </c>
      <c r="D134" t="inlineStr">
        <is>
          <t>indeed</t>
        </is>
      </c>
      <c r="E134">
        <f>HYPERLINK("https://www.indeed.com/viewjob?jk=97eb599eab9830ec", "https://www.indeed.com/viewjob?jk=97eb599eab9830ec")</f>
        <v/>
      </c>
      <c r="F134">
        <f>HYPERLINK("https://click.appcast.io/t/P8sgGBLoc85YWpQYp-9kPSOaseNxfHX5nX8_Z87ZZnU=", "https://click.appcast.io/t/P8sgGBLoc85YWpQYp-9kPSOaseNxfHX5nX8_Z87ZZnU=")</f>
        <v/>
      </c>
      <c r="G134" t="inlineStr">
        <is>
          <t>Sunnyvale, CA, US</t>
        </is>
      </c>
      <c r="H134" s="3" t="n">
        <v>46062</v>
      </c>
      <c r="I134" t="inlineStr">
        <is>
          <t>**Position Summary...**
-----------------------
**What you'll do...**
---------------------
As aDistinguished Data Scientist at Walmart Global Technology, you will set the strategic and technical direction for next\-generation search experiences that leverage neural search, Generative AI, and agentic AI systems to deliver highly relevant and personalized customer interactions at scale.
As a senior technical leader, you will influence cross\-functional strategy across relevant domains, aligning technical investments with customer experience, monetization, and business outcomes. You will mentor senior engineers and data scientists, champion best practices in experimentation, evaluation, and AI governance, and contribute to advancing the state of the art in search relevance and AI\-driven decisioning. You will foster a culture of innovation and accountability while staying ahead of emerging trends in neural search, GenAI, and agentic systems, ensuring solutions scale responsibly across the broader ecosystem.  
 As a senior technical leader, you will mentor and guide senior engineers and data scientists, promote engineering and AI best practices, and contribute to extending the state of the art in search relevance and AI\-driven decisioning. You will champion rigorous evaluation, experimentation, and governance for both deterministic models and non\-deterministic AI components, fostering a culture of innovation and responsibility while staying ahead of emerging trends in search and AI research.  
**What You’ll Bring**
---------------------
* Deep expertise in search, information retrieval, and ranking systems at scale
* Strong understanding of neural search architectures, ML/AI, and generative models
* Experience applying LLMs and agentic AI techniques to production systems
* Demonstrated ability to translate technical solutions into business impact
* Excellent cross\-team collaboration and communication skills
* Proven ability to influence technical direction and mentor senior technical contributors
**Minimum Qualifications**
--------------------------
* Bachelor’s degree in Computer Science, Machine Learning, Data Science, or related field
* 12\+ years of relevant experience in search, ML/AI engineering, or data science
* Proven experience building and operating large\-scale search or AI systems
* Strong programming proficiency (e.g., Python, SQL) and experience with ML frameworks
**Preferred Qualifications**
----------------------------
* Master’s or PhD in a quantitative discipline
* Experience with neural retrieval models, embedding\-based search, and learning\-to\-rank
* Hands\-on experience with Generative AI, LLMs, RAG, or agentic AI frameworks
* Background in eCommerce, digital platforms, or consumer\-facing search systems
* Familiarity with cloud\-native infrastructure and real\-time distributed 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$169,000\.00 \- $338,000\.00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5">
      <c r="A135" t="inlineStr">
        <is>
          <t>in-6dd31343b620cfcf</t>
        </is>
      </c>
      <c r="B135" t="inlineStr">
        <is>
          <t>Data Scientist, Product</t>
        </is>
      </c>
      <c r="C135" t="inlineStr">
        <is>
          <t>US Mobile</t>
        </is>
      </c>
      <c r="D135" t="inlineStr">
        <is>
          <t>indeed</t>
        </is>
      </c>
      <c r="E135">
        <f>HYPERLINK("https://www.indeed.com/viewjob?jk=6dd31343b620cfcf", "https://www.indeed.com/viewjob?jk=6dd31343b620cfcf")</f>
        <v/>
      </c>
      <c r="F135">
        <f>HYPERLINK("https://jobs.lever.co/USMobile/35d88b8c-753a-48d7-a81a-a6c42265dc53", "https://jobs.lever.co/USMobile/35d88b8c-753a-48d7-a81a-a6c42265dc53")</f>
        <v/>
      </c>
      <c r="G135" t="inlineStr">
        <is>
          <t>New York, NY, US</t>
        </is>
      </c>
      <c r="H135" s="3" t="n">
        <v>46062</v>
      </c>
      <c r="I135" t="inlineStr">
        <is>
          <t>US Mobile is on a mission to revolutionize connectivity. Imagine a world where you can go into a single app and buy terabytes of data for every one of your devices: phone, smart devices, car, home broadband, and more. That’s the future that US Mobile is building: a software platform built truly for the 21st century and the age of 5G and IoT, with world class engineering, best\-in\-class user experience, and features that will define the next generation of connectivity.  
At the core of it all, we have a team and culture that has been recognized by Forbes as one of the top 500 best startup employers in the US. Our team spans diverse backgrounds, cultures, and stories, with employees coming from 20\+ countries.  
We’re a venture\-backed company entering hypergrowth, having recently ranked 94th on Inc 5000’s fastest\-growing private companies in America, and we’re looking for someone exceptional to join our team.  
We are looking for a Product Data Scientist who can turn data into clear, actionable insights that drive product and business growth. In this role, you’ll partner closely with Product, Engineering, Marketing, and Operations teams to define success metrics, monitor performance, design experiments, and deliver reporting that guides decision\-making. If you enjoy using data to tell stories, influence strategy, and uncover opportunities, this role is for you.
### **Description:**
* + Partner with product and business teams to inform, influence, and execute product strategy and key investment decisions.
	+ Analyze large, complex datasets—conducting both ongoing and ad\-hoc deep dives—to uncover patterns, trends, and opportunities that drive strategy.
	+ Build and maintain dashboards and reports that deliver clear visibility into product usage, funnels, customer behavior, retention, and overall business performance.
	+ Design and analyze A/B tests and product experiments to evaluate the impact of new features and product changes.
	+ Design and build data models and pipelines that ensure reliable, scalable foundations for reporting and dashboards.
	+ Translate complex data into actionable insights and communicate findings effectively to both technical and non\-technical audiences.
	+ Identify growth opportunities across acquisition, retention, monetization, and customer journey optimization.
### **What we are looking for:**
* + 5\+ years of experience in product analytics, data science, or a related analytical role with a proven track record of delivering business impact.
	+ Expert\-level SQL skills for data extraction, transformation, and analysis.
	+ Proficiency with BI and visualization tools (e.g., Tableau, Looker, Hex, or similar) to build clear, impactful dashboards and reports.
	+ Familiarity with modern data modeling frameworks (e.g., dbt) and best practices in scalable analytics.
	+ Demonstrated ability to perform exploratory analyses on complex datasets, tackling ambiguous, open\-ended questions and translating findings into clear, actionable insights.
	+ Excellent stakeholder management and communication skills, with the ability to distill complex findings into clear, compelling narratives for non\-technical audiences.
	+ Self\-starter who is proactive, adaptable, and thrives in fast\-paced, dynamic environments with evolving priorities.
### **Benefits:**
* + Competitive salary \- $120k–190k (NYC based, in office Monday\-Wednesday)
	+ Gym reimbursement
	+ Your choice of tech \&amp; noise\-canceling headphones
	+ Free cellular service on the best network in the US
	+ Free lunch in NYC office \&amp; fully stocked kitchen
	+ MetroCard reimbursement
	+ Flexible working hours
$120,000 \- $190,000 a year
Think you could be a good fit?!? Apply to learn more.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6">
      <c r="A136" t="inlineStr">
        <is>
          <t>in-62b967ba7e255a82</t>
        </is>
      </c>
      <c r="B136" t="inlineStr">
        <is>
          <t>Senior Data Scientist</t>
        </is>
      </c>
      <c r="C136" t="inlineStr">
        <is>
          <t>Elder Research Inc</t>
        </is>
      </c>
      <c r="D136" t="inlineStr">
        <is>
          <t>indeed</t>
        </is>
      </c>
      <c r="E136">
        <f>HYPERLINK("https://www.indeed.com/viewjob?jk=62b967ba7e255a82", "https://www.indeed.com/viewjob?jk=62b967ba7e255a82")</f>
        <v/>
      </c>
      <c r="F136">
        <f>HYPERLINK("https://elderresearch.hrmdirect.com/employment/view.php?req=3635169&amp;jbsrc=1014&amp;location=6b1363b5-f042-6547-7122-ae8286767cff", "https://elderresearch.hrmdirect.com/employment/view.php?req=3635169&amp;jbsrc=1014&amp;location=6b1363b5-f042-6547-7122-ae8286767cff")</f>
        <v/>
      </c>
      <c r="G136" t="inlineStr">
        <is>
          <t>Arlington, VA, US</t>
        </is>
      </c>
      <c r="H136" s="3" t="n">
        <v>46062</v>
      </c>
      <c r="I136" t="inlineStr">
        <is>
          <t>**Senior Data Scientist**
**General Information**
**Requisition \# 656**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Scientist. The Data Scientist will lead the design and implementation of advanced statistical and AI/ML solutions to extract actionable insights, assess model performance, and apply semantic analysis techniques that strengthen product safety decision\-making. This role emphasizes innovation, efficiency, and interpretability within modern cloud data environments, while supporting strategic acceleration toward an AI\-powered product safety Sentinel model that uses analytics to reduce time to intervention and protect more consumers from a broader range of hazards, faster.
**Responsibilities include but are not limited to:**
* **Insight Extraction \&amp; Semantic Analysis:**
	+ Leverage semantic vibe coding efficiencies to uncover patterns and thematic insights from structured and unstructured data, and translate complex results into clear, actionable narratives through data storytelling and visualization.
* **Model Development \&amp; Evaluation:**
	+ Design, develop, and maintain AI techniques (e.g., product similarity) and predictive models (supervised and unsupervised) for anomaly detection, classification, regression, and pattern recognition, while rigorously evaluating performance using precision, recall, F1\-score, AUC, and related metrics to ensure reliability and fairness.
* **Innovation \&amp; Efficiency:**
	+ Apply an innovative mindset to explore emerging technologies, creative approaches, and novel methods for solving complex problems efficiently; leverage modern tools and frameworks (GitHub Copilot, automated pipelines, CI/CD) and optimize workflows for scalable cloud deployment (Azure).
**Minimum Qualifications:**
* **Statistical and AI/ML Modeling Expertise:**
	+ 5\+ years designing and developing statistical and AI/ML models, including regression, classification, NLP, and other predictive analytics approaches, using modern tools and best practices.
* **Technical Skills:**
	+ 3\+ years hands\-on Python experience (Pandas, Scikit\-learn, PyTorch/TensorFlow), 3\+ years in cloud environments (Azure; certifications a plus), and 2\+ years with SQL for data querying and manipulation.
	+ Advanced proficiency in dashboard and visualization tools (Power BI or equivalent) and integrating semantic coding techniques into ML workflows.
* **Collaboration \&amp; Communication:**
	+ Strong oral and written communication for data storytelling, with experience in Git\-based version control and collaborative Agile team development, contributing to iterative delivery, shared problem\-solving, and continuous improvement.
**Preferred Qualifications:**
* Master’s, Ph.D., or equivalent professional experience in Data Science, Machine Learning, Computer Science, Mathematics, or a related field.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37">
      <c r="A137" t="inlineStr">
        <is>
          <t>in-b7ac20decc84a8d6</t>
        </is>
      </c>
      <c r="B137" t="inlineStr">
        <is>
          <t>Senior Data Scientist</t>
        </is>
      </c>
      <c r="C137" t="inlineStr">
        <is>
          <t>Elder Research Inc</t>
        </is>
      </c>
      <c r="D137" t="inlineStr">
        <is>
          <t>indeed</t>
        </is>
      </c>
      <c r="E137">
        <f>HYPERLINK("https://www.indeed.com/viewjob?jk=b7ac20decc84a8d6", "https://www.indeed.com/viewjob?jk=b7ac20decc84a8d6")</f>
        <v/>
      </c>
      <c r="F137">
        <f>HYPERLINK("https://elderresearch.hrmdirect.com/employment/view.php?req=3635169&amp;jbsrc=1014&amp;location=a081f899-46ca-8932-0499-b9c82221201a", "https://elderresearch.hrmdirect.com/employment/view.php?req=3635169&amp;jbsrc=1014&amp;location=a081f899-46ca-8932-0499-b9c82221201a")</f>
        <v/>
      </c>
      <c r="G137" t="inlineStr">
        <is>
          <t>Remote, US</t>
        </is>
      </c>
      <c r="H137" s="3" t="n">
        <v>46062</v>
      </c>
      <c r="I137" t="inlineStr">
        <is>
          <t>**Senior Data Scientist**
**General Information**
**Requisition \# 656**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Scientist. The Data Scientist will lead the design and implementation of advanced statistical and AI/ML solutions to extract actionable insights, assess model performance, and apply semantic analysis techniques that strengthen product safety decision\-making. This role emphasizes innovation, efficiency, and interpretability within modern cloud data environments, while supporting strategic acceleration toward an AI\-powered product safety Sentinel model that uses analytics to reduce time to intervention and protect more consumers from a broader range of hazards, faster.
**Responsibilities include but are not limited to:**
* **Insight Extraction \&amp; Semantic Analysis:**
	+ Leverage semantic vibe coding efficiencies to uncover patterns and thematic insights from structured and unstructured data, and translate complex results into clear, actionable narratives through data storytelling and visualization.
* **Model Development \&amp; Evaluation:**
	+ Design, develop, and maintain AI techniques (e.g., product similarity) and predictive models (supervised and unsupervised) for anomaly detection, classification, regression, and pattern recognition, while rigorously evaluating performance using precision, recall, F1\-score, AUC, and related metrics to ensure reliability and fairness.
* **Innovation \&amp; Efficiency:**
	+ Apply an innovative mindset to explore emerging technologies, creative approaches, and novel methods for solving complex problems efficiently; leverage modern tools and frameworks (GitHub Copilot, automated pipelines, CI/CD) and optimize workflows for scalable cloud deployment (Azure).
**Minimum Qualifications:**
* **Statistical and AI/ML Modeling Expertise:**
	+ 5\+ years designing and developing statistical and AI/ML models, including regression, classification, NLP, and other predictive analytics approaches, using modern tools and best practices.
* **Technical Skills:**
	+ 3\+ years hands\-on Python experience (Pandas, Scikit\-learn, PyTorch/TensorFlow), 3\+ years in cloud environments (Azure; certifications a plus), and 2\+ years with SQL for data querying and manipulation.
	+ Advanced proficiency in dashboard and visualization tools (Power BI or equivalent) and integrating semantic coding techniques into ML workflows.
* **Collaboration \&amp; Communication:**
	+ Strong oral and written communication for data storytelling, with experience in Git\-based version control and collaborative Agile team development, contributing to iterative delivery, shared problem\-solving, and continuous improvement.
**Preferred Qualifications:**
* Master’s, Ph.D., or equivalent professional experience in Data Science, Machine Learning, Computer Science, Mathematics, or a related field.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38">
      <c r="A138" t="inlineStr">
        <is>
          <t>in-fe21f0552e588c4a</t>
        </is>
      </c>
      <c r="B138" t="inlineStr">
        <is>
          <t>Data Scientist</t>
        </is>
      </c>
      <c r="C138" t="inlineStr">
        <is>
          <t>Westat</t>
        </is>
      </c>
      <c r="D138" t="inlineStr">
        <is>
          <t>indeed</t>
        </is>
      </c>
      <c r="E138">
        <f>HYPERLINK("https://www.indeed.com/viewjob?jk=fe21f0552e588c4a", "https://www.indeed.com/viewjob?jk=fe21f0552e588c4a")</f>
        <v/>
      </c>
      <c r="F138">
        <f>HYPERLINK("https://sjobs.brassring.com/TGnewUI/Search/home/HomeWithPreLoad?partnerid=82&amp;siteid=5197&amp;PageType=JobDetails&amp;jobid=935257", "https://sjobs.brassring.com/TGnewUI/Search/home/HomeWithPreLoad?partnerid=82&amp;siteid=5197&amp;PageType=JobDetails&amp;jobid=935257")</f>
        <v/>
      </c>
      <c r="G138" t="inlineStr">
        <is>
          <t>Bethesda, MD, US</t>
        </is>
      </c>
      <c r="H138" s="3" t="n">
        <v>46062</v>
      </c>
      <c r="I138" t="inlineStr">
        <is>
          <t>Westat is a leader in research, data collection and analysis, technical assistance, evaluation, and communications. Our evidence\-based findings help clients in government and the private sector accelerate advancements in health, education, transportation, and social and economic policy. Our dedication to improving lives through research and our approach to projects grounded in investigative curiosity, statistical and data rigor, adaptive methods, and advanced technology are why clients find exceptional value in our work.  
**Job Summary**  
Westat is seeking a Data Scientist to join our Statistics and Data Science team. The position involves programing in R, Python, and SQL; applying data science and artificial intelligence (AI) methods (e.g., natural language processing, machine learning, and large language models) to structured and unstructured data; data analytics, data visualization, and dashboard development with minimal oversight and supervision.  
This role is based out of our Bethesda, Maryland office and will be eligible for a hybrid work arrangement requiring 1\-2 days onsite each week.  
**Job Responsibilities**  
* Develop and test R and Python to collect, process, link, and analyze data in various formats.
* Develop SQL code to query, process, and manage large data files in databases.
* Apply supervised and unsupervised machine learning frameworks to data collected from a variety of sources.
* Use natural language processing methods and large language models to clean, parse, link, summarize and analyze large and unstructured data.
* Collect/acquire data from a variety of sources including websites using Application Programming Interface (API) and web\-scraping.
* Develop data visualizations and dashboards using open\-source libraries in R and Python and proprietary software such as Tableau and PowerBI.
* Develop and maintain code documentation using Git, implement coding standards, and apply best practices.
* Present to internal and external clients.
* Engage in thought leadership via publications and conference presentations.
**Basic Qualifications**  
* Ability to obtain a Public Trust clearance, requiring consistent U.S. residency for the majority of the last five years.
* A bachelor’s degree in data science, statistics, computer science, mathematics or other related quantitative field..
* 3\-5 years of experience in data science or related projects.
* Proficiency in R, Python, SQL, and demonstrated experience in data visualization tools (e.g., Tableau and PowerBI).
* Demonstrated experience developing machine learning and natural language processing methods.
* Developed, queried, and managed large data files in databases.
* Proven experience using Git as version control system.
**Preferred Qualifications**  
* Current or recent Public Trust Clearance is preferred.
* Master’s degree in data science, statistics, computer science, mathematics or other related quantitative field preferred.
* Experience working in a professional services research environment.
* Knowledge of industry best practices and emerging technologies.
* Strong problem\-solving abilities and experience in developing actionable insights from complex data.
* Excellent oral and written communication skills for presenting technical concepts to non\-technical stakeholders.
* Strong organizational skills, including time management, and the ability to handle multiple tasks simultaneously, and work both independently and in a team environment.
Westat offers a well\-rounded and comprehensive benefits program focused on wellness and work/life balance. Subject to plan requirements, employees may participate in:* Employee Stock Ownership Plan
* 401(k) Retirement Plan
* Paid Parental Leave
* Vacation Leave (15 days per year)
* Sick Leave (9 days per year)
* Holiday Leave (7 Government Holidays and 2 Floating Holidays)
* Professional Development
* Health Advocate
* Employee Assistance Program
* Travel Accident Insurance
* Medical Insurance
* Dental Insurance
* Vision Insurance
* Short Term Disability Insurance
* Long Term Disability Insurance
* Life and AD\&amp;D Insurance
* Critical Illness Insurance
* Supplemental Life Insurance
* Flexible Spending Account
* Health Savings Account
Any offer of employment may be contingent upon receipt of acceptable results from a post\-offer background screening, if required for the specific position, which may include, for example, identity verification, employment history, motor vehicle driving record history, and criminal or sexual offender records history. Any background screening results will be evaluated through an individualized assessment based on the individual’s specific record and the duties and requirements of the position.
This opportunity will be posted for a minimum of 5 days and applications will be accepted on an ongoing basis.
Westat is an Equal Opportunity Employer and does not discriminate on the basis of race, creed, color, religion, sex, national origin, age, veteran status, disability, marital status, sexual orientation, citizenship status, genetic information, or any other protected status under applicable law. It is unlawful in Massachusetts to require or administer a lie detector test as a condition of employment or continued employment. An employer who violates this law shall be subject to criminal penalties and civil liability.
**Career Area**
Research \- Statistics
**Pay Range**
The anticipated salary range for this role is between $75,000 \- $82,000 and will commensurate with experience.
**Bonus Eligibility**
No</t>
        </is>
      </c>
    </row>
    <row r="139">
      <c r="A139" t="inlineStr">
        <is>
          <t>in-9604410f54163d9c</t>
        </is>
      </c>
      <c r="B139" t="inlineStr">
        <is>
          <t>(USA) Senior, Data Scientist</t>
        </is>
      </c>
      <c r="C139" t="inlineStr">
        <is>
          <t>Walmart</t>
        </is>
      </c>
      <c r="D139" t="inlineStr">
        <is>
          <t>indeed</t>
        </is>
      </c>
      <c r="E139">
        <f>HYPERLINK("https://www.indeed.com/viewjob?jk=9604410f54163d9c", "https://www.indeed.com/viewjob?jk=9604410f54163d9c")</f>
        <v/>
      </c>
      <c r="F139">
        <f>HYPERLINK("https://click.appcast.io/t/hcG4Z1h0WghTjCk4Hl-wr8e61rbJn6apZlMAT38uz-w=", "https://click.appcast.io/t/hcG4Z1h0WghTjCk4Hl-wr8e61rbJn6apZlMAT38uz-w=")</f>
        <v/>
      </c>
      <c r="G139" t="inlineStr">
        <is>
          <t>Sunnyvale, CA, US</t>
        </is>
      </c>
      <c r="H139" s="3" t="n">
        <v>46062</v>
      </c>
      <c r="I139" t="inlineStr">
        <is>
          <t>**Position Summary...**
-----------------------
As a Senior Data Scientist on Walmart’s Last Mile Delivery (LMD) Strategy \&amp; Science team, you will design, develop, and deploy advanced data science solutions that optimize Walmart’s end\-to\-end LMD ecosystem. This role is deeply hands\-on and focused on applying optimization, machine learning, simulation, and GenAI/LLMs to solve complex, large\-scale logistics problems. You will influence algorithmic decisions that directly impact customer experience, driver performance, and cost efficiency, while partnering closely with product, engineering, and business leaders.**What you'll do...**
---------------------
**Key Responsibilities**
* Design, develop, and maintain **scalable data science models and algorithms** supporting core Last Mile Delivery platforms.
* Apply **optimization, simulation, machine learning, and advanced analytics** to improve routing, capacity planning, dispatch, and operational efficiency.
* Build and deploy **GenAI and LLM\-based solutions** to support operational insights, decision automation, and planning workflows.
* Develop **LLM\-driven agents** that enable grounded, context\-aware reasoning across LMD use cases.
* Partner with engineering teams to **productionize models**, ensuring reliability, performance, and monitoring at scale.
* Collaborate with product, operations, and business stakeholders to translate complex problems into measurable data science solutions.
* Conduct large\-scale data analysis and experimentation to quantify impact, evaluate tradeoffs, and inform platform decisions.
* Communicate technical findings and recommendations to senior stakeholders in a clear, concise, and business\-focused manner.
* Contribute to data science standards, modeling best practices, and reusable frameworks across the LMD Strategy \&amp; Science organization.
**What You’ll Bring**
* 6–8\+ years of experience in **data science, machine learning, applied optimization, or operations research**.
* Strong hands\-on experience with **optimization techniques, statistical modeling, simulation, and ML systems**.
* Proficiency in **Python, SQL**, and experience deploying models in cloud environments (e.g., GCP).
* Experience applying or building **GenAI / LLM\-based solutions** in applied or production settings.
* Demonstrated ability to work independently on ambiguous, high\-impact problems in cross\-functional environments.
* Strong communication skills with the ability to connect analytical work to **business and operational outcomes**.
**Preferred Qualifications**
* Advanced degree (**PhD or Master’s**) in **Operations Research, Statistics, Computer Science, Mathematics, or a closely related quantitative field**
* Experience in **logistics, transportation, supply chain, or E\-commerce platforms**.
* Familiarity with **large\-scale optimization systems, experimentation frameworks, or decision support tools**.
* Experience working on **platform or ecosystem\-level data products**.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0">
      <c r="A140" t="inlineStr">
        <is>
          <t>in-f9bde268886f0f87</t>
        </is>
      </c>
      <c r="B140" t="inlineStr">
        <is>
          <t>(USA) Senior, Data Scientist</t>
        </is>
      </c>
      <c r="C140" t="inlineStr">
        <is>
          <t>Walmart</t>
        </is>
      </c>
      <c r="D140" t="inlineStr">
        <is>
          <t>indeed</t>
        </is>
      </c>
      <c r="E140">
        <f>HYPERLINK("https://www.indeed.com/viewjob?jk=f9bde268886f0f87", "https://www.indeed.com/viewjob?jk=f9bde268886f0f87")</f>
        <v/>
      </c>
      <c r="F140">
        <f>HYPERLINK("https://click.appcast.io/t/LCC2J_PsOqbJ3XJzUBHzxCx6jH4Zu2UnU6-rsTgsLwA=", "https://click.appcast.io/t/LCC2J_PsOqbJ3XJzUBHzxCx6jH4Zu2UnU6-rsTgsLwA=")</f>
        <v/>
      </c>
      <c r="G140" t="inlineStr">
        <is>
          <t>Hoboken, NJ, US</t>
        </is>
      </c>
      <c r="H140" s="3" t="n">
        <v>46062</v>
      </c>
      <c r="I140" t="inlineStr">
        <is>
          <t>**Position Summary...**
-----------------------
**What you'll do...**
---------------------
At Walmart, we pride ourselves for knowing our customers and connecting with them better than any other company. We interact with our customers across more categories than any company in the world. The **Customer Decision Science** team which is a part of the Customer Insights \&amp; Strategy team in the Marketing org at Walmart analyzes every store trip, web and app visit, service interaction, search, click, purchase and survey response to help deliver the easiest shopping experience digitally and physically. We are a team of decision science practitioners who work together to uncover the why behind the customer behavior while measuring the outcomes from a customer and competitive lens. As a **Senior Data Scientist** in the team, you will have the unique opportunity to leverage the power of technology, big data and analytics to improve the lives of the 100M\+ households that shop at Walmart every year. You will be responsible for driving Walmart’s High Value Habits initiatives by identifying the primary accelerators and decelerators of customer loyalty, translating these findings into actionable insights that directly inform high\-level business strategy. **What We’re Looking For**
* **Well balanced skills** – People have trouble pinning you down. Both business and technical/data teams claim you as their own. You are equal parts technical and functional. You are equally comfortable and effective in persuading both technical and business audiences.
* **Data science \&amp; analytics expertise** – You excel at translating ambiguous business questions into concrete, actionable analysis plans and then executing them with precision. You are a pro at designing and building new and impactful customer\-centric KPIs and metrics to measure customer and competitive dynamics. You are equally strong at getting into the weeds and making sure that the data needed to support these metrics is consistent and available. You are very comfortable rolling up your sleeves when needed to write complex SQL queries, building User Defined Functions (UDFs) to scale logic, and strive to balance speed with effective code design. You have mastery over the fundamentals of machine learning techniques (such as regression, clustering algorithms and/or causal inference) along with cohort analyses.
* **High Agency** – You are able to use your expert understanding of data structures in order to scope and define data needs to execute projects. You are a relentless unblocker; when faced with technical debt or data gaps, you take the initiative to find a path forward without needing permission.
* **Project ownership** – You are able to independently execute and oversee end\-to\-end projects with a high degree of ambiguity. You have strong organizational skills that enable you to manage multiple priorities, set expectations and collaborate across stakeholders, managers and peers.
* **Business acumen** – You are able to translate insights into relevant business recommendations, anticipate the needs of business stakeholders and connect the dots across various teams, research and insights in order to build convincing and synthesized business recommendations.
* **Great communicator** – You’re capable of telling the story behind the data to an executive audience and you are a pro at building slide decks that can simplify any complex story. You can customize your communication style based on stakeholders. You can easily translate a business question to an analysis technique and provide specs to engineering teams or analysts.
* **Data visualization** – You are a pro at leveraging visualization to build compelling stories based on context to integrate multiple pieces of information into cohesive insights.
* **People leadership** – You can influence decision making across peers and managers by supporting your point of view with data\-driven insights.
**Responsibilities**
* Lead and execute advanced analytics for Walmart’s High Valua Habits initiatives, focusing on deepening customer loyalty and retention through data\-driven strategic planning.
* Proactively identify opportunities for business growth by mining customer data and translating these findings into a prioritized research and analytics roadmap.
* Design, build, and deploy sophisticated quantitative frameworks (causal inference, propensity models, cohort analyses) that move beyond correlation to establish cause\-and\-effect in customer behavior.
* Lead project teams that include Data Engineering, Product, Marketing, Strategy and Finance to ensure data\-driven insights are integrated into the product roadmap and financial forecasts.
* Implementing and scaling best practices. This includes writing/reviewing **User Defined Functions (UDFs)** to standardize complex business logic and advocating for reproducible research practices in **R**.
* **Executive Influence:** Act as a subject matter expert in leadership forums, using data to challenge assumptions and drive a customer\-centric culture.
**Qualifications** **Minimum Qualifications**
* BA/BS in Mathematics, Statistics, Computer Science, Economics, or related field with 3\-5\+ years of experience in Data Science/Analytics; OR a Master’s degree with 2\-3\+ years of experience; OR a PhD with 2\+ years of experience.
* Mastery of SQL (BigQuery/Hive preferred). Expert experience building scalable, reusable data assets including the design and deployment of **User Defined Functions (UDFs)** to handle high\-cardinality data and complex business transformations.
* Expert proficiency in **R** or **Python** for statistical modeling, simulation, and data visualization (e.g., Tidyverse, ggplot2, Shiny for R; pandas, scikit\-learn, statsmodels for Python). Proven ability to write production\-grade, reproducible code.
* Deep proficiency in **cohort analyses**, **clickstream data**, and customer metrics. Proven track record of leveraging high\-volume web/app event data to drive customer growth and inform product or marketing strategy.
* Extensive experience in experimental design and observational causal methodologies (e.g., Propensity Score Matching, Difference\-in\-Differences, Synthetic Control).
* Demonstrated ability to manage multiple high\-impact projects simultaneously with high agency and minimal oversight.
**Preferred Qualifications**
* Experience developing internal R packages/UDFs to standardize team workflow
* Deep experience in cloud\-based big data environments (GCP/BigQuery or Snowflake), with a focus on optimizing query performance and cost.
* Experience leading code reviews and mentoring junior team members on statistical best practices and efficient coding standards.
* Prior experience in Retail, E\-commerce, or analyzing complex omni\-channel customer journeys.
**Why You’ll Love Working Here** We value high\-ownership mentalities and intellectual curiosity. You will have the autonomy to solve massive problems at the scale of the world’s largest retailer, with the resources and data to see your insights turn into real\-world customer impact.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221 River St, Hoboken, NJ 07030,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1">
      <c r="A141" t="inlineStr">
        <is>
          <t>in-f268b22cf6fc9cd3</t>
        </is>
      </c>
      <c r="B141" t="inlineStr">
        <is>
          <t>Data Scientist, AI/ML</t>
        </is>
      </c>
      <c r="C141" t="inlineStr">
        <is>
          <t>Optimized Payments</t>
        </is>
      </c>
      <c r="D141" t="inlineStr">
        <is>
          <t>indeed</t>
        </is>
      </c>
      <c r="E141">
        <f>HYPERLINK("https://www.indeed.com/viewjob?jk=f268b22cf6fc9cd3", "https://www.indeed.com/viewjob?jk=f268b22cf6fc9cd3")</f>
        <v/>
      </c>
      <c r="F141">
        <f>HYPERLINK("https://grnh.se/ore74cnb9us", "https://grnh.se/ore74cnb9us")</f>
        <v/>
      </c>
      <c r="G141" t="inlineStr">
        <is>
          <t>Atlanta, GA, US</t>
        </is>
      </c>
      <c r="H141" s="3" t="n">
        <v>46062</v>
      </c>
      <c r="I141" t="inlineStr">
        <is>
          <t>**Who are we?**
Optimized Payments is the only fintech firm purpose\-built to find and unlock value wherever it resides in our portfolio's payment ecosystem. We've assembled a team with deep expertise across payments specialties to develop a proprietary analytics platform that finds actionable insights. We are an Atlanta based 17\-year\-old, and growing, company looking for talented individuals who want to grow with us.
Our client portfolio includes Fortune 500 firms such as Apple, Staples, Safeway, Priceline, AutoNation, and the U.S. Postal Service.
**Who are you?**
We are seeking a visionary and entrepreneurial AI Data Scientist to drive the development of innovative products powered by artificial intelligence. In this role, you'll design, build, and deploy production\-level AI models with a direct focus on shaping and launching new products and solutions. You will collaborate closely with product managers, engineers, and business teams to identify opportunities where AI can create significant value, and lead initiatives from concept to launch.
Key Responsibilities
* Lead the end\-to\-end development of AI models for new product features and standalone solutions.
* Collaborate with cross\-functional product teams to inform product design with data\-driven insights and AI capabilities.
* Identify areas across our business where AI technologies can drive innovation and competitive advantages.
* Own the process of prototyping, validating, and iterating AI\-powered product ideas.
* Translate research advances and cutting\-edge AI into tangible business applications and product offerings.
* Build predictive modeling, NLP, computer vision, and recommendation systems to directly enhance user experience and deliver differentiated products.
* Develop scalable deployment strategies and work with engineering teams to integrate machine learning and deep learning models into core products.
* Present findings and product concepts to technical and non\-technical stakeholders; advocate for AI\-first product strategies.
Qualifications
* Master's or Ph.D. in Computer Science, AI, Mathematics, Engineering, or related fields.
* 3\+ years designing and deploying AI/ML solutions in a commercial environment, ideally focused on new product development.
* Strong skills in Python (scikit\-learn, TensorFlow, PyTorch, etc.), SQL, and end\-to\-end model deployment.
* Deep understanding of transforming AI research into user\-facing products.
* Experience leading projects from ideation through launch—especially those centered on AI\-powered features or solutions.
* Familiarity with product management and agile development processes.
* Excellent communication, influencing, and collaboration skills.
Preferred Skills
* Hands\-on experience in building AI\-driven SaaS or platform products.
* Experience experimentation, A/B testing, and user feedback for model improvement.
* Awareness of responsible and ethical AI product development.
* Track record of patents, publications, or measurable product impact from AI deployments.
**What we offer:**
For Full\-time Optimized Payments employees, we're offering the following benefits and perks
* Competitive salary and benefits package.
* Stock Options
* 401(K) Plan
* Generous PTO \+ Paid Holidays
* Opportunity to be part of a dynamic, fast\-growing company that will double in size in two years.
* Hybrid work environment with flexibility to work from home 3 days a week.
* A collaborative and inclusive company culture where your ideas are valued.
* **Free onsite covered parking and access to a full gym with showers.**
**Employment Equity**
Optimized Payments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provincial and/or federal law. Accommodations for candidates with disabilities are available on request during all aspects of the recruitment and selection process. If accommodation is needed during the recruitment and selection process, please contact us and we will work with you to meet your accessibility needs.</t>
        </is>
      </c>
    </row>
    <row r="142">
      <c r="A142" t="inlineStr">
        <is>
          <t>in-c0b710e966ef06a4</t>
        </is>
      </c>
      <c r="B142" t="inlineStr">
        <is>
          <t>Data Scientist Lead - TikTok Short Video</t>
        </is>
      </c>
      <c r="C142" t="inlineStr">
        <is>
          <t>TikTok</t>
        </is>
      </c>
      <c r="D142" t="inlineStr">
        <is>
          <t>indeed</t>
        </is>
      </c>
      <c r="E142">
        <f>HYPERLINK("https://www.indeed.com/viewjob?jk=c0b710e966ef06a4", "https://www.indeed.com/viewjob?jk=c0b710e966ef06a4")</f>
        <v/>
      </c>
      <c r="F142">
        <f>HYPERLINK("https://lifeattiktok.com/search/7603343680745195829", "https://lifeattiktok.com/search/7603343680745195829")</f>
        <v/>
      </c>
      <c r="G142" t="inlineStr">
        <is>
          <t>San Jose, CA, US</t>
        </is>
      </c>
      <c r="H142" s="3" t="n">
        <v>46062</v>
      </c>
      <c r="I142" t="inlineStr">
        <is>
          <t>Technology
Data Scientist Lead \- TikTok Short Video
Location
:
San Jose
Employment Type
:
Regular
Job Code
:
A170187A
Responsibilities
**Team Introduction:**  
The TikTok User Growth Team taps into the product's growth potential and drives user growth through technology. We not only implement user growth methodologies in the product and continuously consolidate growth capabilities, but also explore TikTok's multi\-modal product ecosystem to fuel the rapid growth of user scale.
We work extremely closely with the business, collaborating with product and operation colleagues to explore user growth methodologies and continuously strengthen the business's growth capacity. Together, we conduct insightful analysis based on business data performance to identify business opportunities, analyze diverse business needs against different growth models, and deliver technical design and implementation accordingly.
We also optimize and upgrade our architectures and systems from a technical perspective, conduct pure technical transformations, and leverage technology to drive business development and evolution.
**Key Responsibilities:**  
* Be responsible for data analysis work related to TikTok's user growth business and provide insightful analytical capabilities for the business
* Accurately and comprehensively understand the business, assist in setting business growth goals, decompose key achievement paths, and implement robust process monitoring and early warning measures
* Dissect the driving factors of business growth, diagnose growth\-related issues, investigate and attribute data anomalies, and build automated anomaly attribution tools
* Conduct special analysis on critical issues, gain insights into the essence of problems, and propose data\-driven optimization suggestions or solutions
* Demonstrate excellent organizational and collaboration skills; partner with product R\&amp;D, data and algorithm teams to support strategy iteration through rigorous analysis, data mining, causal inference, A/B testing and other methods, drive the implementation of optimization plans, quantitatively evaluate strategy effectiveness, and boost key business metrics
* In the course of supporting business development, think and summarize proactively, and precipitate growth analysis methodologies and data efficiency tools
Qualifications
**Minimum Qualifications:**  
* Bachelor’s degree or above in Computer Science, Statistics, Mathematics or related fields, with 5\+ years of work experience
* Proficiency in statistical analysis tools such as SQL, Python and R; mastery of analytical methods including regression, classification, clustering, machine learning, A/B testing and causal inference
* Excellent communication and logical thinking skills, with structured thinking, acute data insight, rigorous attention to detail and a strong sense of curiosity
* Strong organizational and collaboration capabilities, self\-motivated work attitude and resilience
**Preferred Qualifications:**  
* Experience in user product analysis or the data science field in internet companies
* Industry experience related to user growth
Job Information
【For Pay Transparency】Compensation Description (Annually)
The base salary range for this position in the selected city is $201000 \- $395280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43">
      <c r="A143" t="inlineStr">
        <is>
          <t>in-066affd8e542deb1</t>
        </is>
      </c>
      <c r="B143" t="inlineStr">
        <is>
          <t>Data Scientist</t>
        </is>
      </c>
      <c r="C143" t="inlineStr">
        <is>
          <t>Elder Research Inc</t>
        </is>
      </c>
      <c r="D143" t="inlineStr">
        <is>
          <t>indeed</t>
        </is>
      </c>
      <c r="E143">
        <f>HYPERLINK("https://www.indeed.com/viewjob?jk=066affd8e542deb1", "https://www.indeed.com/viewjob?jk=066affd8e542deb1")</f>
        <v/>
      </c>
      <c r="F143">
        <f>HYPERLINK("https://elderresearch.hrmdirect.com/employment/view.php?req=3635243&amp;jbsrc=1014&amp;location=7edf8bce-2248-4456-728e-a3a4661fd23d", "https://elderresearch.hrmdirect.com/employment/view.php?req=3635243&amp;jbsrc=1014&amp;location=7edf8bce-2248-4456-728e-a3a4661fd23d")</f>
        <v/>
      </c>
      <c r="G143" t="inlineStr">
        <is>
          <t>Arlington, VA, US</t>
        </is>
      </c>
      <c r="H143" s="3" t="n">
        <v>46061</v>
      </c>
      <c r="I143" t="inlineStr">
        <is>
          <t>**Data Scientist**
**General Information**
**Requisition \# 660**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Data Scientist. The Data Scientist will contribute to the design and implementation of advanced statistical and AI/ML solutions aimed at extracting actionable insights, assessing model performance, and applying semantic analysis techniques to improve product safety decision\-making. This role emphasizes innovation, efficiency, and interpretability within modern cloud data environments, supporting strategic acceleration toward an AI\-powered product safety Sentinel model that uses analytics to reduce time to intervention and protect more consumers from a broader range of hazards, faster.
**Responsibilities include but are not limited to:**
* **Insight Extraction \&amp; Semantic Analysis:**
	+ Leverage semantic vibe coding efficiencies to uncover patterns and thematic insights from structured and unstructured data, and translate complex datasets into clear, actionable narratives through data storytelling and visualization.
* **Model Development \&amp; Evaluation:**
	+ Design, implement, and maintain AI techniques (e.g., product similarity) and predictive models (supervised and unsupervised) for anomaly detection, classification, regression, and pattern recognition, and perform rigorous evaluation using precision, recall, F1\-score, AUC, and other metrics to ensure reliability and fairness.
* **Innovation \&amp; Efficiency:**
	+ Apply an innovative mindset by exploring emerging technologies, creative solutions, and novel methodologies, leveraging modern tools and frameworks (e.g., GitHub Copilot, automated pipelines, CI/CD) to streamline development, deployment, and optimize workflows for scalable cloud environments (Azure).
**Minimum Qualifications:**
* **Statistical and AI/ML Modeling Expertise:**
	+ 3\+ years designing, developing, and deploying statistical and AI/ML models—including regression, classification, NLP, and other predictive analytics approaches—using leading\-edge tools and best practices.
* **Technical Skills:**
	+ Hands\-on Python experience (Pandas, Scikit\-learn, PyTorch/TensorFlow) with 3\+ years in cloud environments (Azure; certifications a plus) and 2\+ years using SQL for data querying and manipulation.
	+ Proficient with dashboard/visualization tools (Power BI or equivalent) and integrating semantic coding techniques into ML workflows.
* **Collaboration \&amp; Communication:**
	+ Strong oral and written communication for data storytelling, with experience in Git\-based version control and collaborative development.
	+ Effective Agile team contributor, supporting iterative development, shared problem\-solving, and continuous improvement to deliver high\-quality solutions.
**Preferred Qualifications:**
* Ph.D. or equivalent professional experience in Data Science, Machine Learning, Computer Science, Mathematics, or a related field.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44">
      <c r="A144" t="inlineStr">
        <is>
          <t>in-ea954546c5ad8fbe</t>
        </is>
      </c>
      <c r="B144" t="inlineStr">
        <is>
          <t>Data Scientist (CBP BI Required)</t>
        </is>
      </c>
      <c r="C144" t="inlineStr">
        <is>
          <t>Elder Research Inc</t>
        </is>
      </c>
      <c r="D144" t="inlineStr">
        <is>
          <t>indeed</t>
        </is>
      </c>
      <c r="E144">
        <f>HYPERLINK("https://www.indeed.com/viewjob?jk=ea954546c5ad8fbe", "https://www.indeed.com/viewjob?jk=ea954546c5ad8fbe")</f>
        <v/>
      </c>
      <c r="F144">
        <f>HYPERLINK("https://elderresearch.hrmdirect.com/employment/view.php?req=3633335&amp;jbsrc=1014&amp;location=ebbca1ee-aa0b-ab02-7287-11262a0bc525", "https://elderresearch.hrmdirect.com/employment/view.php?req=3633335&amp;jbsrc=1014&amp;location=ebbca1ee-aa0b-ab02-7287-11262a0bc525")</f>
        <v/>
      </c>
      <c r="G144" t="inlineStr">
        <is>
          <t>Remote, US</t>
        </is>
      </c>
      <c r="H144" s="3" t="n">
        <v>46058</v>
      </c>
      <c r="I144" t="inlineStr">
        <is>
          <t>**Job Title: Data Scientist**
**Workplace: Remote** (preference for candidates located in the National Capital Region \- DMV)
**Clearance Required:**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 Advanced Degree (Masters or PhD) in Statistics, Applied Mathematics, Data Science, Computer Science, Operations Research or other closely related other quantitative or mathematical discipline. A PhD degree may be substituted for up to three (3\) years of relevant experience.
* Demonstrates knowledge of data mining methods, databases, data visualization and machine learning.
* Ability to communicate analysis techniques, concepts and products.
* Ability to develop data\-driven solutions, data models, and visualizations
**Preferred Experience and Skills:**
* Expertise using Qlik to embed visualizations into webpages
* Experience with Tableau and Power BI tools.
* Familiarity with Databricks or similar cloud\-based distributed database technologies
* Familiarity with PySpark and Python
* Comfortable developing complex SQL queries to extract, transform, and load data
* Experience with analytic techniques such as Anomaly detection, Clustering, and Time\-series (e.g., ARIMA)
* Experience implementing NLP concepts including preprocessing (stemming, etc.), TF\-IDF, Named Entity Recognition, and LLMs.
* Demonstrated experience within an AWS environment (AWS certifications preferred).
* Familiarity with industry best\-practices for software\-hardware optimization when processing large sets of data.
**Why apply to this position at Elder Research?**
* **Competitive Salary and Benefits**
* **Important Work / Make a Difference:** supporting Customs and Border Protection in their efforts to protect the United States.
* **Job Stability**: Elder Research is not a typical government contractor, we hire you for a career not just a contract.
* **Remote Work:** in an industry of declining remote work opportunities.
* **People\-Focused Culture:** we prioritize work\-life\-balance and provide a positive, supportive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145">
      <c r="A145" t="inlineStr">
        <is>
          <t>in-731d92bea012dcf0</t>
        </is>
      </c>
      <c r="B145" t="inlineStr">
        <is>
          <t>Data Scientist Manager</t>
        </is>
      </c>
      <c r="C145" t="inlineStr">
        <is>
          <t>Ameriprise Financial</t>
        </is>
      </c>
      <c r="D145" t="inlineStr">
        <is>
          <t>indeed</t>
        </is>
      </c>
      <c r="E145">
        <f>HYPERLINK("https://www.indeed.com/viewjob?jk=731d92bea012dcf0", "https://www.indeed.com/viewjob?jk=731d92bea012dcf0")</f>
        <v/>
      </c>
      <c r="F145">
        <f>HYPERLINK("https://ameriprise.wd5.myworkdayjobs.com/Ameriprise/job/Boston-Massachusetts/Data-Scientist-Manager_R26_0421-1", "https://ameriprise.wd5.myworkdayjobs.com/Ameriprise/job/Boston-Massachusetts/Data-Scientist-Manager_R26_0421-1")</f>
        <v/>
      </c>
      <c r="G145" t="inlineStr">
        <is>
          <t>Minneapolis, MN, US</t>
        </is>
      </c>
      <c r="H145" s="3" t="n">
        <v>46057</v>
      </c>
      <c r="I145"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146">
      <c r="A146" t="inlineStr">
        <is>
          <t>in-aef21b3099002381</t>
        </is>
      </c>
      <c r="B146" t="inlineStr">
        <is>
          <t>Data Scientist/Principal Data Scientist Level 2/3</t>
        </is>
      </c>
      <c r="C146" t="inlineStr">
        <is>
          <t>Northrop Grumman</t>
        </is>
      </c>
      <c r="D146" t="inlineStr">
        <is>
          <t>indeed</t>
        </is>
      </c>
      <c r="E146">
        <f>HYPERLINK("https://www.indeed.com/viewjob?jk=aef21b3099002381", "https://www.indeed.com/viewjob?jk=aef21b3099002381")</f>
        <v/>
      </c>
      <c r="F146">
        <f>HYPERLINK("https://jsv3.recruitics.com/redirect?rx_cid=3658&amp;rx_jobId=R10220302&amp;rx_url=https%3A%2F%2Fjobs.northropgrumman.com%2Fcareers%2Fjob%2F1340069506813%3Fcode%3DJB-17946%26domain%3Dngc.com%26rx_a%3D0%26rx_c%3D%26rx_ch%3Djobp4p%26rx_group%3D288254%26rx_id%3D21496c6d-067b-11f1-847b-8d70c5067d4e%26rx_job%3DR10220302%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10220302&amp;rx_url=https%3A%2F%2Fjobs.northropgrumman.com%2Fcareers%2Fjob%2F1340069506813%3Fcode%3DJB-17946%26domain%3Dngc.com%26rx_a%3D0%26rx_c%3D%26rx_ch%3Djobp4p%26rx_group%3D288254%26rx_id%3D21496c6d-067b-11f1-847b-8d70c5067d4e%26rx_job%3DR10220302%26rx_medium%3Dcpc%26rx_r%3Dnone%26rx_source%3Dindeed%26rx_ts%3D20260210T200606Z%26rx_vp%3Dcpc%26source%3DJB-17946%26utm_audience%3Dprospectivetalentemployees%26utm_campaign%3Dta-general%26utm_content%3Djobfeed%26utm_format%3Dcpl%26utm_medium%3Djobboard%26utm_source%3Dindeed")</f>
        <v/>
      </c>
      <c r="G146" t="inlineStr">
        <is>
          <t>Clearfield, UT, US</t>
        </is>
      </c>
      <c r="H146" s="3" t="n">
        <v>46042</v>
      </c>
      <c r="I146"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(NGAS) has an opening for a **Data Scientist/****Principal Data Scientist Level 2/3**to join our team of qualified, diverse individuals. The position requires on\-site support located in **Clearfield, UT where technology and teamwork come together.**
The selected candidate will become part of Northrop Grumman’s Data Science Team working in a collaborative environment while promoting a positive and proactive teamwork environment.
Data Scientist job duties involve the following:
* Creates data mining architectures/models/protocols, statistical reporting, and data analysis methodologies to identify trends in large data sets.
* Analysis may have many applications such as to address a business issue or provide a competitive advantage for the organization.
* Requires strong statistical and data visualization skills.
* Summarize and socialize data, make conclusions and provide direction on problems identified.
* Strong communication \&amp; visualization of the data to articulate the findings. \- Develop and implement data collection systems, data analytics and other strategies that optimize statistical efficiency and quality.
* Design, model, and document the logical and conceptual relationship of data and database changes for metrics and analytics.
What you need to be successful in the role:
* Strong problem\-solving skills and root\-cause analysis to ensure that curated data is accurate, repeatable, and explainable
* Ability to communicate data and engineering analysis regarding conclusions that were reached.
* Ability to create and present data reports to support investigations.
* Development /programming of tools to improve pipeline efficiency, eliminate repetitive tasks, and implement new analysis tools/techniques.
* Prioritization skills to manage workload and make sound decisions for assigned team's data analysis activities.
We offer Monday through Thursday 6:00am\-4:30pm shifts with every Friday off, flexible work arrangements, phenomenal learning opportunities, exposure to a wide variety of projects and customers, and a very friendly team environment. We are looking for self\-motivated, proactive, and goal\-oriented people to help us grow our services and become even better at what we do.
Position may be filled at a lower level.
**Basic Qualifications**
**Data Scientist Level 2:**
* Bachelor's degree in STEM field with 1 years related experience in engineering OR a Master's degree with 0 years of related engineering experience.
* Experience in gathering data, analyzing, and reporting to stakeholders.
* Ability to work for extended periods of time at a workstation on a computer or similar device for up to 10 hours / duration of shift. Occasional extended periods of standing, bending, kneeling
* Your ability to obtain and/or maintain the final adjudicated government Secret clearance, and any program access(es) required for the position within a reasonable amount of time, as determined by the company.
**Principal Data Scientist Level 3:**
* Bachelor's degree in STEM field with 4 years related experience in engineering OR a Master's degree with 3 years of related engineering experience OR PhD in STEM with 0 years of experience.
* Experience in gathering data, analyzing, and reporting to stakeholders.
* Ability to work for extended periods of time at a workstation on a computer or similar device for up to 10 hours / duration of shift. Occasional extended periods of standing, bending, kneeling
* Your ability to obtain and/or maintain the final adjudicated government Secret clearance, and any program access(es) required for the position within a reasonable amount of time, as determined by the company.
**Preferred Qualifications:**
* Able to code with Python without AI assistance
* Understanding and ability to work and manage SQL Databases
* Knowledge of AI and ML best practices and infrastructure
**What We Offer:**
At Northrop Grumman, we are on the cutting edge of innovation \- building the next generation of sophisticated aircraft to protect our country. Our diverse portfolio of programs means there are endless paths to cultivate your career. We are well\-known for our inclusive, family environment, phenomenal learning opportunities, and exposure to a wide variety of projects and customers. We also offer exceptional benefits/healthcare, a great 401K matching program, and 14 Employee Resource Groups inclusive of all employees!
Primary Level Salary Range: $87,200\.00 \- $130,800\.00
Secondary Level Salary Range: $108,200\.00 \- $162,400\.00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li-4370638462</t>
        </is>
      </c>
      <c r="B2" t="inlineStr">
        <is>
          <t>Data Scientist / Machine Learning Specialist - Energy</t>
        </is>
      </c>
      <c r="C2" t="inlineStr">
        <is>
          <t>S44 Energy</t>
        </is>
      </c>
      <c r="D2" t="inlineStr">
        <is>
          <t>linkedin</t>
        </is>
      </c>
      <c r="E2" t="inlineStr"/>
      <c r="F2" t="inlineStr"/>
      <c r="G2" t="inlineStr"/>
      <c r="H2" t="inlineStr"/>
      <c r="I2" t="inlineStr">
        <is>
          <t>S44 Energy builds production\-grade software and services for EV charging networks worldwide. With over a decade of hands\-on experience, we help operators launch, scale, and evolve their platforms using open standards, flexible architectures, and software proven in real\-world deployments.
 We are the original authors of CitrineOS, an open\-source Charge Station Management System (CSMS) foundation built on industry standards such as OCPP, OCPI, and ISO 15118\. Today, CitrineOS is hosted by Linux Foundation Energy and serves as the extensible core behind many live charging networks, giving operators long\-term control without vendor lock\-in.
 Our work lives at the intersection of physical infrastructure and software—integrating EV chargers, energy assets like solar and battery storage, cloud platforms, and user\-facing applications to power reliable, scalable charging ecosystems.
 production machine learning models using real\-world operational data. You will play a key role in shaping how machine learning is applied across both client engagements and core product initiatives at S44 Energy.
 While at the onset you will not manage people, but you will be expected to operate with a high degree of ownership—partnering closely with software engineers, product leaders, and client stakeholders to translate real\-world problems into practical, reliable ML solutions.
 What You’ll Do
* Design, build, and deploy ML models that operate in production environments
* Work with messy, incomplete, and real\-world operational data from EV charging and energy systems
* Collaborate with engineering teams to integrate models into backend services and user\-facing applications
* Partner with client teams to understand use cases, explain model behavior, and iterate based on feedback
* Help establish early patterns and best practices for ML development, deployment, and monitoring at S44 Energy
 Must Have
* Minimum 3–5 years of experience in data science or machine learning in applied or production settings
* Strong Python skills and experience with common ML libraries
* Solid grounding in statistics and applied machine learning techniques
* Experience deploying and supporting models in production systems
* Comfort working autonomously and making informed tradeoffs in the absence of a larger ML organization
* Ability to communicate clearly with both technical and non\-technical stakeholders
 Nice to Have
* Experience with time\-series data, forecasting, or anomaly detection
* Familiarity with energy systems, EV charging, IoT, or other physical\-asset domains
* Experience working with streaming or near–real\-time data
* Interest in model explainability, monitoring, and responsible ML practices</t>
        </is>
      </c>
    </row>
    <row r="3">
      <c r="A3" t="inlineStr">
        <is>
          <t>li-4361887673</t>
        </is>
      </c>
      <c r="B3" t="inlineStr">
        <is>
          <t>Data Scientist/ML Architect</t>
        </is>
      </c>
      <c r="C3" t="inlineStr">
        <is>
          <t>Ecclesiastes Inc</t>
        </is>
      </c>
      <c r="D3" t="inlineStr">
        <is>
          <t>linkedin</t>
        </is>
      </c>
      <c r="E3" t="inlineStr"/>
      <c r="F3" t="inlineStr"/>
      <c r="G3" t="inlineStr">
        <is>
          <t>Newark, DE</t>
        </is>
      </c>
      <c r="H3" t="inlineStr"/>
      <c r="I3" t="inlineStr">
        <is>
          <t>**Description:**
 We are looking for an ML Architect that will help design and architect an MVP in AWS Sagemaker. Customer currently has about 20 models deployed but their operations model and data pipeline are a mess and not built well. We are looking for an architect to go through assessment and design phase through build/deploy. This individual will have a chance to be a TGS full time employee.
 Top Skills' Details
 10\+ years ML Architect
 AWS Snowflake python
 Strong Deployment skills
 Recently embarked into a vast and ambitious digital transformation program. A cornerstone of this roadmap is the acceleration of its data transformation and of the adoption of artificial intelligence (AI) and machine learning (ML) solutions, to accelerate R\&amp;D, manufacturing and commercial performance and bring better drugs and vaccines to patients faster, to improve health and save lives.
 Our vision for digital, data analytics and AI:
 AI Factory \- Versatile Teams Operating in Cross Functional Pods: Utilizing digital and data resources to develop AI products, bringing data management, AI and product development skills to products, programs and projects to create an agile, fulfilling and meaningful work environment.
 Leading Edge Tech Stack</t>
        </is>
      </c>
    </row>
    <row r="4">
      <c r="A4" t="inlineStr">
        <is>
          <t>li-4370968093</t>
        </is>
      </c>
      <c r="B4" t="inlineStr">
        <is>
          <t>Data Scientist</t>
        </is>
      </c>
      <c r="C4" t="inlineStr">
        <is>
          <t>Jack Henry</t>
        </is>
      </c>
      <c r="D4" t="inlineStr">
        <is>
          <t>linkedin</t>
        </is>
      </c>
      <c r="E4" t="inlineStr"/>
      <c r="F4" t="inlineStr"/>
      <c r="G4" t="inlineStr"/>
      <c r="H4" t="inlineStr"/>
      <c r="I4" t="inlineStr">
        <is>
          <t>**About The Company** 
 Jack Henry is a leading provider of innovative technology solutions dedicated to transforming and empowering community banks and credit unions. Our mission is to deliver top\-tier digital banking and payment products that enhance user experiences and streamline operations. With a focus on future\-ready solutions, we are committed to laying the groundwork for next\-generation digital banking, AI, and machine learning capabilities. Our culture emphasizes integrity, collaboration, and continuous growth, making us a trusted partner in the financial services industry. We believe in fostering a diverse and inclusive environment where our associates can thrive and contribute meaningfully to our collective success.
**About The Role** 
 We are seeking a talented Data Scientist to join our Data Hub team, a central component of our strategic initiatives. This role involves evaluating and expanding our data infrastructure, collaborating across various departments, and transforming customer data into actionable insights. The ideal candidate will possess a strong analytical mindset, creativity, and excellent communication skills to articulate complex data\-driven concepts. This position offers significant growth opportunities, particularly as our machine learning capabilities evolve. The role is remote, but candidates must reside within approximately a 70\-mile radius of our office locations across the United States. The successful applicant will play a pivotal role in building our next\-generation analytics platform, powered by Google BigQuery, and contribute to the development of innovative solutions that drive business value.
**Qualifications** 
* Minimum of 4 years of progressive experience in a data science or data analyst role
* At least 2 years of experience with Python and SQL in a data\-related capacity
* Experience with data warehousing platforms such as Snowflake, BigQuery, Microsoft Fabric, or Redshift
* Proficiency with data movement tools like Dataflow, Airbyte, Airflow, or dbt
* Experience collaborating with cross\-functional teams including product management, data engineering, and business analysts
* Strong understanding of designing and implementing complex data models in cloud environments
* Knowledge of machine learning concepts, algorithms, and their practical applications
* Ability to lead projects, work independently, and translate business needs into data solutions
* Willingness to travel up to 10% for meetings and conferences
**Responsibilities** 
* Perform and lead data onboarding, integration, and curation activities to convert raw data into organized, valuable assets
* Design, develop, and implement robust data models within Looker and BigQuery for our JH Insights application
* Apply rigorous data validation techniques and quality checks to ensure data accuracy, consistency, and reliability
* Transform raw datasets into meaningful features suitable for analytics dashboards and AI/ML model development
* Prepare and clean complex datasets, including normalization, outlier detection, and feature selection for machine learning initiatives
* Conduct exploratory data analysis to identify trends, patterns, and anomalies, translating findings into actionable insights
* Collaborate with data engineering, product management, and business teams to define requirements and deliver solutions
* Create and maintain comprehensive technical documentation covering data definitions, transformations, and models
* Lead data\-driven projects, mentor junior team members, and influence the technical direction of data initiatives
* Perform other duties as assigned to support team objectives and organizational goals
**Benefits** 
* Competitive salary range of $90,000 to $170,000, commensurate with experience and location
* Comprehensive health, dental, and vision insurance plans
* Retirement savings plans with company matching
* Paid time off and holidays to promote work\-life balance
* Professional development opportunities and continuous learning support
* Flexible remote work arrangements with potential for onsite collaboration
* Well\-being programs focused on mental, physical, and financial health
 Equal Opportunity
 At Jack Henry, we are committed to fostering an inclusive and diverse workplace. We value the unique perspectives and experiences each individual brings and believe that innovation flourishes through inclusivity. We are an equal opportunity employer and do not discriminate based on race, religion, color, national origin, ancestry, physical or mental disability, genetic information, pregnancy, marital status, sex, gender identity, gender expression, age, sexual orientation, military or veteran status, or any other protected characteristic under applicable law.</t>
        </is>
      </c>
    </row>
    <row r="5">
      <c r="A5" t="inlineStr">
        <is>
          <t>li-4370991713</t>
        </is>
      </c>
      <c r="B5" t="inlineStr">
        <is>
          <t>Data Scientist</t>
        </is>
      </c>
      <c r="C5" t="inlineStr">
        <is>
          <t>Elder Research</t>
        </is>
      </c>
      <c r="D5" t="inlineStr">
        <is>
          <t>linkedin</t>
        </is>
      </c>
      <c r="E5" t="inlineStr"/>
      <c r="F5" t="inlineStr"/>
      <c r="G5" t="inlineStr">
        <is>
          <t>Arlington, VA</t>
        </is>
      </c>
      <c r="H5" t="inlineStr"/>
      <c r="I5" t="inlineStr">
        <is>
          <t>**General Information**
**Requisition \# 660**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Data Scientist. The Data Scientist will contribute to the design and implementation of advanced statistical and AI/ML solutions aimed at extracting actionable insights, assessing model performance, and applying semantic analysis techniques to improve product safety decision\-making. This role emphasizes innovation, efficiency, and interpretability within modern cloud data environments, supporting strategic acceleration toward an AI\-powered product safety Sentinel model that uses analytics to reduce time to intervention and protect more consumers from a broader range of hazards, faster.
**Responsibilities Include But Are Not Limited To** 
* Insight Extraction \&amp; Semantic Analysis:
+ Leverage semantic vibe coding efficiencies to uncover patterns and thematic insights from structured and unstructured data, and translate complex datasets into clear, actionable narratives through data storytelling and visualization.
* Model Development \&amp; Evaluation:
+ Design, implement, and maintain AI techniques (e.g., product similarity) and predictive models (supervised and unsupervised) for anomaly detection, classification, regression, and pattern recognition, and perform rigorous evaluation using precision, recall, F1\-score, AUC, and other metrics to ensure reliability and fairness.
* Innovation \&amp; Efficiency:
+ Apply an innovative mindset by exploring emerging technologies, creative solutions, and novel methodologies, leveraging modern tools and frameworks (e.g., GitHub Copilot, automated pipelines, CI/CD) to streamline development, deployment, and optimize workflows for scalable cloud environments (Azure).
**Minimum Qualifications** 
* Statistical and AI/ML Modeling Expertise:
+ 3\+ years designing, developing, and deploying statistical and AI/ML models—including regression, classification, NLP, and other predictive analytics approaches—using leading\-edge tools and best practices.
* Technical Skills:
+ Hands\-on Python experience (Pandas, Scikit\-learn, PyTorch/TensorFlow) with 3\+ years in cloud environments (Azure; certifications a plus) and 2\+ years using SQL for data querying and manipulation.
+ Proficient with dashboard/visualization tools (Power BI or equivalent) and integrating semantic coding techniques into ML workflows.
* Collaboration \&amp; Communication:
+ Strong oral and written communication for data storytelling, with experience in Git\-based version control and collaborative development.
+ Effective Agile team contributor, supporting iterative development, shared problem\-solving, and continuous improvement to deliver high\-quality solutions.
**Preferred Qualifications**
* Ph.D. or equivalent professional experience in Data Science, Machine Learning, Computer Science, Mathematics, or a related field.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6">
      <c r="A6" t="inlineStr">
        <is>
          <t>li-4289961255</t>
        </is>
      </c>
      <c r="B6" t="inlineStr">
        <is>
          <t>Data Scientist II – QuantumBlack, AI by McKinsey</t>
        </is>
      </c>
      <c r="C6" t="inlineStr">
        <is>
          <t>QuantumBlack, AI by McKinsey</t>
        </is>
      </c>
      <c r="D6" t="inlineStr">
        <is>
          <t>linkedin</t>
        </is>
      </c>
      <c r="E6" t="inlineStr"/>
      <c r="F6" t="inlineStr"/>
      <c r="G6" t="inlineStr">
        <is>
          <t>Chicago, IL</t>
        </is>
      </c>
      <c r="H6" t="inlineStr"/>
      <c r="I6"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Scientist II, you will collaborate with clients and interdisciplinary teams to understand client needs, develop impactful advanced analytics and AI solutions, optimize code, and solve complex business challenges across industries.
 You’ll grow your expertise by contributing to cutting\-edge projects, R\&amp;D, and global conferences while working alongside top\-tier talent in a dynamic, innovative environment.
 Your work will drive meaningful change. By uncovering patterns in data and delivering innovative solutions, you’ll help clients stay competitive, transform operations, and achieve lasting improvements. Here’s how you might contribute in a given year:
* Build a digital twin of a defense supply chain to enhance military hardware availability.
* Leverage agentic AI to improve customer service outcomes for a global travel company.
* Optimize the schedule and funding of a multi\-billion\-dollar capital project to accelerate delivery.
 You’ll contribute to projects across industries and data science expertise areas, eventually choosing your own path to build your expertise and skills. You should expect this role to include at least some work in critical industries (Aerospace, Defense, Utilities, Oil and Gas), but you will have the ability to serve other industries as well.
 Day to day, you’ll tackle complex challenges in partnership with senior data scientists, engineers, designers, and domain experts. You will:
* Translate business questions into analytical approaches and select the right techniques for each problem
* Conduct exploratory data analysis
* Design, implement, and evaluate models—from traditional machine learning to deep learning to LLMs \-\- using rigorous metrics and A/B tests. When appropriate, you’ll build production\-grade RAG pipelines and assess LLM output quality / hallucinations
* Deploy models via APIs or batch pipelines, write unit tests, and set up monitoring dashboards to track performance and drift
* Document assumptions, communicate results in clear, actionable language, and collaborate with engineers to integrate solutions into user\-facing applications.
* Build models which are accurate, explainable, and free from bias
* Optimize inference latency and cost through parameter\-efficient tuning, quantization, and accelerated serving stacks
 Additionally, you will contribute to internal tools, participate in R\&amp;D projects, and have opportunities to attend and present at leading conferences like NIPS and ICML.
 You will be based in one of our U.S. locations and collaborate closely with data scientists, data engineers, machine\-learning engineers, designers, and product managers around the world.
**Your Qualifications and Skills**
* Bachelor’s degree in computer science with 2\+ years of professional experience OR Masters or PhD a discipline such as computer science, mathematics, statistics or electrical engineering
* Professional experience in applying machine learning and data mining techniques to real problems with copious amounts of data
* Development experience (focus on machine learning): SQL and Python’s data\-science stack; proficiency with Spark/PySpark for distributed workloads. We use the right tech for the task and often work within clients’ stacks. Technologies you may encounter include Airflow, Databricks, Dask/RAPIDS, containerization with Docker and Kubernetes, and the major clouds (AWS, GCP, Azure, Oracle)
* GenAI experience a plus: parameter\-efficient tuning, RAG architectures, vector\-store technologies, LLM evaluation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
* Willingness to travel</t>
        </is>
      </c>
    </row>
    <row r="7">
      <c r="A7" t="inlineStr">
        <is>
          <t>li-4321990241</t>
        </is>
      </c>
      <c r="B7" t="inlineStr">
        <is>
          <t>Senior Data Scientist</t>
        </is>
      </c>
      <c r="C7" t="inlineStr">
        <is>
          <t>PrePass</t>
        </is>
      </c>
      <c r="D7" t="inlineStr">
        <is>
          <t>linkedin</t>
        </is>
      </c>
      <c r="E7" t="inlineStr"/>
      <c r="F7" t="inlineStr"/>
      <c r="G7" t="inlineStr"/>
      <c r="H7" t="inlineStr"/>
      <c r="I7"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seeking a Senior Data Scientist to lead advanced analytics and machine learning initiatives that drive strategic decisions and product innovation. You will work cross\-functionally with data engineers, BI analysts, product and operational teams to develop scalable models and insights that shape the future of transportation logistics. This role is fully remote.
**Key Responsibilities**
**Data Science and Machine Learning**
* Design, train, and evaluate predictive and optimization models using statistical, machine learning, and deep learning techniques
* Build and deploy models for classification, regression, clustering, and anomaly detection
* Develop time series forecasting models for churn prediction and demand forecasting
* Balance R\&amp;D prototyping with production\-grade model development
**Feature Development and Engineering**
* Partner with data architects and engineers to source, clean, and transform large datasets from the Fabric data lakehouse and warehouse environments
* Create reusable data pipelines and feature stores for model training and scoring
* Ensure model reproducibility, explainability, and integration into downstream reporting or applications
**Programming and Tools**
* Use Python extensively with libraries such as scikit\-learn, pandas, numpy, statsmodels, seaborn, and matplotlib
* Work with SQL and T\-SQL for data manipulation and analysis
* Create compelling visualizations and dashboards using Power BI including DAX measures
**Business Collaboration and Impact**
* Partner with BI analysts, data engineers, and architects to understand business needs
* Translate complex modeling outcomes into actionable business recommendations
* Present findings and model outcomes to non\-technical stakeholders across Product, Operations, and Leadership
* Contribute to the development of scalable data science infrastructure and best practices
**Requirements**
****Qualifications****
**Required**
* Bachelor's degree in computer science, statistics, mathematics, machine learning, or equivalent quantitative field. (Master's or PhD preferred.)
* 5\+ years of experience in building machine learning models in business contexts
* Proven track record of deploying models in production environments
* Strong collaboration and communication skills in dynamic, cross\-functional teams
**Preferred**
* Proficiency in Microsoft cloud technologies, especially Fabric
* Experience building ML pipelines with MLOps features including preprocessing, training, model deployment, monitoring/retraining, and CICD
* Experience working with GPS telemetry data including latency, gaps, and error handling
* Familiarity with geospatial data science including spatial joins, clustering, ArcGIS GeoAnalytics, and geohashing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8">
      <c r="A8" t="inlineStr">
        <is>
          <t>li-4370661618</t>
        </is>
      </c>
      <c r="B8" t="inlineStr">
        <is>
          <t>Data Scientist, Senior</t>
        </is>
      </c>
      <c r="C8" t="inlineStr">
        <is>
          <t>Pacific Gas and Electric Company</t>
        </is>
      </c>
      <c r="D8" t="inlineStr">
        <is>
          <t>linkedin</t>
        </is>
      </c>
      <c r="E8" t="inlineStr"/>
      <c r="F8" t="inlineStr"/>
      <c r="G8" t="inlineStr">
        <is>
          <t>Oakland, CA</t>
        </is>
      </c>
      <c r="H8" t="inlineStr"/>
      <c r="I8" t="inlineStr">
        <is>
          <t>Requisition ID \# 170314
 Job Category: Accounting / Finance
 Job Level: Individual Contributor
 Business Unit: Information Technology
 Work Type: Hybrid
 Job Location: Oakland
**Department Overview**
 The Data Science \&amp; Artificial Intelligence Department consists of a “Delivery” team that develop data science and machine learning solutions.
 As a Delivery team, this Department uses industry leading data science and change management practices to drive PG\&amp;E’s transition to the sustainable grid of the future. The Department works cross\-functionally across the company to enable data driven decisions applying analytics, as well as improvements to relevant business processes. Deployed to some of PG\&amp;E’s highest priority arenas, the Department does not specialize in a traditional utility domain, such as asset management or program administration, but instead specializes in extracting useful insights from disparate datasets and facilitating actions informed by these insights.
**Position Summary**
 PG\&amp;E is looking for a senior Data Scientist with experience in Computer Vision delivering data science products end\-to\-end. In this role, the successful candidates will be uniquely positioned at the forefront of utility industry analytics, having the opportunity to advance PG\&amp;E’s triple bottom line of People, Planet, and Prosperity. This team works on a wide variety of difficult problems, offering great variety in the work, and constant opportunity to explore and learn. Current and past engagements include:
* Developing computer vision models that improve, accelerate, and automate grid asset inspections processes
* Predicting electric Transmission \&amp; Distribution equipment failure before it occurs, allowing for proactive maintenance
* Forming the analytical framework behind PG\&amp;E’s Transmission Public Safety Power Shutoff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and the midpoint $126,000 \- $163,000\. The final decision will be made on a case\-by\-case basis related to the factors above.** 
 This job is also eligible to participate in PG\&amp;E’s discretionary incentive compensation programs.
 Bay Area Min: $ 126,000
 Bay Area Max: $ 200,000
 This position is hybrid, working from your remote office and the Oakland General Office (OGO) based on business needs.
**What You'll Do**
* Develop, calibrate, validate, and maintain scalable computer vision ML algorithms to extract intelligence from image\-based data.
* Iterate and incorporate new ML algorithms to continuously improve product performance under a variety of conditions.
* Identify optimal analytical methods and solutions for algorithm development.
* Provide insight and recommendations for the architecture design based on information obtained from machine learning algorithms, advanced mathematical models, and business expertise.
* Create data pipelines to add structure to the resultant data extracted from images, and work to integrate the data into other algorithms and visualization tools and platforms.
* Provide technical expertise in building an analytics\-driven product pipeline.
* Assess needs and recommend experiments and projects, suggest new algorithmic development, and drive tactical decisions about approaches and data requirements.
* Collaborate with end\-user and product owners to understand computer vision needs.
* Design and implement methodologies for testing and accuracy assessment.
* Provide production support for computer vision components.
* Further the goals and positive, professional image of the Division through effective dealings with customers, stakeholders and other MEPPI divisions.
**Qualifications**
 Minimum:
* Bachelor’s degree in data science, Machine Learning, Computer Science, Physics, Econometrics or Economics, Engineering, Mathematics, Applied Sciences, Statistics, or equivalent field
* 4 years of experience in computer vision, machine learning, and/or image processing
 Desired:
* Master’s degree in data science, Machine Learning, Computer Science, Physics, Econometrics or Economics, Engineering, Mathematics, Applied Sciences, Statistics, or equivalent field
* Advanced software engineering skills and experience with Python programming
* knowledge of deep learning, including semantic segmentation and object detection
* Ability to learn, adapt and utilize new technology related to the Power\-I Substation Monitoring Platform
* Advanced interpersonal, communications and presentation skills
* Advanced analytical and problem\-solving skills
* Advanced computer skills with emphasis on Microsoft Office products to prepare reports, analysis and schedules
* Experience with handling large datasets and cloud computing platforms (e.g. AWS, Azure, GCP, or other enterprise level analytics platforms
* Experience turning business needs into technical requirements, and structuring developments, analysis and validation plans to meet requirements
* Relevant industry experience (electric or gas utility, EV charging infrastructure, Vehicle\-Grid integration, distributed energy resources, analytics consulting, etc.)</t>
        </is>
      </c>
    </row>
    <row r="9">
      <c r="A9" t="inlineStr">
        <is>
          <t>li-4370971047</t>
        </is>
      </c>
      <c r="B9" t="inlineStr">
        <is>
          <t>Data Scientist</t>
        </is>
      </c>
      <c r="C9" t="inlineStr">
        <is>
          <t>Coinbase</t>
        </is>
      </c>
      <c r="D9" t="inlineStr">
        <is>
          <t>linkedin</t>
        </is>
      </c>
      <c r="E9" t="inlineStr"/>
      <c r="F9" t="inlineStr"/>
      <c r="G9" t="inlineStr"/>
      <c r="H9" t="inlineStr"/>
      <c r="I9" t="inlineStr">
        <is>
          <t>**About The Company** 
 Coinbase is a leading global cryptocurrency platform dedicated to increasing economic freedom worldwide. Our mission is to create an open financial system that provides individuals with access to the benefits of blockchain technology and digital assets. As a pioneer in the industry, Coinbase offers a secure, user\-friendly environment for buying, selling, transferring, and storing digital currencies. Our innovative approach and commitment to compliance and security have established us as a trusted leader in the crypto space. We foster a dynamic, fast\-paced work culture that values continuous learning, collaboration, and integrity. Coinbase is dedicated to building the future of finance by empowering individuals and institutions to participate in the emerging onchain economy.
**About The Role** 
 We are seeking a highly skilled Staff Data Scientist to join our Base app team. The Base app is our solution designed to enable users to custody their own crypto assets in a censorship\-resistant manner. In this role, you will work closely with cross\-functional teams—including Product, Engineering, and Design—to drive data\-driven decision\-making processes that enhance the app’s growth and user engagement. Your expertise will be pivotal in developing advanced analytics, machine learning models, and experimentation frameworks to uncover insights and identify new product opportunities. You will be responsible for devising testing strategies, building scalable data pipelines, and translating complex data learnings into compelling narratives for stakeholders at all levels of the organization. This is an opportunity to influence the strategic direction of our product and contribute to the broader mission of increasing financial freedom through innovative blockchain solutions.
**Qualifications** 
* BA / BS degree or equivalent practical experience
* 8\+ years of relevant experience or a PhD in related fields with 5\+ years of experience
* Strong understanding of statistical concepts and their application in real\-world scenarios
* Experience with experimentation best practices, including incrementality and cannibalization analyses
* Proficiency in SQL for data analysis
* Experience with at least one programming language, preferably Python
* Proven ability to independently plan and oversee large, complex analytics projects across multiple teams
* Demonstrated alignment with core cultural values such as clear communication, positive energy, continuous learning, and efficient execution
**Nice To Have** 
* Previous experience working within the crypto industry
* Domain expertise in product, marketing, growth, or business analytics
**Responsibilities** 
* Design and implement testing plans to analyze key product metrics and inform strategic decisions
* Act as a strategic partner to various teams by initiating and executing in\-depth analyses and modeling efforts to prioritize opportunities and provide actionable insights
* Develop and deploy advanced analytics and machine learning models to enhance product insights and functionalities
* Monitor and measure business performance, refine core metrics, and create comprehensive reports for ongoing analysis
* Translate data findings into compelling stories and communicate insights effectively to stakeholders and senior leadership
* Develop, maintain, and optimize data pipelines and models with high craftsmanship standards
**Benefits** 
* Competitive base salary ranging from $207,485 to $244,100 USD, commensurate with experience
* Eligibility for bonuses and equity participation
* Comprehensive benefits package including medical, dental, and vision insurance
* 401(k) retirement plan with company matching
* Opportunities for professional growth and development
* Flexible work arrangements with a hybrid model supporting both remote and in\-person participation
* Participation in team and company\-wide offsites to foster collaboration and team cohesion
 Equal Opportunity
 Coinbase is proud to be an Equal Opportunity Employer. We welcome and encourage applicants from all backgrounds and identities. All qualified applicants will receive consideration for employment without regard to race, color, religion, creed, gender, national origin, age, disability, veteran status, sex, gender expression or identity, sexual orientation, or any other protected characteristic under applicable law.</t>
        </is>
      </c>
    </row>
    <row r="10">
      <c r="A10" t="inlineStr">
        <is>
          <t>li-4371002629</t>
        </is>
      </c>
      <c r="B10" t="inlineStr">
        <is>
          <t>Senior Data Scientist</t>
        </is>
      </c>
      <c r="C10" t="inlineStr">
        <is>
          <t>Zest for Tech</t>
        </is>
      </c>
      <c r="D10" t="inlineStr">
        <is>
          <t>linkedin</t>
        </is>
      </c>
      <c r="E10" t="inlineStr"/>
      <c r="F10" t="inlineStr"/>
      <c r="G10" t="inlineStr"/>
      <c r="H10" t="inlineStr"/>
      <c r="I10" t="inlineStr">
        <is>
          <t>We are partnered with an established start up building AI products that deliver real social impact. Their work focuses on using technology to improve outcomes for underserved communities, and they are expanding their engineering and data teams as they scale. They have been profitable for the past three years and continue to invest heavily in applied AI across their platform.
 This role is focused on applying machine learning and modern AI techniques to real world problems, taking models from experimentation through to production, and directly influencing how AI powered features are designed, evaluated, and improved over time.
**What you will do** 
 • Build, train, and evaluate machine learning models for real world use cases
 • Apply AI techniques such as classification, document understanding, and extraction to production systems
 • Experiment with and adapt models from open source and vendor ecosystems
 • Partner closely with engineering and product teams to deploy and iterate on models
 • Improve automation, reduce manual processes, and drive measurable system improvements
**What you will bring** 
 • Strong experience in data science or applied machine learning
 • Hands on experience training, fine tuning, and validating ML models
 • Comfort working with Python and modern ML frameworks
 • A rigorous and detail oriented approach to experimentation and evaluation
 • Motivation to work on problems with clear real world and social impact
**Location:** 
 Washington DC \- 2\-3 days / week in the office
**Comp:** 
 $150k\-$200k
**Stack:** 
 Python, PyTorch or similar, ML tooling, modern data infrastructure
**Perks:** 
 full health coverage and generous PTO</t>
        </is>
      </c>
    </row>
    <row r="11">
      <c r="A11" t="inlineStr">
        <is>
          <t>li-4370671839</t>
        </is>
      </c>
      <c r="B11" t="inlineStr">
        <is>
          <t>Senior Data Scientist</t>
        </is>
      </c>
      <c r="C11" t="inlineStr">
        <is>
          <t>C5i</t>
        </is>
      </c>
      <c r="D11" t="inlineStr">
        <is>
          <t>linkedin</t>
        </is>
      </c>
      <c r="E11" t="inlineStr"/>
      <c r="F11" t="inlineStr"/>
      <c r="G11" t="inlineStr">
        <is>
          <t>Austin, Texas Metropolitan Area</t>
        </is>
      </c>
      <c r="H11" t="inlineStr"/>
      <c r="I11" t="inlineStr">
        <is>
          <t>**C5i** 
 C5i is a pure\-play AI \&amp; Analytics provider that combines the power of human perspective with AI technology to deliver trustworthy intelligence. The company drives value through a comprehensive solution set, integrating multifunctional teams that have technical and business domain expertise with a robust suite of products, solutions, and accelerators tailored for various horizontal and industry\-specific use cases. At the core, C5i’s focus is to deliver business impact at speed and scale by driving adoption of AI\-assisted decision\-making.
 C5i caters to some of the world’s largest enterprises, including many Fortune 500 companies. The company’s clients span Technology, Media, and Telecom (TMT), Pharma \&amp; Lifesciences, CPG, Retail, Banking, and other sectors. C5i has been recognized by leading industry analysts like Gartner and Forrester for its Analytics and AI capabilities and proprietary AI\-based platforms.
**Global offices**
 United States \| Canada \| United Kingdom \| United Arab of Emirates\| India
**Job Description:**
 This role involves building data products to extract valuable business insights and requires a highly analytical individual with strong problem\-solving skills and a passion for machine learning and research.
**Job Responsibilities**
* Undertake data collection, preprocessing, and analysis
* Build models to address business problems
* Present information using data visualization techniques
* Propose solutions and strategies to business challenges
* Collaborate with engineering and product development teams
* Develop machine learning algorithms
* Conduct data\-driven experiments to drive business decisions
**Required Skills**
* Data Analysis with Supply Chain background
* Machine learning and operations research with team leading skills
* Proficiency in R, SQL, and Python (knowledge of Scala, Java, or C\+\+ is a plus)
* Experience with business intelligence tools (e.g., Tableau) and data frameworks (e.g., Hadoop)
* Strong math skills (e.g., statistics, algebra)
* Analytical mind and business acumen
* Excellent communication and presentation skills
* Preferred Algorithms and Use Cases:
* Text Analytics: Natural Language Processing (NLP) algorithms for sentiment analysis, text classification, named entity recognition.
* Voice Analytics: Speech recognition, voice\-to\-text conversion, emotion detection in voice.
* Image Analytics: Image classification, object detection, facial recognition.
**Qualifications**
* Proven experience as a Data Scientist (3\+ years)
* Master's degree in Computer Science, Engineering, or relevant field; graduate degree in Data Science or other quantitative field is preferred
* PhD is highly desirable
**C5i** 
 is proud to be an equal opportunity employer. We are committed to equal employment opportunity regardless of race, color, religion, sex, sexual orientation, age, marital status, disability, gender identity, etc. If you have a disability or special need that requires accommodation, please keep us informed about the same at the hiring stages for us to factor necessary accommodations.</t>
        </is>
      </c>
    </row>
    <row r="12">
      <c r="A12" t="inlineStr">
        <is>
          <t>li-4350752692</t>
        </is>
      </c>
      <c r="B12" t="inlineStr">
        <is>
          <t>Data Scientist</t>
        </is>
      </c>
      <c r="C12" t="inlineStr">
        <is>
          <t>Snap Finance</t>
        </is>
      </c>
      <c r="D12" t="inlineStr">
        <is>
          <t>linkedin</t>
        </is>
      </c>
      <c r="E12" t="inlineStr"/>
      <c r="F12" t="inlineStr"/>
      <c r="G12" t="inlineStr">
        <is>
          <t>Utah, United States</t>
        </is>
      </c>
      <c r="H12" t="inlineStr"/>
      <c r="I12" t="inlineStr">
        <is>
          <t>**Company Overview:**
 At Snap Finance, we believe everyone deserves access to the things they need, regardless of credit history. Since 2012, we've used data, machine learning, and a more human approach to create flexible financing solutions that help people move forward. We're proud of our inclusive, supportive culture, built on empowering our customers, partners, and team members alike. When our people thrive, so does our innovation.
**If you're looking to make an impact and grow with a team that values you, come join us!**
**Job Description**
**Position Overview:**
 Snap Finance is looking to strengthen its dynamic, growing analytics department. We are seeking a dedicated Data Scientist II with a passion for statistics, machine learning, and solving real\-world problems with robust data. The ideal candidate understands how to apply the practices of data science to understand a problem and generate significant value through powerful predictive models. This role is tailored for working within a consumer finance company, specifically focusing on supporting the Sales and B2B Marketing departments.
**How you’ll make an impact:**
**Data Mining and Modeling:**
* Mining, modeling, and analyzing large datasets, utilizing predictive modeling techniques.
* Building and validating a variety of statistical models, providing analytic support, and developing new criteria and/or strategies.
**Experimental Design and Evaluation:**
* Design and implement experiments and processes for evaluating business performance, new products, and product features.
* Conducting required analyses incorporating project design, data collection, and analysis, summarizing findings, and presenting results in an understandable manner.
**Business Impact Analysis:**
* Compiling appropriate data, applying multidimensional data aggregation, and performing profile analysis to evaluate business impact.
* Handling large volumes of transaction\-level data to derive actionable results efficiently.
**Stakeholder Interaction:**
* Interacting with stakeholders to understand their business questions, crafting methodologies to mine/analyze datasets, and delivering insightful recommendations.
* Keeping up to date with the latest technology trends.
**What you’ll need to Succeed:**
* 3\-5 years working in a data science position or performing work that aligns with the required skills in another position.
* M.S. in quantitative fields such as Statistics, Econometrics, Mathematics, Physics, Computer Science, Quantitative Social Science, Quantitative Finance, or another related field.
* B.S. in the fields described above will be considered if the skill set and experience are robust.
* Expertise in one or more modeling/machine learning programming languages such as R or Python.
* Strong SQL skills and the ability to extract data from non\-relational data sources.
* Advanced understanding and professional experience with the following methods:
* Classification methods (e.g., Neural Net, Logistic Regression, Decision Trees, KNN, Random Forest).
* Regression methods (e.g., Linear, Nonlinear, Boosted Regression Trees).
* Clustering methods (e.g., K\-means, Fuzzy C\-means, Hierarchical Clustering, Mixture Modeling).
* Ability to generate robust statistical analyses (e.g., power analysis, hypothesis testing, experimental design, hierarchical modeling, Bayesian and frequentist methods).
* Demonstrated ability to take data science projects from development to production.
* Skilled analyst who produces regular reporting content for key stakeholder meetings, responds to ad hoc analysis requests, and generates insightful deep dives.
* Familiarity and experience with concepts in consumer finance, sales operations, and B2B marketing methods
**What would make you stand out:**
* Experience with a variety of data structures and databases (SQL, no\-SQL, graph, etc.).
* Knowledge about Big Data related techniques (e.g., Map\-Reduce, Hadoop, Hive, Apache Spark).
**Why Join Us:**
* Generous paid time off
* Competitive medical, dental \&amp; vision coverage
* 401K with company match for US
* Company\-paid life insurance
* Company\-paid short\-term and long\-term disability
* Access to mental health and wellness resources
* Company\-paid volunteer time to do good in your community
* Legal coverage and other supplemental options
* A value\-based culture where growth opportunities are endless
**More:**
 Snap values diversity and all qualified applicants will be considered for employment without attention to race, color, religion, sex, sexual orientation, gender identity, national origin, veteran or disability status. Learn more by visiting our website at www.snapfinance.com.
 California Residents, please review our California Consumer Privacy Act Notice at https://snapfinance.com/ccpa\-notice</t>
        </is>
      </c>
    </row>
    <row r="13">
      <c r="A13" t="inlineStr">
        <is>
          <t>li-4370972983</t>
        </is>
      </c>
      <c r="B13" t="inlineStr">
        <is>
          <t>Data Scientist</t>
        </is>
      </c>
      <c r="C13" t="inlineStr">
        <is>
          <t>Best Job Tool</t>
        </is>
      </c>
      <c r="D13" t="inlineStr">
        <is>
          <t>linkedin</t>
        </is>
      </c>
      <c r="E13" t="inlineStr"/>
      <c r="F13" t="inlineStr"/>
      <c r="G13" t="inlineStr"/>
      <c r="H13" t="inlineStr"/>
      <c r="I13" t="inlineStr">
        <is>
          <t>**About The Company**
 Disney Experiences is a renowned leader in the entertainment and leisure industry, dedicated to creating magical moments and unforgettable experiences for audiences worldwide. As part of The Walt Disney Company, Disney Experiences encompasses a diverse portfolio of attractions, resorts, merchandise, and digital platforms that bring Disney's beloved stories and characters to life. Committed to innovation, excellence, and storytelling, Disney Experiences strives to deliver highest\-quality entertainment and customer service, fostering lasting memories for families and fans across the globe. With a focus on sustainability, inclusivity, and community engagement, the company continually seeks to enhance its offerings and expand its reach in the leisure and entertainment sectors.
**About The Role**
 At Disney Consumer Products, we inspire imagination around the world and are committed to creating happiness for families and fans by bringing captivating, inspiring, and inclusive products into their daily lives. From toys to t\-shirts, console games, books, and more, our team brings our beloved brands and franchises into the lives of families through products and experiences that can be found worldwide, such as the Disney Store e\-commerce platform, Disney Parks, local and international retailers, and Disney Store locations around the world.
 The Merchandise Business Insight and Analytics (MBIA) team is part of Disney's Consumer Products organization, which creates and sells Disney products worldwide. The MBIA team supports the full retail lifecycle by providing analytics, reporting, and insights that empower data\-informed decision\-making for a broad community of stakeholders across Category and Location Planning, Product Development, Merchandising, and Retail Operations.
 We are seeking a Sr. Data Scientist to support and drive advanced analytics and data science initiatives for brick\-and\-mortar and ecommerce retail across Disney Experiences. This role will focus on developing and enhancing machine learning models and data\-driven solutions to optimize key areas such as customer segmentation, assortment rationalization, promotion optimization, and performance forecasting. The ideal candidate will have deep expertise in statistical modeling, machine learning, and retail strategy. This position plays a critical role in enabling data\-informed decisions that enhance guest experience, drive revenue growth, and support strategic business objectives across digital and physical retail environments.
 This role will report to the Sr. Manager, Data Science.
**Qualifications**
* 5\+ years of experience as a Data Scientist with a strong background in retail, including expertise in customer segmentation, performance forecasting, and business optimization.
* Proven ability to translate complex analytical insights into actionable strategies and collaborate effectively with cross\-functional teams such as Merchandising, Operations, Finance, and Marketing.
* Extensive experience developing and optimizing retail strategies through advanced analytics, including demand forecasting, promotional analysis, and performance measurement across both brick\-and\-mortar and ecommerce channels.
* Proficiency in developing intuitive dashboards and visual analytics using tools like Tableau, Looker, or similar platforms to support data\-driven decision\-making.
* Deep knowledge of predictive modeling techniques such as regression, time series forecasting (ARIMA, Prophet), causal inference, and machine learning methods (XGBoost, LightGBM).
* Experience in designing and analyzing experiments, including A/B testing and geo\-lift studies, to evaluate retail initiatives.
* Expert\-level skills in Python, with experience building scalable, production\-ready models using libraries such as pandas, scikit\-learn, statsmodels, and PyMC.
* Strong SQL skills for querying and manipulating large\-scale retail datasets, with experience in building automated data pipelines.
* Hands\-on experience working with big data platforms like Google Cloud Platform, Snowflake, BigQuery, and Spark for efficient data processing and analysis.
* Bachelor's degree in Mathematics, Economics, Data Science, Computer Science, Operations Research, or a related field; a Master’s or PhD is preferred.
**Responsibilities**
* Lead the end\-to\-end development of advanced statistical and machine learning models to address complex retail problems such as customer segmentation, demand forecasting, and promotion optimization.
* Architect and implement scalable data pipelines and model workflows utilizing Python, SQL, and cloud platforms to support continuous data integration, model retraining, and deployment at scale.
* Build dynamic dashboards and self\-service analytics tools using Tableau, Looker, or similar platforms to monitor key business metrics, track model performance, and provide actionable insights to stakeholders.
* Collaborate closely with product, merchandising, marketing, and technology teams to understand business needs, translate questions into analytics problems, and deliver insights that inform strategic decisions and operational improvements.
* Mentor and guide data scientists and analysts, promoting best practices in code quality, model validation, reproducibility, and responsible AI, including bias mitigation and performance monitoring.
* Stay current with industry trends and emerging technologies in data science and analytics to continuously improve models and processes.
**Benefits**
 Disney offers a comprehensive rewards package designed to support your personal and professional growth. Benefits include competitive health and wellness plans, savings and retirement programs, educational opportunities, and exclusive Disney perks. Employees have access to ongoing training and development programs, fostering continuous learning and career advancement. Additionally, Disney provides a vibrant and inclusive work environment that encourages innovation, collaboration, and work\-life balance. As part of our commitment to employee well\-being, we also offer flexible work arrangements and wellness initiatives to help you thrive both professionally and personally.
 Equal Opportunity
 Disney Experiences is an equal opportunity employer committed to fostering an inclusive environment for all employees. We celebrate diversity and are dedicated to providing equal employment opportunities regardless of race, color,</t>
        </is>
      </c>
    </row>
    <row r="14">
      <c r="A14" t="inlineStr">
        <is>
          <t>li-4289958511</t>
        </is>
      </c>
      <c r="B14" t="inlineStr">
        <is>
          <t>Data Scientist II – QuantumBlack, AI by McKinsey (Critical Industries)</t>
        </is>
      </c>
      <c r="C14" t="inlineStr">
        <is>
          <t>QuantumBlack, AI by McKinsey</t>
        </is>
      </c>
      <c r="D14" t="inlineStr">
        <is>
          <t>linkedin</t>
        </is>
      </c>
      <c r="E14" t="inlineStr"/>
      <c r="F14" t="inlineStr"/>
      <c r="G14" t="inlineStr">
        <is>
          <t>Chicago, IL</t>
        </is>
      </c>
      <c r="H14" t="inlineStr"/>
      <c r="I14"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Scientist II, you will collaborate with clients and interdisciplinary teams to understand client needs, develop impactful advanced analytics and AI solutions, optimize code, and solve complex business challenges across industries.
 You’ll grow your expertise by contributing to cutting\-edge projects, R\&amp;D, and global conferences while working alongside top\-tier talent in a dynamic, innovative environment.
 Your work will drive meaningful change. By uncovering patterns in data and delivering innovative solutions, you’ll help clients stay competitive, transform operations, and achieve lasting improvements. Here’s how you might contribute in a given year:
* Build a digital twin of a defense supply chain to enhance military hardware availability.
* Leverage agentic AI to improve customer service outcomes for a global travel company.
* Optimize the schedule and funding of a multi\-billion\-dollar capital project to accelerate delivery.
 You’ll contribute to projects across industries and data science expertise areas, eventually choosing your own path to build your expertise and skills. You should expect this role to include at least some work in critical industries (Defense, Aerospace, Utilities, Oil and Gas), but you will have the ability to serve other industries as well.
 Day to day, you’ll tackle complex challenges in partnership with senior data scientists, engineers, designers, and domain experts. You will:
* Translate business questions into analytical approaches and select the right techniques for each problem
* Conduct exploratory data analysis
* Design, implement, and evaluate models—from traditional machine learning to deep learning to LLMs \-\- using rigorous metrics and A/B tests. When appropriate, you’ll build production\-grade RAG pipelines and assess LLM output quality / hallucinations
* Deploy models via APIs or batch pipelines, write unit tests, and set up monitoring dashboards to track performance and drift
* Document assumptions, communicate results in clear, actionable language, and collaborate with engineers to integrate solutions into user\-facing applications.
* Build models which are accurate, explainable, and free from bias
* Optimize inference latency and cost through parameter\-efficient tuning, quantization, and accelerated serving stacks
* Additionally, you will contribute to internal tools, participate in R\&amp;D projects, and have opportunities to attend and present at leading conferences like NIPS and ICML.
 You will be based in one of our U.S. locations and collaborate closely with data scientists, data engineers, machine\-learning engineers, designers, and product managers around the world.
**Your Qualifications and Skills**
* U.S. Citizenship is required (this role must be able to be staffed on Critical Industries work which includes Defense, Aerospace, Utilities, etc.)
* Bachelor’s degree in computer science with 2\+ years of professional experience OR Masters or PhD a discipline such as computer science, mathematics, statistics or electrical engineering
* Professional experience in applying machine learning and data mining techniques to real problems with copious amounts of data
* Development experience (focus on machine learning): SQL and Python’s data\-science stack; proficiency with Spark/PySpark for distributed workloads. We use the right tech for the task and often work within clients’ stacks. Technologies you may encounter include Airflow, Databricks, Dask/RAPIDS, containerization with Docker and Kubernetes, and the major clouds (AWS, GCP, Azure, Oracle)
* GenAI experience a plus: parameter\-efficient tuning, RAG architectures, vector\-store technologies, LLM evaluation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
* Willingness to travel</t>
        </is>
      </c>
    </row>
    <row r="15">
      <c r="A15" t="inlineStr">
        <is>
          <t>li-4370983190</t>
        </is>
      </c>
      <c r="B15" t="inlineStr">
        <is>
          <t>Senior Applied Scientist</t>
        </is>
      </c>
      <c r="C15" t="inlineStr">
        <is>
          <t>Alibaba.com</t>
        </is>
      </c>
      <c r="D15" t="inlineStr">
        <is>
          <t>linkedin</t>
        </is>
      </c>
      <c r="E15" t="inlineStr"/>
      <c r="F15" t="inlineStr"/>
      <c r="G15" t="inlineStr">
        <is>
          <t>Sunnyvale, CA</t>
        </is>
      </c>
      <c r="H15" t="inlineStr"/>
      <c r="I15" t="inlineStr">
        <is>
          <t>**About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 Deliver full projects by defining the data structure, framework, design, and evaluation metrics for AI solution development and implementation.
 ● Develop and deploy Large Language Models (LLMs) to empower search and agent systems for a variety of applications.
 ● Identify new and upcoming product innovation areas by interacting with potential external and internal collaborators.
 ● Identify undefined problems in existing technology and engage stakeholders and leaders to address them.
**Qualifications** 
 ● PhD, Master's, or Bachelor's degree in Computer Science, Engineering, Mathematics, or related fields.
 ● Ability to implement and verify state\-of\-the\-art NLP or Computer Vision algorithms.
 ● Experience in successfully applying machine learning approaches to real\-world personalization problems.
 ● Experience with building large language models.
 ● Knowledge of statistical methods, with strong mathematical skills.
 ●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16">
      <c r="A16" t="inlineStr">
        <is>
          <t>li-4360856138</t>
        </is>
      </c>
      <c r="B16" t="inlineStr">
        <is>
          <t>Data Scientist - Insurance Modeling</t>
        </is>
      </c>
      <c r="C16" t="inlineStr">
        <is>
          <t>Allstate</t>
        </is>
      </c>
      <c r="D16" t="inlineStr">
        <is>
          <t>linkedin</t>
        </is>
      </c>
      <c r="E16" t="inlineStr"/>
      <c r="F16" t="inlineStr"/>
      <c r="G16" t="inlineStr"/>
      <c r="H16" t="inlineStr"/>
      <c r="I1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Analytics is responsible for aligning with and contributing to corporate growth and profitability objectives by providing expert guidance, influencing business strategies, executing flawlessly, and rigorously defending our work.
 This position will work on the Product Modeling \&amp; Decision Science (PMDS) team as a part of the broader Auto \&amp; Home Analytics department. The PMDS team develops and maintains models used in ratemaking, economic analysis and underwriting. They also develop best practices and support enhancements to processes supporting major initiatives and the adaptation of models/major initiatives to state specific implementations. Data Scientists will utilize various statistical modeling techniques to support the creation of models, will educate business partners on the use of these models and will participate in innovative work to continually improve rating plan sophistication (such as the incorporation of telematics data) and decision\-making support.
 The Auto \&amp; Home Analytics Department supports pricing of personal insurance lines of business utilizing accepted actuarial and statistical standards and methodologies. Data Scientists work closely with their Analytics Manager to support business goals. Support will be provided for those who seek the Certified Specialist in Predictive Analytics (CSPA) credential.
**Key Responsibilities:**
* Uses best practices and traditional statistical/modeling techniques to develop and maintain rating, economic and other models as necessary and in consideration of the business goals of the model
* Provide tools, educate and support state teams in the implementation of models and other decision\-making support
* Follows appropriate analyses to be conducted for projects to make recommendations to achieve corporate goals
* With minimal direction plans, implements, manages, and/or contributes on projects that are up to moderate complexity and are small\-to moderate scale using accepted project management standards
* Forecasts short\-term and long\-term deliverables with assistance
* Tracks own plan performance and project timeline and communicates and presents project status
* Ensures project controls are in place throughout the lifecycle of the project within own tasks
* Supports the development/ design of new plans, programs, processes, products up to moderate complexity
* Assists in the development of communication strategies and materials to support new plans, programs, processes, products; solicits input from stakeholders
* Participates in the evaluation of procedures and processes regularly and makes observations or suggests improvements
* Contributes to market share growth and profitability by recommending changes to products, pricing, risk management
* Understands standard market specific implications of business strategies
* Assures proper execution of regulatory/legislative practices for Product Management
* Understands and follows internal and external compliance requirements/standards
* Trains/coaches team members or peers and actively shares expertise with peers
**Job Qualifications**
* Bachelor’s degree – preferably in related field of study such as finance, math/applied math, statistics/applied statistics, economics
* Proven insurance business knowledge – for example, understands economics of insurance, familiarity with personal lines ratemaking and rating plans, etc.
* Several years of experience working in personal or commercial lines of insurance
* Aptitude and strong interest in statistical modeling techniques such as linear regression, logistic regression, GLM, GAM, GBM, etc. \- some modeling experience is helpful but not required
* Standard knowledge in the use of data sources and applications to conduct research
* Strong technical aptitude, such as programming experience with Python, R, SAS, or SQL required.
* Working knowledge of insurance regulation and related business constraints
* Has an understanding of current industry and professional standards/ environment to impact decisions and indicate requirements
* Can analyze data and review analysis from others and identify and resolve basic data issues
* Intermediate computer proficiency in Microsoft Office
* Possesses working knowledge of policies and procedures in management or other technical fields
* Strong written and verbal communication skills including the ability to effectively collaborate with multi\-disciplinary groups and all organizational levels
* High level organizational and project management skills in order to handle multiple concurrent assignments in a timely manner and to monitor processes throughout a team or department
* Strong decision\-making skills
* Works effectively in a team environment
**Skills**
 Analytics, Decision Sciences, Predictive Analytics, Predictive Modeling, R Programming
**Compensation**
 Compensation offered for this role is 80,000\.00 \- 136,625\.00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17">
      <c r="A17" t="inlineStr">
        <is>
          <t>li-4370658369</t>
        </is>
      </c>
      <c r="B17" t="inlineStr">
        <is>
          <t>Data Scientist</t>
        </is>
      </c>
      <c r="C17" t="inlineStr">
        <is>
          <t>RemoteHunter</t>
        </is>
      </c>
      <c r="D17" t="inlineStr">
        <is>
          <t>linkedin</t>
        </is>
      </c>
      <c r="E17" t="inlineStr"/>
      <c r="F17" t="inlineStr"/>
      <c r="G17" t="inlineStr"/>
      <c r="H17" t="inlineStr"/>
      <c r="I17"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li-4370956978</t>
        </is>
      </c>
      <c r="B18" t="inlineStr">
        <is>
          <t>Data Scientist, Sr.</t>
        </is>
      </c>
      <c r="C18" t="inlineStr">
        <is>
          <t>Johns Hopkins Medicine</t>
        </is>
      </c>
      <c r="D18" t="inlineStr">
        <is>
          <t>linkedin</t>
        </is>
      </c>
      <c r="E18" t="inlineStr"/>
      <c r="F18" t="inlineStr"/>
      <c r="G18" t="inlineStr"/>
      <c r="H18" t="inlineStr"/>
      <c r="I18" t="inlineStr">
        <is>
          <t>**About The Company**
 Johns Hopkins Medicine is a renowned leader in healthcare innovation, dedicated to advancing medical research, education, and patient care. Located in Baltimore, Maryland, the organization is committed to transforming healthcare through cutting\-edge technology and scientific discovery. With a focus on integrating artificial intelligence and machine learning into clinical workflows, Johns Hopkins Medicine aims to enhance decision\-making, improve patient outcomes, and streamline operational efficiencies. The institution fosters a collaborative environment that values diversity, inclusion, and continuous learning, making it an ideal place for professionals passionate about making a meaningful impact in healthcare technology.
**About The Role**
 As a Senior Data Scientist within the Platforms \&amp; Integrations group at Johns Hopkins Medicine, you will play a pivotal role in shaping the future of AI\-enabled healthcare. This position involves leading the design, development, and evaluation of applied machine learning solutions that directly impact clinical decision\-making and operational workflows. You will work closely with interdisciplinary teams, including clinicians, engineers, and research scientists, to identify high\-impact use cases and develop scalable AI models. Your expertise will help bridge the gap between research and real\-world application, ensuring that innovative AI tools are safe, effective, and seamlessly integrated into existing healthcare systems such as Epic. This role offers a unique opportunity to influence how Johns Hopkins approaches AI\-driven transformation in medicine and to contribute to groundbreaking projects that improve patient care and operational efficiency.
**Qualifications**
* Master's degree in mathematics, statistics, computer science, biomedical informatics, or a related field
* Five or more years of relevant experience in quantitative and qualitative research and analytics
* Proficiency in Python and SQL
* Experience with healthcare data formats such as Epic Clarity \&amp; Caboodle, FHIR, or OMOP
* Hands\-on experience with model SDKs like John Snow Labs Healthcare NLP Library
* Familiarity with cloud data and machine learning platforms such as Azure ML, Databricks, or Microsoft Fabric
* Knowledge of large language models prompt engineering techniques and workflow integration
* Proficiency in Scala (preferred)
* Strong understanding of model evaluation, explainability, and fairness techniques
* Ability to communicate complex findings clearly to diverse audiences
**Responsibilities**
* Design and implement machine learning models tailored to clinical and administrative healthcare data, including classification, risk stratification, natural language processing, and large language model prompting
* Collaborate with clinical, research, and technical teams to translate research\-grade models into production\-ready prototypes suitable for integration with systems like Epic
* Lead the evaluation of AI/ML models by defining success metrics, conducting benchmarking, and performing error analysis
* Support the evaluation and selection of vendor AI tools, including developing RFPs and benchmarking vendor solutions
* Apply explainability and fairness techniques to ensure models are safe, transparent, and equitable in high\-stakes environments
* Develop a repeatable framework for AI solution pilots and rollouts, including establishing evaluation gates, stakeholder education, and feedback mechanisms
* Communicate findings and project updates effectively to clinicians, IT leaders, and informaticists in accessible language
* Contribute to academic and industry publications when project dissemination is appropriate
**Benefits**
* Competitive salary commensurate with experience and qualifications
* Hybrid work environment with on\-site presence required once a month and for special projects
* Opportunity to work at a leading academic medical center on innovative AI projects
* Collaborative and inclusive work culture that values diversity and continuous professional growth
* Access to cutting\-edge healthcare data and cloud\-based AI platforms
* Support for ongoing learning and development in healthcare AI and data science
 Equal Opportunity
 Johns Hopkins Medicine is an Equal Opportunity Employer. We are committed to creating an inclusive environment where all employees are valued and respected. All qualified applicants will receive consideration for employment without regard to race, color, religion, sex, sexual orientation, gender identity and expression, age, national origin, mental or physical disability, genetic information, veteran status, or any other protected status under federal, state, or local law. We embrace diversity and strive to foster a workplace that reflects the communities we serve.</t>
        </is>
      </c>
    </row>
    <row r="19">
      <c r="A19" t="inlineStr">
        <is>
          <t>li-4342597030</t>
        </is>
      </c>
      <c r="B19" t="inlineStr">
        <is>
          <t>Data Scientist II, Pricing</t>
        </is>
      </c>
      <c r="C19" t="inlineStr">
        <is>
          <t>Root Inc.</t>
        </is>
      </c>
      <c r="D19" t="inlineStr">
        <is>
          <t>linkedin</t>
        </is>
      </c>
      <c r="E19" t="inlineStr"/>
      <c r="F19" t="inlineStr"/>
      <c r="G19" t="inlineStr"/>
      <c r="H19" t="inlineStr"/>
      <c r="I19" t="inlineStr">
        <is>
          <t>Root was founded on the belief that car insurance is broken, and we set out to change it. We’re harnessing the power of technology to revolutionize this archaic, complicated industry. Using machine learning and mobile telematic platforms, we’ve built one of the most innovative insurtech companies in the world.
****The Opportunity****
 We believe that a disruptive insurance company must have a principled quantitative framework at its foundation. At Root, we are committed to the rigorous development and effective deployment of modern statistical machine learning methods to problems in the insurance industry.
 As a Data Scientist (DS) II within Root’s pricing data science team, you will be instrumental in refining our pricing models while ensuring compliance with nuanced regulatory requirements. This role offers the opportunity to collaborate closely with teams across Product, Actuarial, and State Product Management, addressing regulatory feedback from departments of insurance and fine\-tuning our models to meet market\-specific needs. Your work will involve fitting and adjusting models, while ensuring our filings are data\-driven, defensible, and optimized for performance.
 You'll apply your technical expertise in R (e.g., tidyverse, data.table) and SQL to analyze, manipulate, and model data effectively. Experience with H2O and advanced modeling techniques is also highly valued. If you’re eager to use your data science skills in a dynamic, high\-impact area, we invite you to join our team and help shape the future of pricing in the insurance industry.
 Root is a “work where it works best” company, meaning we will support you working in whatever location that works best for you across the US. We will continue to have our headquarters in Columbus to give more flexibility and more choice about how we live and work.
****Salary Range****
 : $116,664 \- $145,830 (Bonus and LTI Eligible)
 Root is a “work where it works best” company. This means we will support you working in whatever location that works best for you across the US.
**How You Will Make An Impact**
* Support the refinement of pricing models to ensure compliance with regulatory requirements, responding to objections and inquiries from departments of insurance.
* Contribute to the continuous improvement of our pricing models, driving both regulatory compliance and performance optimization.
* Collaborate with Product, Actuarial, and State Product Management teams to ensure alignment across departments.
* Apply your technical skills in R, SQL, and H2O to analyze and optimize pricing models.
* Contribute to large\-scale data science modeling projects, employing best practices in coding, version control, and project execution.
**What You Will Need To Succeed**
* Advanced degree in a quantitative discipline (Master’s or PhD preferred) and 2\+ years of experience applying advanced quantitative techniques, ideally in the insurance or financial services industry.
* Strong proficiency in R (e.g., tidyverse, data.table) and SQL, with the ability to independently query, manipulate, and model data.
* Familiarity with pricing models and understanding of insurance regulatory environments is a strong plus.
* Experience with H2O and other advanced modeling techniques is a plus.
* Technical proficiency in version control systems such as Git, with experience contributing to data science projects.
* Experience with cloud utilities such as AWS (e.g., EC2, S3\) is a plus for scalable data processing and storage.
* Strong business intelligence and data visualization skills, with the ability to communicate insights to both technical and non\-technical stakeholders.
* An ownership mentality, with the ability to take initiative and drive work forward in a collaborative team environment.
* Strong communication skills, enabling you to explain complex technical concepts clearly to cross\-functional stakeholders.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
 Please see our Privacy Notice available HERE for more information on how we process your personal data.</t>
        </is>
      </c>
    </row>
    <row r="20">
      <c r="A20" t="inlineStr">
        <is>
          <t>li-4363042359</t>
        </is>
      </c>
      <c r="B20" t="inlineStr">
        <is>
          <t>Experienced Data Scientist</t>
        </is>
      </c>
      <c r="C20" t="inlineStr">
        <is>
          <t>Boeing</t>
        </is>
      </c>
      <c r="D20" t="inlineStr">
        <is>
          <t>linkedin</t>
        </is>
      </c>
      <c r="E20" t="inlineStr"/>
      <c r="F20" t="inlineStr"/>
      <c r="G20" t="inlineStr">
        <is>
          <t>Long Beach, CA</t>
        </is>
      </c>
      <c r="H20" t="inlineStr"/>
      <c r="I20"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Supply Chain is currently looking for an
 **Experienced Data Scientist** 
 to join our team in
 **Long Beach, CA, Saint Louis, MO, or Mesa, AZ** 
 . This position will focus on supporting the Boeing Global Services (BGS) business organization.
 A successful candidate will understand the importance of data analytics as these positions will focus on working directly with the demand planning, new business, and the obsolescence team to perform statistical and mathematical data analysis to enable the BGS business to meet their organizational goals.
**Position Responsibilities:**
* Performs defined data analytics tasks to meet business objectives.
* Applies standard methods and algorithms, validates results and performs necessary data preparation steps.
* Creation and maintenance of analysis conducted in R environment requiring understanding of R programming language.
* Develops Tableau dashboards requiring experience in SQL coding.
* Develops and maintains strategic partnerships with customers, stakeholders, peers, and direct reports
* Exercises critical thinking and innovative problem solving
* Acts as the initial point of escalation for issues or challenges encountered by the team.
* Capable of effectively triaging and de\-escalating issues with impacted parties
* Develops and executes project and process plans, implements policies and procedures and sets operational goals
**Basic Qualifications (Required Skills/Experience):**
* Bachelors Degree or higher
* 5\+ years of experience in data analytics
* 3\+ years of experience applying statistical concepts
**Preferred Qualifications (Desired Skills/Experience):**
* R Programming language experience
* SQL coding experience
* Demand forecasting and/or data simulation experience
**Drug Free Workplace:**
 Boeing is a Drug Free Workplace where post offer applicants and employees are subject to testing for marijuana, cocaine, opioids, amphetamines, PCP, and alcohol when criteria are met as outlined in our policies
 *.*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$128,350\.00 \- $186,300\.00
 Applications for this position will be accepted until
 **Feb. 19,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1">
      <c r="A21" t="inlineStr">
        <is>
          <t>li-4370947654</t>
        </is>
      </c>
      <c r="B21" t="inlineStr">
        <is>
          <t>Data Scientist</t>
        </is>
      </c>
      <c r="C21" t="inlineStr">
        <is>
          <t>Prodege, LLC</t>
        </is>
      </c>
      <c r="D21" t="inlineStr">
        <is>
          <t>linkedin</t>
        </is>
      </c>
      <c r="E21" t="inlineStr"/>
      <c r="F21" t="inlineStr"/>
      <c r="G21" t="inlineStr">
        <is>
          <t>California, United States</t>
        </is>
      </c>
      <c r="H21" t="inlineStr"/>
      <c r="I21" t="inlineStr">
        <is>
          <t>**Job Description**
****Strategic Imperative:****
 The
 **Data Scientist** 
 role with a focus on Predictive Modeling, is responsible for developing, evaluating, and refining analytical and machine learning models that predict user behavior and optimize business outcomes across our suite of products. This role focuses on modeling, feature development, and offline evaluation to support performance marketing, insights and other strategic initiatives.
 The position applies statistical and machine learning techniques to large\-scale behavioral and transactional data to improve ranking, recommendation and yield optimization. While this role partners closely with Engineering and ML Engineering teams, it does not own production deployment, infrastructure, or MLOps.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 We are seeking candidates who reside in the continental US. Work Visa sponsorship is available for qualified candidates. \*\*\*
**Primary Objectives**
* Improve Yield Through Predictive Modeling: Drive yield optimization through the ideation and development of machine learning models for recommendations, ranking and yield optimization use cases
* Organizational Data Science Advancement: Expand the application of machine learning across business functions through identification of opportunities and modeling, analysis, and offline evaluation.
* Data Design: Leading feature engineering and defining key concepts to be formalized within the feature store.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Business Translation \&amp; Modeling Framework Design:
+ Partner with Product and other business stakeholders to frame business problems into well\-defined modeling objectives and hypotheses.
+ Select appropriate modeling techniques (e.g., classification, regression, deep learning, reinforcement learning) based on use case and data characteristics.
+ Define success metrics and evaluation criteria that align model performance with business impact.
+ Document modeling assumptions, tradeoffs, and intended use to ensure clarity, transparency, and alignment across teams
* Data Analysis \&amp; Feature Development
+ Perform analysis on large\-scale behavioral and transactional datasets to identify patterns, drivers, and potential predictive signal
+ Engineer features from user behavior, lifecycle activity, offer attributes, and revenue data to support modeling objectives
+ Collaborate with ML team to ensure features properly registered within feature store
* Model Development \&amp; ML Collaboration:
+ Leverage appropriate modeling frameworks and packages to build high performing predictive models
+ Perform model tuning, validation, and comparison using appropriate metrics, cross\-validation, and offline testing frameworks
+ Interpret model outputs to assess business relevance, identify strengths and limitations, and validate against observed behavior
+ Leverage appropriate frequentist and Bayesian approaches to measure model performance and define strategies for balancing exploration and exploitation
+ Document modeling approaches, performance results, and learnings in model cards to support reuse, iteration, and long\-term knowledge building
+ Enable ML team to deploy models; collaborate on retraining and maintenance plans
****What does SUCCESS look like?****
 Success in this role is demonstrated by the delivery of predictive models that materially improve yield management and optimizes engagement and revenue. Over time, success is reflected in models that are trusted by stakeholders, features that consistently capture meaningful behavioral signals, and clear evidence that model\-driven decisions outperform prior approaches. Strong collaboration with Analytics Engineering and Machine Learning partners, thorough documentation of methods and learnings, and measurable business impact are hallmarks of high performance in this role.
****The MUST Haves:****
 (
 *ex: job cannot be done without these skills, education, experience, certifications, licenses* 
 )
* Bachelor’s or Master’s degree in Computer Science, Data Science, Statistics, Mathematics, or a related quantitative field
* Three or more (3\+) years experience performing deep data analysis and training machine learning models
* Strong foundation in machine learning and statistical modeling (classification, regression, ranking, optimization)
* Experience with ranking, recommendation systems, and personalization models
* Fluency in Python and common ML libraries (scikit\-learn, XGBoost/LightGBM, PyTorch, or TensorFlow)
* Fluency in SQL and ability to work with large, event\-level datasets in data warehouse environments (e.g., Snowflake, BigQuery, Redshift)
* Experience with feature engineering, model evaluation, and performance diagnostics
* Strong analytical reasoning and ability to translate business questions into modeling approaches
* Clear communication skills, particularly in explaining model results and tradeoffs to non\-technical stakeholders
* Understanding of ML Ops concepts and the ability to collaborate effectively with ML Engineering and ML Ops teams
* Excellent attention to detail
* Proficiency in critical thinking and problem solving.
****The Nice to Haves:** 
 (
 *preferred additional skills, education, experience, certifications, licenses* 
 )**
* Hands\-on experience managing ML deployments and designing feature stores and registries
* Experience with AI/ML frameworks such as LangChain, LLMs, and HuggingFace
* Worked with distributed data processing frameworks (Spark, Ray, Flink, Trino).
* Experience with ML experiment tracking (e.g., ML Flow)
* Experience in loyalty programs or performance marketing or market research
* Experience with contextual multi armed bandit algorithms or reinforcement learning
* Preference modeling methods used in Conjoint/MaxDiff
* Understanding of Bayesian statistics inference (e.g., PyMC)
**Pay Transparency**
 The anticipated base salary range for this position is $150,000 to $180,000\.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22">
      <c r="A22" t="inlineStr">
        <is>
          <t>li-4370987970</t>
        </is>
      </c>
      <c r="B22" t="inlineStr">
        <is>
          <t>Data Scientist (AI/ML Focus)</t>
        </is>
      </c>
      <c r="C22" t="inlineStr">
        <is>
          <t>Guidehouse</t>
        </is>
      </c>
      <c r="D22" t="inlineStr">
        <is>
          <t>linkedin</t>
        </is>
      </c>
      <c r="E22" t="inlineStr"/>
      <c r="F22" t="inlineStr"/>
      <c r="G22" t="inlineStr">
        <is>
          <t>San Antonio, TX</t>
        </is>
      </c>
      <c r="H22" t="inlineStr"/>
      <c r="I22" t="inlineStr">
        <is>
          <t>**Job Family**
 Management Consulting
**Travel Required**
 None
**Clearance Required**
 Active Secret
**What You Will Do**
* Assist in developing AI/ML models for infrastructure analysis.
* Support data cleaning and preprocessing tasks.
* Help create dashboards and visualizations for leadership.
* Participate in automation of workflows using scripts.
* Conduct exploratory data analysis under supervision.
* Document model development steps and maintain code repositories.
* Assist in integrating models into cloud environments.
* Support feature engineering for predictive models.
* Collaborate on wargaming and simulation projects.
* Prepare reports summarizing analysis results.
**What You Will Need**
* An ACTIVE and MAINTAINED "SECRET" Federal or DoD security clearance.
* Bachelor’s degree in Data Science or STEM field.
* Experience with Python programming
**What Would Be Nice To Have**
* Experience with Jupyter notebooks.
* Understanding of machine learning fundamentals.
* Ability to work with structured datasets.
* Familiarity with data visualization tools.
* Strong analytical and problem\-solving skills.
* Willingness to learn cloud technologies.
* Good communication and documentation skills.
* Ability to follow coding best practices.
* Interest in AI/ML applications for DoD.
* Exposure to cloud platforms like AWS or Azure.
* Knowledge of SQL for data manipulation.
* Familiarity with data engineering concepts.
* Experience with visualization libraries (Matplotlib, Seaborn).
* Understanding of DevSecOps principles.
* Exposure to big data tools like Spark.
* Interest in predictive modeling and optimization.
* Experience with version control tools like Git.
* Knowledge of DoD data governance standards.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3">
      <c r="A23" t="inlineStr">
        <is>
          <t>li-4370971851</t>
        </is>
      </c>
      <c r="B23" t="inlineStr">
        <is>
          <t>Applied Scientist</t>
        </is>
      </c>
      <c r="C23" t="inlineStr">
        <is>
          <t>Microsoft</t>
        </is>
      </c>
      <c r="D23" t="inlineStr">
        <is>
          <t>linkedin</t>
        </is>
      </c>
      <c r="E23" t="inlineStr"/>
      <c r="F23" t="inlineStr"/>
      <c r="G23" t="inlineStr">
        <is>
          <t>Seattle, WA</t>
        </is>
      </c>
      <c r="H23" t="inlineStr"/>
      <c r="I23"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**Additional Or Preferred Qualifications**
 Bachelor's Degree in Statistics, Econometrics, Computer Science, Electrical or Computer Engineering, or related field AND 5\+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1\+ year(s) experience creating publications (e.g., patents, peer\-reviewed academic papers).
*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
      <c r="A24" t="inlineStr">
        <is>
          <t>li-4329621710</t>
        </is>
      </c>
      <c r="B24" t="inlineStr">
        <is>
          <t>Software Engineer/Data Scientist, Large Model Evaluation</t>
        </is>
      </c>
      <c r="C24" t="inlineStr">
        <is>
          <t>Waymo</t>
        </is>
      </c>
      <c r="D24" t="inlineStr">
        <is>
          <t>linkedin</t>
        </is>
      </c>
      <c r="E24" t="inlineStr"/>
      <c r="F24" t="inlineStr"/>
      <c r="G24" t="inlineStr">
        <is>
          <t>San Francisco, CA</t>
        </is>
      </c>
      <c r="H24" t="inlineStr"/>
      <c r="I2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5">
      <c r="A25" t="inlineStr">
        <is>
          <t>li-4329545209</t>
        </is>
      </c>
      <c r="B25" t="inlineStr">
        <is>
          <t>Software Engineer/Data Scientist, Large Model Evaluation</t>
        </is>
      </c>
      <c r="C25" t="inlineStr">
        <is>
          <t>Waymo</t>
        </is>
      </c>
      <c r="D25" t="inlineStr">
        <is>
          <t>linkedin</t>
        </is>
      </c>
      <c r="E25" t="inlineStr"/>
      <c r="F25" t="inlineStr"/>
      <c r="G25" t="inlineStr">
        <is>
          <t>Mountain View, CA</t>
        </is>
      </c>
      <c r="H25" t="inlineStr"/>
      <c r="I2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6">
      <c r="A26" t="inlineStr">
        <is>
          <t>li-4342725935</t>
        </is>
      </c>
      <c r="B26" t="inlineStr">
        <is>
          <t>Data Scientist II</t>
        </is>
      </c>
      <c r="C26" t="inlineStr">
        <is>
          <t>Rippling</t>
        </is>
      </c>
      <c r="D26" t="inlineStr">
        <is>
          <t>linkedin</t>
        </is>
      </c>
      <c r="E26" t="inlineStr"/>
      <c r="F26" t="inlineStr"/>
      <c r="G26" t="inlineStr">
        <is>
          <t>San Francisco, CA</t>
        </is>
      </c>
      <c r="H26" t="inlineStr"/>
      <c r="I26"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We’re looking for a Data Scientist to work in partnership with our Customer Experience teams to maximize customer retention, drive cross\-sell across our product suite, and proactively reduce escalations \&amp; improve CSAT.
 As Rippling, you’ll have the opportunity to dive into datasets to influence decision\-making \&amp; impact strategy. If you are a self\-starter who enjoys finding patterns and speaking through data, we’re looking for someone like you!
 What You’ll Do:
* Use quantitative analysis and the presentation of data to share beyond the numbers and understand what drives our business.
* Build full\-cycle analysis using SQL, R, Python, or other scripting and statistical tools.
* Produce recommendations and use statistical techniques and hypothesis testing to validate your findings.
* Provide insights to help business leaders understand marketplace dynamics, user behaviors, and long\-term trends.
* Identify and measure levers to help move essential metrics and make recommendations.
* Report against our goals by identifying essential metrics and building executive\-facing dashboards to track progress.
* Collaborate with data engineering to implement, document, validate, and monitor our evolving data infrastructure.
* Work autonomously as an individual contributor as well as showcase horizontal leadership, driving initiatives to completion and proactively identifying opportunities that will move the needle in the long run.
 Qualifications:
* Master’s degree in Analytics, Data Science, Economics, Statistics or a related field and at least 2\~3 years of work experience, or equivalent.
* Strong interest in actively working with Customer Success and Support teams, as well as cross\-functional collaboration with Product \&amp; Marketing.
* Strong proficiency in SQL, R/Python, Tableau, Mode, or other Business Intelligence tools.
* Ability to deliver actionable insights by synthesizing data into useful formats and conveying findings in a clear manner to influence decision\-makers.
* Ability to actively manage and influence senior stakeholders through strong business communication skills, both verbal and written.
* Ruthless prioritization and time management.
* Organized, attentive to detail, and intellectually curious.
* Bonus points for experience with B2B SaaS companies, Salesforce CRM \&amp; Service Cloud, as well as executive\-level exposure.
**The pay range for this role is:**
 108,000 \- 189,000 USD per year(US Tier 1\)</t>
        </is>
      </c>
    </row>
    <row r="27">
      <c r="A27" t="inlineStr">
        <is>
          <t>li-4361838802</t>
        </is>
      </c>
      <c r="B27" t="inlineStr">
        <is>
          <t>Data Scientist - Strategic Analytics</t>
        </is>
      </c>
      <c r="C27" t="inlineStr">
        <is>
          <t>Acuity Insurance</t>
        </is>
      </c>
      <c r="D27" t="inlineStr">
        <is>
          <t>linkedin</t>
        </is>
      </c>
      <c r="E27" t="inlineStr"/>
      <c r="F27" t="inlineStr"/>
      <c r="G27" t="inlineStr">
        <is>
          <t>Sheboygan, WI</t>
        </is>
      </c>
      <c r="H27" t="inlineStr"/>
      <c r="I27" t="inlineStr">
        <is>
          <t>Acuity is seeking a Data Scientist \- Strategic Analytics to work with business leaders to inform company strategies and decision\-making through an objective viewpoint by leveraging the team’s expertise in deep business knowledge, leveraging data as an asset, and utilizing statistical and advanced analytical techniques as appropriate. The role of Data Scientist – Strategic Analytics uses advanced statistical and analytical techniques to inform highly complex and sophisticated business questions. The data scientist will apply and integrate advanced statistical, mathematical, data mining, and business analysis skills and techniques to discover new behavioral insights, predict outcomes, prescribe decision options, and advise on turning new insights into actionable opportunities.
**Internal deadline to apply: December 22nd, 2025**
 ESSENTIAL FUNCTIONS:
* Develop solutions, to support analytic insights and visualization using mathematical models, algorithms, machine learning techniques, and robust analytics.
* Partner with business clients and technical leaders to spearhead the development of standards for appropriate statistical methodology, study design, power and sample size estimation, and data analysis plans for behavioral analytics.
* Provide data driven decision support for key initiatives of company strategy and measurement related to client, claims, sales, and campaign analyses to understand both growth and economic impact.
* Determine requisite data elements and partners with data engineers to design integrated datasets for analytical research purposes.
* Work closely with machine learning engineers and business partners to develop and build behavioral data science and analytics products.
* Effectively present analytical results and derived recommendations for action to senior leaders, peers, and product team members.
* Regular and predictable attendance.
* Performs other duties as assigned.
 EDUCATION:
 Bachelor’s degree in data science, statistics, math, computer science, economics, or related field. Advanced graduate level degree in a quantitative discipline (statistics, applied mathematics, computer science, econometrics, or a related field) is preferred.
 EXPERIENCE:
 A minimum of three years relevant experience to include research and data analysis, experiment design and measurement, or application of statistical research techniques.
 OTHER QUALIFICATIONS:
* Expertise in one or more development or statistical analysis tool such as R, Python, SAS, SQL, SPSS, or other tools. Tableau experience is a plus.
* Proven excellence in research, quantitative analysis, problem solving, and analytical working techniques.
* Statistical knowledge and intuition
* Strong aptitude and desire for learning new analytical and visualization tools, modeling, and quantitative techniques. Initiative to independently design and develop own deliverables while still being a team player.
* Demonstrates ability to deliver results and recommendations in written, verbal and presentation form at an appropriate level for a business audience.
 \*Acuity does not sponsor applicants for U.S. work authorization.\*
*This job is classified as exempt.*
*For this role, Acuity offers a comprehensive benefits package, including a generous 401(k) contribution, medical, dental, vision, life and disability insurance, paid time off, an Employee Assistance Program, and more. A full description of benefits and eligibility will be provided to candidates during the hiring process.*
*We are an Equal Employment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and require reasonable accommodations to apply or during the interview process, please contact our Talent Acquisition team at* 
*careers@acuity.com* 
*. Acuity is dedicated to offering reasonable accommodations during our recruitment process for qualified individuals.*</t>
        </is>
      </c>
    </row>
    <row r="28">
      <c r="A28" t="inlineStr">
        <is>
          <t>li-4370659665</t>
        </is>
      </c>
      <c r="B28" t="inlineStr">
        <is>
          <t>Principal Data Scientist</t>
        </is>
      </c>
      <c r="C28" t="inlineStr">
        <is>
          <t>Pacific Gas and Electric Company</t>
        </is>
      </c>
      <c r="D28" t="inlineStr">
        <is>
          <t>linkedin</t>
        </is>
      </c>
      <c r="E28" t="inlineStr"/>
      <c r="F28" t="inlineStr"/>
      <c r="G28" t="inlineStr">
        <is>
          <t>Oakland, CA</t>
        </is>
      </c>
      <c r="H28" t="inlineStr"/>
      <c r="I28" t="inlineStr">
        <is>
          <t>Requisition ID \# 169267
 Job Category: Accounting / Finance
 Job Level: Manager/Principal
 Business Unit: Gen Counsel, Ethics, Risk \&amp; Compliance
 Work Type: Hybrid
 Job Location: Oakland
**Department Overview**
 The Enterprise Risk and Operational Risk Management (EORM) organization is responsible for enabling the business to effectively manage risk in key areas of the enterprise through consistent assessment and risk\-informed decision making. EORM organization is charged with overseeing all enterprise and operational risk management related to PG\&amp;E’s operations and public safety including evaluating risks and their mitigations associated with wildfires, nuclear, dams, natural gas, cyberattacks and natural disasters.
**Position Summary**
 As a Principal Data Scientist on the Enterprise Risk Analytics team within the EORM organization, you will be responsible for leading the development and implementation of quantitative risk models for identified risks including cybersecurity, physical security, data loss, and IT asset failure—as well as evaluating risk reduction achieved through mitigation and controls. Your work will influence enterprise prioritization, investment decisions, and regulatory filings (such as Risk Assessment and Mitigation Phase (RAMP) and General Rate Case (GRC)).
 You will continuously evaluate and improve quantitative assessments of risk and associated mitigations and controls while refining analytical tools and processes—such as data processing scripts, risk algorithms, Python programs, Excel files, and Palantir Foundry code—to ensure consistent and valuable risk evaluation across the company. Responsibilities include designing, developing, and executing scripts, programs, models, algorithms, and processes using structured and unstructured data from various sources and at various scales, with the goal of producing actionable insights for strategy, planning, process improvement, and product enhancement.
 Additionally, you will support technical development phases for quantitative risk analytics, including data collection, data engineering, modeling, visualization, and user interface design. You will collaborate with both technical and non\-technical coworkers by advising on relevant data collection, resolving analytical and technical challenges, communicating findings and recommendations, and partnering with teams, clients, and senior leadership throughout the development cycle to ensure continuous improvement. Furthermore, you will review and validate existing methods, assumptions, algorithms, and models, working toward the advancement of risk analytics at PG\&amp;E.
 This position is hybrid, working from your remote office and Oakland General Office at least once per week and based on business needs.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  This job is also eligible to participate in PG\&amp;E’s discretionary incentive compensation programs.
 A reasonable starting salary range is:
 Bay Area Minimum: $159,000
 Bay Area Maximum: $236,500
**Job Responsibilities**
* Quantitative Risk Analytics and Mitigation Evaluation: Apply mathematical, probabilistic, and statistical techniques to objectively quantify the likelihood and impact—financial, operational, safety, and reliability—of identified risks, including but not limited to cybersecurity, physical security, data security, and IT asset failure. Transition risk assessments from subjective ratings to monetized, objective, verifiable, and actionable values to support risk\-informed decision\-making, investment planning, and risk reduction tracking.
* Data Management and Model Development: Collect, clean, and transform data from a variety of internal sources to enable high\-impact analytics. Research and implement quantitative methods and machine learning models to develop, validate, and visualize robust risk and mitigation models within the organizational environment. Lead the estimation of mitigation effectiveness, calculation of benefit\-cost ratios, and evaluation of model assumptions, inputs, and methodologies.
* Stakeholder Collaboration: Partner with subject matter experts, risk managers, and risk owners to develop credible risk models and integrate quantitative risk assessment into core business and operational processes.
* Risk Analytics Leadership: Mentor and guide junior staff and risk analysts, standardizing processes and tools across the data science function. Collaborate with analytics platform owners to prioritize and advance scalable risk and mitigation modeling capabilities. Assess and enhance existing risk modeling methodologies to drive continuous improvement.
* Communication: Prepare and deliver clear, concise documentation and presentations on data sources, methodologies, analyses, results, and validations. Produce model documentation, whitepapers, formal reports, and expert testimony as required.
**Qualifications**
 Minimum:
* Bachelor’s Degree in Data Science, Machine Learning, Computer Science, Physics, Econometrics, or Economics, Engineering, Mathematics, Applied Sciences, Statistics, or equivalent field
* 8 years in data science (or 2 years, if possess Doctoral Degree or higher, as described above)
 Desired:
* Doctoral Degree or higher in Data Science, Machine Learning, Computer Science, Physics, Econometrics, or Economics, Engineering, Mathematics, Applied Sciences, Statistics, or equivalent field
* Relevant industry experience (electric or gas utility, cybersecurity, analytical consulting, etc.), 8 years
* Experience in quantifying cybersecurity risk using the FAIR framework (certification preferred)
* Experience in quantitative risk analysis or Probabilistic Risk Assessment
* Strong understanding of the mathematical, probabilistic and statistical foundations that underpin data science and risk modeling
* Proven proficiency in Monte Carlo simulation methods, Bayesian inference, and application of data science and operations research methodologies and tools
* Demonstrated expertise in advanced programming, especially in Python; and proficiency in utilizing Git in a team environment
* Excellent analytical, problem\-solving, research and organizational abilities; attention to detail
* Proficiency in synthesizing complex information into clear insights and translating those insights into decisions and actions
* Proficiency in model lifecycle management
* Strong data management knowledge, including governance, security, and quality best practices
* Expertise in data visualization and communicating risk\-related modeling results
* Proven ability to work independently, proactively improve methods, and adapt to change
* Effective communication and collaboration skills with diverse teams and stakeholders
* Competency in project management and strong ability to manage multiple tasks under tight deadlines
* Current knowledge of industry trends and issues, demonstrated through professional contributions
* Ability to translate complex technical insights for various audiences and mentor others</t>
        </is>
      </c>
    </row>
    <row r="29">
      <c r="A29" t="inlineStr">
        <is>
          <t>li-4363013801</t>
        </is>
      </c>
      <c r="B29" t="inlineStr">
        <is>
          <t>Senior Data Scientist</t>
        </is>
      </c>
      <c r="C29" t="inlineStr">
        <is>
          <t>The Hartford</t>
        </is>
      </c>
      <c r="D29" t="inlineStr">
        <is>
          <t>linkedin</t>
        </is>
      </c>
      <c r="E29" t="inlineStr"/>
      <c r="F29" t="inlineStr"/>
      <c r="G29" t="inlineStr">
        <is>
          <t>Hartford, CT</t>
        </is>
      </c>
      <c r="H29" t="inlineStr"/>
      <c r="I29"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Actuarial Strategic Modeling (ASM) organization is seeking a Senior Data Scientist to strengthen analytical and modeling capabilities supporting pricing, segmentation, underwriting strategies, and portfolio insights within Business insurance.
**What You Will Do**
 Model Development \&amp; Analytics
* Contribute and lead key phases of end\-to\-end model development including problem definition, data exploration, model development, validation, and monitoring.
* Engage in the development and enhancement of predictive models — while thoughtfully assessing alternative approaches and techniques to support loss, territory/Geography, and emerging claim level modeling needs.
* Partner with Data Engineering and MLOps teams to support deployment and monitoring.
 Cross\-Functional Collaboration
* Partner with Actuarial, Underwriting, Product, Data Engineering, and Governance teams to align modeling work with business strategies.
* Communicate findings clearly to technical and non\-technical audiences.
 Innovation \&amp; Modernization
* Explore new modeling methods, data sources, and tools.
* Contribute to shared modeling frameworks and best practices.
 Technical Leadership \&amp; Mentorship
* Provide peer learning, code reviews, and technical guidance.
* Support continuous improvement of modeling standards.
**Qualifications**
 Required
* 5\+ years experience developing statistical or ML models.
* Master’s/PhD in Statistics, Data Science, Applied Math, Computer Science, Actuarial Science, or related field.
* Strong Python and SQL skills; experience with Git and cloud ML environments.
* Ability to collaborate across functions and communicate insights effectively.
**Preferred**
* Insurance analytics experience.
* Familiarity with model governance and monitoring.
* Experience with Agile delivery or MLOps pipelines.
* Ability to mentor and support the development of Data Science and Actuarial peers.
 Why Join Us?
* Engage in high\-visibility enterprise modeling initiatives.
* Work with modern analytical tools, ML, and generative AI.
* Work at the intersection of Data Science and Actuarial Science, partnering closely with diverse technical and business teams.
 This role will have a Hybrid work schedule, with the expectation of working in an office (Columbus, OH, Chicago, IL, Hartford, CT or Charlotte, NC)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30">
      <c r="A30" t="inlineStr">
        <is>
          <t>li-4370676422</t>
        </is>
      </c>
      <c r="B30" t="inlineStr">
        <is>
          <t>Senior Data Scientist</t>
        </is>
      </c>
      <c r="C30" t="inlineStr">
        <is>
          <t>LexisNexis</t>
        </is>
      </c>
      <c r="D30" t="inlineStr">
        <is>
          <t>linkedin</t>
        </is>
      </c>
      <c r="E30" t="inlineStr"/>
      <c r="F30" t="inlineStr"/>
      <c r="G30" t="inlineStr"/>
      <c r="H30" t="inlineStr"/>
      <c r="I30" t="inlineStr">
        <is>
          <t>Join our team to help build state\-of\-the\-art research tools. Our Data Science teams focus on extracting key information such as entities mentioned, sentiment analysis, data enrichments, predictive insights, and more to build best in class data and news streams relied on by our global customer base. We are in the beginning stages of adding Generative AI across our portfolio of products while continuing to be committed to High Quality and trusted / citable information with everything we do. We are looking to grow our team with Passionate Data Scientist committed to defining scope of a project and execute that project independently. Individuals in this role are expected to support the development and training of junior staff. They develop best practices and are project leaders.
**Responsibilities:** 
* Working closely with other data scientists and engineers to design, develop, and deploy AI solutions.
* Leading the development of advanced AI and machine learning models to solve complex business problems.
* Analyzing large datasets to identify patterns and trends that can inform AI development.
* Collaborating with cross\-functional teams to ensure AI solutions are aligned with business goals and customer needs.
* Evaluating and creating new frameworks and defining methodologies and governance.
* Mentoring junior data scientists and provide guidance on AI and machine learning best practices.
* Working with product leaders to apply data science solutions. Leading small\- to medium\-sized teams (direct or indirect).
**Requirements** 
* Possess an advanced or Master's education in Computer Science, Mathematics, Statistics, or a related field.
* 5\+ years of experience using NLP tools and methods such as OpenNLP, Stanford NLP, LDA, Gensim, spaCy
* Be proficient in working with big data technologies and tools like Hadoop, Spark, or AWS.
* Possess advanced programming skills in Python, R, or other relevant languages for data analysis.
* Have experience working directly with large language models and transformer\-based architectures including BERT, RoBERTa, T5 etc.
* Be proficient in working with big data technologies and tools.
* Experience using Machine Learning and associated packages like scikit\-learn, pandas, NumPy.
* Have experience and knowledge of applying LLMs including ChatGPT, GPT 3\.5, Claude, Mistral, etc.
* Be a natural problem solver, able to lead and mentor junior data scientists, and collaborate with cross\-functional teams.
* Demonstrate proficient experience with machine learning algorithms, including deep learning, gradient boosting, and random forests.</t>
        </is>
      </c>
    </row>
    <row r="31">
      <c r="A31" t="inlineStr">
        <is>
          <t>li-4331385440</t>
        </is>
      </c>
      <c r="B31" t="inlineStr">
        <is>
          <t>Principal Data Scientist – Product</t>
        </is>
      </c>
      <c r="C31" t="inlineStr">
        <is>
          <t>Gusto</t>
        </is>
      </c>
      <c r="D31" t="inlineStr">
        <is>
          <t>linkedin</t>
        </is>
      </c>
      <c r="E31" t="inlineStr"/>
      <c r="F31" t="inlineStr"/>
      <c r="G31" t="inlineStr"/>
      <c r="H31" t="inlineStr"/>
      <c r="I3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Principal Data Scientists with extensive experience (10\+ years) applying their expertise in a business environment. As a Product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Data Scientist roles open at this senior\-most level, each focused on a different area critical area of our businesses.
**Here’s What You’ll Do Day\-to\-day**
* Strategic Leadership: Shape the analytical strategy for a major product or business area. Identify high\-leverage opportunities, set long\-term measurement and experimentation direction, and align executive stakeholders around data\-driven priorities.
* Execution Excellence: Drive and execute on org\-level analytical roadmaps that shape company strategy. Achieve alignment and ensure consistent analytical rigor and metric integrity across product domains.
* Scaled Impact: In addition to being an expert in statistical methods and driving impact through execution, you will drive frameworks for experimentation, causal analysis, and metric design that scale across multiple teams and influence org\-wide decision quality.
* Thought Partnership: Serve as a trusted advisor to senior product, engineering, and business leaders. Anticipate emerging questions, proactively define success measures, and advocate for data\-informed strategy across the org.
* Analytical Innovation: Push the boundaries of statistical modeling, experimentation, and AI\-assisted analytics. Design methods and tools that expand how Gusto leverages data to drive customer and business impact.
* Mentorship: Mentor and coach more junior data scientists, raising the bar for analytical thinking and storytelling.
**Here’s What We're Looking For**
* 10\+ years of experience in Data Science at a product\-focused software company.
* Strong SQL and Python skills.
* Proven ability to apply statistical methods, causal inference, and experimental design to real business problems.
* Experience developing Machine Learning models is a plus.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$184,000/yr \- $210,000/yr in Denver, $200,000/yr \- $236,000/yr in Los Angeles, $217,000/yr \- $250,000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2">
      <c r="A32" t="inlineStr">
        <is>
          <t>li-4353914637</t>
        </is>
      </c>
      <c r="B32" t="inlineStr">
        <is>
          <t>Lead D&amp;T Data Scientist - Marketing Measurement - Remote Eligible</t>
        </is>
      </c>
      <c r="C32" t="inlineStr">
        <is>
          <t>General Mills</t>
        </is>
      </c>
      <c r="D32" t="inlineStr">
        <is>
          <t>linkedin</t>
        </is>
      </c>
      <c r="E32" t="inlineStr"/>
      <c r="F32" t="inlineStr"/>
      <c r="G32" t="inlineStr">
        <is>
          <t>Minneapolis, MN</t>
        </is>
      </c>
      <c r="H32" t="inlineStr"/>
      <c r="I32" t="inlineStr">
        <is>
          <t>Do you love using data and causal methods to shape real marketing decisions and budgets? As a
 **Lead Data Scientist – Marketing Measurement** 
 at General Mills, you’ll use advanced
 **statistics, econometrics, and machine learning** 
 to measure what truly drives growth and to optimize how we invest our marketing dollars across channels.
 You will partner closely with
 **marketing, and media** 
 teams to build and evolve our
 **Marketing Mix Models (MMM)** 
 and related measurement frameworks—translating complex insights into clear recommendations that influence brand and portfolio strategy. To make the food people love, we need to make sure we feed our decision makers the right data and solutions at the right time, every time. You will play a critical role in that mission.
**Key Accountabilities**
*Measurement \&amp; Modeling*
* Develop, validate, and maintain robust Marketing Mix Models (MMM) and related marketing effectiveness models to quantify the impact of media and non\-media drivers on business outcomes.
* Design and implement causal measurement strategies, including approaches such as Difference\-in\-Differences, Regression Discontinuity, and causal ML, to estimate incremental impact.
* Conduct in\-depth statistical and econometric analysis to measure marketing effectiveness, forecast future performance, and inform investment and scenario planning.
*Experimentation \&amp; Optimization*
* Design, recommend, and execute statistically rigorous A/B and multivariate tests (“Test \&amp; Measurement”) for marketing campaigns.
* Recommend optimal budget allocation and channel mix strategies based on model outputs and experiment results.
* Collaborate with machine learning engineering and data engineering to ensure models are production\-ready, monitored, and continuously improved.
*Stakeholder Influence*
* Translate complex model insights into clear, actionable recommendations for diverse stakeholders, including marketing, media, and senior leadership.
* Partner with business and product owners to frame ambiguous problems, shape learning agendas, and prioritize high\-impact measurement initiatives.
* Provide thought leadership on marketing effectiveness and help shape how General Mills measures and learns from its marketing investments.
*Technical \&amp; Team Leadership*
* Provide data science leadership within a product/team context, including roadmap input, technical standards, and best practices.
* Coach and mentor junior data scientists, providing guidance on solution design, methods, and domain\-specific techniques.
* Contribute to the broader data science community at General Mills through knowledge sharing, documentation, and collaboration.
**Minimum Qualifications**
*Education \&amp; Experience*
* One of the following:
* Graduate degree (Master’s or PhD) in Mathematics, Statistics, Data Science, Operations Research, Econometrics, Applied Economics, Computer Science, or a related quantitative field with 5\+ years of professional experience as a hands\-on coding Data Scientist, or
* Bachelor’s degree in a related quantitative field with 7\+ years of professional experience as a hands\-on coding Data Scientist.
* Substantial, real\-world experience with Marketing Mix Modeling:
* Hands\-on responsibility for building, refining, or maintaining MMM (or very closely related marketing effectiveness models) that have been used to guide budget allocation or channel strategy.
*Technical Expertise*
* Expert\-level programming in Python and SQL, including demonstrated experience working with large, complex datasets and writing advanced SQL queries.
* Deep understanding of causal modeling principles (e.g., DAG design, assumptions and falsification, Difference\-in\-Differences, Regression Discontinuity) and regression modeling (e.g., panel data, time series, regularized regression such as ridge).
* Experience with Bayesian modeling (e.g., PyMC) and MMM / marketing effectiveness frameworks (e.g., PyMC\-based MMM, Meridian, Robyn, or similar).
* Familiarity with modern machine learning methods, such as Gradient Boosting / XGBoost, and how to integrate these into broader modeling solutions.
* Experience working in cloud\-based data and AI environments.
*Business \&amp; Communication*
* Proven track record of influencing marketing and business decisions using MMM and other measurement approaches, including surfacing insights and tradeoffs to senior stakeholders.
* Ability to translate complex analytical and statistical concepts into clear narratives, visualizations, and recommendations for non\-technical audiences.
* Highly curious, adaptable, and comfortable working independently on complex, ambiguous problems, with a strong bias for action and effective prioritization and time management.
**Preferred Qualifications**
* Experience in marketing analytics agencies, consulting firms, or in\-house media/marketing effectiveness teams.
* Experience with MLOps practices for analytical models (versioning, monitoring, performance tracking) is a plus.
**Additional Considerations**
* The preferred location for this role is Minneapolis, MN; however remote work\-at\-home applications within the United States will be considered.
* Relocation or international remote working arrangements (outside of the US) will not be considered.
* Applicants for this position must be currently authorized to work in the United States on a full\-time basis.
* General Mills will not sponsor applicants for this position for work visas
**Salary Range**
 The salary range for this position is $126700\.00 \- $211200\.00 / Annually. At General Mills we strive for each employee's pay at any point in their career to reflect their experiences performance and skills for their current role. The salary range for this role represents the numerous factors considered in the hiring decisions including, but not limited to, educations, skills, work experience, certifications, etc. As such, pay for the successful candidate(s) could fall anywhere within the stated range. Beyond base salary, General Mills offers a competitive Total Rewards package focusing on your overall well\-being. We are proud to offer a foundation of health benefits, retirement and financial wellbeing, time off programs, wellbeing support and perks. Benefits may vary by role, country, region, union status, and other employment status factors. You may also be eligible to participate in an annual incentive program. An incentive award, if any, depends on various factors, including, individual and organizational performance.
**Reasonable Accommodation Request**
 If you need to request an accommodation during the application or hiring process, please fill out our online accommodations request form by following this link:
 **Accommodations Request.**</t>
        </is>
      </c>
    </row>
    <row r="33">
      <c r="A33" t="inlineStr">
        <is>
          <t>li-4250759150</t>
        </is>
      </c>
      <c r="B33" t="inlineStr">
        <is>
          <t>Sr. Applied Scientist, Prime Video - Personalization and Discovery Science</t>
        </is>
      </c>
      <c r="C33" t="inlineStr">
        <is>
          <t>Prime Video &amp; Amazon MGM Studios</t>
        </is>
      </c>
      <c r="D33" t="inlineStr">
        <is>
          <t>linkedin</t>
        </is>
      </c>
      <c r="E33" t="inlineStr"/>
      <c r="F33" t="inlineStr"/>
      <c r="G33" t="inlineStr">
        <is>
          <t>Sunnyvale, CA</t>
        </is>
      </c>
      <c r="H33" t="inlineStr"/>
      <c r="I3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Seattle \- 167,100\.00 \- 226,100\.00 USD annually
**Company** 
 \- Amazon.com Services LLC
 Job ID: A3011754</t>
        </is>
      </c>
    </row>
    <row r="34">
      <c r="A34" t="inlineStr">
        <is>
          <t>li-4370984708</t>
        </is>
      </c>
      <c r="B34" t="inlineStr">
        <is>
          <t>Senior Applied Scientist</t>
        </is>
      </c>
      <c r="C34" t="inlineStr">
        <is>
          <t>Microsoft</t>
        </is>
      </c>
      <c r="D34" t="inlineStr">
        <is>
          <t>linkedin</t>
        </is>
      </c>
      <c r="E34" t="inlineStr"/>
      <c r="F34" t="inlineStr"/>
      <c r="G34" t="inlineStr">
        <is>
          <t>Seattle, WA</t>
        </is>
      </c>
      <c r="H34" t="inlineStr"/>
      <c r="I34"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to deliver high quality search results by document/answers summarization for representation and ranking, query and document understanding, and AI search grounding.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improve large\-scale machine learning models for Bing Search relevance and ranking, with a focus on transformer\-based and LLM\-powered approaches.
* Own end\-to\-end model development, including problem formulation, feature design, training, offline evaluation, and online A/B experimentation.
* Develop and optimize multi\-stage ranking stacks (recall, coarse ranking, fine ranking) to deliver high\-quality, low\-latency search results at global scale.
* Leverage LLMs for query and document understanding, summarization, representation learning, and grounding to enhance ranking quality.
* Address cold\-start and sparse\-data challenges through content understanding, pre\-training, and representation sharing.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building and improving large scale Machine Learning system for search, ads, and recommendation.
* Research background on Machine Learning, LLM and NLP.
* Fantastic problem solver: ability to identify and solve problems that the world has not solved before.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
      <c r="A35" t="inlineStr">
        <is>
          <t>li-4370985639</t>
        </is>
      </c>
      <c r="B35" t="inlineStr">
        <is>
          <t>Principal Data Scientist</t>
        </is>
      </c>
      <c r="C35" t="inlineStr">
        <is>
          <t>Microsoft</t>
        </is>
      </c>
      <c r="D35" t="inlineStr">
        <is>
          <t>linkedin</t>
        </is>
      </c>
      <c r="E35" t="inlineStr"/>
      <c r="F35" t="inlineStr"/>
      <c r="G35" t="inlineStr"/>
      <c r="H35" t="inlineStr"/>
      <c r="I35" t="inlineStr">
        <is>
          <t>**Overview**
 Do you thrive on solving complex problems, uncovering insights, and shaping innovative solutions that make a real impact? Are you excited by the challenge of turning data into actionable strategies for some of the world’s most influential organizations? At Microsoft, we believe in empowering every person and every organization on the planet to achieve more.
 Our team embraces a growth mindset, values authenticity, and encourages diverse perspectives. We combine technical excellence with creativity to deliver life\-changing innovations that impact billions globally. If you’re passionate about machine learning, AI, and driving business transformation through data, this is your opportunity to lead and inspire.
 As a Principal Data Scientist, you will
 **own end\-to\-end delivery of strategic data science projects** 
 and partner with customers and internal teams to design and implement advanced analytics and AI solutions that create measurable business impact. This role blends deep, hands on technical knowledge with consulting and stakeholder engagement, enabling you to influence decisions and guide adoption of data\-driven strategies.
 At Microsoft, our mission to empower every person and every organization on the planet to achieve more guides how we partner with customers to deliver trusted, impactful solutions. With a growth mindset culture, we innovate responsibly and measure success by shared progress people, teams, and customers. Join us to do meaningful work that changes the world and helps shape what’s next for everyone.
**Responsibilities**
* Leverage data science and business domain knowledge to improve business performance, evaluate project plans, communicate business goals, and share insights with business stakeholders
* Lead the design and development of Data Science and broader AI solutions of a team of data scientists and engineers.
* Engage with business stakeholders to bring them along with business performance improvement with data and AI
* Apprentice and generate the next generation of data scientists and actively participate and lead their mentoring
* Acquire, prepare, and explore data through querying, visualisation, reporting techniques, and collaboration with other teams, ensuring data integrity.
* Apply machine learning and statistical analysis to develop models, train, optimise, and evaluate them, and communicate findings to stakeholders.
* Test, review, and improve models by analysing performance, incorporating feedback, and contributing to the review process.
* Write and debug efficient and scalable code while collaborating with engineering teams and integrate data models into customer systems.
* Collaborate with customers and Microsoft teams to define business needs, create roadmaps for performance improvements, and influence stakeholders using storytelling and visual tools to drive solution value.
* Uphold ethical standards by emphasizing Responsible AI principles in guiding stakeholders throughout the process.
* Focus on customer needs and perspectives to promote adoption and build trust.
* Develop and execute tailored solutions by overcoming obstacles and leveraging in\-depth knowledge of Microsoft products.
* Maintain transparency about data limitations to set realistic expectations and ensure accountability.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cross functional team members.
* As a demonstrated industry thought leader in data science, you will build an in\-depth understanding of industry problems domain and apply both technical and domain knowledge to drive novel customer experiences. You’ll also write extensible code that solves complex business problems spanning the entire software development lifecycle.
* You will define business, customer, and solution strategy goals, and partner with other teams to identify and explore new opportunities. You’ll also commit to a customer\-oriented focus by acknowledging their needs and offer pragmatic customer solutions that align with their data capabilities.
* You will embody our culture and values.
**Qualifications**
**Required/minimum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**Other Qualifications**
**Citizenship \&amp; Citizenship Verification:** 
 This position requires verification of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and as a condition of employment, the successful candidate’s citizenship will be verified with a valid passport.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3 to 5 years of Consulting (including System Integrator, Technical Consulting or Management Consulting) experience.
* Experience developing and deploying Agentic AI solutions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li-4370677250</t>
        </is>
      </c>
      <c r="B36" t="inlineStr">
        <is>
          <t>Data Scientist</t>
        </is>
      </c>
      <c r="C36" t="inlineStr">
        <is>
          <t>Jobs via Dice</t>
        </is>
      </c>
      <c r="D36" t="inlineStr">
        <is>
          <t>linkedin</t>
        </is>
      </c>
      <c r="E36" t="inlineStr"/>
      <c r="F36" t="inlineStr"/>
      <c r="G36" t="inlineStr"/>
      <c r="H36" t="inlineStr"/>
      <c r="I36" t="inlineStr">
        <is>
          <t>Dice is the leading career destination for tech experts at every stage of their careers. Our client, Rose IT Corp., is seeking the following. Apply via Dice today!
 Data Scientist
 Introduction
 We are seeking a versatile Data Scientist to join our team and help shape the future of our business operations. This role is a unique hybrid of classical machine learning and applied AI. You will tackle diverse and impactful projects, from building predictive models that drive key business decisions to characterizing and optimizing the performance of our emerging AI agentic systems. In this role, you will act as both a builder, developing and deploying ML models, and a strategic partner, consulting with business teams to unlock new opportunities with data and AI. If you are passionate about wearing multiple hats, working in a fast\-paced setting, and delivering high\-quality, impactful work.
**Responsibilities**
* Develop \&amp; Deploy Classical ML Models: Own the end\-to\-end lifecycle of machine learning projects. You'll build and productionize sophisticated models for critical business areas such as marketing attribution, customer churn prediction, and finance forecasting.
* Collaborate with Business Teams: Work closely with various business teams to understand their needs and provide data\-driven solutions. Use your expertise in AI and ML to drive strategic decision\-making.
* Research \&amp; Development: Stay up\-to\-date with the latest advancements in AI and ML technologies. Conduct research and experiments to improve existing models and explore new opportunities.
* Data Analysis: Collect, clean, and analyze data to extract valuable insights. Use statistical techniques to interpret data and communicate findings to stakeholders.
* Optimize AI Systems: Monitor and optimize the performance of AI systems to ensure efficiency and accuracy. Implement improvements based on feedback and data analysis.
**Requirements**
**Required Skills:** 
 Artificial Intelligence, Business Operations, Forecasting, Machine Learning (ML), Marketing, HATS
**Preferred Skills:** 
 Experience with Python, R, SQL, Data Visualization tools</t>
        </is>
      </c>
    </row>
    <row r="37">
      <c r="A37" t="inlineStr">
        <is>
          <t>li-4250751991</t>
        </is>
      </c>
      <c r="B37" t="inlineStr">
        <is>
          <t>Sr. Applied Scientist, Prime Video - Personalization and Discovery Science</t>
        </is>
      </c>
      <c r="C37" t="inlineStr">
        <is>
          <t>Prime Video &amp; Amazon MGM Studios</t>
        </is>
      </c>
      <c r="D37" t="inlineStr">
        <is>
          <t>linkedin</t>
        </is>
      </c>
      <c r="E37" t="inlineStr"/>
      <c r="F37" t="inlineStr"/>
      <c r="G37" t="inlineStr">
        <is>
          <t>Seattle, WA</t>
        </is>
      </c>
      <c r="H37" t="inlineStr"/>
      <c r="I3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Seattle \- 167,100\.00 \- 226,100\.00 USD annually
**Company** 
 \- Amazon.com Services LLC
 Job ID: A3011754</t>
        </is>
      </c>
    </row>
    <row r="38">
      <c r="A38" t="inlineStr">
        <is>
          <t>li-4364257663</t>
        </is>
      </c>
      <c r="B38" t="inlineStr">
        <is>
          <t>Senior Data Scientist, Amazon Stores Finance Science, Amazon Stores Finance Science</t>
        </is>
      </c>
      <c r="C38" t="inlineStr">
        <is>
          <t>Amazon</t>
        </is>
      </c>
      <c r="D38" t="inlineStr">
        <is>
          <t>linkedin</t>
        </is>
      </c>
      <c r="E38" t="inlineStr"/>
      <c r="F38" t="inlineStr"/>
      <c r="G38" t="inlineStr">
        <is>
          <t>Sunnyvale, CA</t>
        </is>
      </c>
      <c r="H38" t="inlineStr"/>
      <c r="I38" t="inlineStr">
        <is>
          <t>**Description**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
**Company** 
 \- Amazon.com Services LLC
 Job ID: A3161846</t>
        </is>
      </c>
    </row>
    <row r="39">
      <c r="A39" t="inlineStr">
        <is>
          <t>li-4370984707</t>
        </is>
      </c>
      <c r="B39" t="inlineStr">
        <is>
          <t>Senior Applied Scientist</t>
        </is>
      </c>
      <c r="C39" t="inlineStr">
        <is>
          <t>Microsoft</t>
        </is>
      </c>
      <c r="D39" t="inlineStr">
        <is>
          <t>linkedin</t>
        </is>
      </c>
      <c r="E39" t="inlineStr"/>
      <c r="F39" t="inlineStr"/>
      <c r="G39" t="inlineStr">
        <is>
          <t>Redmond, WA</t>
        </is>
      </c>
      <c r="H39" t="inlineStr"/>
      <c r="I39" t="inlineStr">
        <is>
          <t>**Overview**
 Our team (Signals Modeling) builds the core intelligence that understands and predicts how users interact with ads \- from the first impression through clicks, post\-click engagement, and downstream business outcomes.
 We design and train transformer\-based models with billions of parameters that power ad ranking, pricing, and optimization across large\-scale consumer surfaces. These models go well beyond simple click prediction: they reason over long user histories, rich ad and content representations, and heterogeneous event streams to infer user intent and advertiser value, even when ground truth signals are sparse or partially unobservable.
 The team owns end\-to\-end ML systems, including large\-scale data and label construction, representation learning, multi\-task and proxy objectives, calibration, and rigorous offline and online evaluation. We build sophisticated training pipelines that transform weak signals (e.g., page visits, dwell time, or engagement events) into high\-quality learning targets, and deploy models that remain robust under delayed conversions and shifting marketplace dynamics.
 Engineers and scientists on the team work at the intersection of deep learning, large\-scale experimentation, and marketplace economics, shipping production\-grade models and data pipelines that directly drive revenue and advertiser ROI. This is a hands\-on role with real ownership: you’ll help shape next\-generation transformer architectures, push the limits of scalable training and serving, and see your models make measurable impact in one of the world’s largest ads ecosystems.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modeling and data innovations for ad interaction outcome prediction under partial and noisy feedback.
* Focus on building estimated conversion models, designing data\-driven attribution and weak\-label generation pipelines, and developing robust learning and calibration methods for scenarios where true user outcomes are sparse, delayed, or unobservable.
* Design and evaluate multi\-task and proxy\-signal models, improve offline and online measurement frameworks, and translate modeling advances into production\-ready systems that directly impact ad ranking, bidding, advertiser ROI, and user experience at web scale.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Experience presenting at conferences or other events in the outside research/industry community as an invited speaker.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working with noisy, weak, or proxy labels, including building training signals from indirect user behavior.
* Experience with conversion, outcome, or funnel modeling (e.g., post\-click modeling, engagement modeling, attribution, or similar problems).
* Familiarity with model calibration, reliability analysis, or uncertainty estimation in production systems.
* Background in causal inference, attribution, or counterfactual evaluation.
* Experience with large\-scale online marketplaces or ads/recommendation systems.
* Experience designing or operating multi\-task / auxiliary\-task learning systems.
* Proven technical leadership in cross\-team modeling efforts or platform\-level ML systems.
* 4\+ years of industry experience building and shipping machine learning models in production.
* Solid hands\-on experience with modern ML models (e.g., deep learning, tree\-based models, or linear models) and feature engineering.
* Solid understanding of supervised learning and multi\-task learning.
* Practical experience working with large\-scale, real\-world data and building end\-to\-end modeling pipelines (data preparation, training, validation, deployment).
* Experience with offline evaluation and online A/B experimentation for ML systems.
* Solid programming skills in Python and at least one major ML framework (e.g., PyTorch or TensorFlow).
* Ability to independently drive modeling projects from problem definition through production and iteration.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li-4370638952</t>
        </is>
      </c>
      <c r="B40" t="inlineStr">
        <is>
          <t>Staff Applied Scientist - AI &amp; Robotics</t>
        </is>
      </c>
      <c r="C40" t="inlineStr">
        <is>
          <t>Tata Consultancy Services</t>
        </is>
      </c>
      <c r="D40" t="inlineStr">
        <is>
          <t>linkedin</t>
        </is>
      </c>
      <c r="E40" t="inlineStr"/>
      <c r="F40" t="inlineStr"/>
      <c r="G40" t="inlineStr">
        <is>
          <t>Mountain View, CA</t>
        </is>
      </c>
      <c r="H40" t="inlineStr"/>
      <c r="I40" t="inlineStr">
        <is>
          <t>**Job Description**
 Must Have Technical/Functional Skills
* PhD in a relevant STEM field, or Master’s with equivalent industry experience in robotics, robot learning, or embodied AI.
* Proven experience building and deploying machine learning models on robotic systems—including training, evaluation, and real\-world execution or simulation.
* Deep understanding of modern AI architectures (e.g., Transformers, diffusion models, VLM/VLAs, CNNs) with strong experience training models at scale.
* Strong PyTorch implementation skills,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Roles \&amp; Responsibilities
* Design and implement advanced robot learning architectures (e.g., diffusion policies, ACT, VLM/VLA\-guided agents, imitation learning) to support dexterous manipulation, path planning, and autonomous task sequencing.
* Develop end\-to\-end policy training pipelines, integrating multi\-modal sensory data (RGB, depth, proprioception, force/torque, LiDAR, tactile inputs) with control outputs.
* Build policy inference and closed\-loop control that connect perception, planning, and execution on physical robotic platforms.
* Apply and extend large\-scale architectures—LLMs, VLM/VLAs, diffusion models—to embodied tasks, grounding, and sim\-to\-real adaptation.
* Collaborate with cross\-functional teams to deploy robot policies on hardware, ensuring robustness, repeatability, and safety.
* Lead data strategy for demonstrations, teleoperation, simulation pipelines, and evaluation frameworks for manipulation policies.
* Stay current with embodied AI research and share insights internally through discussion, mentorship, and technical presentations
 Base Salary Range : $130,000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41">
      <c r="A41" t="inlineStr">
        <is>
          <t>li-4371003533</t>
        </is>
      </c>
      <c r="B41" t="inlineStr">
        <is>
          <t>Data Scientist (CBP BI Required)</t>
        </is>
      </c>
      <c r="C41" t="inlineStr">
        <is>
          <t>Elder Research</t>
        </is>
      </c>
      <c r="D41" t="inlineStr">
        <is>
          <t>linkedin</t>
        </is>
      </c>
      <c r="E41" t="inlineStr"/>
      <c r="F41" t="inlineStr"/>
      <c r="G41" t="inlineStr"/>
      <c r="H41" t="inlineStr"/>
      <c r="I41" t="inlineStr">
        <is>
          <t>**Job Title: Data Scientist**
**Workplace: Remote** 
 (preference for candidates located in the National Capital Region \- DMV)
**Clearance Required:**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 Advanced Degree (Masters or PhD) in Statistics, Applied Mathematics, Data Science, Computer Science, Operations Research or other closely related other quantitative or mathematical discipline. A PhD degree may be substituted for up to three (3\) years of relevant experience.
* Demonstrates knowledge of data mining methods, databases, data visualization and machine learning.
* Ability to communicate analysis techniques, concepts and products.
* Ability to develop data\-driven solutions, data models, and visualizations
**Preferred Experience And Skills**
* Expertise using Qlik to embed visualizations into webpages
* Experience with Tableau and Power BI tools.
* Familiarity with Databricks or similar cloud\-based distributed database technologies
* Familiarity with PySpark and Python
* Comfortable developing complex SQL queries to extract, transform, and load data
* Experience with analytic techniques such as Anomaly detection, Clustering, and Time\-series (e.g., ARIMA)
* Experience implementing NLP concepts including preprocessing (stemming, etc.), TF\-IDF, Named Entity Recognition, and LLMs.
* Demonstrated experience within an AWS environment (AWS certifications preferred).
* Familiarity with industry best\-practices for software\-hardware optimization when processing large sets of data.
**Why apply to this position at Elder Research?**
* Competitive Salary and Benefits
* Important Work / Make a Difference: supporting Customs and Border Protection in their efforts to protect the United States.
* Job Stability: Elder Research is not a typical government contractor, we hire you for a career not just a contract.
* Remote Work: in an industry of declining remote work opportunities.
* People\-Focused Culture: we prioritize work\-life\-balance and provide a positive, supportive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42">
      <c r="A42" t="inlineStr">
        <is>
          <t>li-4370948601</t>
        </is>
      </c>
      <c r="B42" t="inlineStr">
        <is>
          <t>Data Scientist</t>
        </is>
      </c>
      <c r="C42" t="inlineStr">
        <is>
          <t>Prodege, LLC</t>
        </is>
      </c>
      <c r="D42" t="inlineStr">
        <is>
          <t>linkedin</t>
        </is>
      </c>
      <c r="E42" t="inlineStr"/>
      <c r="F42" t="inlineStr"/>
      <c r="G42" t="inlineStr"/>
      <c r="H42" t="inlineStr"/>
      <c r="I42" t="inlineStr">
        <is>
          <t>**Job Description**
****Strategic Imperative:****
 The
 **Data Scientist** 
 role with a focus on Predictive Modeling, is responsible for developing, evaluating, and refining analytical and machine learning models that predict user behavior and optimize business outcomes across our suite of products. This role focuses on modeling, feature development, and offline evaluation to support performance marketing, insights and other strategic initiatives.
 The position applies statistical and machine learning techniques to large\-scale behavioral and transactional data to improve ranking, recommendation and yield optimization. While this role partners closely with Engineering and ML Engineering teams, it does not own production deployment, infrastructure, or MLOps.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 We are seeking candidates who reside in the continental US. Work Visa sponsorship is available for qualified candidates. \*\*\*
**Primary Objectives**
* Improve Yield Through Predictive Modeling: Drive yield optimization through the ideation and development of machine learning models for recommendations, ranking and yield optimization use cases
* Organizational Data Science Advancement: Expand the application of machine learning across business functions through identification of opportunities and modeling, analysis, and offline evaluation.
* Data Design: Leading feature engineering and defining key concepts to be formalized within the feature store.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Business Translation \&amp; Modeling Framework Design:
+ Partner with Product and other business stakeholders to frame business problems into well\-defined modeling objectives and hypotheses.
+ Select appropriate modeling techniques (e.g., classification, regression, deep learning, reinforcement learning) based on use case and data characteristics.
+ Define success metrics and evaluation criteria that align model performance with business impact.
+ Document modeling assumptions, tradeoffs, and intended use to ensure clarity, transparency, and alignment across teams
* Data Analysis \&amp; Feature Development
+ Perform analysis on large\-scale behavioral and transactional datasets to identify patterns, drivers, and potential predictive signal
+ Engineer features from user behavior, lifecycle activity, offer attributes, and revenue data to support modeling objectives
+ Collaborate with ML team to ensure features properly registered within feature store
* Model Development \&amp; ML Collaboration:
+ Leverage appropriate modeling frameworks and packages to build high performing predictive models
+ Perform model tuning, validation, and comparison using appropriate metrics, cross\-validation, and offline testing frameworks
+ Interpret model outputs to assess business relevance, identify strengths and limitations, and validate against observed behavior
+ Leverage appropriate frequentist and Bayesian approaches to measure model performance and define strategies for balancing exploration and exploitation
+ Document modeling approaches, performance results, and learnings in model cards to support reuse, iteration, and long\-term knowledge building
+ Enable ML team to deploy models; collaborate on retraining and maintenance plans
****What does SUCCESS look like?****
 Success in this role is demonstrated by the delivery of predictive models that materially improve yield management and optimizes engagement and revenue. Over time, success is reflected in models that are trusted by stakeholders, features that consistently capture meaningful behavioral signals, and clear evidence that model\-driven decisions outperform prior approaches. Strong collaboration with Analytics Engineering and Machine Learning partners, thorough documentation of methods and learnings, and measurable business impact are hallmarks of high performance in this role.
****The MUST Haves:****
 (
 *ex: job cannot be done without these skills, education, experience, certifications, licenses* 
 )
* Bachelor’s or Master’s degree in Computer Science, Data Science, Statistics, Mathematics, or a related quantitative field
* Three or more (3\+) years experience performing deep data analysis and training machine learning models
* Strong foundation in machine learning and statistical modeling (classification, regression, ranking, optimization)
* Experience with ranking, recommendation systems, and personalization models
* Fluency in Python and common ML libraries (scikit\-learn, XGBoost/LightGBM, PyTorch, or TensorFlow)
* Fluency in SQL and ability to work with large, event\-level datasets in data warehouse environments (e.g., Snowflake, BigQuery, Redshift)
* Experience with feature engineering, model evaluation, and performance diagnostics
* Strong analytical reasoning and ability to translate business questions into modeling approaches
* Clear communication skills, particularly in explaining model results and tradeoffs to non\-technical stakeholders
* Understanding of ML Ops concepts and the ability to collaborate effectively with ML Engineering and ML Ops teams
* Excellent attention to detail
* Proficiency in critical thinking and problem solving.
****The Nice to Haves:** 
 (
 *preferred additional skills, education, experience, certifications, licenses* 
 )**
* Hands\-on experience managing ML deployments and designing feature stores and registries
* Experience with AI/ML frameworks such as LangChain, LLMs, and HuggingFace
* Worked with distributed data processing frameworks (Spark, Ray, Flink, Trino).
* Experience with ML experiment tracking (e.g., ML Flow)
* Experience in loyalty programs or performance marketing or market research
* Experience with contextual multi armed bandit algorithms or reinforcement learning
* Preference modeling methods used in Conjoint/MaxDiff
* Understanding of Bayesian statistics inference (e.g., PyMC)
**Pay Transparency**
 The anticipated base salary range for this position is $150,000 to $180,000\.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43">
      <c r="A43" t="inlineStr">
        <is>
          <t>li-4342646490</t>
        </is>
      </c>
      <c r="B43" t="inlineStr">
        <is>
          <t>Data Scientist - Voleon Securities</t>
        </is>
      </c>
      <c r="C43" t="inlineStr">
        <is>
          <t>The Voleon Group</t>
        </is>
      </c>
      <c r="D43" t="inlineStr">
        <is>
          <t>linkedin</t>
        </is>
      </c>
      <c r="E43" t="inlineStr"/>
      <c r="F43" t="inlineStr"/>
      <c r="G43" t="inlineStr">
        <is>
          <t>Berkeley, CA</t>
        </is>
      </c>
      <c r="H43" t="inlineStr"/>
      <c r="I43" t="inlineStr">
        <is>
          <t>Voleon Securities, a new business within the Voleon Group, provides liquidity in securities markets. We apply state\-of\-the\-art AI/ML techniques to construct our liquidity\-provision strategies. For more than a decade, our affiliate Voleon Capital Management has led the hedge fund industry and worked at the frontier of applying AI/ML to investment management, becoming a multibillion\-dollar asset manager. Voleon Securities builds on Voleon’s deep real\-world experience applying ML to financial markets.
 We are looking for an entrepreneurial Data Scientist to build out the data analysis frameworks for our business. You will be responsible for harvesting insights from a complex array of data, like digging into complexmarket microstructure and deep dive analysis of our live algorithmic trading strategies.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44">
      <c r="A44" t="inlineStr">
        <is>
          <t>li-4350841863</t>
        </is>
      </c>
      <c r="B44" t="inlineStr">
        <is>
          <t>Data Scientist - Artificial Intelligence</t>
        </is>
      </c>
      <c r="C44" t="inlineStr">
        <is>
          <t>IBM</t>
        </is>
      </c>
      <c r="D44" t="inlineStr">
        <is>
          <t>linkedin</t>
        </is>
      </c>
      <c r="E44" t="inlineStr"/>
      <c r="F44" t="inlineStr"/>
      <c r="G44" t="inlineStr">
        <is>
          <t>New York, United States</t>
        </is>
      </c>
      <c r="H44" t="inlineStr"/>
      <c r="I44" t="inlineStr">
        <is>
          <t>**Introduction**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**Preferred Education**
 Bachelor's Degree
**Required Technical And Professional Expertise**
* 3\+ years of experience.
* Proven experience in machine learning, deep learning, and statistical modeling.
*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**Preferred Technical And Professional Experience**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 Understanding of ethical AI principles and data privacy regulations.</t>
        </is>
      </c>
    </row>
    <row r="45">
      <c r="A45" t="inlineStr">
        <is>
          <t>li-4370981987</t>
        </is>
      </c>
      <c r="B45" t="inlineStr">
        <is>
          <t>Data Scientist / Imaging Physics - Research</t>
        </is>
      </c>
      <c r="C45" t="inlineStr">
        <is>
          <t>MD Anderson Cancer Center</t>
        </is>
      </c>
      <c r="D45" t="inlineStr">
        <is>
          <t>linkedin</t>
        </is>
      </c>
      <c r="E45" t="inlineStr"/>
      <c r="F45" t="inlineStr"/>
      <c r="G45" t="inlineStr">
        <is>
          <t>Houston, TX</t>
        </is>
      </c>
      <c r="H45" t="inlineStr"/>
      <c r="I45" t="inlineStr">
        <is>
          <t>The University of Texas MD Anderson Cancer Center invites applications for a
 **Data Scientist** 
 (Computational Scientist) to join the Surgical Data Science Program within the Institute for Data Science in Oncology (IDSO). IDSO is composed of five major focus areas dedicated to advancing data science and emerging medical technologies to improve clinical care and operational excellence.
 Within the IDSO focus area on Quality, Safety, and Access, the Surgical Data Science Program brings together experts in data science, systems engineering, and technology development. This multidisciplinary team collaborates closely with surgeons, physicists, and engineers to deliver impactful research and translation in:
* Multidimensional data analysis (including medical imaging)
* Predictive modeling
* Clinical outcomes research
* Applied machine learning and AI in surgical and perioperative care
**Shift / hours:** 
 Based on business needs and 100% onsite
 The ideal applicant will have demonstrated experience with/in computing / programming (Python, Matlab, C\+\+, CUDA, Julia, R and/or SQL), machine learning / deep learning methods including neural network design, computer vision / image analysis, and statistical analysis
**Key Responsibilities**
 The Data Scientist will:
* Develop and apply advanced machine learning, deep learning, computer vision, and statistical modeling techniques.
* Conduct multidimensional data analyses, including medical image data, clinical data, and outcomes.
* Contribute to predictive modeling, decision\-support tools, and data\-driven clinical insights.
* Collaborate with a multidisciplinary team across surgery, physics, engineering, and data science.
* Support research translation into clinical workflows and operational improvement initiatives.
 Required Technical Expertise
 Candidates should demonstrate experience with:
 Programming \&amp; Computing
* Python, MATLAB, C\+\+, CUDA, Julia, R, and/or SQL
 Machine Learning / Deep Learning
* Neural network design and implementation
* Computer vision and image analysis
* Applied statistics and data modeling
**Preferred Experience With Scientific Computing Libraries**
* SciPy, pandas, statsmodels
* OpenCV, XGBoost
* PyTorch and/or TensorFlow
* SQL or other database querying languages
**Preferred Experience With Modern ML/Statistical Techniques**
* Regression, clustering, segmentation
* Time\-series analysis
* Recommender systems
* Predictive analytics
* Bayesian modeling
* Data fusion
* Supervised and unsupervised learning
* Decision trees, A/B testing
* Natural language processing (NLP)
**EDUCATION**
* Required: Bachelor's Degree Biomedical Engineering, Electrical Engineering, Computer Engineering, Physics, Applied Mathematics, Science, Engineering, Computer Science, Statistics, Computational Biology, or related field.
* Preferred: Master's Degree Science, Engineering or related field.
* Preferred: PhD Science, Engineering or related field.
**Work Experience**
* Required: 3 years Scientific software or industry development/analysis experience. or
* Required: 1 year Required experience with Master's degree. or
* Required: With PhD, no experience required.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178045
* Employment Status: Full\-Time
* Employee Status: Regular
* Work Week: Days
* Minimum Salary: US Dollar (USD) 106,500
* Midpoint Salary: US Dollar (USD) 133,000
* Maximum Salary : US Dollar (USD) 159,500
* FLSA: exempt and not eligible for overtime pay
* Fund Type: Soft
* Work Location: Onsite
* Pivotal Position: Yes
* Referral Bonus Available?: No
* Relocation Assistance Available?: Yes</t>
        </is>
      </c>
    </row>
    <row r="46">
      <c r="A46" t="inlineStr">
        <is>
          <t>li-4370678761</t>
        </is>
      </c>
      <c r="B46" t="inlineStr">
        <is>
          <t>Senior or Principal Data Scientist/Machine Learning Scientist</t>
        </is>
      </c>
      <c r="C46" t="inlineStr">
        <is>
          <t>Datalign Advisory</t>
        </is>
      </c>
      <c r="D46" t="inlineStr">
        <is>
          <t>linkedin</t>
        </is>
      </c>
      <c r="E46" t="inlineStr"/>
      <c r="F46" t="inlineStr"/>
      <c r="G46" t="inlineStr">
        <is>
          <t>Cambridge, MA</t>
        </is>
      </c>
      <c r="H46" t="inlineStr"/>
      <c r="I46" t="inlineStr">
        <is>
          <t>**Position Overview**
 We are seeking a Senior or Principal Data Scientist/Machine Learning Scientist to lead product\-focused artificial intelligence initiatives and facilitate strategic decision\-making through advanced analytics and machine learning. This role requires a proven track record of building and scaling data science products that directly impact user experience and business outcomes.
 As Data Scientist/Machine Learning Scientist, you will shape the future of how consumers connect with vetted financial advisory firms through our proprietary three\-sided marketplace, leveraging data and AI\-powered analytics to create meaningful one\-to\-one matches and improved financial outcomes.
**Please note:** 
 We are only accepting applications from candidates in the Greater Boston area, as this is a hybrid role with 4 days a week in office.
**Key Responsibilities**
* Conduct exploratory data analysis to uncover relationships, patterns and key features in data for both business decision making and model development.
* Develop and deploy machine learning models for production using robust CI/CD practices in collaboration with software engineers.
* Identify success metrics and build evaluation frameworks for both model and product performance considering both technical and business requirements.
* Innovate with the latest generative AI and graph\-based machine learning advancements to improve existing processes and develop new products.
* Contribute to architectural and code reviews to maintain and evolve the health of our technical stack.
* Collaborate with product management, engineering, and business teams to rapidly identify and test high\-impact solutions for business needs.
* Influence strategic decisions across multiple business areas by clearly communicating complex data in a way that is understandable and actionable for technical and non\-technical stakeholders.
**Required Qualifications**
* MS or PhD in Computer Science, Statistics, Mathematics, or related quantitative field
* MS with 6\+ years of industry experience or PhD with 3\+
* Entrepreneurial mindset with willingness to experiment, iterate quickly and move from hypothesis to implementation to develop critical business solutions.
* Expert\-level proficiency in Python, SQL, and distributed computing frameworks.
* Deep understanding of machine learning algorithms, experiment design and statistical modeling and evaluation
* Strong background in product analytics, classifiers, recommendation systems, and personalization algorithms
* Experience putting machine learning solutions in production with modern ML platforms (e.g. AWS/GCP/Azure ML, MLflow, Kubeflow)
* Familiarity with A/B testing, product metrics and user behavior analytics
**Preferred Qualifications**
* Experience with graph representations/graph neural networks, real\-time ML systems and/or matching algorithms.
* Proficiency in big data technologies (e.g. Spark, Dask, Kafka, Airflow) and cloud architectures.
* Background in fintech, wealth management, or financial advisory services with an understanding of the regulatory requirements in financial services.
* Track record of publications in top\-tier conferences or journals.
* Understanding of marketplace dynamics and multi\-sided platform optimization.
* Experience with data monetization and building data products
**What We Offer**
* A dynamic, team\-centric and supportive environment in the heart of Kendall Square where your work has a direct impact on enhancing financial advisory services.
* Competitive salary with performance\-based bonuses.
* Comprehensive benefits package including health, dental, and vision insurance, and retirement savings plan
* Commuting is on us and we will pay for your monthly parking, T Pass or commuter rail pass. We also offer a corporate Bluebike membership.
* Opportunities for professional growth and development within a rapidly growing company.
* Weekly lunches catered to the office.
* Fully stocked kitchen covering all of coffee, tea and snack needs.
**Additional Information**
* We are only accepting applications from candidates in the Greater Boston area, as this is a hybrid role with 4 days a week in office.
* The level of this position can be adjusted based on the candidate's experience.
 Powered by JazzHR</t>
        </is>
      </c>
    </row>
    <row r="47">
      <c r="A47" t="inlineStr">
        <is>
          <t>li-4370659039</t>
        </is>
      </c>
      <c r="B47" t="inlineStr">
        <is>
          <t>Data Scientist</t>
        </is>
      </c>
      <c r="C47" t="inlineStr">
        <is>
          <t>Tata Consultancy Services</t>
        </is>
      </c>
      <c r="D47" t="inlineStr">
        <is>
          <t>linkedin</t>
        </is>
      </c>
      <c r="E47" t="inlineStr"/>
      <c r="F47" t="inlineStr"/>
      <c r="G47" t="inlineStr">
        <is>
          <t>Addison, TX</t>
        </is>
      </c>
      <c r="H47" t="inlineStr"/>
      <c r="I47" t="inlineStr">
        <is>
          <t>**Job Description**
 Data scientist
 Must Have Technical/Functional Skills
 Primary: Artificial intelligence, ML, LLM
 Secondary: Data science, Python, NLP, Agile tools
 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Salary Range\- $120,000\-$135,000 a year
**Qualifications:** 
 BACHELOR OF COMPUTER SCIENCE</t>
        </is>
      </c>
    </row>
    <row r="48">
      <c r="A48" t="inlineStr">
        <is>
          <t>li-4331144837</t>
        </is>
      </c>
      <c r="B48" t="inlineStr">
        <is>
          <t>Risk Management &amp; Compliance - Data Scientist Lead, Executive Director</t>
        </is>
      </c>
      <c r="C48" t="inlineStr">
        <is>
          <t>JPMorganChase</t>
        </is>
      </c>
      <c r="D48" t="inlineStr">
        <is>
          <t>linkedin</t>
        </is>
      </c>
      <c r="E48" t="inlineStr"/>
      <c r="F48" t="inlineStr"/>
      <c r="G48" t="inlineStr">
        <is>
          <t>Jersey City, NJ</t>
        </is>
      </c>
      <c r="H48" t="inlineStr"/>
      <c r="I48"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challenging the status quo and striving to be best in class.
 As an Executive Director, Data Scientist in Risk Management \&amp; Compliance, you will have the opportunity to shape how we leverage artificial intelligence and advanced analytics to solve complex business challenges. You will guide us in exploring, piloting, and implementing transformative AI solutions—including GenAI—while collaborating closely with Product, Engineering, and Lines of Business. Together, we will foster a culture of experimentation, delivery, and continuous learning, encouraging new ideas and maintaining operational excellence.
 You will help build and mentor a high\-performing team focused on deep data understanding and advanced analytics, driving the development of robust tools and solutions using cutting\-edge AI/ML techniques, cloud technologies, and enterprise knowledge bases. In this strategic and hands\-on role, you will engage with technical aspects, review code, monitor the impact of production GenAI models, and enable rapid prototyping, ensuring our solutions deliver real business value and are seamlessly integrated into our operations.
**Job Responsibilities**
* Oversee and manage a global team of data scientists who are responsible for the development of predictive models, autonomous agents, and prompt\-based LLM solutions in collaboration with Engineering teams.
* Manage the end\-to\-end model development lifecycle, including planning, execution, continuous improvement, risk management, and ensuring solutions are scalable and aligned with business objectives.
* Collaborate with senior leaders to re\-engineer processes and define a compelling vision for the target state, by embedding AI into current workflows, driving change and efficiency.
* Design, build, and deploy impactful AI and data\-driven applications using cloud, data mesh, and knowledge base technologies such as centralized repositories, semantic search, and automated information retrieval systems that organize, store, and provide easy access to critical business data and insights.
* Integrate advanced analytics models and applications into operational workflows to ensure business value and adoption.
* Guide research initiatives and pilot projects to identify and apply cutting\-edge AI/ML solutions, including GenAI and agentic technologies.
* Implement robust drift monitoring and model retraining processes to maintain accuracy and performance (ongoing performance monitoring).
* Prepare and deliver executive\-level presentations and reports, communicating analytical findings and recommendations to senior leadership.
**Required Qualifications, Capabilities, And Skills**
* Minimum 10\+ years of experience in data science, analytics or a related field.
* Proven track record of deploying, operationalizing, and managing AI, ML, and advanced analytics models in a large\-scale enterprise environment, including hands\-on experience with ML Ops frameworks, tools, and best practices for model monitoring, automation, and lifecycle management.
* Significant leadership experience in managing data science/R\&amp;D teams and driving technology innovation.
* Extensive experience in AI/ML algorithms, statistical modeling, and scalable data processing pipelines, with a strong background in modern data platforms (e.g., Snowflake, Databricks), cloud\-based technologies, data mesh architectures, and big data ecosystems.
* Experience with A/B experimentation, data\- and metric\-driven product development, cloud\-native deployment in large\-scale distributed environments, and the ability to develop and debug production\-quality code.
* Strong written and verbal communication skills, with the ability to convey technical concepts and results to both technical and business audiences.
* Scientific mindset with the ability to innovate and work both independently and collaboratively within a team.
* Ability to thrive in a matrix environment and build partnerships with colleagues at various levels and across multiple locations.
* Proven experience in agentic frameworks (using CruxAI, Google ADK, LangGraph).
**Preferred Qualifications, Capabilities, And Skills**
* Advanced degree (Master’s or Ph.D.) in Data Science, Computer Science, Mathematics, Engineering, or a related field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9">
      <c r="A49" t="inlineStr">
        <is>
          <t>li-4371024295</t>
        </is>
      </c>
      <c r="B49" t="inlineStr">
        <is>
          <t>Data Scientist</t>
        </is>
      </c>
      <c r="C49" t="inlineStr">
        <is>
          <t>Airbnb</t>
        </is>
      </c>
      <c r="D49" t="inlineStr">
        <is>
          <t>linkedin</t>
        </is>
      </c>
      <c r="E49" t="inlineStr"/>
      <c r="F49" t="inlineStr"/>
      <c r="G49" t="inlineStr"/>
      <c r="H49" t="inlineStr"/>
      <c r="I49" t="inlineStr">
        <is>
          <t>**About The Company**
 Airbnb was founded in 2007 when two hosts welcomed three guests to their San Francisco home. Since then, the company has experienced exponential growth and now boasts over 5 million hosts worldwide who have welcomed more than 2 billion guest arrivals across nearly every country. Airbnb's platform offers unique stays and experiences that enable guests to connect authentically with local communities, fostering a sense of belonging and cultural exchange. The company's mission revolves around creating a world where anyone can belong anywhere, providing travelers with diverse options and hosts with opportunities to share their spaces and passions.
**About The Role**
 We are seeking a highly experienced and innovative Data Scientist to join our Listing Understanding Data Science team. In this role, you will leverage advanced machine learning techniques, particularly in Computer Vision (CV) and multimodal data analysis, to enhance the understanding of listing attributes through photos and related data. Your primary focus will be to develop and deploy models that improve the quality of listings, enrich guest experiences, and drive business impact. You will collaborate closely with cross\-functional teams, including product managers, engineers, and designers, to translate data insights into actionable product features. Your work will directly influence how listings are presented and understood on our platform, ensuring safety, effectiveness, and alignment with user needs and business goals. This role offers an exciting opportunity to lead technological innovation in a fast\-paced environment, making a meaningful difference in the way people connect and experience the world through Airbnb.
**Qualifications**
* 9\+ years of industry experience in applied Machine Learning, with a focus on Computer Vision
* Experience with CV models such as CLIP and ViT
* Expertise in causal inference, preferably with marketplace experience
* Advanced degree in Computer Science, Statistics, Econometrics, or a related field
* Proficiency in programming languages such as Python or R for data analysis
* Familiarity with SQL and developing proof\-of\-concept prototypes
* Deep understanding of Machine Learning best practices, including training/serving skew minimization, feature engineering, and model selection
* Knowledge of algorithms such as gradient\-boosted trees, neural networks, and deep learning techniques
* Strong communication skills for cross\-functional collaboration with product, engineering, and design teams
* Proven ability to work both independently and within collaborative environments
* Demonstrated engagement with the technical community and continuous learning mindset
**Responsibilities**
* Size business opportunities and develop strategic roadmaps for investments in CV and multimodal listing understanding
* Leverage photos and associated structured and unstructured data to build and enhance listing understanding models
* Build and refine causal models to analyze the impact of photos on guest search behavior, bookings, and trip quality
* Prototype, evaluate, and iterate machine learning product features in collaboration with engineering, product, and design teams
* Develop assessment frameworks to ensure CV and multimodal models are safe, effective, and aligned with user needs
* Measure the business value of technological improvements through experimentation and causal analysis
* Stay current with state\-of\-the\-art models and incorporate emerging techniques into product development
* Communicate insights and technical findings clearly to stakeholders across teams
**Benefits**
* Competitive salary and performance\-based bonuses
* Comprehensive health, dental, and vision insurance plans
* Flexible work arrangements including remote work options
* Generous paid time off and holiday leave
* Opportunities for professional development and continuous learning
* Employee travel credits and discounts
* Inclusive and diverse workplace culture that fosters innovation
 Equal Opportunity
 Airbnb is committed to creating an inclusive environment where all employees and applicants are treated with respect and fairness. We celebrate diversity and are dedicated to providing equal employment opportunities regardless of race, ethnicity, gender, age, disability, sexual orientation, gender identity, or any other characteristic protected by law. We encourage all qualified individuals to apply and join us in building a community that values belonging and innovation.</t>
        </is>
      </c>
    </row>
    <row r="50">
      <c r="A50" t="inlineStr">
        <is>
          <t>li-4371026696</t>
        </is>
      </c>
      <c r="B50" t="inlineStr">
        <is>
          <t>Data Scientist - FinLab</t>
        </is>
      </c>
      <c r="C50" t="inlineStr">
        <is>
          <t>McKinsey &amp; Company</t>
        </is>
      </c>
      <c r="D50" t="inlineStr">
        <is>
          <t>linkedin</t>
        </is>
      </c>
      <c r="E50" t="inlineStr"/>
      <c r="F50" t="inlineStr"/>
      <c r="G50" t="inlineStr">
        <is>
          <t>New York, NY</t>
        </is>
      </c>
      <c r="H50" t="inlineStr"/>
      <c r="I50"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Scientist you will help build the next generation of enterprise intelligence. You will support the FinLab team as a data scientist to analyze large amounts of data to drive insights that will be used to make strategic decisions for our clients.
 In this role, you will partner with client teams across project settings to develop AI\-enabled custom software tools that will be implemented directly within our client organizations. You will exercise your creative and technical skills whilst growing into a thought leader in the space of financial services and a technology leader at our firm.
 You will become an advocate for the use of data and analytics, guiding teams on the proper selection of datasets and analytic strategies to ensure we increase the value of impact we deliver to our clients. This will enable collaboration across other practices, analytics groups, and technical teams to ensure efforts are synergistic and cutting\-edge.
**Your Qualifications and Skills**
* Bachelor’s or advanced professional degree in engineering, computer science, statistics, or data science from a recognized accredited institution of higher learning, college or university; master’s degree is a plus with less than 2 years of work experience
* 3\+ years of professional experience as a data analyst or data scientist
* Skilled in coding languages (e.g., SQL, Python, R), visualization/BI tools (e.g., Tableau, PowerBI) and modeling (e.g., regression, forecasting, decision trees)
* Experience with data engineering practices including ETL pipelines, orchestration tools such as Airflow, and big data platforms like Databricks; hands\-on experience with data modelling techniques (e.g., 3NF, data vault, etc.), ability to work with both structured and unstructured data
* Experience with, or a strong desire to master, modern AI development frameworks like Langchain for orchestrating autonomous workflows, platforms like Amazon Bedrock for leveraging foundation models, and libraries like PydanticAI for ensuring structured, reliable data outputs.
* Consulting experience preferred especially within financial services space
* Comfortable working with Git, CI/CD tools, and modern development workflows
* Familiarity with Azure cloud services; experience with Kubernetes, Docker, and distributed computing frameworks is a plus
* Highly inquisitive and creative problem\-solver to help colleagues and clients draw new insights and impact out of data; excited about working in a cross\-cultural environment
* Entrepreneurial mindset and self\-starter to step into a fast\-paced and dynamic environment and ready to build a strong network across the practice
* Professional attitude, team player and service\-oriented mentality
* Expertise in communicating analytical and technical concepts to both technical and non\-technical colleagues alike</t>
        </is>
      </c>
    </row>
    <row r="51">
      <c r="A51" t="inlineStr">
        <is>
          <t>li-4371030938</t>
        </is>
      </c>
      <c r="B51" t="inlineStr">
        <is>
          <t>Data Scientist</t>
        </is>
      </c>
      <c r="C51" t="inlineStr">
        <is>
          <t>WiserBrand</t>
        </is>
      </c>
      <c r="D51" t="inlineStr">
        <is>
          <t>linkedin</t>
        </is>
      </c>
      <c r="E51" t="inlineStr"/>
      <c r="F51" t="inlineStr"/>
      <c r="G51" t="inlineStr"/>
      <c r="H51" t="inlineStr"/>
      <c r="I51" t="inlineStr">
        <is>
          <t>We are looking for an experienced
 **Data Scientist** 
 to join our team.
**Requirements**
* 5–8\+ years of experience in Data Science/Analytics
* Strong background in Mathematics, Statistics, or related field
* Solid knowledge of statistical inference and hypothesis testing (p\-values, Z\-tests, Chi\-Square)
* Experience with machine learning for insight generation (e.g., clustering, segmentation, prediction)
* Strong skills in Python and SQL
* Strong stakeholder management and communication skills
* Proven experience creating executive\-ready reports and PowerPoint presentations
* Ability to explain complex analytics to non\-technical audiences
* Upper\-Intermediate level of English
**Responsibilities**
* Lead end\-to\-end analytics: from problem definition to insights and recommendations
* Apply statistical analysis and machine learning for segmentation, trend analysis, and predictive insights
* Design and interpret statistical tests (p\-values, Z\-tests, Chi\-Square, confidence intervals)
* Translate analytical results into clear business narratives
* Prepare analytical reports and executive\-level PowerPoint presentations (core part of the role) Partner with business teams to align analytics with commercial objectives
* Query, clean, and analyze data using SQL and Python
* Act as a trusted analytics partner; mentor junior team members when needed
**We Offer**
* A full\-time job and a long\-term contract
* Flexible working hours
* Paid vacation and sick leave
* Managing your taxes and accounting
* Career and professional growth opportunities
* Optional benefits package that includes Health insurance, Gym membership, English courses, compensation of certification, courses, and training
* Creative and lively team of IT specialists, adequate management, and zero unnecessary bureaucracy
**About Us**
 WiserBrand is a rapidly growing US\-UA web development company providing
 full\-cycle services all over the globe. The main direction of our company is eCommerce, but we also have expertise in other domains.
 We started 8 years ago as a small project providing digital marketing services. Therefore the project grew into an outsourcing \&amp; outstaffing company that provides web development, digital marketing, customer support, and outstaffing projects for clients all over the globe.
 Headquarters based in New York City. Also, we have development and support offices in Kharkiv and Buenos Aires with about 150 people in total.
 The differentiator in the relationship we value with our employees is our open, fair, and respectful people practices and our positive work environment. Our people are the foundation of our success.</t>
        </is>
      </c>
    </row>
    <row r="52">
      <c r="A52" t="inlineStr">
        <is>
          <t>li-4342756183</t>
        </is>
      </c>
      <c r="B52" t="inlineStr">
        <is>
          <t>Data Scientist - Voleon Securities (New York)</t>
        </is>
      </c>
      <c r="C52" t="inlineStr">
        <is>
          <t>The Voleon Group</t>
        </is>
      </c>
      <c r="D52" t="inlineStr">
        <is>
          <t>linkedin</t>
        </is>
      </c>
      <c r="E52" t="inlineStr"/>
      <c r="F52" t="inlineStr"/>
      <c r="G52" t="inlineStr">
        <is>
          <t>New York, United States</t>
        </is>
      </c>
      <c r="H52" t="inlineStr"/>
      <c r="I52" t="inlineStr">
        <is>
          <t>Voleon Securities, a new business within the Voleon Group, provides liquidity in securities markets. We apply state\-of\-the\-art AI/ML techniques to construct our liquidity\-provision strategies. For more than a decade, our affiliate Voleon Capital Management has led the hedge fund industry and worked at the frontier of applying AI/ML to investment management, becoming a multibillion\-dollar asset manager. Voleon Securities builds on Voleon’s deep real\-world experience applying ML to financial markets.
 We are looking for an entrepreneurial Data Scientist to build out the data analysis frameworks for our business. You will be responsible for harvesting insights from a complex array of data, like digging into complexmarket microstructure and deep dive analysis of our live algorithmic trading strategies.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53">
      <c r="A53" t="inlineStr">
        <is>
          <t>li-4367600331</t>
        </is>
      </c>
      <c r="B53" t="inlineStr">
        <is>
          <t>Senior Data Scientist</t>
        </is>
      </c>
      <c r="C53" t="inlineStr">
        <is>
          <t>Outdoorsy</t>
        </is>
      </c>
      <c r="D53" t="inlineStr">
        <is>
          <t>linkedin</t>
        </is>
      </c>
      <c r="E53" t="inlineStr"/>
      <c r="F53" t="inlineStr"/>
      <c r="G53" t="inlineStr">
        <is>
          <t>Austin, TX</t>
        </is>
      </c>
      <c r="H53" t="inlineStr"/>
      <c r="I53"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54">
      <c r="A54" t="inlineStr">
        <is>
          <t>li-4370705207</t>
        </is>
      </c>
      <c r="B54" t="inlineStr">
        <is>
          <t>Senior Data Scientist</t>
        </is>
      </c>
      <c r="C54" t="inlineStr">
        <is>
          <t>Mochi Health</t>
        </is>
      </c>
      <c r="D54" t="inlineStr">
        <is>
          <t>linkedin</t>
        </is>
      </c>
      <c r="E54" t="inlineStr"/>
      <c r="F54" t="inlineStr"/>
      <c r="G54" t="inlineStr">
        <is>
          <t>San Francisco, CA</t>
        </is>
      </c>
      <c r="H54" t="inlineStr"/>
      <c r="I54"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**$150** 
**,000** 
**\- $22** 
**0,000**
 Full\-time / Onsite (5 days/week)
**About The Role**
 We’re a telehealth company helping people lose weight at scale. Experimentation is central to our growth and patient experience—we need to know what truly works, what doesn’t, and why. We’re looking for a Senior Data Scientist who thrives on designing, running, and interpreting experiments across product, pharmacy, and design. You’ll work side\-by\-side with clinicians, designers, and engineers to push forward a culture of evidence\-based decision\-making.
 This role is ideal for someone who wants to set the standard for how experiments are run at Mochi Health—bringing statistical rigor, practical intuition, and a deep sense of ownership.
 What You’ll Do
* Own the design and execution of experiments (A/B tests, quasi\-experiments) across pharmacy, design, and product flows
* Partner with design and pharmacy teams to ideate, prioritize, and scope impactful experiments
* Build frameworks and tools to standardize experimentation and causal inference across teams
* Ensure experiment integrity—sample sizing, randomization, stopping rules, multiple\-testing corrections
* Move beyond binary “did it win?” to nuanced insights: heterogeneous treatment effects, and trade\-offs
* Automate experiment reporting and integrate results into dashboards / internal tools
* Mentor teammates and set best practices for experimentation at the company
 Who You Are
* Bachelor’s or Master’s in a quantitative field (e.g., Statistics, Engineering, Economics)
* Bachelor’s, Master’s, or PhD in a quantitative field (e.g., Statistics, Computer Science, Economics)
* 4\+ years of industry experience in applied experimentation (growth or product preferred)
* Deep expertise in causal inference methods (A/B testing, DiD, matching, Bayesian methods)
* Strong Python and SQL skills; capable of building reusable frameworks, not just one\-off analyses
* Clear communicator who can translate complex experimental results into actionable recommendations
* Comfortable with ambiguity, fast iteration, and working across very different teams (Example: pharmacy, design, ops)
* Motivated by impact \- you want your work to directly shape patient care and company growth
**Life at Mochi 💫**
 At Mochi, we believe your best work happens when you feel your best—so we’ve designed an environment that fuels your creativity, supports your growth, and makes every day exciting.
 🥗
 **Daily Meals and Espresso Bar \-** 
 Breakfast, lunch, and dinner every weekday. Our on\-site barista keeps the espresso and matcha flowing all day
 💰
 **Pre\-Tax Commuter Perks \-** 
 Save on transit and parking through pre\-tax commuter benefits
 💸
 **Top\-of\-Market Compensation \-** 
 We offer competitive salaries along with generous equity packages so you can share in the success you help create
 💣
 **Profitable and Rapid Growth \-** 
 We’re scaling fast, with financial discipline and long\-term vision. No VC constraints, just sustainable momentum and smart decisions
 🚀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 Time to Recharge** 
 – Enjoy unlimited PTO, generous company holidays, and true flexibility. We trust you to take the time you need to rest, reset, and thrive.
**🧘 Wellness First** 
 – From weekly mindfulness sessions to group workouts and fitness perks, your physical and mental health are top priority
 🎉
 **Team Socials and Community \-** 
 We make time to connect through regular socials, happy hours, and spontaneous events. Our stocked kitchen doesn’t hurt either
 📍
 **Downtown SF HQ \-** 
 Our San Francisco office is just steps from BART, Muni, and great food. It’s designed for deep work and casual collaboration
 The base salary for this full\-time position ranges from $150,000 to $220,000,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55">
      <c r="A55" t="inlineStr">
        <is>
          <t>li-4362295598</t>
        </is>
      </c>
      <c r="B55" t="inlineStr">
        <is>
          <t>Data Scientist</t>
        </is>
      </c>
      <c r="C55" t="inlineStr">
        <is>
          <t>HCLTech</t>
        </is>
      </c>
      <c r="D55" t="inlineStr">
        <is>
          <t>linkedin</t>
        </is>
      </c>
      <c r="E55" t="inlineStr"/>
      <c r="F55" t="inlineStr"/>
      <c r="G55" t="inlineStr">
        <is>
          <t>Fremont, CA</t>
        </is>
      </c>
      <c r="H55" t="inlineStr"/>
      <c r="I55" t="inlineStr">
        <is>
          <t>We are HCLTech, one of the fastest\-growing large tech companies in the world and home to 220,000 people across 60 countries, supercharging progress through industry\-leading capabilities centered around Digital, Engineering and Cloud. ()
 The driving force behind that work, our people, are diverse, creative, and passionate, raising the bar for excellence on a regular basis. We, in turn, work hard to bring out the best in them as we strive to help them find their spark and become the best version of themselves that they can be. If all this sounds like an environment you ll thrive in, then you re in the right place.
 We are looking for a highly talented and self\- motivated
 **Data Scientist** 
 to join us on our journey in advancing the technological world through innovation and creativity.
**Job Title: Data Scientist** 
**Location: Fremont, CA** 
**Onsite / Remote: Onsite** 
**Job ID: 2808342** 
**Responsibilities** 
* **Data Analysis \&amp; Statistical Modeling**
* Perform exploratory data analysis (EDA) to uncover trends, patterns, and insights.
* Apply statistical methods to analyze data, validate hypotheses, and support business decisions.
* Build, evaluate, and deploy machine learning models to solve business problems.
* Design and analyze experiments (e.g., A/B tests) to measure the impact of changes and new features.
* **Build and Maintain Data Solutions**
* Develop robust, scalable, and automated data pipelines for data ingestion, processing, and transformation.
* Ensure data integrity, consistency, and availability for downstream analytics and modeling.
* Oversee the health and performance of existing data solutions and services.
* Design and implement automated monitoring and alerting for data pipelines, model performance, and service reliability.
* Ensure rapid detection and resolution of data or service anomalies.
* Participate in on\-call rotations to ensure the reliability and availability of data solutions and services.
* **Data Visualizations and Reports**
* Create clear, compelling visualizations and dashboards to communicate findings to stakeholders.
* Prepare reports and presentations to summarize analysis, model results, and recommendations.
* **Collaborate with Cross\-Functional Teams**
* Work closely with stakeholders, engineers, and product teams to identify business challenges and opportunities.
* Translate business requirements into technical solutions using data science and machine learning.
* **Influence Strategy**
* Provide data\-driven insights and recommendations to inform short\- and long\-term business strategy.
* Advocate for best practices in data science, analytics, and model deployment.
**Minimum Qualifications** 
* Bachelor’s degree in Computer Science or a related technical field.
* Experience in data cleaning, preprocessing, exploratory data analysis (EDA), and statistical analysis.
* Proficiency in Python for data analysis, including experience with libraries such as pandas, NumPy, and matplotlib/seaborn.
* Strong experience with SQL and data visualization tools (e.g., Tableau, Power BI, etc.).
* Hands\-on experience building, deploying, and maintaining data pipelines and machine learning models in production environments.
* Proficient with version control systems such as Git, including branching, committing, and pull requests.
* Experience designing and analyzing experiments (e.g., A/B testing) to measure impact and validate hypotheses.
**Preferred Qualifications** 
* Previous experience working in the Meta development environment.
* Experience with service monitoring, anomaly detection, and automated alerting for data and ML solutions.
* Strong understanding of predictive analytics, statistical modeling, and machine learning algorithms (e.g., linear regression, clustering, decision trees, etc.).
* Experience with building and automating scalable data pipelines for data ingestion, processing, and transformation.
* Ability to create compelling data visualizations and dashboards to communicate findings to stakeholders.
* Excellent communication and collaboration skills, with experience working in cross\-functional teams.
**Pay and Benefits**
**Pay Range Minimum: $125000** 
**Pay Range Maximum: $152000** 
*In addition, this position qualifies for benefits like health insurance, paid time off (PTO), 401(K). Exact compensation may vary based on skills, experience, education, and/or to comply with federal or state law.*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
**Equality \&amp; Opportunity for All** 
 Representing 165 nationalities across the globe, we pride ourselves on being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t>
        </is>
      </c>
    </row>
    <row r="56">
      <c r="A56" t="inlineStr">
        <is>
          <t>li-4371029717</t>
        </is>
      </c>
      <c r="B56" t="inlineStr">
        <is>
          <t>Senior Data Scientist</t>
        </is>
      </c>
      <c r="C56" t="inlineStr">
        <is>
          <t>Elder Research</t>
        </is>
      </c>
      <c r="D56" t="inlineStr">
        <is>
          <t>linkedin</t>
        </is>
      </c>
      <c r="E56" t="inlineStr"/>
      <c r="F56" t="inlineStr"/>
      <c r="G56" t="inlineStr">
        <is>
          <t>Arlington, VA</t>
        </is>
      </c>
      <c r="H56" t="inlineStr"/>
      <c r="I56" t="inlineStr">
        <is>
          <t>**General Information**
**Requisition \# 656**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Scientist. The Data Scientist will lead the design and implementation of advanced statistical and AI/ML solutions to extract actionable insights, assess model performance, and apply semantic analysis techniques that strengthen product safety decision\-making. This role emphasizes innovation, efficiency, and interpretability within modern cloud data environments, while supporting strategic acceleration toward an AI\-powered product safety Sentinel model that uses analytics to reduce time to intervention and protect more consumers from a broader range of hazards, faster.
**Responsibilities Include But Are Not Limited To** 
* Insight Extraction \&amp; Semantic Analysis:
+ Leverage semantic vibe coding efficiencies to uncover patterns and thematic insights from structured and unstructured data, and translate complex results into clear, actionable narratives through data storytelling and visualization.
* Model Development \&amp; Evaluation:
+ Design, develop, and maintain AI techniques (e.g., product similarity) and predictive models (supervised and unsupervised) for anomaly detection, classification, regression, and pattern recognition, while rigorously evaluating performance using precision, recall, F1\-score, AUC, and related metrics to ensure reliability and fairness.
* Innovation \&amp; Efficiency:
+ Apply an innovative mindset to explore emerging technologies, creative approaches, and novel methods for solving complex problems efficiently; leverage modern tools and frameworks (GitHub Copilot, automated pipelines, CI/CD) and optimize workflows for scalable cloud deployment (Azure).
**Minimum Qualifications** 
* Statistical and AI/ML Modeling Expertise:
+ 5\+ years designing and developing statistical and AI/ML models, including regression, classification, NLP, and other predictive analytics approaches, using modern tools and best practices.
* Technical Skills:
+ 3\+ years hands\-on Python experience (Pandas, Scikit\-learn, PyTorch/TensorFlow), 3\+ years in cloud environments (Azure; certifications a plus), and 2\+ years with SQL for data querying and manipulation.
+ Advanced proficiency in dashboard and visualization tools (Power BI or equivalent) and integrating semantic coding techniques into ML workflows.
* Collaboration \&amp; Communication:
+ Strong oral and written communication for data storytelling, with experience in Git\-based version control and collaborative Agile team development, contributing to iterative delivery, shared problem\-solving, and continuous improvement.
**Preferred Qualifications**
* Master’s, Ph.D., or equivalent professional experience in Data Science, Machine Learning, Computer Science, Mathematics, or a related field.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57">
      <c r="A57" t="inlineStr">
        <is>
          <t>li-4364891337</t>
        </is>
      </c>
      <c r="B57" t="inlineStr">
        <is>
          <t>Data Scientist</t>
        </is>
      </c>
      <c r="C57" t="inlineStr">
        <is>
          <t>DataAnnotation</t>
        </is>
      </c>
      <c r="D57" t="inlineStr">
        <is>
          <t>linkedin</t>
        </is>
      </c>
      <c r="E57" t="inlineStr"/>
      <c r="F57" t="inlineStr"/>
      <c r="G57" t="inlineStr">
        <is>
          <t>Virginia, United States</t>
        </is>
      </c>
      <c r="H57" t="inlineStr"/>
      <c r="I5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58">
      <c r="A58" t="inlineStr">
        <is>
          <t>li-4371018446</t>
        </is>
      </c>
      <c r="B58" t="inlineStr">
        <is>
          <t>Data Scientist, Sr.</t>
        </is>
      </c>
      <c r="C58" t="inlineStr">
        <is>
          <t>Atlassian</t>
        </is>
      </c>
      <c r="D58" t="inlineStr">
        <is>
          <t>linkedin</t>
        </is>
      </c>
      <c r="E58" t="inlineStr"/>
      <c r="F58" t="inlineStr"/>
      <c r="G58" t="inlineStr"/>
      <c r="H58" t="inlineStr"/>
      <c r="I58" t="inlineStr">
        <is>
          <t>**About The Company** 
 Atlassian is a global leader in enterprise software solutions that empower teams to collaborate effectively and achieve their goals. Committed to innovation and inclusivity, Atlassian develops a suite of products designed to streamline teamwork, enhance communication, and foster a culture of continuous improvement. With a focus on creating a diverse and dynamic work environment, Atlassian values the contributions of every individual and strives to build a workplace that is equitable, supportive, and inspiring. The company's mission is to unleash the potential of every team by providing tools that make collaboration seamless and productive across all industries and organizational sizes. As a company that champions flexibility, Atlassian offers remote work options, allowing employees to work from anywhere in the world, supporting their personal and professional growth.
**About The Role** 
 We are seeking a highly skilled Data Scientist to join our innovative Data Science team. In this remote role, you will leverage your expertise to analyze complex data sets, generate actionable insights, and influence product development and business strategies. You will collaborate with cross\-functional teams including product managers, engineers, marketers, and executive leadership to identify opportunities, test hypotheses, and measure the impact of various initiatives. Your work will directly contribute to shaping the future of Atlassian's products and services, ensuring they deliver maximum value to our users and stakeholders. The ideal candidate will possess strong analytical skills, a strategic mindset, and the ability to communicate complex data insights clearly and persuasively. This position requires you to be located within the Pacific or Mountain time zones to facilitate effective collaboration with the team.
**Qualifications** 
* Minimum of 5\+ years of experience in Data Science or related fields
* Proficiency in SQL and at least one additional data manipulation programming language such as Python or R
* Strong experience in storytelling with data and familiarity with visualization tools like Tableau, R\-Shiny, Microstrategy, SAP Business Objects, or Looker
* Practical knowledge of statistical concepts including regressions, A/B testing, clustering, and probability
* Proven track record of driving impactful projects that influence business strategy and performance
* Exceptional written and verbal communication skills, with the ability to craft persuasive analysis and reports
* Desirable: 7\+ years of experience in Data Science or a related field, or 5\+ years with a postgraduate degree or equivalent in a related discipline
* Understanding of SaaS business models and key performance metrics is a plus
**Responsibilities** 
* Collaborate with cross\-functional teams to address a variety of product and business challenges, establishing yourself as a trusted strategic partner through clear and structured work
* Apply technical expertise to conduct quantitative analysis, experimentation, and data visualization to develop effective strategies and solve complex problems
* Formulate hypotheses using diverse analytical methods, frameworks, and technical approaches to test and validate ideas
* Identify and evaluate opportunities for product and business improvements, influencing product roadmaps through insights and recommendations
* Partner with teams to inform, influence, and execute strategic decisions based on data\-driven insights
* Monitor and forecast key product metrics to assess the success of initiatives, understand trends, and inform future actions
* Utilize data to shape product development, quantify new opportunities, and proactively address upcoming challenges to maximize value for users and the business
**Benefits** 
* Comprehensive health and wellbeing resources
* Paid volunteer days to support community engagement
* Flexible remote work arrangements
* Competitive compensation packages
* Opportunities for professional development and growth
* Inclusive and diverse workplace culture
 Equal Opportunity
 At Atlassian, we are committed to fostering an inclusive environment where all employees and applicants are treated with respect and fairness. We do not discriminate based on race, religion, national origin, gender identity or expression, sexual orientation, age, marital status, veteran status, disability, or any other protected characteristic. We believe that diverse perspectives and experiences drive innovation and success.</t>
        </is>
      </c>
    </row>
    <row r="59">
      <c r="A59" t="inlineStr">
        <is>
          <t>li-4370708085</t>
        </is>
      </c>
      <c r="B59" t="inlineStr">
        <is>
          <t>Senior Data Scientist</t>
        </is>
      </c>
      <c r="C59" t="inlineStr">
        <is>
          <t>Freshtechit</t>
        </is>
      </c>
      <c r="D59" t="inlineStr">
        <is>
          <t>linkedin</t>
        </is>
      </c>
      <c r="E59" t="inlineStr"/>
      <c r="F59" t="inlineStr"/>
      <c r="G59" t="inlineStr">
        <is>
          <t>New York, United States</t>
        </is>
      </c>
      <c r="H59" t="inlineStr"/>
      <c r="I59" t="inlineStr">
        <is>
          <t>A high\-profile financial organisation based in the heart of New York is seeking a Senior Data Scientist to lead the design and deployment of advanced ML models that drive predictive insights and operational optimization across the organization. This is a hands\-on role blending quantitative research, data science, and engineering, ideal for an entrepreneurial, outcome\-driven professional who thrives on delivering practical ML solutions.
 The initial focus will be on
 **large\-scale industrial and operational data** 
 , including predictive modeling, anomaly detection, optimization, and causal inference. The role will evolve to cover diverse business areas, building reusable ML methods that deliver measurable operational and commercial impact.
**Key Qualifications** 
* Good working experience in Data Science / ML with a track record of building models from complex, large\-scale datasets.
* Strong grounding in applied ML, statistics, or related quantitative fields; PhD or post\-doc experience is a strong plus.
* Hands\-on experience with modern data and ML infrastructure (Python, PyTorch/TensorFlow, Spark, Databricks, Snowflake, SageMaker, or similar).
* Experience building distributed systems, time\-series modeling, anomaly detection, and production\-grade ML pipelines.
* Strong software engineering skills and ability to collaborate with engineering teams.
* Excellent problem\-solving skills, able to separate signal from noise across heterogeneous datasets.
* Results\-driven, pragmatic, and motivated by solving real\-world optimization problems with measurable outcomes.
* Exceptional communication skills to translate technical findings into actionable business insights.
* Advanced degree (PhD or MSc) in a quantitative ML\-focused discipline (Mathematics, Physics, Computer Science, Engineering,) strongly preferred.
**Key Responsibilities** 
* Partner with business, product, and technology teams to define, prioritize, and deliver ML\-driven analytics and optimization use cases.
* Frame ambiguous problems into well\-scoped, testable ML use cases with clear value.
* Develop scalable ML solutions for operational optimization, predictive maintenance, and anomaly detection.
* Analyze large\-scale, heterogeneous, and noisy datasets to deliver actionable insights.
* Design and implement reproducible, generalizable ML workflows for production environments.
* Translate technical outputs into dashboards, reports, and decision\-ready insights for leadership
 The role will be 5 days a week onsite.
 Please contact hello At Freshtechit for more details.</t>
        </is>
      </c>
    </row>
    <row r="60">
      <c r="A60" t="inlineStr">
        <is>
          <t>li-4370970813</t>
        </is>
      </c>
      <c r="B60" t="inlineStr">
        <is>
          <t>Data Scientist II</t>
        </is>
      </c>
      <c r="C60" t="inlineStr">
        <is>
          <t>Microsoft</t>
        </is>
      </c>
      <c r="D60" t="inlineStr">
        <is>
          <t>linkedin</t>
        </is>
      </c>
      <c r="E60" t="inlineStr"/>
      <c r="F60" t="inlineStr"/>
      <c r="G60" t="inlineStr">
        <is>
          <t>Redmond, WA</t>
        </is>
      </c>
      <c r="H60" t="inlineStr"/>
      <c r="I60" t="inlineStr">
        <is>
          <t>**Overview**
 If you have an interest in data and are committed to developing systems that enhance informed decision\-making at Microsoft, the Insights, Data Engineering \&amp; Analytics team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The Insights Data, Employee Experience, Agents, \&amp; Science (IDEAS) Data Science team specializes in transforming complex data into actionable business insights. Our focus is on building robust analytical frameworks and predictive models that drive strategic decisions across the organization by integrating various cross\-signals. By leveraging advanced data engineering, statistical analysis, and machine learning, we deliver accurate business metrics, optimize performance, and uncover growth opportunities. Our mission is to empower stakeholders with data\-driven intelligence that fuels innovation and operational excellence.
 As a
 **Data Scientist II** 
 , you will work on advanced analytics initiatives to drive business insights and strategic decisions. You will design and implement scalable data solutions, apply rigorous statistical methods, and develop predictive models that influence product and business outcomes. This role requires proven technical depth and business acumen to influence business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Key Responsibilities:
* Design and execute controlled experiments to validate hypotheses, including communicating the results to the stakeholders
* Statistical Analysis \&amp; Hypothesis Testing
* Apply advanced statistical techniques (e.g., regression, Bayesian methods, causal inference) to derive actionable insights
* Communicate limitations of the statistical methods clearly to stakeholders
**Model Development \&amp; Deployment**
* Develop predictive and prescriptive models using machine learning and AI techniques
* Ensure models are production\-ready, maintainable, and aligned with privacy and compliance standards
* Monitor model performance and iterate based on telemetry and feedback
**Data Engineering \&amp; Infrastructure**
* Build ad hoc and production ready data pipelines for large\-scale, diverse datasets
* Partner with Data Engineering teams to ensure robust, secure, and scalable data infrastructure
* Implement best practices for data quality, governance, and monitoring
**Business Impact**
* Translate complex analytical findings into clear business recommendations
* Influence product and strategy decisions through data\-driven insights
* Collaborate with cross\-functional teams to align analytics with organizational goals
**Qualifications**
**Required Qualifications:**
* Doctorate in Data Science, Mathematics, Statistics, Econometrics, Economics, Operations Research, Computer Science, or related field
+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3\+ years of experience with SQL, R, Python to implement statistical models, machine learning, and analysis (Recommenders, Prediction, Classification, Clustering, etc.) in big data environment
* Experience on large scale computing systems like COSMOS, Hadoop, MapReduce and/or similar systems
* 2\+ years of experience with written and verbal communication to educate and work with cross functional teams
* 1\+ year of experience in delivering on ambiguous projects with incomplete or imperfect data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1">
      <c r="A61" t="inlineStr">
        <is>
          <t>li-4363072061</t>
        </is>
      </c>
      <c r="B61" t="inlineStr">
        <is>
          <t>Data Scientist-AVP</t>
        </is>
      </c>
      <c r="C61" t="inlineStr">
        <is>
          <t>Barclays</t>
        </is>
      </c>
      <c r="D61" t="inlineStr">
        <is>
          <t>linkedin</t>
        </is>
      </c>
      <c r="E61" t="inlineStr"/>
      <c r="F61" t="inlineStr"/>
      <c r="G61" t="inlineStr">
        <is>
          <t>Henderson, NV</t>
        </is>
      </c>
      <c r="H61" t="inlineStr"/>
      <c r="I61" t="inlineStr">
        <is>
          <t>Embark on a transformative journey as a Data Scientist \- AVP. At Barclays, our vision is clear – to redefine the future of banking and help craft innovative solutions. As a Data Scientist within USCB Operations, you will enhance our modeling and analytics capabilities by designing, developing, and deploying Machine Learning, Generative, and Agentic AI models. Your work will focus on improving operational efficiency, elevating customer and colleague experiences, and supporting strategic decision\-making. This role involves building large\-scale data pipelines, utilizing cloud infrastructure (primarily AWS), and applying generative AI techniques to drive innovation. You’ll collaborate across teams to turn complex data into actionable insights and scalable solutions.
 To be successful as a Data Scientist \- AVP, you should have:
* Relevant knowledge in areas such as data science, computer science, statistics, or other related technical fields
* Proven track record of designing, building, and deploying production\-grade machine learning models at scale using Python (scikit\-learn, TensorFlow, PyTorch) in cloud environments, with demonstrable business impact
* Experience in advanced statistical methods, feature engineering, and model optimization, with experience handling complex, high\-dimensional datasets and real\-time streaming architectures (Kafka, Kinesis, Spark Streaming)
* Practical experience architecting end\-to\-end ML pipelines on cloud platform such as AWS or Azure, including S3 for data lakes, SageMaker for model training/deployment, Lambda for serverless inference, and Bedrock for foundational models, with understanding of MLOps best practices
* Experience containerizing ML applications with Docker and orchestrating them with Kubernetes for scalable deployments
**Some Other Highly Valued Skills May Include**
* Exposure to generative and agentic AI frameworks, including techniques for fine\-tuning and orchestration
* Familiarity with MLOps practices and tools for model lifecycle management
* Prior experience in financial services, risk modeling, or operational analytics
 You may be assessed on the key critical skills relevant for success in this role, such as risk and controls, change and transformation, business acumen, strategic thinking, digital and technology, as well as job\-specific technical skills.
 This role is located in Henderson, NV and Whippany, NJ.
**Salary For Henderson, NV**
 Minimum Salary: $110,000
 Maximum Salary: $155,000
 The minimum and maximum salary/rate information above include only base salary or base hourly rate. It does not include any other type of compensation or benefits that may be available.
**Salary For Whippany, NJ**
 Minimum Salary: $110,000
 Maximum Salary: $155,000
 The minimum and maximum salary/rate information above include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62">
      <c r="A62" t="inlineStr">
        <is>
          <t>li-4371036129</t>
        </is>
      </c>
      <c r="B62" t="inlineStr">
        <is>
          <t>Senior Data Scientist</t>
        </is>
      </c>
      <c r="C62" t="inlineStr">
        <is>
          <t>Artemis Consultants</t>
        </is>
      </c>
      <c r="D62" t="inlineStr">
        <is>
          <t>linkedin</t>
        </is>
      </c>
      <c r="E62" t="inlineStr"/>
      <c r="F62" t="inlineStr"/>
      <c r="G62" t="inlineStr">
        <is>
          <t>Chicago, IL</t>
        </is>
      </c>
      <c r="H62" t="inlineStr"/>
      <c r="I62" t="inlineStr">
        <is>
          <t>We are seeking a hands\-on Senior Data Scientist to join an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**Core Skills** 
* 7–12 years of experience in analytics, reporting, dashboarding, ETL, Python/R, and associated data management.
* Proficiency in machine learning, deep learning algorithms (e.g., neural networks), and text analytics techniques (NLTK, Gensim, LDA, word embeddings like Word2Vec, FastText, GloVe).
* Strong consulting background with structured problem\-solving and stakeholder management skills.
* Excellent communication and presentation skills with the ability to influence and engage senior business leaders.
* Hands\-on role with ability to independently manage client deliverables and operate in cross\-cultural, global environments.
**Data Management Skills** 
* Strong familiarity with advanced analytics tools (Python, R), BI tools (Tableau, Power BI), and related software applications.
* Good knowledge of SQL, Informatica, Hadoop/Spark, ETL tools.
* Ability to translate business/functional requirements into technical specifications.
* Exposure to cloud data management and AWS services (preferred).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 with occasional visits to the client’s Chicago office.</t>
        </is>
      </c>
    </row>
    <row r="63">
      <c r="A63" t="inlineStr">
        <is>
          <t>li-4363791516</t>
        </is>
      </c>
      <c r="B63" t="inlineStr">
        <is>
          <t>Senior Data Scientist</t>
        </is>
      </c>
      <c r="C63" t="inlineStr">
        <is>
          <t>Genentech</t>
        </is>
      </c>
      <c r="D63" t="inlineStr">
        <is>
          <t>linkedin</t>
        </is>
      </c>
      <c r="E63" t="inlineStr"/>
      <c r="F63" t="inlineStr"/>
      <c r="G63" t="inlineStr">
        <is>
          <t>South San Francisco, CA</t>
        </is>
      </c>
      <c r="H63" t="inlineStr"/>
      <c r="I63" t="inlineStr">
        <is>
          <t>The Position
**The Opportunity**
 The Data, Analytics, and AI team is dedicated to solving complex healthcare challenges and improving patient outcomes by empowering business partners across Commercial, Medical, and Government Affairs (CMG) to make impactful decisions. This is achieved by leveraging data, analytics, business products, and AI/ML for fast, targeted actions, fostering a unified understanding of customers, actions, and outcomes through the seamless integration of insights into digital, data, and automation platforms, and eliminating silos. In this team, members work as trusted, objective advisors and experts, recommending critical decisions and actions with credibility and a focus on driving measurable impact, all within a thriving culture built on collaboration and innovation.
**Job Summary**
 The Senior Data Scientist in Data, Analytics, and AI develops, deploys, and industrializes enterprise applications leveraging Predictive Models/Large Language Models (LLMs) \- Generative AI/Agentic AI to extract value from structured and unstructured data across Commercial and Medical domains. Acting as a strategic thought partner, the role involves shaping impactful business priorities, collaborating cross\-functionally, and delivering actionable insights. The position requires a strong execution mindset, commitment to data quality and governance, and the ability to communicate complex findings to different audiences—all while staying at the forefront of AI innovation and aligning with Genentech’s standards and compliance.
 Key Job Responsibilities
* Drive the development, deployment and industrialization of enterprise applications using Predictive AI/Generative AI/Agentic AI to generate value from structured and unstructured data for the Commercial and Medical organizations.
* Develop a deep understanding of customers and market dynamics, and apply your technical skills to advance that knowledge and guide the organization, delivering products that help create an integrated customer experience for customers.
* Help stakeholders define clear, impactful business priorities, and where possible, use their own expertise or existing analysis/research to influence and guide.
* Act as subject matter expert for applicable Data Science and other advanced analytical methodologies, programs, and projects. Collaborate within cross‑functional teams to develop efficient Machine Learning‑based applications, gain alignment and deliver impactful business insights; engage necessary stakeholders to enable better decision‑making.
* Take an enterprise mindset, linking individual responsibilities with broader organization; focus on outcomes that provide most business value.
* Apply data science and other advanced analytical methodologies, using multiple data sources and tools.
* Collaborate with data science product owners/managers, data leads, ML Engineers, MLOps, and Informatics (IX) team to develop efficient machine learning\-based applications, gain alignment, and deliver impactful business insights.
* Communicate findings effectively to both technical and non\-technical audiences.
**Who You Are**
* Bachelor's degree in Statistics, Mathematics, Computer Science, or a related quantitative field.
* 5 years of experience in data science or related roles.
* Proficiency in programming languages such as Python, R.
* Knowledge of SQL for database management.
* Understanding of statistical methods and machine learning algorithms.
* Excellent verbal and written communication skills, with the ability to present complex data analyses to non\-technical stakeholders.
* Strong critical thinking and problem\-solving abilities, with a detail\-oriented approach to data analysis.
**Preferred Qualifications**
* Experience working with large and complex data sets in collaboration with business and analytics teams.
* Experience with deep learning frameworks (e.g., TensorFlow, PyTorch).
* Contributions to open source projects or publications in data science.
* Experience in healthcare, pharmaceutical, or highly regulated industries.
* Relevant certifications in data science, machine learning, or AI technologies (e.g., Certified Analytics Professional, AWS or similar certifications).
* LLM \&amp; Gen AI Expertise: At least 2 years of experience implementing LLMs (e.g., GPT, BERT, Claude, etc.) and Generative AI solutions in production environments, specifically for enterprise\-level data processing, information extraction, automation, and decision\-making, with measurable business outcomes.
* Machine Learning \&amp; Deep Learning: Strong expertise in Machine Learning and Deep Learning techniques, with a specific focus on NLP\-related architectures such as Transformers for text classification, sequence\-to\-sequence tasks, summarization, and question answering.
* Demonstrated working knowledge of recent advancements in LLMs, Agentic Workflow Design Patterns, and open\-source frameworks like LangChain, LlamaIndex, LangGraph etc.
* In\-depth knowledge of Prompt Engineering and Chain\-of\-Thought Prompting strategies for optimizing LLM\-based solutions in production.
* Experience working with large, complex data using Hadoop or Spark or any other big data platforms.
* Proficiency with industry\-standard programming languages such as R or Python.
* Experience with other Data Science and cloud\-computing tools and platforms (AWS, GCP, etc.).
* Experience with deploying LLMs via third\-party API service providers like Open AI, Anthropic, AWS Bedrock etc.
* Proficiency using ML in a variety of contexts such as insight generation, ROI calculation, text classification, clustering etc.
* Experience with data visualization tools such as tableau, and/or Qlik, and/or data studio etc.
* Experience translating research or analysis to communicate (in presentations and in writing) concise and compelling business stories that influence decisions and strategy.
**Location**
* This position is based in South San Francisco, CA
* Relocation Assistance is NOT available on this posting
 The expected salary range for this position based on the primary location of South San Francisco, CA is $185,200/yr to $343,900/yr.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\#BoFTSAI
 JA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64">
      <c r="A64" t="inlineStr">
        <is>
          <t>li-4371035385</t>
        </is>
      </c>
      <c r="B64" t="inlineStr">
        <is>
          <t>Data Scientist - Model Governance (Hybrid)</t>
        </is>
      </c>
      <c r="C64" t="inlineStr">
        <is>
          <t>Enova International</t>
        </is>
      </c>
      <c r="D64" t="inlineStr">
        <is>
          <t>linkedin</t>
        </is>
      </c>
      <c r="E64" t="inlineStr"/>
      <c r="F64" t="inlineStr"/>
      <c r="G64" t="inlineStr">
        <is>
          <t>Chicago, IL</t>
        </is>
      </c>
      <c r="H64" t="inlineStr"/>
      <c r="I64" t="inlineStr">
        <is>
          <t>*We are interested in every qualified candidate who is eligible to work in the United States. However, we are not able to sponsor visas or take over sponsorship at this time.* 
**About the role:** 
 As a Data Scientist, you will be one of Enova’s most valuable team members. You will develop, enhance and test the company’s models for use in determining the appropriate lending criteria and verification procedures. You will perform independent model validations to evaluate model fit for purpose, conceptual soundness, mathematical theory and assumptions, data/assumptions, and output reasonableness. At times, you may be asked to conduct ad hoc analysis using statistical and financial tools to recommend for risk management, marketing and operational strategies. You will demonstrate the ability to interpret and organize data, and communicate it effectively to cross functional teams to solve business problems, provide requirements and support implementation.
**Responsibilities:** 
* Perform model validation of credit risk models
* Prepare model validation reports and write technical documentation
* Assist analysts in validating and preparing their models for production
* Interact with model stakeholders and business partners to gather information about credit models and risk acceptances
* Support model releases to ensure they are quickly and accurately put into production
* Monitor model performance dashboards, build alerts, and escalate concerns as appropriate
* Support and improve automated model training processes by using data manipulation, and machine learning skills
* Use your programming skills to develop and test programs for custom tool development
**Requirements:** 
* Experience in developing advanced credit risk models
* 3\+ years of experience in quantitative analysis in the financial services industry is preferred but not required
* Knowledge of statistical models in risk management
* Advanced programming skills in Python and the ability to write customized programs for meaningful data analysis
* Experience working with relational databases, such as SQL
**Compensation:** 
 The budgeted annual salary range for this position is
 $87,000 to $110,00
 **.** 
 Actual annual salary will be determined based on qualifications, skills, experience, and level assessed during the hiring process and may fall outside of the range shown.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65">
      <c r="A65" t="inlineStr">
        <is>
          <t>li-4371031393</t>
        </is>
      </c>
      <c r="B65" t="inlineStr">
        <is>
          <t>Mid-level Data Scientist</t>
        </is>
      </c>
      <c r="C65" t="inlineStr">
        <is>
          <t>Serco</t>
        </is>
      </c>
      <c r="D65" t="inlineStr">
        <is>
          <t>linkedin</t>
        </is>
      </c>
      <c r="E65" t="inlineStr"/>
      <c r="F65" t="inlineStr"/>
      <c r="G65" t="inlineStr">
        <is>
          <t>Arlington, VA</t>
        </is>
      </c>
      <c r="H65" t="inlineStr"/>
      <c r="I65" t="inlineStr">
        <is>
          <t>**Position Description \&amp; Qualifications**
 If you seek a rewarding, high profile and challenging position supporting projects for the US Navy, Serco has a great opportunity for you! This position will be on a dynamic team, supporting Direct Reporting Program Manager for the Maritime Industrial Base (DRPM MIB). Bring your expertise and collaborative skills to make an impact on our military defense and safety of our sailors.
**This position is contingent upon your ability to obtain an Interim Secret security clearance (US Citizenship required).**
**This is a Hybrid opportunity in the National Capital Regiona/Washington, DC.**
 The acquisition of
 **COLUMBIA Class Submarines** 
 and for identifying, assembling, managing, directing, and coordinating the resources required for the R\&amp;D, design, construction, Test and Evaluation (T\&amp;E) and Live Fire Test and Evaluation (LFT\&amp;E) of the class. The program is a major defense acquisition program and is of significant political importance with Congress and the Office of the Secretary of War.
 The acquisition of
 **VIRGINIA Class Submarines** 
 and for identifying, assembling, managing, directing, and coordinating the resources required for the R\&amp;D, design, construction, Test and Evaluation (T\&amp;E), Live Fire Test and Evaluation (LFT\&amp;E), and Fleet introduction of the U.S. Navy’s newest class of nuclear attack submarines. The program is a major defense acquisition program with a total life cycle cost of approximately $336B. Additionally, successful improvement of the Class' capabilities is of significant political importance with Congress and the Office of the Secretary of War.
 The
 **SSN(X) Office** 
 is responsible for the acquisition and design of the future fast attack submarine and for identifying, assembling, managing, directing, and coordinating the resources required for the R\&amp;D, design, construction, Test and Evaluation (T\&amp;E) and Live Fire Test and Evaluation (LFT\&amp;E) of the future submarine. The future Attack Submarine will be designed to retain multi\-mission capability and sustained combat presence in denied waters with a focus on greater speed, stealth, and horizontal payloads and salvo rates.
 Serco supports the US Navy as a prime for DRPM MIB contract supporting the acquisition of submarines and surface vessels. The DRPM MIB concept unifies once diverse submarine and surface vessel\-related activities into a single organization with the goal of eliminating traditional stovepipe structures and processes that created impediments and inefficiencies in the research, development, acquisition, and maintenance communities. DRPM MIB provides improved communication among the various offices that contribute to the overall success of the Navy’s submarine and surface type commanders.
***Serco\-NA is seeking a motivated individual to provide help to the Maritime Industrial Base (MIB) Data Team as a Data Scientist.***
 Our Data Team manages a dynamic mix of in\-house development teams and third party tool integration projects to deliver solutions that support the MIB program. We are a new and growing organization looking to implement processes that will grow with us and our customers’ evolving demands.
 We are seeking an experienced
 **Data Scientist** 
 to join our team supporting a program focused on delivering Supply Chain Risk Management (SCRM) solutions to our customers. The successful candidate will contribute to the development of data\-driven insights and analytic solutions that help identify, assess, and mitigate risks in complex supply chains.. You will partner closely with Product Owners, the Data Director, and other stakeholders to maintain delivery cadence, transparency, and accountability.
**In This Role, You Will**
* Develop and implement data science solutions to analyze large and complex datasets related to supply chain networks.
* Apply statistical methods, machine learning, and predictive modeling to identify patterns, anomalies, and potential risks.
* Write clean, efficient, and well\-documented code in Python leveraging data science libraries (e.g., pandas, NumPy, scikit\-learn, PyTorch, TensorFlow).
* Query, manipulate, and analyze structured and unstructured data from databases (SQL, NoSQL, Hive, etc.).
* Support data ingestion, processing, and visualization workflows to deliver actionable insights to government stakeholders.
* Collaborate with a cross\-functional team of analysts, data engineers, front\-end developers, and subject matter experts to deliver mission\-critical solutions.
* Present findings through reports, dashboards, and briefings to both technical and non\-technical audiences.
* Report progress and metrics to the Data Director and other senior stakeholders.
* Provide program, analytical, and acquisition management support to senior level MIB executives as required.
* Demonstrate strong problem\-solving skills and the ability to communicate technical insights clearly
* Work with the MIB team, which is spread across the United States focused on workforce development/marketing, supply chain/sustainment, and technology developments.
* Assist in drafting information papers in response to Congressional inquiries.
* Provide input to Report to Congress regarding MIB spend goals and associated return on investment.
* Travel as required to carry out the duties above.
**To Be Successful In This Role, You Will Have**
* Ability to obtain/maintain a DoD Secret security clearance.
+ U.S Citizenship Required.
* Bachelor’s degree in Data Science, Computer Science, Statistics, Engineering, or a related field.
* 5\+ years of hands\-on experience in data science, analytics, or artificial intelligence/applied machine learning (AI/ML) (Master's degree in lieu of 2 years experience).
* Strong proficiency in Python and core data science libraries (e.g., pandas, NumPy, scikit\-learn, PyTorch, TensorFlow) is required.
* Experience querying, manipulating, and analyzing structured and unstructured data from databases (SQL and/or NoSQL) is required.
* Experience developing and implementing data science solutions to analyze large and complex datasets.
* Demonstrated experience presenting findings through reports, dashboards, and briefings to both technical and non\-technical audiences.
* Strong problem\-solving skills and the ability to communicate technical insights clearly.
* An outstanding communication skills, both written and oral. You will be interacting with industry and senior leadership.
* Customer\-oriented team player focused on mission who is self\-motivated, driven and can work independently and remotely.
* To be able to travel 10%.
**Additional Desired Experience And Skills**
* Background or coursework in Supply Chain Management, Logistics, or Risk Analysis is preferred.
* Experience with big data tools (Hadoop, Spark, Hive, etc.) is preferred.
* Familiarity with government contracting or defense\-related projects is preferred.
* Experience developing in Cloudera Data Science Workbench (CDSW) is preferred.
* Industrial Base/Supply Chain/Workforce knowledge is preferred.
* Experience/knowledge of the maritime industrial base is a plus, although not necessary.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row>
    <row r="66">
      <c r="A66" t="inlineStr">
        <is>
          <t>li-4370710306</t>
        </is>
      </c>
      <c r="B66" t="inlineStr">
        <is>
          <t>Senior Data Scientist</t>
        </is>
      </c>
      <c r="C66" t="inlineStr">
        <is>
          <t>Beacon Data, Inc.</t>
        </is>
      </c>
      <c r="D66" t="inlineStr">
        <is>
          <t>linkedin</t>
        </is>
      </c>
      <c r="E66" t="inlineStr"/>
      <c r="F66" t="inlineStr"/>
      <c r="G66" t="inlineStr"/>
      <c r="H66" t="inlineStr"/>
      <c r="I66" t="inlineStr">
        <is>
          <t>JOB LOCATION
 This is a fully remote position (U.S.\-based only).
 THE ROLE: SENIOR DATA SCIENTIST
 We’re looking for a Senior Data Scientist to lead complex client engagements, design end\-to\-end analytics and machine learning solutions, and mentor other data scientists. This role blends deep technical expertise with strong client leadership—you’ll own problem framing, solution design, and delivery while helping clients understand what to do next with their data.
**About Beacon Data**
 As a full\-stack data and growth consulting firm, Beacon leverages machine and human intelligence to help clients achieve breakthrough performance. Organizations don’t just call us to architect smart data strategy – they call us to implement it. As their expert data partner, our cross\-functional team parachutes in to optimize data environments, unify fragmented data, and operationalize AI/ML use cases that accelerate growth. At Beacon, impact goes beyond improving the bottom line: one in four of our clients are mission\-based organizations.
 BEACON PROJECTS
 No Beacon project is ever the same; we work across multiple sectors, providing unique learning and leadership opportunities. Examples include:
* Stitching together tens of millions of airline customer records to boost loyalty program enrollment
* Predicting optimal inventory levels for a supply chain firm to reduce idle time
* Optimizing donor targeting for a leading children’s hospital through advanced segmentation
* Architecting and implementing a modern data strategy for the largest online theater ticketing company
* Using ML/AI to optimize contact strategies and improve credit card debt recovery outcomes
**What You’ll Do**
* Lead discovery and exploratory analysis phases, including feature feasibility, data gaps, and tradeoff decisions that inform scope lock and delivery plans.
* Lead the design and delivery of advanced analytics and machine learning solutions for client business problems
* Translate ambiguous business questions into clear analytical approaches, models, and roadmaps
* Partner directly with client stakeholders (including senior leaders) to guide decisions and recommend next steps
* Partner with data engineering and DevOps to deploy scoring pipelines and APIs within client\-controlled environments.
* Design explainable scoring outputs and reason codes that support operational adoption and executive trust.
* Lead recurring client meetings, clearly explaining technical concepts, tradeoffs, and results
* Work hands\-on with data across the full lifecycle: extraction, modeling, analysis, experimentation, and production deployment
* Collaborate with data engineers, analytics engineers, and designers in a multidisciplinary, agile environment
* Build reusable data science assets, tools, and patterns that strengthen Beacon Data’s internal capabilities
* Review code, provide technical guidance, and mentor junior team members
* Support experimentation and measurement efforts such as A/B testing and performance evaluation
**Required Qualifications (must Haves)**
* Master’s or Ph.D. in Applied Statistics, Econometrics, Computer Science, Machine Learning, Mathematics, Engineering, or a related quantitative field \- or equivalent practical experience
* 5\+ years of professional experience applying statistical analysis, machine learning, and advanced analytics in a business or consulting environment
* 3\+ years of external client\-facing technical consulting, including leadership, strategic oversight, and direct engagement with C\-suite and senior executives (e.g., CIO, CTO, CFO, CEO)
* 3\+ years of experience leading or managing data science or analytics teams
* Advanced SQL skills; experience working in modern cloud\-based data ecosystems (e.g., Snowflake, Redshift, BigQuery)
* Experience designing and delivering data science solutions within Azure\-native environments, including Azure SQL–based pipelines and cloud\-hosted APIs.
* Strong proficiency in at least one programming language: Python or R (Scala a plus)
* Proven experience applying data science techniques to real\-world business problems
* Experience building predictive models designed for incremental or near–real\-time scoring, with attention to latency, stability, and operational constraints
* Experience designing hybrid scoring systems that combine rules\-based logic with predictive modeling.
* Demonstrated ability to clearly communicate complex technical concepts to non\-technical audiences
* Strong experience validating models through backtesting, lift analysis, and stability testing, and communicating business impact to executive and non\-technical stakeholders.
* Strong client\-facing skills, including leading meetings, structuring solutions, and influencing decision\-makers
* Ability to break down complex work into clear tasks and guide teams to execute effectively
* Proactive mindset around identifying follow\-on opportunities and advising clients on what to do next
**Preferred Qualifications (nice To Haves)**
* Familiarity with modern data platforms and tools (e.g., data warehouses, big data technologies, NoSQL databases)
* Familiarity with AutoML frameworks and the tradeoffs between automation, explainability, and model performance in enterprise settings.
* Understanding of data modeling and warehousing concepts (e.g., dimensional models, star schemas)
* Comfort working with structured, semi\-structured, and unstructured data
* Comfortable owning technical and delivery tradeoffs in fixed\-scope, milestone\-based client engagements.
* Experience working in Unix/Linux environments and using the command line
* Prior experience in a consulting or professional services setting
**Who You’ll Work With**
 You’ll work closely with Beacon Data’s senior technical leaders, project leads, and multidisciplinary client teams \- including data engineers, analysts, and business stakeholders. This is a highly collaborative, client\-facing role with frequent interaction across teams and direct engagement with C\-suite and senior executives (e.g., CIO, CTO, CFO, CEO)
**Who You Are**
* Collaborative, curious, and impact\-driven
* Comfortable operating in ambiguity and taking ownership
* Thoughtful in how you challenge ideas and communicate tradeoffs
* Motivated by continuous learning, experimentation, and improvement
* Authentic, respectful, and values strong team relationships
**Additional Requirements**
* Must be eligible to work in the United States
* Willing to travel periodically to client sites as needed
 Beacon Data is an equal opportunity employer. We value diverse perspectives and are committed to building an inclusive environment where everyone can do their best work.</t>
        </is>
      </c>
    </row>
    <row r="67">
      <c r="A67" t="inlineStr">
        <is>
          <t>li-4371031393</t>
        </is>
      </c>
      <c r="B67" t="inlineStr">
        <is>
          <t>Mid-level Data Scientist</t>
        </is>
      </c>
      <c r="C67" t="inlineStr">
        <is>
          <t>Serco</t>
        </is>
      </c>
      <c r="D67" t="inlineStr">
        <is>
          <t>linkedin</t>
        </is>
      </c>
      <c r="E67">
        <f>HYPERLINK("https://www.linkedin.com/jobs/view/4371031393", "https://www.linkedin.com/jobs/view/4371031393")</f>
        <v/>
      </c>
      <c r="F67" t="inlineStr"/>
      <c r="G67" t="inlineStr">
        <is>
          <t>Arlington, VA</t>
        </is>
      </c>
      <c r="H67" t="inlineStr"/>
      <c r="I67" t="inlineStr">
        <is>
          <t>**Position Description \&amp; Qualifications**
 If you seek a rewarding, high profile and challenging position supporting projects for the US Navy, Serco has a great opportunity for you! This position will be on a dynamic team, supporting Direct Reporting Program Manager for the Maritime Industrial Base (DRPM MIB). Bring your expertise and collaborative skills to make an impact on our military defense and safety of our sailors.
**This position is contingent upon your ability to obtain an Interim Secret security clearance (US Citizenship required).**
**This is a Hybrid opportunity in the National Capital Regiona/Washington, DC.**
 The acquisition of
 **COLUMBIA Class Submarines** 
 and for identifying, assembling, managing, directing, and coordinating the resources required for the R\&amp;D, design, construction, Test and Evaluation (T\&amp;E) and Live Fire Test and Evaluation (LFT\&amp;E) of the class. The program is a major defense acquisition program and is of significant political importance with Congress and the Office of the Secretary of War.
 The acquisition of
 **VIRGINIA Class Submarines** 
 and for identifying, assembling, managing, directing, and coordinating the resources required for the R\&amp;D, design, construction, Test and Evaluation (T\&amp;E), Live Fire Test and Evaluation (LFT\&amp;E), and Fleet introduction of the U.S. Navy’s newest class of nuclear attack submarines. The program is a major defense acquisition program with a total life cycle cost of approximately $336B. Additionally, successful improvement of the Class' capabilities is of significant political importance with Congress and the Office of the Secretary of War.
 The
 **SSN(X) Office** 
 is responsible for the acquisition and design of the future fast attack submarine and for identifying, assembling, managing, directing, and coordinating the resources required for the R\&amp;D, design, construction, Test and Evaluation (T\&amp;E) and Live Fire Test and Evaluation (LFT\&amp;E) of the future submarine. The future Attack Submarine will be designed to retain multi\-mission capability and sustained combat presence in denied waters with a focus on greater speed, stealth, and horizontal payloads and salvo rates.
 Serco supports the US Navy as a prime for DRPM MIB contract supporting the acquisition of submarines and surface vessels. The DRPM MIB concept unifies once diverse submarine and surface vessel\-related activities into a single organization with the goal of eliminating traditional stovepipe structures and processes that created impediments and inefficiencies in the research, development, acquisition, and maintenance communities. DRPM MIB provides improved communication among the various offices that contribute to the overall success of the Navy’s submarine and surface type commanders.
***Serco\-NA is seeking a motivated individual to provide help to the Maritime Industrial Base (MIB) Data Team as a Data Scientist.***
 Our Data Team manages a dynamic mix of in\-house development teams and third party tool integration projects to deliver solutions that support the MIB program. We are a new and growing organization looking to implement processes that will grow with us and our customers’ evolving demands.
 We are seeking an experienced
 **Data Scientist** 
 to join our team supporting a program focused on delivering Supply Chain Risk Management (SCRM) solutions to our customers. The successful candidate will contribute to the development of data\-driven insights and analytic solutions that help identify, assess, and mitigate risks in complex supply chains.. You will partner closely with Product Owners, the Data Director, and other stakeholders to maintain delivery cadence, transparency, and accountability.
**In This Role, You Will**
* Develop and implement data science solutions to analyze large and complex datasets related to supply chain networks.
* Apply statistical methods, machine learning, and predictive modeling to identify patterns, anomalies, and potential risks.
* Write clean, efficient, and well\-documented code in Python leveraging data science libraries (e.g., pandas, NumPy, scikit\-learn, PyTorch, TensorFlow).
* Query, manipulate, and analyze structured and unstructured data from databases (SQL, NoSQL, Hive, etc.).
* Support data ingestion, processing, and visualization workflows to deliver actionable insights to government stakeholders.
* Collaborate with a cross\-functional team of analysts, data engineers, front\-end developers, and subject matter experts to deliver mission\-critical solutions.
* Present findings through reports, dashboards, and briefings to both technical and non\-technical audiences.
* Report progress and metrics to the Data Director and other senior stakeholders.
* Provide program, analytical, and acquisition management support to senior level MIB executives as required.
* Demonstrate strong problem\-solving skills and the ability to communicate technical insights clearly
* Work with the MIB team, which is spread across the United States focused on workforce development/marketing, supply chain/sustainment, and technology developments.
* Assist in drafting information papers in response to Congressional inquiries.
* Provide input to Report to Congress regarding MIB spend goals and associated return on investment.
* Travel as required to carry out the duties above.
**To Be Successful In This Role, You Will Have**
* Ability to obtain/maintain a DoD Secret security clearance.
+ U.S Citizenship Required.
* Bachelor’s degree in Data Science, Computer Science, Statistics, Engineering, or a related field.
* 5\+ years of hands\-on experience in data science, analytics, or artificial intelligence/applied machine learning (AI/ML) (Master's degree in lieu of 2 years experience).
* Strong proficiency in Python and core data science libraries (e.g., pandas, NumPy, scikit\-learn, PyTorch, TensorFlow) is required.
* Experience querying, manipulating, and analyzing structured and unstructured data from databases (SQL and/or NoSQL) is required.
* Experience developing and implementing data science solutions to analyze large and complex datasets.
* Demonstrated experience presenting findings through reports, dashboards, and briefings to both technical and non\-technical audiences.
* Strong problem\-solving skills and the ability to communicate technical insights clearly.
* An outstanding communication skills, both written and oral. You will be interacting with industry and senior leadership.
* Customer\-oriented team player focused on mission who is self\-motivated, driven and can work independently and remotely.
* To be able to travel 10%.
**Additional Desired Experience And Skills**
* Background or coursework in Supply Chain Management, Logistics, or Risk Analysis is preferred.
* Experience with big data tools (Hadoop, Spark, Hive, etc.) is preferred.
* Familiarity with government contracting or defense\-related projects is preferred.
* Experience developing in Cloudera Data Science Workbench (CDSW) is preferred.
* Industrial Base/Supply Chain/Workforce knowledge is preferred.
* Experience/knowledge of the maritime industrial base is a plus, although not necessary.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row>
    <row r="68">
      <c r="A68" t="inlineStr">
        <is>
          <t>li-4371024295</t>
        </is>
      </c>
      <c r="B68" t="inlineStr">
        <is>
          <t>Data Scientist</t>
        </is>
      </c>
      <c r="C68" t="inlineStr">
        <is>
          <t>Airbnb</t>
        </is>
      </c>
      <c r="D68" t="inlineStr">
        <is>
          <t>linkedin</t>
        </is>
      </c>
      <c r="E68">
        <f>HYPERLINK("https://www.linkedin.com/jobs/view/4371024295", "https://www.linkedin.com/jobs/view/4371024295")</f>
        <v/>
      </c>
      <c r="F68">
        <f>HYPERLINK("https://www.wiraa.com/job-description/usBDA750B1B021A03577271AA6575064F7?source=Linkedin&amp;urlHash=RvqL", "https://www.wiraa.com/job-description/usBDA750B1B021A03577271AA6575064F7?source=Linkedin&amp;urlHash=RvqL")</f>
        <v/>
      </c>
      <c r="G68" t="inlineStr"/>
      <c r="H68" t="inlineStr"/>
      <c r="I68" t="inlineStr">
        <is>
          <t>**About The Company**
 Airbnb was founded in 2007 when two hosts welcomed three guests to their San Francisco home. Since then, the company has experienced exponential growth and now boasts over 5 million hosts worldwide who have welcomed more than 2 billion guest arrivals across nearly every country. Airbnb's platform offers unique stays and experiences that enable guests to connect authentically with local communities, fostering a sense of belonging and cultural exchange. The company's mission revolves around creating a world where anyone can belong anywhere, providing travelers with diverse options and hosts with opportunities to share their spaces and passions.
**About The Role**
 We are seeking a highly experienced and innovative Data Scientist to join our Listing Understanding Data Science team. In this role, you will leverage advanced machine learning techniques, particularly in Computer Vision (CV) and multimodal data analysis, to enhance the understanding of listing attributes through photos and related data. Your primary focus will be to develop and deploy models that improve the quality of listings, enrich guest experiences, and drive business impact. You will collaborate closely with cross\-functional teams, including product managers, engineers, and designers, to translate data insights into actionable product features. Your work will directly influence how listings are presented and understood on our platform, ensuring safety, effectiveness, and alignment with user needs and business goals. This role offers an exciting opportunity to lead technological innovation in a fast\-paced environment, making a meaningful difference in the way people connect and experience the world through Airbnb.
**Qualifications**
* 9\+ years of industry experience in applied Machine Learning, with a focus on Computer Vision
* Experience with CV models such as CLIP and ViT
* Expertise in causal inference, preferably with marketplace experience
* Advanced degree in Computer Science, Statistics, Econometrics, or a related field
* Proficiency in programming languages such as Python or R for data analysis
* Familiarity with SQL and developing proof\-of\-concept prototypes
* Deep understanding of Machine Learning best practices, including training/serving skew minimization, feature engineering, and model selection
* Knowledge of algorithms such as gradient\-boosted trees, neural networks, and deep learning techniques
* Strong communication skills for cross\-functional collaboration with product, engineering, and design teams
* Proven ability to work both independently and within collaborative environments
* Demonstrated engagement with the technical community and continuous learning mindset
**Responsibilities**
* Size business opportunities and develop strategic roadmaps for investments in CV and multimodal listing understanding
* Leverage photos and associated structured and unstructured data to build and enhance listing understanding models
* Build and refine causal models to analyze the impact of photos on guest search behavior, bookings, and trip quality
* Prototype, evaluate, and iterate machine learning product features in collaboration with engineering, product, and design teams
* Develop assessment frameworks to ensure CV and multimodal models are safe, effective, and aligned with user needs
* Measure the business value of technological improvements through experimentation and causal analysis
* Stay current with state\-of\-the\-art models and incorporate emerging techniques into product development
* Communicate insights and technical findings clearly to stakeholders across teams
**Benefits**
* Competitive salary and performance\-based bonuses
* Comprehensive health, dental, and vision insurance plans
* Flexible work arrangements including remote work options
* Generous paid time off and holiday leave
* Opportunities for professional development and continuous learning
* Employee travel credits and discounts
* Inclusive and diverse workplace culture that fosters innovation
 Equal Opportunity
 Airbnb is committed to creating an inclusive environment where all employees and applicants are treated with respect and fairness. We celebrate diversity and are dedicated to providing equal employment opportunities regardless of race, ethnicity, gender, age, disability, sexual orientation, gender identity, or any other characteristic protected by law. We encourage all qualified individuals to apply and join us in building a community that values belonging and innovation.</t>
        </is>
      </c>
    </row>
    <row r="69">
      <c r="A69" t="inlineStr">
        <is>
          <t>li-4363092602</t>
        </is>
      </c>
      <c r="B69" t="inlineStr">
        <is>
          <t>Research Data Scientist</t>
        </is>
      </c>
      <c r="C69" t="inlineStr">
        <is>
          <t>University of Notre Dame</t>
        </is>
      </c>
      <c r="D69" t="inlineStr">
        <is>
          <t>linkedin</t>
        </is>
      </c>
      <c r="E69">
        <f>HYPERLINK("https://www.linkedin.com/jobs/view/4363092602", "https://www.linkedin.com/jobs/view/4363092602")</f>
        <v/>
      </c>
      <c r="F69" t="inlineStr"/>
      <c r="G69" t="inlineStr">
        <is>
          <t>Notre Dame, IN</t>
        </is>
      </c>
      <c r="H69" t="inlineStr"/>
      <c r="I69" t="inlineStr">
        <is>
          <t>The
 *University of Notre Dame* 
 is more than a workplace; it is a vibrant, mission\-driven community where every employee is valued and supported. Rooted in a tradition of excellence and inspired by our Catholic character, Notre Dame is committed to fostering an environment of care that nurtures the whole person—mind, body, and spirit. Here, you will find a deep sense of belonging, a culture that prioritizes well\-being, and the opportunity to grow your career while being a force for good in the world. Whether contributing to world\-class research, shaping the student experience, or supporting the University’s mission in other ways, you will be part of a dedicated team working to make a meaningful impact on campus and beyond. At Notre Dame, your work matters, and so do you!
**Summary**
**Job Description**
 The Mendoza College of Business seeks a
 **Research Data Scientist** 
 to serve as the primary technical research support professional for the Mendoza Behavioral Lab (MBL) and will also support other faculty research initiatives. This role bridges IT infrastructure, behavioral experimentation, and research technology, enabling faculty and research teams to design, execute, and analyze high\-quality experimental studies efficiently, securely, and reproducibly.
 The Research Data Scientist partners closely with Mendoza faculty, Mendoza IT and Central IT to support experimental workflows, maintain lab technology, and develop robust data pipelines across a wide range of behavioral and business research projects.
**Key Responsibilities**
* Provide hands\-on technical and IT support for behavioral experiments, including real\-time troubleshooting to ensure smooth study execution and data integrity.
* Consult with faculty to design, develop, and maintain reproducible data workflows using R, Python, and SQL to build software for experiments and applied research projects.
* Integrate and manage data from multiple sources (e.g., surveys, biometric tools, experimental platforms, VR systems) into clean, analysis\-ready datasets.
* Develop and document data pipelines, scripts, and data dictionaries to support replication, long\-term data management, and research continuity.
* Collaborate with MBL program director and research teams to ensure the study design adheres to IRB requirements and campus security standards.
* Partner with Mendoza IT, Central IT, and the Center for Research Computing to ensure compliance with university policies and best practices.
* Stay current with emerging research technologies and data science tools through professional development, training, and conferences.
**Qualifications**
**Required Qualifications**
* Bachelor’s degree in Data Science, Computer Science, Information Systems, or a related field.
* At least 1–2 years of experience in data science, research computing, or applied data workflows.
* Proficiency in R and/or Python and SQL for data manipulation, integration, and analysis.
* Experience with Amazon Web Services and Google Cloud Platforms
* Experience managing and integrating datasets from multiple research or enterprise sources.
* Strong analytical, problem\-solving, and workflow design skills.
* Excellent communication, consulting and documentation skills, with the ability to collaborate across technical and non\-technical teams.
* Commitment to data integrity, security, and compliance in human\-subject research environments.
**Preferred Qualifications**
* Master’s degree in Data Science, Computer Science, or a related field.
* Experience working in academic research labs or behavioral research settings.
* Familiarity with tools such as iMotions, Qualtrics (including JavaScript customization), and VR platforms.
* Experience integrating behavioral and biometric data with enterprise or large\-scale datasets.
* Knowledge of Windows systems administration and enterprise tools (e.g., Active Directory, SCCM, Intune, Group Policy).
* Demonstrated ability to support complex, multi\-study research environments.
**Additional Information**
* Application Deadline to Apply (subject to change): Sunday, 2/22/26
* Please note this is a full\-time (40 hours per week) position that is fully onsite, based within the Mendoza College of Business, supporting the Mendoza Behavioral Lab.
* Salary commensurate with experience
* Please include a cover letter in your application for full consideration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is>
      </c>
    </row>
    <row r="70">
      <c r="A70" t="inlineStr">
        <is>
          <t>li-4371026696</t>
        </is>
      </c>
      <c r="B70" t="inlineStr">
        <is>
          <t>Data Scientist - FinLab</t>
        </is>
      </c>
      <c r="C70" t="inlineStr">
        <is>
          <t>McKinsey &amp; Company</t>
        </is>
      </c>
      <c r="D70" t="inlineStr">
        <is>
          <t>linkedin</t>
        </is>
      </c>
      <c r="E70">
        <f>HYPERLINK("https://www.linkedin.com/jobs/view/4371026696", "https://www.linkedin.com/jobs/view/4371026696")</f>
        <v/>
      </c>
      <c r="F70" t="inlineStr"/>
      <c r="G70" t="inlineStr">
        <is>
          <t>New York, NY</t>
        </is>
      </c>
      <c r="H70" t="inlineStr"/>
      <c r="I70"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Scientist you will help build the next generation of enterprise intelligence. You will support the FinLab team as a data scientist to analyze large amounts of data to drive insights that will be used to make strategic decisions for our clients.
 In this role, you will partner with client teams across project settings to develop AI\-enabled custom software tools that will be implemented directly within our client organizations. You will exercise your creative and technical skills whilst growing into a thought leader in the space of financial services and a technology leader at our firm.
 You will become an advocate for the use of data and analytics, guiding teams on the proper selection of datasets and analytic strategies to ensure we increase the value of impact we deliver to our clients. This will enable collaboration across other practices, analytics groups, and technical teams to ensure efforts are synergistic and cutting\-edge.
**Your Qualifications and Skills**
* Bachelor’s or advanced professional degree in engineering, computer science, statistics, or data science from a recognized accredited institution of higher learning, college or university; master’s degree is a plus with less than 2 years of work experience
* 3\+ years of professional experience as a data analyst or data scientist
* Skilled in coding languages (e.g., SQL, Python, R), visualization/BI tools (e.g., Tableau, PowerBI) and modeling (e.g., regression, forecasting, decision trees)
* Experience with data engineering practices including ETL pipelines, orchestration tools such as Airflow, and big data platforms like Databricks; hands\-on experience with data modelling techniques (e.g., 3NF, data vault, etc.), ability to work with both structured and unstructured data
* Experience with, or a strong desire to master, modern AI development frameworks like Langchain for orchestrating autonomous workflows, platforms like Amazon Bedrock for leveraging foundation models, and libraries like PydanticAI for ensuring structured, reliable data outputs.
* Consulting experience preferred especially within financial services space
* Comfortable working with Git, CI/CD tools, and modern development workflows
* Familiarity with Azure cloud services; experience with Kubernetes, Docker, and distributed computing frameworks is a plus
* Highly inquisitive and creative problem\-solver to help colleagues and clients draw new insights and impact out of data; excited about working in a cross\-cultural environment
* Entrepreneurial mindset and self\-starter to step into a fast\-paced and dynamic environment and ready to build a strong network across the practice
* Professional attitude, team player and service\-oriented mentality
* Expertise in communicating analytical and technical concepts to both technical and non\-technical colleagues alike</t>
        </is>
      </c>
    </row>
    <row r="71">
      <c r="A71" t="inlineStr">
        <is>
          <t>li-4371060153</t>
        </is>
      </c>
      <c r="B71" t="inlineStr">
        <is>
          <t>Data Scientist</t>
        </is>
      </c>
      <c r="C71" t="inlineStr">
        <is>
          <t>Ford Motor Company</t>
        </is>
      </c>
      <c r="D71" t="inlineStr">
        <is>
          <t>linkedin</t>
        </is>
      </c>
      <c r="E71">
        <f>HYPERLINK("https://www.linkedin.com/jobs/view/4371060153", "https://www.linkedin.com/jobs/view/4371060153")</f>
        <v/>
      </c>
      <c r="F71">
        <f>HYPERLINK("https://efds.fa.em5.oraclecloud.com/hcmUI/CandidateExperience/en/job/57599/?utm_medium=jobboard&amp;utm_source=linkedin&amp;urlHash=xVeo", "https://efds.fa.em5.oraclecloud.com/hcmUI/CandidateExperience/en/job/57599/?utm_medium=jobboard&amp;utm_source=linkedin&amp;urlHash=xVeo")</f>
        <v/>
      </c>
      <c r="G71" t="inlineStr">
        <is>
          <t>Dearborn, MI</t>
        </is>
      </c>
      <c r="H71" t="inlineStr"/>
      <c r="I71" t="inlineStr">
        <is>
          <t>**Job Description**
 We are the movers of the world and the makers of the future. We get up every day, roll up our sleeves and build a better world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We are seeking an AI Engineer/Data Scientist under the Global Data Insights \&amp; Analytics (GDIA) organization's Supply Chain Analytics (SCA) team. This team develops innovative, cloud\-native data, AI, and analytics solutions for Ford. We provide data, AI/ML, and advanced analytics solutions to internal partners and co\-develop external applications and provide strategic and engineering support to Ford customers. As an AI Engineer/Data Scientist, you'll be a key player in driving this success.
**Responsibilities**
* Acquire deep understanding of the business problems and translate them into appropriate business solutions
* Design, develop, and implement end\-to\-end AI/ML pipelines, from data ingestion and preprocessing to model training, evaluation, and deployment.
* Ingest, transform, and analyze large datasets to support the team in launching data products in the Data Factory on Google CloudPlatform (GCP).
* Act as a full\-stack data scientist to develop and deliver advanced analytics models, including classification, anomaly detection, optimization, LLM, and more
* Write clean, efficient, and well\-documented code in Python for data manipulation, feature engineering, and model development.
* Collaborate internally and externally to identify new and novel data sources and explore their potential use in developing actionable business results
* Examine, interpret and report analytical results in both written reports and in oral presentations to varied audiences.
**Qualifications**
**Required Qualifications**
* Master's degree (M.S.) in Data Science, Computer Science, Business Analytics, Machine Learning, Statistics, or a related quantitative field.
* 3\+ years of experience in AI/ML, with proven experience developing and deploying machine learning models in a production environment.
* 2\+ years of experience in Google Cloud Platform with solutions designed and implemented at production scale
* 2\+ Experience working with GCP for scheduling and orchestration of data pipelines
* Expertise in SQL for data querying, manipulation, and database interaction.
* Solid understanding of machine learning algorithms, statistical modeling, and data analysis techniques.
* Experience with containerization (e.g., Docker), constructing REST APIs using frameworks like Flask or FastAPI, and adherence to best software development practices (e.g., version control, testing).
* Excellent oral, written, and interpersonal communication skills.
**Even better, you may have...**
* Ph.D. in Data Science, Computer Science, Business Analytics, Machine Learning, Statistics, or a related quantitative field.
* Experience working with Terraform to provision Infrastructure as Code
* Experience in the Supply Chain or Automotive domain.
* Experience in forecasting algorithms, anomaly detection algorithms, optimization models
* Experience in Generative AI, including a strong understanding of ML frameworks, algorithms, and practical implementation.
* Experience in specialized areas such as Natural Language Processing (NLP), deep learning (e.g., TensorFlow, PyTorch), or recommendation systems.
* A record of publications or presentations in recognized journals or conferences.
* Inquisitive, proactive, and interested in learning new tools and techniques
* Comfortable working in a fast\-paced and innovative environment where problems are not always well\-defined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This position is a salary grade
 **8** 
 .
 This position is a salary grade
 **8** 
 and ranges from
 **$113,580\-190,500\.**
* Visa Sponsorship is not provided for this role\*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is>
      </c>
    </row>
    <row r="72">
      <c r="A72" t="inlineStr">
        <is>
          <t>li-4371030938</t>
        </is>
      </c>
      <c r="B72" t="inlineStr">
        <is>
          <t>Data Scientist</t>
        </is>
      </c>
      <c r="C72" t="inlineStr">
        <is>
          <t>WiserBrand</t>
        </is>
      </c>
      <c r="D72" t="inlineStr">
        <is>
          <t>linkedin</t>
        </is>
      </c>
      <c r="E72">
        <f>HYPERLINK("https://www.linkedin.com/jobs/view/4371030938", "https://www.linkedin.com/jobs/view/4371030938")</f>
        <v/>
      </c>
      <c r="F72" t="inlineStr"/>
      <c r="G72" t="inlineStr"/>
      <c r="H72" t="inlineStr"/>
      <c r="I72" t="inlineStr">
        <is>
          <t>We are looking for an experienced
 **Data Scientist** 
 to join our team.
**Requirements**
* 5–8\+ years of experience in Data Science/Analytics
* Strong background in Mathematics, Statistics, or related field
* Solid knowledge of statistical inference and hypothesis testing (p\-values, Z\-tests, Chi\-Square)
* Experience with machine learning for insight generation (e.g., clustering, segmentation, prediction)
* Strong skills in Python and SQL
* Strong stakeholder management and communication skills
* Proven experience creating executive\-ready reports and PowerPoint presentations
* Ability to explain complex analytics to non\-technical audiences
* Upper\-Intermediate level of English
**Responsibilities**
* Lead end\-to\-end analytics: from problem definition to insights and recommendations
* Apply statistical analysis and machine learning for segmentation, trend analysis, and predictive insights
* Design and interpret statistical tests (p\-values, Z\-tests, Chi\-Square, confidence intervals)
* Translate analytical results into clear business narratives
* Prepare analytical reports and executive\-level PowerPoint presentations (core part of the role) Partner with business teams to align analytics with commercial objectives
* Query, clean, and analyze data using SQL and Python
* Act as a trusted analytics partner; mentor junior team members when needed
**We Offer**
* A full\-time job and a long\-term contract
* Flexible working hours
* Paid vacation and sick leave
* Managing your taxes and accounting
* Career and professional growth opportunities
* Optional benefits package that includes Health insurance, Gym membership, English courses, compensation of certification, courses, and training
* Creative and lively team of IT specialists, adequate management, and zero unnecessary bureaucracy
**About Us**
 WiserBrand is a rapidly growing US\-UA web development company providing
 full\-cycle services all over the globe. The main direction of our company is eCommerce, but we also have expertise in other domains.
 We started 8 years ago as a small project providing digital marketing services. Therefore the project grew into an outsourcing \&amp; outstaffing company that provides web development, digital marketing, customer support, and outstaffing projects for clients all over the globe.
 Headquarters based in New York City. Also, we have development and support offices in Kharkiv and Buenos Aires with about 150 people in total.
 The differentiator in the relationship we value with our employees is our open, fair, and respectful people practices and our positive work environment. Our people are the foundation of our success.</t>
        </is>
      </c>
    </row>
    <row r="73">
      <c r="A73" t="inlineStr">
        <is>
          <t>li-4370716913</t>
        </is>
      </c>
      <c r="B73" t="inlineStr">
        <is>
          <t>Data Scientist</t>
        </is>
      </c>
      <c r="C73" t="inlineStr">
        <is>
          <t>M Science</t>
        </is>
      </c>
      <c r="D73" t="inlineStr">
        <is>
          <t>linkedin</t>
        </is>
      </c>
      <c r="E73">
        <f>HYPERLINK("https://www.linkedin.com/jobs/view/4370716913", "https://www.linkedin.com/jobs/view/4370716913")</f>
        <v/>
      </c>
      <c r="F73" t="inlineStr"/>
      <c r="G73" t="inlineStr"/>
      <c r="H73" t="inlineStr"/>
      <c r="I73" t="inlineStr">
        <is>
          <t>**Title:** 
 Data Scientist
**Location:** 
 New York, NY
**About M Science:** 
 M Science is a data\-driven research and analytics firm, uncovering new insights for leading financial institutions and corporations. M Science is revolutionizing research, discovering new data sets, and pioneering methodologies to provide actionable intelligence. Our research teams have decades of experience working with massive amounts of unstructured data in near real\-time to discern critical insights that help clients make smarter, more informed decisions. We combine the best of finance, data, and technology to create a truly unique value proposition for both financial services firms and major corporations.
**Job Overview:** 
 We are seeking a highly skilled Data Scientist to design and develop pipelines and AI/ML models and workflows on our 50\+ alternative data panels. The ideal candidate will have deep expertise in mathematical and statistical modeling, and will have built models with Python, SQL, and PySpark. This person will test new data assets for the firm, develop AI/LLM tools and agents, contribute to the firm’s analytics library, and use traditional machine learning and statistical methods to improve panel data. M Science expects its data scientists to implement production code, so the ideal candidate will have experience writing well tested, performant, object\-oriented code.
**Responsibilities:** 
* Develop agentic workflows for automated insight retrieval, data analysis, data download, and data forecasting
* Contribute to the firm’s documented, unit\-tested analytics library
* Process, cleanse, and verify the integrity of data used for analysis
* Create automated alerting and notification systems for deviations in data quality, validation failures, or unusual patterns
* Evaluate new datasets for the firm
* Design, develop, and optimize scalable and fault\-tolerant data ingestion pipelines using Databricks, Airflow, Python, and Spark
* Build resilient data pipelines that handle vendor\-related issues such as delayed deliveries, schema changes, incomplete records, and data corruption
**Qualifications:** 
* Advanced Python for data processing, scripting, and automation
* Fluency in PySpark/Spark and distributed data processing; pandas, dask, daft, polars also a plus
* Excellent knowledge of multivariate statistical analysis, including but not limited to ordinary least squares, principal component analysis, factor analysis, LDA, and panel methods
* Excellent knowledge of other ML methods including additive modeling and ensemble modeling
* Some knowledge of LLMs and common LLM orchestration frameworks like LangChain and LangGraph
* Experience with named entity resolution methods a strong plus
* Familiarity with cloud data platforms (AWS) and cloud\-based storage solutions
* Strong troubleshooting skills to diagnose and resolve performance bottlenecks in data pipelines
**Primary Location:** 
 New York, NY
**Salary Range:** 
 $90,000\-$175,000 USD/Annual
 The salary offered will take into consideration an individual’s experience level and qualifications. In addition to salary, M Science offers, for eligible employees, an annual discretionary incentive bonus, competitive employee benefits, including: medical, dental \&amp; vision coverage; 401(k); life, accident, disability insurance; and wellness programs. M Science also offers paid time off packages that include planned time off (vacation), unplanned time off (sick leave), paid holidays and paid parental leave.</t>
        </is>
      </c>
    </row>
    <row r="74">
      <c r="A74" t="inlineStr">
        <is>
          <t>li-4371078475</t>
        </is>
      </c>
      <c r="B74" t="inlineStr">
        <is>
          <t>Data Scientist (Insurance)</t>
        </is>
      </c>
      <c r="C74" t="inlineStr">
        <is>
          <t>Inizio Partners</t>
        </is>
      </c>
      <c r="D74" t="inlineStr">
        <is>
          <t>linkedin</t>
        </is>
      </c>
      <c r="E74">
        <f>HYPERLINK("https://www.linkedin.com/jobs/view/4371078475", "https://www.linkedin.com/jobs/view/4371078475")</f>
        <v/>
      </c>
      <c r="F74" t="inlineStr"/>
      <c r="G74" t="inlineStr"/>
      <c r="H74" t="inlineStr"/>
      <c r="I74" t="inlineStr">
        <is>
          <t>* **Role: Data Scientist**
* **Location:** 
 Based out of US, Canada (Cincinnati, Ohio Preferred)
**Role Overview** 
* We are seeking a hands\-on Data Scientist to join our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 The role involves working closely with internal teams and clients on reporting, data engineering, transformation and advanced analytics projects. While strong technical skills are important, we are looking for someone who can engage directly with clients, translate business needs into analytical solutions and drive measurable impact.
* The role shall be responsible for leading critical model development and delivery activities, including model design, development, validation and stakeholder engagement, in accordance with the client expectations.
**Key Responsibilities** 
* Collaborate with internal and client stakeholders to design and deliver data\-driven solutions across reporting, analytics and transformation initiatives.
* Apply traditional statistical methods, machine learning, deep learning and NLP techniques to solve business problems.
* Support insurance\-focused analytics use cases (with preference for P\&amp;C lines of business).
* Work in a consulting setup: conduct requirement gathering, structure problem statements and communicate insights effectively to senior stakeholders.
* Ensure data quality, governance and compliance with Data Privacy and Protection Guidelines.
* Independently research, analyze and present findings, ensuring client\-ready deliverables.
* Contribute to continuous improvement initiatives and support business development activities where required.
**Key Skillsets \&amp; Experience** 
**Core Skills** 
* **5\+** 
 years of experience in P\&amp;C insurance analytics, pricing, or actuarial\-adjacent
 **Data Science** 
 roles with proficiency in advanced Machine Learning techniques
* **Machine Learning algorithms** 
 for tabular data (Gradient Boosting, Random Forests, XGBoost, LightGBM, NLP\-Unstructured)
* **GLM modeling** 
 expertise (Poisson, Gamma, Tweedie, Logistic)
* **Python** 
 for data analysis and modeling (pandas, numpy, scikit\-learn, statsmodels)
* **Databricks** 
 / Spark (PySpark) for large\-scale data transformation and feature engineering
* **SQL** 
 for data extraction, transformation, and analytical queries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t>
        </is>
      </c>
    </row>
    <row r="75">
      <c r="A75" t="inlineStr">
        <is>
          <t>li-4361879520</t>
        </is>
      </c>
      <c r="B75" t="inlineStr">
        <is>
          <t>Data Scientist</t>
        </is>
      </c>
      <c r="C75" t="inlineStr">
        <is>
          <t>Long Ridge Partners</t>
        </is>
      </c>
      <c r="D75" t="inlineStr">
        <is>
          <t>linkedin</t>
        </is>
      </c>
      <c r="E75">
        <f>HYPERLINK("https://www.linkedin.com/jobs/view/4361879520", "https://www.linkedin.com/jobs/view/4361879520")</f>
        <v/>
      </c>
      <c r="F75" t="inlineStr"/>
      <c r="G75" t="inlineStr">
        <is>
          <t>New York, NY</t>
        </is>
      </c>
      <c r="H75" t="inlineStr"/>
      <c r="I75" t="inlineStr">
        <is>
          <t>**Role: Senior Data Scientist** 
**Location: New York, NY** 
**About the Firm** 
 Our client is a premier global multi\-strategy investment firm managing over $30B in assets. Built on a foundation of partnership and intellectual curiosity, the firm has established itself as one of the most respected pod\-based platforms in the industry. It distinguishes itself through a collaborative, non\-siloed approach to technology, viewing Data Science and AI as fundamental drivers of market alpha rather than back\-office functions.
 The firm fosters an entrepreneurial culture where innovation is centralized through a dedicated Applied AI group. This structure allows the firm to put cutting\-edge LLMs and data tools directly into the hands of its investment teams, ensuring they remain at the forefront of the industry. Employees benefit from an "Own It" mentality, where individuals are given the autonomy and resources to scale their ideas, all while working within a high\-touch environment that prioritizes professional growth and human\-centric collaboration.
 We are looking for a high\-impact
 **Data Scientist** 
 to join our Data Science \&amp; AI organization in New York. This isn't a "back\-office" coding role; you will be embedded directly with our
 **Healthcare and Consumer investment teams** 
 , serving as their single point of contact for all AI and data\-driven workflows.
 You’ll act as a strategic partner to Portfolio Managers and Analysts, leveraging alternative data and Generative AI to generate actionable investment signals and give our firm a competitive edge.
**The Impact You’ll Make** 
* **Strategic Liaison:** 
 Act as the "face of AI" for your coverage area, translating complex technical capabilities into streamlined research workflows for investment professionals.
* **Signal Generation:** 
 Source, wrangle, and model unstructured alternative datasets to uncover trends and predictive signals in the Healthcare and Consumer sectors.
* **Product Innovation:** 
 Drive the adoption of LLMs and AI\-powered tools, building bespoke solutions that directly improve how our teams generate investment ideas.
* **Collaborative Excellence:** 
 Work within a global network of AI specialists to pilot emerging techniques and maintain the highest standards of data accuracy.
**What You Bring to the Table** 
* **Experience:** 
 2–6 years in Data Science or Analytics.
 **Crucially** 
 , you have a track record of supporting investment teams (Buyside) or have deep expertise in the Healthcare/Consumer sectors.
* **Technical Edge:** 
 Expertise in
 **Python** 
 (Pandas, Scikit\-learn) and
 **SQL** 
 . You have a solid grasp of time\-series data and how to handle the "noise" of alternative datasets.
* **AI Fluency:** 
 You don't just know how LLMs work; you know how to make them useful for a PM. You understand the friction points of AI adoption in finance and how to overcome them.
* **Communication:** 
 You can explain a complex model to a non\-technical stakeholder with clarity, urgency, and business relevance.
* **Education:** 
 Bachelor’s or Master’s degree in a quantitative field (Math, CS, Engineering, Economics, etc.).
**Technical "Plus" Skills** 
* Experience with
 **AWS** 
 or cloud\-native data environments.
* Familiarity with
 **Airflow** 
 for orchestration and
 **Git** 
 for version control.
* A creative approach to troubleshooting "messy" data.
**Why Join Us?** 
 This is a high\-visibility role in the heart of NYC, offering the opportunity to see your work directly impact investment performance. You’ll be part of a culture that values intellectual curiosity, technical rigor, and a "client\-first" mindset.
 If you are Data Scientist who thrives at the intersection of financial markets and AI, this could be the right fit for you!</t>
        </is>
      </c>
    </row>
    <row r="76">
      <c r="A76" t="inlineStr">
        <is>
          <t>li-4342756183</t>
        </is>
      </c>
      <c r="B76" t="inlineStr">
        <is>
          <t>Data Scientist - Voleon Securities (New York)</t>
        </is>
      </c>
      <c r="C76" t="inlineStr">
        <is>
          <t>The Voleon Group</t>
        </is>
      </c>
      <c r="D76" t="inlineStr">
        <is>
          <t>linkedin</t>
        </is>
      </c>
      <c r="E76">
        <f>HYPERLINK("https://www.linkedin.com/jobs/view/4342756183", "https://www.linkedin.com/jobs/view/4342756183")</f>
        <v/>
      </c>
      <c r="F76" t="inlineStr"/>
      <c r="G76" t="inlineStr">
        <is>
          <t>New York, United States</t>
        </is>
      </c>
      <c r="H76" t="inlineStr"/>
      <c r="I76" t="inlineStr">
        <is>
          <t>Voleon Securities, a new business within the Voleon Group, provides liquidity in securities markets. We apply state\-of\-the\-art AI/ML techniques to construct our liquidity\-provision strategies. For more than a decade, our affiliate Voleon Capital Management has led the hedge fund industry and worked at the frontier of applying AI/ML to investment management, becoming a multibillion\-dollar asset manager. Voleon Securities builds on Voleon’s deep real\-world experience applying ML to financial markets.
 We are looking for an entrepreneurial Data Scientist to build out the data analysis frameworks for our business. You will be responsible for harvesting insights from a complex array of data, like digging into complexmarket microstructure and deep dive analysis of our live algorithmic trading strategies.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77">
      <c r="A77" t="inlineStr">
        <is>
          <t>li-4371058235</t>
        </is>
      </c>
      <c r="B77" t="inlineStr">
        <is>
          <t>Chief Data Scientist</t>
        </is>
      </c>
      <c r="C77" t="inlineStr">
        <is>
          <t>Telemety</t>
        </is>
      </c>
      <c r="D77" t="inlineStr">
        <is>
          <t>linkedin</t>
        </is>
      </c>
      <c r="E77">
        <f>HYPERLINK("https://www.linkedin.com/jobs/view/4371058235", "https://www.linkedin.com/jobs/view/4371058235")</f>
        <v/>
      </c>
      <c r="F77" t="inlineStr"/>
      <c r="G77" t="inlineStr">
        <is>
          <t>New York, NY</t>
        </is>
      </c>
      <c r="H77" t="inlineStr"/>
      <c r="I77" t="inlineStr">
        <is>
          <t>**Job Title** 
**Chief Data Scientist\+Engineer (Applied / Real\-World Data)** 
**Location** 
 On\-site
 Full\-time
**About the Role** 
 We are seeking a
 **Data Scientist** 
 to work hands\-on with
 **real\-world, imperfect data** 
 to extract insights, build statistical and machine\-learning models, and support data\-driven decision\-making across the organization. This role emphasizes
 **applied analysis, experimentation, and model interpretability** 
 , with a strong connection to operational and business outcomes.
 You will work closely with engineering, product, and operations teams to define problems, analyze data, and deliver insights that directly influence strategy, efficiency, and performance.
**Key Responsibilities** 
* Analyze large, complex, and noisy datasets to identify trends, patterns, and anomalies
* Perform
 **exploratory data analysis (EDA)** 
 and communicate findings clearly
* Design and implement
 **statistical models and machine learning solutions**
* Apply
 **data sampling, feature engineering, and validation techniques**
* Develop experiments, A/B tests, and causal analyses
* Collaborate with software and robotics engineers to productionize models
* Evaluate model performance, bias, and limitations
* Translate analytical results into
 **actionable insights** 
 for stakeholders
* Maintain reproducible workflows and clear documentation
**Required Technical Skills**
**Programming \&amp; Data Languages** 
* **Python** 
 (NumPy, Pandas, SciPy, scikit\-learn)
* **SQL** 
 (PostgreSQL, MySQL, BigQuery, Snowflake, or equivalent)
* Experience working with
 **Jupyter Notebooks** 
 or similar environments
* Familiarity with
 **R** 
 (optional but valuable)
**Statistics \&amp; Mathematics** 
* Probability theory and statistical inference
* Hypothesis testing and confidence intervals
* Regression analysis (linear, logistic, regularized)
* Time\-series analysis
* Sampling methods:
* Random, stratified, weighted sampling
* Handling missing, biased, or incomplete data
**Machine Learning** 
* Supervised and unsupervised learning
* Classification, regression, clustering, and anomaly detection
* Feature selection and feature engineering
* Model evaluation, cross\-validation, and tuning
* Understan0 ding of bias\-variance tradeoffs
* (interest inPhysical AI / Embodied AI
**Data Wrangling \&amp; Quality** 
* Cleaning and normalizing messy datasets
* Outlier detection and handling
* Data validation and consistency checks
* Understanding data lineage and provenance
**Visualization \&amp; Communication** 
* Data visualization using
 **Matplotlib, Seaborn, Plotly, or similar tools**
* Ability to build clear charts, dashboards, and reports
* Strong written and verbal communication of analytical findings
**Data Systems** 
* Experience querying and joining data across multiple sources
* Basic familiarity with data warehouses and ETL pipelines
* Understanding of structured and semi\-structured data formats (CSV, JSON, Parquet)
**Qualifications** 
* Master’s degree in
 **Data Science, Statistics, Mathematics, Computer Science** 
 or a related field—or equivalent practical experience
* 5\+ years experience working with real\-world datasets in a professional environment
* Demonstrated ability to take an ambiguous problem and drive it to a data\-backed conclusion
* Strong analytical and critical\-thinking skills
* Attention to detail and intellectual honesty when interpreting results
**Nice to Have** 
* Experience with production analytics or deployed models
* Familiarity with cloud platforms (AWS, GCP, Azure, NVidia)
* Experience with experiment design and causal inference
* Exposure to domain\-specific data (logistics, operations, finance, healthcare, IoT, etc.)
* Knowledge of version control (Git) and collaborative workflows
**What We Offer** 
* Competitive compensation \+ benefits
* Ownership of impactful, real\-world analytical problems
* Collaborative, data\-driven culture</t>
        </is>
      </c>
    </row>
    <row r="78">
      <c r="A78" t="inlineStr">
        <is>
          <t>li-4371003533</t>
        </is>
      </c>
      <c r="B78" t="inlineStr">
        <is>
          <t>Data Scientist (CBP BI Required)</t>
        </is>
      </c>
      <c r="C78" t="inlineStr">
        <is>
          <t>Elder Research</t>
        </is>
      </c>
      <c r="D78" t="inlineStr">
        <is>
          <t>linkedin</t>
        </is>
      </c>
      <c r="E78">
        <f>HYPERLINK("https://www.linkedin.com/jobs/view/4371003533", "https://www.linkedin.com/jobs/view/4371003533")</f>
        <v/>
      </c>
      <c r="F78" t="inlineStr"/>
      <c r="G78" t="inlineStr"/>
      <c r="H78" t="inlineStr"/>
      <c r="I78" t="inlineStr">
        <is>
          <t>**Job Title: Data Scientist**
**Workplace: Remote** 
 (preference for candidates located in the National Capital Region \- DMV)
**Clearance Required:**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 Advanced Degree (Masters or PhD) in Statistics, Applied Mathematics, Data Science, Computer Science, Operations Research or other closely related other quantitative or mathematical discipline. A PhD degree may be substituted for up to three (3\) years of relevant experience.
* Demonstrates knowledge of data mining methods, databases, data visualization and machine learning.
* Ability to communicate analysis techniques, concepts and products.
* Ability to develop data\-driven solutions, data models, and visualizations
**Preferred Experience And Skills**
* Expertise using Qlik to embed visualizations into webpages
* Experience with Tableau and Power BI tools.
* Familiarity with Databricks or similar cloud\-based distributed database technologies
* Familiarity with PySpark and Python
* Comfortable developing complex SQL queries to extract, transform, and load data
* Experience with analytic techniques such as Anomaly detection, Clustering, and Time\-series (e.g., ARIMA)
* Experience implementing NLP concepts including preprocessing (stemming, etc.), TF\-IDF, Named Entity Recognition, and LLMs.
* Demonstrated experience within an AWS environment (AWS certifications preferred).
* Familiarity with industry best\-practices for software\-hardware optimization when processing large sets of data.
**Why apply to this position at Elder Research?**
* Competitive Salary and Benefits
* Important Work / Make a Difference: supporting Customs and Border Protection in their efforts to protect the United States.
* Job Stability: Elder Research is not a typical government contractor, we hire you for a career not just a contract.
* Remote Work: in an industry of declining remote work opportunities.
* People\-Focused Culture: we prioritize work\-life\-balance and provide a positive, supportive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79">
      <c r="A79" t="inlineStr">
        <is>
          <t>li-4367600331</t>
        </is>
      </c>
      <c r="B79" t="inlineStr">
        <is>
          <t>Senior Data Scientist</t>
        </is>
      </c>
      <c r="C79" t="inlineStr">
        <is>
          <t>Outdoorsy</t>
        </is>
      </c>
      <c r="D79" t="inlineStr">
        <is>
          <t>linkedin</t>
        </is>
      </c>
      <c r="E79">
        <f>HYPERLINK("https://www.linkedin.com/jobs/view/4367600331", "https://www.linkedin.com/jobs/view/4367600331")</f>
        <v/>
      </c>
      <c r="F79" t="inlineStr"/>
      <c r="G79" t="inlineStr">
        <is>
          <t>Austin, TX</t>
        </is>
      </c>
      <c r="H79" t="inlineStr"/>
      <c r="I79"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80">
      <c r="A80" t="inlineStr">
        <is>
          <t>li-4370705207</t>
        </is>
      </c>
      <c r="B80" t="inlineStr">
        <is>
          <t>Senior Data Scientist</t>
        </is>
      </c>
      <c r="C80" t="inlineStr">
        <is>
          <t>Mochi Health</t>
        </is>
      </c>
      <c r="D80" t="inlineStr">
        <is>
          <t>linkedin</t>
        </is>
      </c>
      <c r="E80">
        <f>HYPERLINK("https://www.linkedin.com/jobs/view/4370705207", "https://www.linkedin.com/jobs/view/4370705207")</f>
        <v/>
      </c>
      <c r="F80" t="inlineStr"/>
      <c r="G80" t="inlineStr">
        <is>
          <t>San Francisco, CA</t>
        </is>
      </c>
      <c r="H80" t="inlineStr"/>
      <c r="I80"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**$150** 
**,000** 
**\- $22** 
**0,000**
 Full\-time / Onsite (5 days/week)
**About The Role**
 We’re a telehealth company helping people lose weight at scale. Experimentation is central to our growth and patient experience—we need to know what truly works, what doesn’t, and why. We’re looking for a Senior Data Scientist who thrives on designing, running, and interpreting experiments across product, pharmacy, and design. You’ll work side\-by\-side with clinicians, designers, and engineers to push forward a culture of evidence\-based decision\-making.
 This role is ideal for someone who wants to set the standard for how experiments are run at Mochi Health—bringing statistical rigor, practical intuition, and a deep sense of ownership.
 What You’ll Do
* Own the design and execution of experiments (A/B tests, quasi\-experiments) across pharmacy, design, and product flows
* Partner with design and pharmacy teams to ideate, prioritize, and scope impactful experiments
* Build frameworks and tools to standardize experimentation and causal inference across teams
* Ensure experiment integrity—sample sizing, randomization, stopping rules, multiple\-testing corrections
* Move beyond binary “did it win?” to nuanced insights: heterogeneous treatment effects, and trade\-offs
* Automate experiment reporting and integrate results into dashboards / internal tools
* Mentor teammates and set best practices for experimentation at the company
 Who You Are
* Bachelor’s or Master’s in a quantitative field (e.g., Statistics, Engineering, Economics)
* Bachelor’s, Master’s, or PhD in a quantitative field (e.g., Statistics, Computer Science, Economics)
* 4\+ years of industry experience in applied experimentation (growth or product preferred)
* Deep expertise in causal inference methods (A/B testing, DiD, matching, Bayesian methods)
* Strong Python and SQL skills; capable of building reusable frameworks, not just one\-off analyses
* Clear communicator who can translate complex experimental results into actionable recommendations
* Comfortable with ambiguity, fast iteration, and working across very different teams (Example: pharmacy, design, ops)
* Motivated by impact \- you want your work to directly shape patient care and company growth
**Life at Mochi 💫**
 At Mochi, we believe your best work happens when you feel your best—so we’ve designed an environment that fuels your creativity, supports your growth, and makes every day exciting.
 🥗
 **Daily Meals and Espresso Bar \-** 
 Breakfast, lunch, and dinner every weekday. Our on\-site barista keeps the espresso and matcha flowing all day
 💰
 **Pre\-Tax Commuter Perks \-** 
 Save on transit and parking through pre\-tax commuter benefits
 💸
 **Top\-of\-Market Compensation \-** 
 We offer competitive salaries along with generous equity packages so you can share in the success you help create
 💣
 **Profitable and Rapid Growth \-** 
 We’re scaling fast, with financial discipline and long\-term vision. No VC constraints, just sustainable momentum and smart decisions
 🚀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 Time to Recharge** 
 – Enjoy unlimited PTO, generous company holidays, and true flexibility. We trust you to take the time you need to rest, reset, and thrive.
**🧘 Wellness First** 
 – From weekly mindfulness sessions to group workouts and fitness perks, your physical and mental health are top priority
 🎉
 **Team Socials and Community \-** 
 We make time to connect through regular socials, happy hours, and spontaneous events. Our stocked kitchen doesn’t hurt either
 📍
 **Downtown SF HQ \-** 
 Our San Francisco office is just steps from BART, Muni, and great food. It’s designed for deep work and casual collaboration
 The base salary for this full\-time position ranges from $150,000 to $220,000,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81">
      <c r="A81" t="inlineStr">
        <is>
          <t>li-4362295598</t>
        </is>
      </c>
      <c r="B81" t="inlineStr">
        <is>
          <t>Data Scientist</t>
        </is>
      </c>
      <c r="C81" t="inlineStr">
        <is>
          <t>HCLTech</t>
        </is>
      </c>
      <c r="D81" t="inlineStr">
        <is>
          <t>linkedin</t>
        </is>
      </c>
      <c r="E81">
        <f>HYPERLINK("https://www.linkedin.com/jobs/view/4362295598", "https://www.linkedin.com/jobs/view/4362295598")</f>
        <v/>
      </c>
      <c r="F81" t="inlineStr"/>
      <c r="G81" t="inlineStr">
        <is>
          <t>Fremont, CA</t>
        </is>
      </c>
      <c r="H81" t="inlineStr"/>
      <c r="I81" t="inlineStr">
        <is>
          <t>We are HCLTech, one of the fastest\-growing large tech companies in the world and home to 220,000 people across 60 countries, supercharging progress through industry\-leading capabilities centered around Digital, Engineering and Cloud. ()
 The driving force behind that work, our people, are diverse, creative, and passionate, raising the bar for excellence on a regular basis. We, in turn, work hard to bring out the best in them as we strive to help them find their spark and become the best version of themselves that they can be. If all this sounds like an environment you ll thrive in, then you re in the right place.
 We are looking for a highly talented and self\- motivated
 **Data Scientist** 
 to join us on our journey in advancing the technological world through innovation and creativity.
**Job Title: Data Scientist** 
**Location: Fremont, CA** 
**Onsite / Remote: Onsite** 
**Job ID: 2808342** 
**Responsibilities** 
* **Data Analysis \&amp; Statistical Modeling**
* Perform exploratory data analysis (EDA) to uncover trends, patterns, and insights.
* Apply statistical methods to analyze data, validate hypotheses, and support business decisions.
* Build, evaluate, and deploy machine learning models to solve business problems.
* Design and analyze experiments (e.g., A/B tests) to measure the impact of changes and new features.
* **Build and Maintain Data Solutions**
* Develop robust, scalable, and automated data pipelines for data ingestion, processing, and transformation.
* Ensure data integrity, consistency, and availability for downstream analytics and modeling.
* Oversee the health and performance of existing data solutions and services.
* Design and implement automated monitoring and alerting for data pipelines, model performance, and service reliability.
* Ensure rapid detection and resolution of data or service anomalies.
* Participate in on\-call rotations to ensure the reliability and availability of data solutions and services.
* **Data Visualizations and Reports**
* Create clear, compelling visualizations and dashboards to communicate findings to stakeholders.
* Prepare reports and presentations to summarize analysis, model results, and recommendations.
* **Collaborate with Cross\-Functional Teams**
* Work closely with stakeholders, engineers, and product teams to identify business challenges and opportunities.
* Translate business requirements into technical solutions using data science and machine learning.
* **Influence Strategy**
* Provide data\-driven insights and recommendations to inform short\- and long\-term business strategy.
* Advocate for best practices in data science, analytics, and model deployment.
**Minimum Qualifications** 
* Bachelor’s degree in Computer Science or a related technical field.
* Experience in data cleaning, preprocessing, exploratory data analysis (EDA), and statistical analysis.
* Proficiency in Python for data analysis, including experience with libraries such as pandas, NumPy, and matplotlib/seaborn.
* Strong experience with SQL and data visualization tools (e.g., Tableau, Power BI, etc.).
* Hands\-on experience building, deploying, and maintaining data pipelines and machine learning models in production environments.
* Proficient with version control systems such as Git, including branching, committing, and pull requests.
* Experience designing and analyzing experiments (e.g., A/B testing) to measure impact and validate hypotheses.
**Preferred Qualifications** 
* Previous experience working in the Meta development environment.
* Experience with service monitoring, anomaly detection, and automated alerting for data and ML solutions.
* Strong understanding of predictive analytics, statistical modeling, and machine learning algorithms (e.g., linear regression, clustering, decision trees, etc.).
* Experience with building and automating scalable data pipelines for data ingestion, processing, and transformation.
* Ability to create compelling data visualizations and dashboards to communicate findings to stakeholders.
* Excellent communication and collaboration skills, with experience working in cross\-functional teams.
**Pay and Benefits**
**Pay Range Minimum: $125000** 
**Pay Range Maximum: $152000** 
*In addition, this position qualifies for benefits like health insurance, paid time off (PTO), 401(K). Exact compensation may vary based on skills, experience, education, and/or to comply with federal or state law.*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
**Equality \&amp; Opportunity for All** 
 Representing 165 nationalities across the globe, we pride ourselves on being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t>
        </is>
      </c>
    </row>
    <row r="82">
      <c r="A82" t="inlineStr">
        <is>
          <t>li-4342646490</t>
        </is>
      </c>
      <c r="B82" t="inlineStr">
        <is>
          <t>Data Scientist - Voleon Securities</t>
        </is>
      </c>
      <c r="C82" t="inlineStr">
        <is>
          <t>The Voleon Group</t>
        </is>
      </c>
      <c r="D82" t="inlineStr">
        <is>
          <t>linkedin</t>
        </is>
      </c>
      <c r="E82">
        <f>HYPERLINK("https://www.linkedin.com/jobs/view/4342646490", "https://www.linkedin.com/jobs/view/4342646490")</f>
        <v/>
      </c>
      <c r="F82" t="inlineStr"/>
      <c r="G82" t="inlineStr">
        <is>
          <t>Berkeley, CA</t>
        </is>
      </c>
      <c r="H82" t="inlineStr"/>
      <c r="I82" t="inlineStr">
        <is>
          <t>Voleon Securities, a new business within the Voleon Group, provides liquidity in securities markets. We apply state\-of\-the\-art AI/ML techniques to construct our liquidity\-provision strategies. For more than a decade, our affiliate Voleon Capital Management has led the hedge fund industry and worked at the frontier of applying AI/ML to investment management, becoming a multibillion\-dollar asset manager. Voleon Securities builds on Voleon’s deep real\-world experience applying ML to financial markets.
 We are looking for an entrepreneurial Data Scientist to build out the data analysis frameworks for our business. You will be responsible for harvesting insights from a complex array of data, like digging into complexmarket microstructure and deep dive analysis of our live algorithmic trading strategies.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83">
      <c r="A83" t="inlineStr">
        <is>
          <t>li-4370710496</t>
        </is>
      </c>
      <c r="B83" t="inlineStr">
        <is>
          <t>Data Scientist</t>
        </is>
      </c>
      <c r="C83" t="inlineStr">
        <is>
          <t>Intero Integrity</t>
        </is>
      </c>
      <c r="D83" t="inlineStr">
        <is>
          <t>linkedin</t>
        </is>
      </c>
      <c r="E83">
        <f>HYPERLINK("https://www.linkedin.com/jobs/view/4370710496", "https://www.linkedin.com/jobs/view/4370710496")</f>
        <v/>
      </c>
      <c r="F83" t="inlineStr"/>
      <c r="G83" t="inlineStr">
        <is>
          <t>Houston, TX</t>
        </is>
      </c>
      <c r="H83" t="inlineStr"/>
      <c r="I83" t="inlineStr">
        <is>
          <t>**Data Scientist, MFL Robotics**
 Intero Integrity Services is the world’s only inspection and industrial services specialist to combine innovative technologies, critical insights, state\-of\-the\-art equipment and advanced data management with a streamlined project approach. We are an agile company with a sizable backing and an enhanced management team dedicated to redefining asset performance. Intero is committed to significantly increasing the lifetime and performance of industrial assets and installations. By combining our extensive range of inspection and industrial solutions, we can create unique packages and turnkey solutions, adding value to keeping industrial assets safe and efficient.
 Due to our rapid growth, Intero Integrity Services is hiring for a new Data Scientist, MFL Robotics, in our Houston, Texas location.
**Position Summary** 
 Reporting to Global Software Manager, this role involves developing and maintaining analytical models for anomaly detection, sizing, and classification, as well as creating Unity plots and technical reports in accordance with API 1163 standards. The successful candidate will collaborate closely with internal teams including R\&amp;D, Engineering, Data Analysis, and Sales \- to drive continuous improvement in tool performance, data interpretation, and client deliverables.
**Responsibilities** 
* Analyze and incorporate client pipeline dig results into sizing curves, prepare technical reports on findings.
* Create and maintain Unity plots as per API 1163 for all data collected.
* Collaborate with R\&amp;D to maintain and improve pipeline inspection tool specifications.
* Create/update models for detection, sizing, and classification of pipeline anomalies.
* Collaborate with stakeholders from engineering, data analysis, sales on priorities and plans.
* Participate in hardware/software development activities and influence design direction where relevant.
* Generate improvement proposals based on data and guide data driven decision making with stakeholders.
* Maintain market awareness of pipeline inspection trends, advancements and/or new technologies, challenge status quo.
* Bridge gaps between results and expectations, attend client meetings, prepare and present findings.
**What you should bring to the team:** 
**Experience** 
* 5\+ years of MFL data science experience in the pipeline inspection industry, including knowledge of relevant standards API 1163 etc.
* Analytical skills with ability to connect obstacles and opportunities, in a cross functional environment, to business needs.
* Knowledge of relevant languages (python, etc) and experience with algorithm development.
* Experience with machine learning.
* Working knowledge of MFL sensor systems.
* Excellent written and verbal communication skill.
**Considered Assets:** 
* Experience with embedded product development in inline inspection or other industries.
**Education** 
* Minimum of Master’s degree in Data Science or equivalent.
**We are proud to offer our Employees:** 
* A technical, professional, and challenging work environment.
* Competitive wages and a bonus program based on company \&amp; individual performance.
* Engaging company culture that encourages teamwork and rewards both team and individual achievements.
* Extended Healthcare benefits coverage (including dental \&amp; vision), life insurance, AD\&amp;D insurance alongside flexible work hours and paid time off.
 If interested, please submit your application including resume and cover letter on Linkedin.
 As part of our recruitment process, we may use artificial intelligence–enabled tools to support administrative and screening activities (such as resume review and candidate matching). These tools are used to assist, not replace, human decision\-making. All hiring decisions are made by qualified individuals and are subject to human review.
 We are committed to fair, equitable, and inclusive hiring practices. Our use of technology is designed to support objective, job\-related assessments and does not involve automated decision\-making that produces final employment outcomes without human oversight. Personal information is collected, used, and retained in accordance with applicable privacy legislation.
 As part of this commitment, accommodation is available upon request at any stage of the hiring process to ensure equal opportunity and full participation for candidates with diverse needs. As an inclusive employer, we value and celebrate the unique contributions of individuals from all backgrounds, and we strive to create a workplace where everyone feels welcomed, respected, and supported.</t>
        </is>
      </c>
    </row>
    <row r="84">
      <c r="A84" t="inlineStr">
        <is>
          <t>li-4371029717</t>
        </is>
      </c>
      <c r="B84" t="inlineStr">
        <is>
          <t>Senior Data Scientist</t>
        </is>
      </c>
      <c r="C84" t="inlineStr">
        <is>
          <t>Elder Research</t>
        </is>
      </c>
      <c r="D84" t="inlineStr">
        <is>
          <t>linkedin</t>
        </is>
      </c>
      <c r="E84">
        <f>HYPERLINK("https://www.linkedin.com/jobs/view/4371029717", "https://www.linkedin.com/jobs/view/4371029717")</f>
        <v/>
      </c>
      <c r="F84" t="inlineStr"/>
      <c r="G84" t="inlineStr">
        <is>
          <t>Arlington, VA</t>
        </is>
      </c>
      <c r="H84" t="inlineStr"/>
      <c r="I84" t="inlineStr">
        <is>
          <t>**General Information**
**Requisition \# 656**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Scientist. The Data Scientist will lead the design and implementation of advanced statistical and AI/ML solutions to extract actionable insights, assess model performance, and apply semantic analysis techniques that strengthen product safety decision\-making. This role emphasizes innovation, efficiency, and interpretability within modern cloud data environments, while supporting strategic acceleration toward an AI\-powered product safety Sentinel model that uses analytics to reduce time to intervention and protect more consumers from a broader range of hazards, faster.
**Responsibilities Include But Are Not Limited To** 
* Insight Extraction \&amp; Semantic Analysis:
+ Leverage semantic vibe coding efficiencies to uncover patterns and thematic insights from structured and unstructured data, and translate complex results into clear, actionable narratives through data storytelling and visualization.
* Model Development \&amp; Evaluation:
+ Design, develop, and maintain AI techniques (e.g., product similarity) and predictive models (supervised and unsupervised) for anomaly detection, classification, regression, and pattern recognition, while rigorously evaluating performance using precision, recall, F1\-score, AUC, and related metrics to ensure reliability and fairness.
* Innovation \&amp; Efficiency:
+ Apply an innovative mindset to explore emerging technologies, creative approaches, and novel methods for solving complex problems efficiently; leverage modern tools and frameworks (GitHub Copilot, automated pipelines, CI/CD) and optimize workflows for scalable cloud deployment (Azure).
**Minimum Qualifications** 
* Statistical and AI/ML Modeling Expertise:
+ 5\+ years designing and developing statistical and AI/ML models, including regression, classification, NLP, and other predictive analytics approaches, using modern tools and best practices.
* Technical Skills:
+ 3\+ years hands\-on Python experience (Pandas, Scikit\-learn, PyTorch/TensorFlow), 3\+ years in cloud environments (Azure; certifications a plus), and 2\+ years with SQL for data querying and manipulation.
+ Advanced proficiency in dashboard and visualization tools (Power BI or equivalent) and integrating semantic coding techniques into ML workflows.
* Collaboration \&amp; Communication:
+ Strong oral and written communication for data storytelling, with experience in Git\-based version control and collaborative Agile team development, contributing to iterative delivery, shared problem\-solving, and continuous improvement.
**Preferred Qualifications**
* Master’s, Ph.D., or equivalent professional experience in Data Science, Machine Learning, Computer Science, Mathematics, or a related field.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85">
      <c r="A85" t="inlineStr">
        <is>
          <t>li-4364891337</t>
        </is>
      </c>
      <c r="B85" t="inlineStr">
        <is>
          <t>Data Scientist</t>
        </is>
      </c>
      <c r="C85" t="inlineStr">
        <is>
          <t>DataAnnotation</t>
        </is>
      </c>
      <c r="D85" t="inlineStr">
        <is>
          <t>linkedin</t>
        </is>
      </c>
      <c r="E85">
        <f>HYPERLINK("https://www.linkedin.com/jobs/view/4364891337", "https://www.linkedin.com/jobs/view/4364891337")</f>
        <v/>
      </c>
      <c r="F85" t="inlineStr"/>
      <c r="G85" t="inlineStr">
        <is>
          <t>Virginia, United States</t>
        </is>
      </c>
      <c r="H85" t="inlineStr"/>
      <c r="I8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6">
      <c r="A86" t="inlineStr">
        <is>
          <t>li-4371053798</t>
        </is>
      </c>
      <c r="B86" t="inlineStr">
        <is>
          <t>Data Scientist</t>
        </is>
      </c>
      <c r="C86" t="inlineStr">
        <is>
          <t>Motorola Solutions</t>
        </is>
      </c>
      <c r="D86" t="inlineStr">
        <is>
          <t>linkedin</t>
        </is>
      </c>
      <c r="E86">
        <f>HYPERLINK("https://www.linkedin.com/jobs/view/4371053798", "https://www.linkedin.com/jobs/view/4371053798")</f>
        <v/>
      </c>
      <c r="F86" t="inlineStr"/>
      <c r="G86" t="inlineStr">
        <is>
          <t>Schaumburg, IL</t>
        </is>
      </c>
      <c r="H86" t="inlineStr"/>
      <c r="I8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worldwide, our work supports those who put their lives on the line to keep us safe. Bring your passion, potential, and talents to Motorola Solutions, and help us usher in a new era in public safety and security.
**Job Description**
 We are seeking a highly skilled and motivated Data Scientist to join our team. The ideal candidate will be responsible for leveraging large datasets to uncover actionable insights, drive business strategy, and solve complex problems. This role requires a strong background in statistical analysis, machine learning, and data visualization, with a keen ability to translate data into compelling narratives for both technical and non\-technical audiences.
**Key Responsibilities**
* Data Analysis \&amp; Insight Generation: Collect, clean, and analyze complex datasets from various sources to identify trends, patterns, and anomalies. Develop and apply statistical models and algorithms to generate actionable insights that inform business decisions.
* Model Development: Design, build, and deploy predictive models and machine learning algorithms to solve business challenges, such as forecasting, customer segmentation, and fraud detection.
* Data Visualization \&amp; Reporting: Create clear, compelling visualizations and reports to communicate findings and recommendations. Present complex data in an understandable format to stakeholders at all levels of the organization.
* Cross\-functional Collaboration: Partner with engineering, product management, and business teams to understand their needs, define key metrics, and support data\-driven decision\-making.
* Problem\-Solving: Proactively identify opportunities to use data to improve processes, products, and services. Troubleshoot and optimize existing models and data pipelines.
**Preferred Qualification As And Skills**
* Bachelor’s or Master’s degree in a quantitative field such as Computer Science, Statistics, Mathematics, or a related discipline.
* Proven experience as a Data Scientist or in a similar role.
* Experience with data visualization tools (e.g., Tableau, Power BI, Matplotlib).
* Solid understanding of statistical analysis, machine learning techniques, and experimental design.
* Excellent communication and presentation skills, with the ability to explain complex analytical concepts to diverse audiences.
 Target Base Salary Range: $85,000\-$95,000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or Master’s degree in a quantitative field such as Computer Science, Statistics, Mathematics, or a related discipline.
* 1\-2 years of Data Scientist experience
* Legal authorization to work in the U.S. indefinitely is required. Employer work permit sponsorship is not available for this position.
 Travel Requirements
 Under 10%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87">
      <c r="A87" t="inlineStr">
        <is>
          <t>li-4362258853</t>
        </is>
      </c>
      <c r="B87" t="inlineStr">
        <is>
          <t>Alternative Data Scientist / Analyst - Champaign, IL - Up to $400k TC</t>
        </is>
      </c>
      <c r="C87" t="inlineStr">
        <is>
          <t>Saragossa</t>
        </is>
      </c>
      <c r="D87" t="inlineStr">
        <is>
          <t>linkedin</t>
        </is>
      </c>
      <c r="E87">
        <f>HYPERLINK("https://www.linkedin.com/jobs/view/4362258853", "https://www.linkedin.com/jobs/view/4362258853")</f>
        <v/>
      </c>
      <c r="F87" t="inlineStr"/>
      <c r="G87" t="inlineStr">
        <is>
          <t>Champaign, IL</t>
        </is>
      </c>
      <c r="H87" t="inlineStr"/>
      <c r="I87" t="inlineStr">
        <is>
          <t>**Do you want to get your foot in the door at a Hedge Fund?** 
 You\`ll be working for a Software consultancy, engaged to build software for a global Hedge Fund \- including the front office trading teams.
**The opportunity** 
 They’re looking for an economist, data scientist, or economic statistician to work alongside best\-in\-class economic researchers in a highly intellectual, fast\-moving setting. The role sits close to live market decisions, with access to large\-scale alternative datasets, modern analytical tooling, and the mandate to turn complex data into actionable economic insight.
 What you’ll work on
* Deep analysis of large, complex, and alternative datasets to identify real\-time economic trends
* Building and refining market\-relevant indicators, including new measures of inflation, consumption, and activity
* Applying econometrics, statistics, and frontier techniques (including ML/AI where appropriate) to extract signal from noisy data
* Partnering closely with economists to inform macroeconomic views and forecasts
* Creating clear, insightful visualizations and outputs for technical and non\-technical stakeholders
* Helping build low\-latency infrastructure to communicate updated analysis to stakeholders
**Why this role** 
* Immediate ownership and trust from day one
* Work closely tied to live economic and market developments
* Highly collaborative environment with exceptional peers
* Ability to influence tools, processes, and research direction early on
* A culture that values curiosity, accountability, and technical excellence
**Background:** 
* Master’s or PhD in Economics, Econometrics, Statistics, or similar
 Want to start your Hedge Fund Career? Let's chat. No up\-to\-date CV required.
 \*Compensation based on experience\*</t>
        </is>
      </c>
    </row>
    <row r="88">
      <c r="A88" t="inlineStr">
        <is>
          <t>li-4371036129</t>
        </is>
      </c>
      <c r="B88" t="inlineStr">
        <is>
          <t>Senior Data Scientist</t>
        </is>
      </c>
      <c r="C88" t="inlineStr">
        <is>
          <t>Artemis Consultants</t>
        </is>
      </c>
      <c r="D88" t="inlineStr">
        <is>
          <t>linkedin</t>
        </is>
      </c>
      <c r="E88">
        <f>HYPERLINK("https://www.linkedin.com/jobs/view/4371036129", "https://www.linkedin.com/jobs/view/4371036129")</f>
        <v/>
      </c>
      <c r="F88" t="inlineStr"/>
      <c r="G88" t="inlineStr">
        <is>
          <t>Chicago, IL</t>
        </is>
      </c>
      <c r="H88" t="inlineStr"/>
      <c r="I88" t="inlineStr">
        <is>
          <t>We are seeking a hands\-on Senior Data Scientist to join an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**Core Skills** 
* 7–12 years of experience in analytics, reporting, dashboarding, ETL, Python/R, and associated data management.
* Proficiency in machine learning, deep learning algorithms (e.g., neural networks), and text analytics techniques (NLTK, Gensim, LDA, word embeddings like Word2Vec, FastText, GloVe).
* Strong consulting background with structured problem\-solving and stakeholder management skills.
* Excellent communication and presentation skills with the ability to influence and engage senior business leaders.
* Hands\-on role with ability to independently manage client deliverables and operate in cross\-cultural, global environments.
**Data Management Skills** 
* Strong familiarity with advanced analytics tools (Python, R), BI tools (Tableau, Power BI), and related software applications.
* Good knowledge of SQL, Informatica, Hadoop/Spark, ETL tools.
* Ability to translate business/functional requirements into technical specifications.
* Exposure to cloud data management and AWS services (preferred).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 with occasional visits to the client’s Chicago office.</t>
        </is>
      </c>
    </row>
    <row r="89">
      <c r="A89" t="inlineStr">
        <is>
          <t>li-4363791516</t>
        </is>
      </c>
      <c r="B89" t="inlineStr">
        <is>
          <t>Senior Data Scientist</t>
        </is>
      </c>
      <c r="C89" t="inlineStr">
        <is>
          <t>Genentech</t>
        </is>
      </c>
      <c r="D89" t="inlineStr">
        <is>
          <t>linkedin</t>
        </is>
      </c>
      <c r="E89">
        <f>HYPERLINK("https://www.linkedin.com/jobs/view/4363791516", "https://www.linkedin.com/jobs/view/4363791516")</f>
        <v/>
      </c>
      <c r="F89" t="inlineStr"/>
      <c r="G89" t="inlineStr">
        <is>
          <t>South San Francisco, CA</t>
        </is>
      </c>
      <c r="H89" t="inlineStr"/>
      <c r="I89" t="inlineStr">
        <is>
          <t>The Position
**The Opportunity**
 The Data, Analytics, and AI team is dedicated to solving complex healthcare challenges and improving patient outcomes by empowering business partners across Commercial, Medical, and Government Affairs (CMG) to make impactful decisions. This is achieved by leveraging data, analytics, business products, and AI/ML for fast, targeted actions, fostering a unified understanding of customers, actions, and outcomes through the seamless integration of insights into digital, data, and automation platforms, and eliminating silos. In this team, members work as trusted, objective advisors and experts, recommending critical decisions and actions with credibility and a focus on driving measurable impact, all within a thriving culture built on collaboration and innovation.
**Job Summary**
 The Senior Data Scientist in Data, Analytics, and AI develops, deploys, and industrializes enterprise applications leveraging Predictive Models/Large Language Models (LLMs) \- Generative AI/Agentic AI to extract value from structured and unstructured data across Commercial and Medical domains. Acting as a strategic thought partner, the role involves shaping impactful business priorities, collaborating cross\-functionally, and delivering actionable insights. The position requires a strong execution mindset, commitment to data quality and governance, and the ability to communicate complex findings to different audiences—all while staying at the forefront of AI innovation and aligning with Genentech’s standards and compliance.
 Key Job Responsibilities
* Drive the development, deployment and industrialization of enterprise applications using Predictive AI/Generative AI/Agentic AI to generate value from structured and unstructured data for the Commercial and Medical organizations.
* Develop a deep understanding of customers and market dynamics, and apply your technical skills to advance that knowledge and guide the organization, delivering products that help create an integrated customer experience for customers.
* Help stakeholders define clear, impactful business priorities, and where possible, use their own expertise or existing analysis/research to influence and guide.
* Act as subject matter expert for applicable Data Science and other advanced analytical methodologies, programs, and projects. Collaborate within cross‑functional teams to develop efficient Machine Learning‑based applications, gain alignment and deliver impactful business insights; engage necessary stakeholders to enable better decision‑making.
* Take an enterprise mindset, linking individual responsibilities with broader organization; focus on outcomes that provide most business value.
* Apply data science and other advanced analytical methodologies, using multiple data sources and tools.
* Collaborate with data science product owners/managers, data leads, ML Engineers, MLOps, and Informatics (IX) team to develop efficient machine learning\-based applications, gain alignment, and deliver impactful business insights.
* Communicate findings effectively to both technical and non\-technical audiences.
**Who You Are**
* Bachelor's degree in Statistics, Mathematics, Computer Science, or a related quantitative field.
* 5 years of experience in data science or related roles.
* Proficiency in programming languages such as Python, R.
* Knowledge of SQL for database management.
* Understanding of statistical methods and machine learning algorithms.
* Excellent verbal and written communication skills, with the ability to present complex data analyses to non\-technical stakeholders.
* Strong critical thinking and problem\-solving abilities, with a detail\-oriented approach to data analysis.
**Preferred Qualifications**
* Experience working with large and complex data sets in collaboration with business and analytics teams.
* Experience with deep learning frameworks (e.g., TensorFlow, PyTorch).
* Contributions to open source projects or publications in data science.
* Experience in healthcare, pharmaceutical, or highly regulated industries.
* Relevant certifications in data science, machine learning, or AI technologies (e.g., Certified Analytics Professional, AWS or similar certifications).
* LLM \&amp; Gen AI Expertise: At least 2 years of experience implementing LLMs (e.g., GPT, BERT, Claude, etc.) and Generative AI solutions in production environments, specifically for enterprise\-level data processing, information extraction, automation, and decision\-making, with measurable business outcomes.
* Machine Learning \&amp; Deep Learning: Strong expertise in Machine Learning and Deep Learning techniques, with a specific focus on NLP\-related architectures such as Transformers for text classification, sequence\-to\-sequence tasks, summarization, and question answering.
* Demonstrated working knowledge of recent advancements in LLMs, Agentic Workflow Design Patterns, and open\-source frameworks like LangChain, LlamaIndex, LangGraph etc.
* In\-depth knowledge of Prompt Engineering and Chain\-of\-Thought Prompting strategies for optimizing LLM\-based solutions in production.
* Experience working with large, complex data using Hadoop or Spark or any other big data platforms.
* Proficiency with industry\-standard programming languages such as R or Python.
* Experience with other Data Science and cloud\-computing tools and platforms (AWS, GCP, etc.).
* Experience with deploying LLMs via third\-party API service providers like Open AI, Anthropic, AWS Bedrock etc.
* Proficiency using ML in a variety of contexts such as insight generation, ROI calculation, text classification, clustering etc.
* Experience with data visualization tools such as tableau, and/or Qlik, and/or data studio etc.
* Experience translating research or analysis to communicate (in presentations and in writing) concise and compelling business stories that influence decisions and strategy.
**Location**
* This position is based in South San Francisco, CA
* Relocation Assistance is NOT available on this posting
 The expected salary range for this position based on the primary location of South San Francisco, CA is $185,200/yr to $343,900/yr.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\#BoFTSAI
 JA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90">
      <c r="A90" t="inlineStr">
        <is>
          <t>li-4371085182</t>
        </is>
      </c>
      <c r="B90" t="inlineStr">
        <is>
          <t>Data Scientist II (US)</t>
        </is>
      </c>
      <c r="C90" t="inlineStr">
        <is>
          <t>TD</t>
        </is>
      </c>
      <c r="D90" t="inlineStr">
        <is>
          <t>linkedin</t>
        </is>
      </c>
      <c r="E90">
        <f>HYPERLINK("https://www.linkedin.com/jobs/view/4371085182", "https://www.linkedin.com/jobs/view/4371085182")</f>
        <v/>
      </c>
      <c r="F90">
        <f>HYPERLINK("https://td.wd3.myworkdayjobs.com/TD_Bank_Careers/job/Charlotte-North-Carolina/Data-Scientist-II\u002d\u002dUS-_R_1472550?source=LinkedIn&amp;urlHash=YvYy", "https://td.wd3.myworkdayjobs.com/TD_Bank_Careers/job/Charlotte-North-Carolina/Data-Scientist-II\u002d\u002dUS-_R_1472550?source=LinkedIn&amp;urlHash=YvYy")</f>
        <v/>
      </c>
      <c r="G90" t="inlineStr">
        <is>
          <t>Charlotte, NC</t>
        </is>
      </c>
      <c r="H90" t="inlineStr"/>
      <c r="I90" t="inlineStr">
        <is>
          <t>**Work Location:**
 Charlotte, North Carolina, United States of America
**Hours**
 40
**Pay Details**
 $76,290 \- $125,260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**Department Overview:**
**Why Work with Us?**
 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
 The Fair Banking Compliance team oversees the governance and analytical processes to assure that predictive models and lending practices are fair and responsible. The Fair Banking Compliance analytics team is seeking a qualified Data Scientist II who will perform the quantitative analysis, model development, model review and related research to meet the business requirements of the team. This is a critical role in the oversight and review of models to ensure fair banking compliance. The incumbent of this role must have a strong working knowledge of building quantitative models, performing data analysis, recommending statistical tests, researching metrics and presenting results of data analysis. The role requires excellent verbal and written communication skills to communicate effectively with business partners.
**Key Responsibilities**
* Develop\\Review models (traditional regressions as well as AI/ML based) to ensure fair banking compliance
* Perform quantitative analysis to identify fair lending risks
* Identify potential alternative ways to mitigate fair lending bias arising from models/policies
* Develop specialized analytical tools for projects or ongoing use
* Compile and generate ad\-hoc analytical reports
* Lead research efforts, applying expertise in statistical analysis and modeling
* Provide advisory support to line of business model owners regarding best practices for compliance guided by policies and industry standards/methods
* Lead cross\-functional teams or projects with significant complexity
* Independently manage end\-to\-end functional programs
* Use sophisticated analytical mindset to exercise judgement and identify solutions
* Communicate complex results to non\-technical audience
* Work autonomously as the lead and guide others within the area of expertise
* Independently handle multiple projects and prioritize based on changing business needs
**The above details are specific to the role which is outlined in the general summary and description below. Please review the desired skills and experience section below in as you consider this opportunity.**
**Job Description Summary**
 The Data Scientist 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Experienced professional role providing specialized guidance/assistance to function supported
* Focuses on short to medium\-term non\-routine specialized/ fewer complex issues and/or initial escalated matters
* Independently perform activities from end\-to\-end
**Education \&amp; Experience**
* Undergraduate degree or advanced technical degree preferred (e.g., math, physics, engineering, finance or computer science) Graduate's degree preferred with either progressive project work experience, or;
* Past relevant work experience is a plus
**Desired Skills And Experience**
* 3\+ years relevant work experience or Undergraduate degree and 2\+ years of relevant work experience. Graduate's degree in a quantitative field is a plus. Research experience is a plus.
* Demonstrated experience in development of predictive models using Python
* In\-depth knowledge of quantitative models and statistical analysis,
* Experience working with AI/ML based models. Proficiency in Python is required.
* Experience working with databases/datasets and data visualization tools (Tableau/Power BI)
* Strong communications skills, both written and verbal. Strong presentation skills
* Strong interpersonal and consultative communication skills with well\-developed presentation skills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Contributes to various operational activities and processes as assigned
* Is knowledgeable of practices and procedures within own area of responsibility and keeps abreast of emerging trends for own functional area
* Monitors service, productivity and assesses efficiency levels within own function and implements continuous process/performance improvements where opportunities exist
* Acquires and applies expertise in the discipline, provides guidance, assistance and direction to others
* Identifies, recommends and effectively executes standard practices applicable to the discipline
* Adheres to internal policies/procedures and applicable regulatory guidelines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Supports the team by continuously enhancing knowledge/expertise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91">
      <c r="A91" t="inlineStr">
        <is>
          <t>li-4370710306</t>
        </is>
      </c>
      <c r="B91" t="inlineStr">
        <is>
          <t>Senior Data Scientist</t>
        </is>
      </c>
      <c r="C91" t="inlineStr">
        <is>
          <t>Beacon Data, Inc.</t>
        </is>
      </c>
      <c r="D91" t="inlineStr">
        <is>
          <t>linkedin</t>
        </is>
      </c>
      <c r="E91">
        <f>HYPERLINK("https://www.linkedin.com/jobs/view/4370710306", "https://www.linkedin.com/jobs/view/4370710306")</f>
        <v/>
      </c>
      <c r="F91">
        <f>HYPERLINK("https://beacondata.bamboohr.com/careers/34?source=linkedin_premium&amp;urlHash=ynbI", "https://beacondata.bamboohr.com/careers/34?source=linkedin_premium&amp;urlHash=ynbI")</f>
        <v/>
      </c>
      <c r="G91" t="inlineStr"/>
      <c r="H91" t="inlineStr"/>
      <c r="I91" t="inlineStr">
        <is>
          <t>JOB LOCATION
 This is a fully remote position (U.S.\-based only).
 THE ROLE: SENIOR DATA SCIENTIST
 We’re looking for a Senior Data Scientist to lead complex client engagements, design end\-to\-end analytics and machine learning solutions, and mentor other data scientists. This role blends deep technical expertise with strong client leadership—you’ll own problem framing, solution design, and delivery while helping clients understand what to do next with their data.
**About Beacon Data**
 As a full\-stack data and growth consulting firm, Beacon leverages machine and human intelligence to help clients achieve breakthrough performance. Organizations don’t just call us to architect smart data strategy – they call us to implement it. As their expert data partner, our cross\-functional team parachutes in to optimize data environments, unify fragmented data, and operationalize AI/ML use cases that accelerate growth. At Beacon, impact goes beyond improving the bottom line: one in four of our clients are mission\-based organizations.
 BEACON PROJECTS
 No Beacon project is ever the same; we work across multiple sectors, providing unique learning and leadership opportunities. Examples include:
* Stitching together tens of millions of airline customer records to boost loyalty program enrollment
* Predicting optimal inventory levels for a supply chain firm to reduce idle time
* Optimizing donor targeting for a leading children’s hospital through advanced segmentation
* Architecting and implementing a modern data strategy for the largest online theater ticketing company
* Using ML/AI to optimize contact strategies and improve credit card debt recovery outcomes
**What You’ll Do**
* Lead discovery and exploratory analysis phases, including feature feasibility, data gaps, and tradeoff decisions that inform scope lock and delivery plans.
* Lead the design and delivery of advanced analytics and machine learning solutions for client business problems
* Translate ambiguous business questions into clear analytical approaches, models, and roadmaps
* Partner directly with client stakeholders (including senior leaders) to guide decisions and recommend next steps
* Partner with data engineering and DevOps to deploy scoring pipelines and APIs within client\-controlled environments.
* Design explainable scoring outputs and reason codes that support operational adoption and executive trust.
* Lead recurring client meetings, clearly explaining technical concepts, tradeoffs, and results
* Work hands\-on with data across the full lifecycle: extraction, modeling, analysis, experimentation, and production deployment
* Collaborate with data engineers, analytics engineers, and designers in a multidisciplinary, agile environment
* Build reusable data science assets, tools, and patterns that strengthen Beacon Data’s internal capabilities
* Review code, provide technical guidance, and mentor junior team members
* Support experimentation and measurement efforts such as A/B testing and performance evaluation
**Required Qualifications (must Haves)**
* Master’s or Ph.D. in Applied Statistics, Econometrics, Computer Science, Machine Learning, Mathematics, Engineering, or a related quantitative field \- or equivalent practical experience
* 5\+ years of professional experience applying statistical analysis, machine learning, and advanced analytics in a business or consulting environment
* 3\+ years of external client\-facing technical consulting, including leadership, strategic oversight, and direct engagement with C\-suite and senior executives (e.g., CIO, CTO, CFO, CEO)
* 3\+ years of experience leading or managing data science or analytics teams
* Advanced SQL skills; experience working in modern cloud\-based data ecosystems (e.g., Snowflake, Redshift, BigQuery)
* Experience designing and delivering data science solutions within Azure\-native environments, including Azure SQL–based pipelines and cloud\-hosted APIs.
* Strong proficiency in at least one programming language: Python or R (Scala a plus)
* Proven experience applying data science techniques to real\-world business problems
* Experience building predictive models designed for incremental or near–real\-time scoring, with attention to latency, stability, and operational constraints
* Experience designing hybrid scoring systems that combine rules\-based logic with predictive modeling.
* Demonstrated ability to clearly communicate complex technical concepts to non\-technical audiences
* Strong experience validating models through backtesting, lift analysis, and stability testing, and communicating business impact to executive and non\-technical stakeholders.
* Strong client\-facing skills, including leading meetings, structuring solutions, and influencing decision\-makers
* Ability to break down complex work into clear tasks and guide teams to execute effectively
* Proactive mindset around identifying follow\-on opportunities and advising clients on what to do next
**Preferred Qualifications (nice To Haves)**
* Familiarity with modern data platforms and tools (e.g., data warehouses, big data technologies, NoSQL databases)
* Familiarity with AutoML frameworks and the tradeoffs between automation, explainability, and model performance in enterprise settings.
* Understanding of data modeling and warehousing concepts (e.g., dimensional models, star schemas)
* Comfort working with structured, semi\-structured, and unstructured data
* Comfortable owning technical and delivery tradeoffs in fixed\-scope, milestone\-based client engagements.
* Experience working in Unix/Linux environments and using the command line
* Prior experience in a consulting or professional services setting
**Who You’ll Work With**
 You’ll work closely with Beacon Data’s senior technical leaders, project leads, and multidisciplinary client teams \- including data engineers, analysts, and business stakeholders. This is a highly collaborative, client\-facing role with frequent interaction across teams and direct engagement with C\-suite and senior executives (e.g., CIO, CTO, CFO, CEO)
**Who You Are**
* Collaborative, curious, and impact\-driven
* Comfortable operating in ambiguity and taking ownership
* Thoughtful in how you challenge ideas and communicate tradeoffs
* Motivated by continuous learning, experimentation, and improvement
* Authentic, respectful, and values strong team relationships
**Additional Requirements**
* Must be eligible to work in the United States
* Willing to travel periodically to client sites as needed
 Beacon Data is an equal opportunity employer. We value diverse perspectives and are committed to building an inclusive environment where everyone can do their best work.</t>
        </is>
      </c>
    </row>
    <row r="92">
      <c r="A92" t="inlineStr">
        <is>
          <t>li-4370691458</t>
        </is>
      </c>
      <c r="B92" t="inlineStr">
        <is>
          <t>Data Scientist I</t>
        </is>
      </c>
      <c r="C92" t="inlineStr">
        <is>
          <t>Knowesis Inc.</t>
        </is>
      </c>
      <c r="D92" t="inlineStr">
        <is>
          <t>linkedin</t>
        </is>
      </c>
      <c r="E92">
        <f>HYPERLINK("https://www.linkedin.com/jobs/view/4370691458", "https://www.linkedin.com/jobs/view/4370691458")</f>
        <v/>
      </c>
      <c r="F92" t="inlineStr"/>
      <c r="G92" t="inlineStr">
        <is>
          <t>Fort Liberty, NC</t>
        </is>
      </c>
      <c r="H92" t="inlineStr"/>
      <c r="I92" t="inlineStr">
        <is>
          <t>**Position:** 
 Data Scientist I
**Location:** 
 Fort Bragg, NC
**Work Environment:** 
 Onsite
**Clearance Required:** 
 Secret
**Status:** 
 Funded
 Knowesis is looking for a Data Scientist 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The Data Scientist I will support all POTFF domains, providing consultation and assistance to supported units and POTFF staff to identify opportunities and methods for capturing data relating to POTFF programs and initiatives.
 This position requires a
 **SECRET** 
 clearance and U.S. Citizenship
 **(applicants without proof of U.S. citizenship will not be considered due to the position’s security clearance requirement).**
**This position requires on\-site work for all or a portion of the work being performed. The successful candidate will reside in the local area or relocate within 15 days of the start date. No relocation is authorized.**
**The Job Duties and Responsibilities include but are not limited to the following:**
* Conducts basic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Bachelor's degree in quantitative science, social science, or a related discipline.
* Basic proficiency with the suite of Microsoft Office programs, including Word, Excel, and Access.
* Basic proficiency with commonly used statistical software applications such as SPSS, SAS, Python, and R\-Shiny.
* Be able to read, write, and speak English fluently and clearly to effectively communicate with all personnel they will interact with.
* Possess excellent verbal, written, interpersonal communication, presentation skills, and shall be highly detail oriented.
* Possess sufficient initiative, interpersonal relationship skills, and social sensitivity such that they can relate constructively to a variety of contacts from diverse backgrounds.
**Preferred Qualifications:** 
* Certification or documented experience with Human Performance.
* Experience working with Special Operations, athletics/sports, or other military settings.
* Strong technical and analytical skills in the following:
+ Data visualization/development (Power BI, Tableau), and Microsoft Power Apps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93">
      <c r="A93" t="inlineStr">
        <is>
          <t>li-4371042624</t>
        </is>
      </c>
      <c r="B93" t="inlineStr">
        <is>
          <t>Senior Data Scientist - Supply Chain</t>
        </is>
      </c>
      <c r="C93" t="inlineStr">
        <is>
          <t>Dealer Tire</t>
        </is>
      </c>
      <c r="D93" t="inlineStr">
        <is>
          <t>linkedin</t>
        </is>
      </c>
      <c r="E93">
        <f>HYPERLINK("https://www.linkedin.com/jobs/view/4371042624", "https://www.linkedin.com/jobs/view/4371042624")</f>
        <v/>
      </c>
      <c r="F93">
        <f>HYPERLINK("https://dealertire.wd5.myworkdayjobs.com/DealerTireLLC-Careers/job/Cleveland-OH/Senior-Data-Scientist\u002d\u002d-Supply-Chain_R12099?source=LinkedIn&amp;urlHash=Euq7", "https://dealertire.wd5.myworkdayjobs.com/DealerTireLLC-Careers/job/Cleveland-OH/Senior-Data-Scientist\u002d\u002d-Supply-Chain_R12099?source=LinkedIn&amp;urlHash=Euq7")</f>
        <v/>
      </c>
      <c r="G93" t="inlineStr"/>
      <c r="H93" t="inlineStr"/>
      <c r="I93"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**Base Pay Range:** 
 $130,000\-$145,000
**As a Senior Data Scientist, your essential job functions will include the following:**
**Provide Thought Leadership \&amp; Drive Change**
* Deliver data\-driven insights through advanced algorithms and statistical models aligned with Supply Chain strategy, maximizing profitability and minimizing costs.
* Collaborate with leadership to effectively solve problems, assess results, and communicate actionable recommendations.
* Build relationships with cross\-functional teams to drive progress and adoption of Data Science projects.
* Execute discovery sprints and deep EDA to convert anecdotes into testable hypotheses, KPIs, and use cases across supply chain functions.
* Define and track operational KPIs with model health to tie analytics to service, cost, safety, and cash.
* Translate complex analyses into simple narratives and decision memos leaders can act on, linking findings to economics and operational playbooks.
**Advanced Modeling and Analysis**
* Identify and prioritize projects with the most significant returns and develop advanced mathematical and statistical models.
* Design optimization/ML/simulation models and package them to drive day\-to\-day operations and decisions with clear recommendations and “what\-if” scenarios.
* Create high\-quality features and datasets with lineage and quality checks; stand up lightweight feature stores and reusable “EDA fact packs” to accelerate future work.
* Develop, maintain, and optimize models in cloud environments, ensuring business teams can leverage insights with actionable recommendations.
* Collect, cleanse, transform, and curate structured and unstructured data into usable formats for research and analysis.
* Utilize tools like SQL and data APIs to manage data in various storage environments, ensuring privacy and confidentiality.
**Product and Project Management**
* Lead projects and collaborate with subject matter experts to align analysis outcomes with organizational goals.
* Partner with MLE / DE to deliver resilient pipelines with alerting, and retraining; author runbooks and guardrails so Ops can operate models confidently.
* Design and productionize multi\-agent workflows that read from the data lake or warehouse and trigger actions; implement human\-in\-the\-loop review, role\-based guardrails, and observability.
* Design and deliver scalable, integrated software tools and models that balance predictive power, interpretability, and operational risks.
* Manage strategic projects, ensuring clear communication, timely delivery, and appropriate ROI for recommended initiatives.
**Other Duties As Assigned**
**Basic Position Requirements**
* MS in Computer Science, Operations Research, Applied Mathematics, Machine Learning, or a related field.
* 4\-5 years of experience implementing optimization, ML, or AI models.
* Effective program management experience with proven results required
* Strong data engineering principles, familiar with technologies to store, query, process, and analyze data.
* Strong programming skills in languages like Python, C/C\+\+, Java, or Go.
* Proven record of productionizing models in cloud environments, version control, and MLOps.
**Preferred Qualifications**
* Demonstrate in\-depth technical capabilities, professional knowledge and understanding in functional areas of Supply Chain \&amp; Optimization – Inventory, Transportation, Sourcing, Distribution, Fulfillment, and Planning.
* 2\+ years of practical experience with Optimization \+ Simulation (Pyomo/OR\-Tools/Gurobi/CPLEX; Monte Carlo/discrete\-event) and ML.
* Ability to simplify complexity, influence cross\-functionally, and tell the story behind the math.
* Displays a creative mindset with problem solving in sophisticated and complex environments. This includes and is not limited to identifying both new and existing problems and applying the most appropriate technology to successfully solve the given challenge.
**Competencies Required**
* Results Orientation
* Business Acumen
* Agility
* Initiative
* Influence
* Communication
* Customer Focus
* Relationship Building
* Critical Thinking
**Physical Job Requirements**
- Continuous viewing from and inputting to a computer screen.
- Sitting for long periods of time.
 Travel as necessary,
**Drug Policy**
* Dealer Tire is a drug\-free environment. All applicants being considered for employment must pass a pre\-employment drug screening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row>
    <row r="94">
      <c r="A94" t="inlineStr">
        <is>
          <t>li-4371035385</t>
        </is>
      </c>
      <c r="B94" t="inlineStr">
        <is>
          <t>Data Scientist - Model Governance (Hybrid)</t>
        </is>
      </c>
      <c r="C94" t="inlineStr">
        <is>
          <t>Enova International</t>
        </is>
      </c>
      <c r="D94" t="inlineStr">
        <is>
          <t>linkedin</t>
        </is>
      </c>
      <c r="E94">
        <f>HYPERLINK("https://www.linkedin.com/jobs/view/4371035385", "https://www.linkedin.com/jobs/view/4371035385")</f>
        <v/>
      </c>
      <c r="F94" t="inlineStr"/>
      <c r="G94" t="inlineStr">
        <is>
          <t>Chicago, IL</t>
        </is>
      </c>
      <c r="H94" t="inlineStr"/>
      <c r="I94" t="inlineStr">
        <is>
          <t>*We are interested in every qualified candidate who is eligible to work in the United States. However, we are not able to sponsor visas or take over sponsorship at this time.* 
**About the role:** 
 As a Data Scientist, you will be one of Enova’s most valuable team members. You will develop, enhance and test the company’s models for use in determining the appropriate lending criteria and verification procedures. You will perform independent model validations to evaluate model fit for purpose, conceptual soundness, mathematical theory and assumptions, data/assumptions, and output reasonableness. At times, you may be asked to conduct ad hoc analysis using statistical and financial tools to recommend for risk management, marketing and operational strategies. You will demonstrate the ability to interpret and organize data, and communicate it effectively to cross functional teams to solve business problems, provide requirements and support implementation.
**Responsibilities:** 
* Perform model validation of credit risk models
* Prepare model validation reports and write technical documentation
* Assist analysts in validating and preparing their models for production
* Interact with model stakeholders and business partners to gather information about credit models and risk acceptances
* Support model releases to ensure they are quickly and accurately put into production
* Monitor model performance dashboards, build alerts, and escalate concerns as appropriate
* Support and improve automated model training processes by using data manipulation, and machine learning skills
* Use your programming skills to develop and test programs for custom tool development
**Requirements:** 
* Experience in developing advanced credit risk models
* 3\+ years of experience in quantitative analysis in the financial services industry is preferred but not required
* Knowledge of statistical models in risk management
* Advanced programming skills in Python and the ability to write customized programs for meaningful data analysis
* Experience working with relational databases, such as SQL
**Compensation:** 
 The budgeted annual salary range for this position is
 $87,000 to $110,00
 **.** 
 Actual annual salary will be determined based on qualifications, skills, experience, and level assessed during the hiring process and may fall outside of the range shown.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95">
      <c r="A95" t="inlineStr">
        <is>
          <t>li-4364909917</t>
        </is>
      </c>
      <c r="B95" t="inlineStr">
        <is>
          <t>Applied Data Scientist – Dairy</t>
        </is>
      </c>
      <c r="C95" t="inlineStr">
        <is>
          <t>Genus PLC</t>
        </is>
      </c>
      <c r="D95" t="inlineStr">
        <is>
          <t>linkedin</t>
        </is>
      </c>
      <c r="E95">
        <f>HYPERLINK("https://www.linkedin.com/jobs/view/4364909917", "https://www.linkedin.com/jobs/view/4364909917")</f>
        <v/>
      </c>
      <c r="F95" t="inlineStr"/>
      <c r="G95" t="inlineStr">
        <is>
          <t>De Forest, WI</t>
        </is>
      </c>
      <c r="H95" t="inlineStr"/>
      <c r="I95" t="inlineStr">
        <is>
          <t>**Role Overview**
**ABS Global, a Genus Company, has an exciting opportunity.**
 The Dairy Product Development group at ABS Global is seeking a data driven problem solver with a strong interest in applied data science and analytics to help shape the future of animal breeding. This role focuses on transforming large\-scale genetic and phenotypic datasets into
 **actionable insights** 
 that directly influence breeding strategies and economic outcomes.
 You will join a growing, technically oriented team that applies modern data workflows, analytics, and computational tools to real\-world data (RWD). While grounded in the dairy industry, this position is well suited for candidates who enjoy
 **working with datasets, databases, and analytical systems** 
 and want to apply those skills in a domain with tangible, global impact.
 The position is based in the
 **general Madison, WI area** 
 and is
 **physically located in DeForest, WI** 
 .
 The salary range for this position is $56,000 \- $80,000 USD. The salary provided is a good faith estimate representative of all experience levels. Genus considers several factors when extending an offer, including but not limited to, the role, function and associated responsibilities, a candidate’s work experience, location, education/training, and key skills.
**You Will**
* Collection, loading, and tracking of quality monthly farm data into ABS’s Real World Database (RWD®)
* Recruitment and maintenance of RWD data including set\-up of new herds, monitoring of on\-farm software program changes, and database maintenance
* Providing support and resources on the RWD database including providing statistics on herd demographics and quality of on\-farm data recording
* Providing support and resources for validation and incorporation of new farm software into RWD
* Identify areas for and help implement improvements to overall data workflow process
* Collaboration with dairy genetic research team in trait definition and development of proprietary genetic evaluations
* Provide support and training to others within company on dairy data and major dairy herd management software
* Data analysis and report development
**Requirements**
* Bachelor’s or Master’s degree in Computer Science, Data Science, Data Analytics, Animal Science, Dairy Science, or a related quantitative field
* Strong intellectual curiosity with a demonstrated ability to translate complex data into actionable insights.
* Strong interest in data manipulation and data pipeline development.
* Experience with simple workflow automation and database familiarity
* Familiarity with Linux/Unix environments and experience with at least one programming or data analytics language or tool (e.g., R, My(SQL), Python, Microsoft Access, Power BI), or a strong willingness to learn
* Understanding data management, data quality, and analytical workflows; experience with databases or automated data pipelines is a plus
* Experience with dairy farm management software (e.g., DairyComp 305, PCDART, DHIPlus, BoviSync, DelPro, Lely) is beneficial but not required
* Dairy Challenge experience preferred
* Strong written and verbal communication skills; fluent in English
* Willingness to learn and take feedback
**Business Overview**
**Genus** 
 is an agricultural biotechnology pioneer. We are a global FTSE 250 company, headquartered in the UK, and listed on the London Stock Exchange. Genus PLC has a presence in over 70 countries and a global workforce of over 3,000 employees and growing. We are a worldwide leader in porcine and bovine animal genetics, partnering with farmers to transform how we nourish the world – a mission that is important to a sustainable future.
**ABS Global** 
 is a Genus company and is the world\-leading provider of bovine genetics, reproductive services, technologies and udder care products. Marketing in more than 70 countries around the globe, ABS has been at the forefront of animal genetics and technology since its founding in 1941\. We are uniquely positioned as a global player with a dedicated research and development function and an international distribution network. We breed and distribute the genes of the world’s best bulls, scientifically selecting livestock whose offspring is designed to increase the profitability of our customers who are some of the world’s biggest farmers and food producers.
 **IntelliGen Technologies** 
 is the technology within ABS that develops sexed bovine genetics that helps customers maximize their profitability and reach their end goals in a fast and efficient manner.
 Our vision is clear:
 **Pioneering animal genetic improvement to sustainably nourish the world.**
**Benefits Overview**
 At Genus, we offer a competitive salary. Benefits include health, dental, vision, FSA/HSA, long and short\-term disability, 401K, tuition reimbursement, paid holidays and ETO (earned time off). This position will have opportunity for growth.
**Equal Employment Opportunities**
 Genus is an equal opportunity employer. In accordance with anti\-discrimination law, it is the purpose of this policy to effectuate these principles and mandates. Genus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Genus conforms to the spirit as well as to the letter of all applicable laws and regulations.
**Recruitment Fraud Warning**
 Genus plc will never ask you to provide fees or payment for computer, software, or other equipment or supplies during the recruitment and/or onboarding process. If you have any questions about your individual application, please contact the Genus Talent Acquisition team at recruiting@genusplc.com .</t>
        </is>
      </c>
    </row>
    <row r="96">
      <c r="A96" t="inlineStr">
        <is>
          <t>li-4362287424</t>
        </is>
      </c>
      <c r="B96" t="inlineStr">
        <is>
          <t>Sr. Data Scientist - Marketing Science &amp; Offerings</t>
        </is>
      </c>
      <c r="C96" t="inlineStr">
        <is>
          <t>Ovative Group</t>
        </is>
      </c>
      <c r="D96" t="inlineStr">
        <is>
          <t>linkedin</t>
        </is>
      </c>
      <c r="E96">
        <f>HYPERLINK("https://www.linkedin.com/jobs/view/4362287424", "https://www.linkedin.com/jobs/view/4362287424")</f>
        <v/>
      </c>
      <c r="F96" t="inlineStr"/>
      <c r="G96" t="inlineStr">
        <is>
          <t>New York, United States</t>
        </is>
      </c>
      <c r="H96" t="inlineStr"/>
      <c r="I96"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As the Senior Data Scientist, you will play a key role in
* Developing advanced marketing measurement capabilities that unlock our company vision to transform the measure of marketing success. You will be at the forefront of developing and delivering differentiated AI assisted marketing data science and measurement solutions focused on maximizing profitable enterprise revenue and customer value for our clients.
* Partnering with driven, solution\-minded experts, business leaders, analysts, and scientists at Ovative in engaging with clients, and defining approaches and road maps for solutions to client problems.
* Technical mentoring of junior data scientists, guiding their algorithmic, testing methodological approaches, and reviewing their code.
* Working with technology leaders, product owners and engineers to convert novel solutions developed to scalable new services and product offerings at Ovative.
* Being a part of an inclusive culture that inspires and motivates the team and attracts new, diverse technical talent to the organization.
**Responsibilities Of a Sr. Data Scientist**
* Lead technical contributor in a high\-performance data science \&amp; advanced analytics team, responsible for your team’s productivity, operational excellence, and business impact
* Drive value across multiple business verticals by leading the technical development and deployment of impactful and interpretable models
* Partner closely with Engineering and Product Management to scale your team’s innovative measurement solutions into product and service offerings
* Provide mentoring, training, and other opportunities for effective technical development of data scientists
* Assist with technical parts of business development as needed, including RFP response, sales and conference presentations using AI assistance where applicable.
* Build strong relationships across the organization to understand internal stakeholder needs for trusted data science support
**Requirements**
* 5\+ years of hands\-on experience in data science, analytics, or a related quantitative field, with a strong track record of delivering business value through technical innovation.
* Proven success as a technical contributor in high\-performing data science teams, preferably within product\-centric or consulting environments.
* Very Important: Ability to quickly learn and execute
* Expertise in advanced statistical modeling and machine learning, with hands\-on experience preferred in techniques such as:
* Media Mix Modeling (MMM)
* Incrementality Testing/ Causal Inference
* Attribution Modeling
* Customer Analytics: Lifetime Value (CLV) Modeling, Segmentation
* Generative AI Data Science
* Proficiency in the following preferred programming and data environments:
* Languages: SQL, and/or R or Python
* Tools: Git, Docker, MLOps, POSIT IDEs, cloud notebooks, Frameworks like Shiny, Streamlit, etc
* Data platforms: BigQuery, Databricks
* Familiarity with cloud infrastructure and deployment practices (e.g., AWS/GCP/Azure), MLOps pipelines, and containerization is a plus.
* Experience with Bayesian/Probabilistic modeling frameworks (e.g., PyMC, Stan) is a plus.
* Strong business acumen, especially within digital and traditional marketing domains; ability to translate data insights into clear strategic recommendations.
* Excellent communicator: able to lead conversations with technical and non\-technical stakeholders, including senior client partners and internal executives.
* Demonstrated leadership and mentorship skills; able to think independently, guide junior team members and influence cross\-functional teams.
* Bonus: Familiarity with Generative AI applications in marketing analytics (e.g., using LLMs for data summarization, content tagging, or creative testing insights).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Data Scientist positions, our compensation ranges from $90,000 to $132,000, which is inclusive of a 20%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Generous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row>
    <row r="97">
      <c r="A97" t="inlineStr">
        <is>
          <t>li-4371016799</t>
        </is>
      </c>
      <c r="B97" t="inlineStr">
        <is>
          <t>Director, Data Scientist (Predictive &amp; Agentic AI)</t>
        </is>
      </c>
      <c r="C97" t="inlineStr">
        <is>
          <t>SymphonyAI</t>
        </is>
      </c>
      <c r="D97" t="inlineStr">
        <is>
          <t>linkedin</t>
        </is>
      </c>
      <c r="E97">
        <f>HYPERLINK("https://www.linkedin.com/jobs/view/4371016799", "https://www.linkedin.com/jobs/view/4371016799")</f>
        <v/>
      </c>
      <c r="F97" t="inlineStr"/>
      <c r="G97" t="inlineStr">
        <is>
          <t>New York, NY</t>
        </is>
      </c>
      <c r="H97" t="inlineStr"/>
      <c r="I97" t="inlineStr">
        <is>
          <t>**Job Description**
 SymphonyAI is seeking a Director of Data Science \- Predictive \&amp; Agentic AI to lead the design, development, and deployment of advanced AI capabilities across our enterprise SaaS platforms. This role sits at the intersection of predictive analytics, agentic AI systems, and real\-world enterprise workflows, with a strong focus on delivering measurable business outcomes for customers. This role requires both deep technical
 **expertise** 
 and the ability to translate AI innovation into customer and business value.
 AI Strategy \&amp; Leadership
* Lead and mentor a high\-performing, global team of data scientists, ML engineers, and applied researchers.
* Define and execute the AI vision and roadmap across Predictive AI, Decision Intelligence, Agentic AI, and Generative AI.
* Act as a thought leader for AI strategy, influencing executive stakeholders and product direction.
 Predictive \&amp; Decision Intelligence
* Own the development of predictive, prescriptive, and causal models, including forecasting, optimization, propensity modeling, anomaly detection, and decision scoring.
* Ensure predictive models serve as the statistical foundation for agentic and generative AI workflows.
* Translate probabilistic outputs into clear, actionable recommendations for enterprise users.
 Agentic \&amp; Generative AI
* Drive the design and deployment of LLM\-powered agents and multi\-agent systems that reason, plan, and execute actions grounded in trusted data and models.
* Oversee model development using LLMs, transformers, diffusion models, and hybrid architectures that combine deterministic and generative approaches.
* Ensure generative AI augments human decision\-making rather than replacing core analytical rigor.
 Experimentation, Evaluation \&amp; Consistency
* Establish a robust experimentation and measurement framework, including offline validation, online A/B testing, causal inference, and counterfactual analysis.
* Own model consistency, stability, and reproducibility, ensuring reliable outputs under equivalent conditions and clear signaling when uncertainty or variability is expected.
* Define success metrics tied directly to business outcomes and user adoption.
 Explainability, Trust \&amp; Human\-in\-the\-Loop
* Build AI systems that are explainable, transparent, and auditable, with clear decision rationale, feature attribution, and confidence scoring.
* Design human\-in\-the\-loop workflows, enabling expert users to review, override, and refine AI recommendations.
* Ensure AI outputs align with the intuitive expectations of experienced domain professionals.
 Platform, Governance \&amp; Collaboration
* Partner closely with engineering, product management, and customer success to deliver scalable AI solutions in SaaS environments.
* Establish best practices for MLOps, model monitoring, governance, and responsible AI, ensuring compliance, safety, and operational excellence.
* Stay ahead of emerging trends in predictive modeling, agentic systems, foundation models, and AI orchestration.
 What You Will Bring
* Proven experience leading enterprise\-scale data science organizations delivering real\-world AI products.
* Deep expertise in predictive modeling, machine learning, and statistical methods, combined with hands\-on experience in LLMs and agentic AI frameworks.
* Strong intuition for trust, explainability, and usability in AI systems used by expert, high\-stakes decision makers.
* Track record of translating complex AI capabilities into measurable business impact.
* Excellent communication skills, with the ability to influence both technical and non\-technical stakeholders.
* Passion for building inclusive teams, fostering experimentation, and driving continuous learning.</t>
        </is>
      </c>
    </row>
    <row r="98">
      <c r="A98" t="inlineStr">
        <is>
          <t>li-4370693316</t>
        </is>
      </c>
      <c r="B98" t="inlineStr">
        <is>
          <t>Sr. Data Scientist</t>
        </is>
      </c>
      <c r="C98" t="inlineStr">
        <is>
          <t>Visa</t>
        </is>
      </c>
      <c r="D98" t="inlineStr">
        <is>
          <t>linkedin</t>
        </is>
      </c>
      <c r="E98">
        <f>HYPERLINK("https://www.linkedin.com/jobs/view/4370693316", "https://www.linkedin.com/jobs/view/4370693316")</f>
        <v/>
      </c>
      <c r="F98">
        <f>HYPERLINK("https://jobs.smartrecruiters.com/Visa/744000108556794-sr-data-scientist?source=LinkedIn&amp;urlHash=0yp3", "https://jobs.smartrecruiters.com/Visa/744000108556794-sr-data-scientist?source=LinkedIn&amp;urlHash=0yp3")</f>
        <v/>
      </c>
      <c r="G98" t="inlineStr">
        <is>
          <t>Foster City, CA</t>
        </is>
      </c>
      <c r="H98" t="inlineStr"/>
      <c r="I9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Post Purchase Platform manages all network level disputes and chargebacks and is the foundation for creating innovative solutions that drive exceptional value for clients. Because it's Visa, the platform is modular, secure, robust, and resilient. And because it’s Visa, our data scientists have access to a treasure trove of structured and un\-structured data.
 At Visa, we believe AI technologies have the potential to radically transform the payment and post\-purchase landscape. We launched multiple AI initiates to enable this next era.
 Make an impact with a purpose\-driven industry leader. Join us today and be part of AI transformation journey at Visa.
 We are looking for a versatile, curious, and energetic Senior Data Scientist to join our team. We are the backbone for innovative data science and artificial intelligence developments for the Visa Post Purchase Platform, and we thrive on solving complex challenges on a global scale!
 As a Senior Data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Implements, monitors and maintains a suite of production machine learning, NLP models and Gen AI products that adhere to data science and machine learning standards.
* Develops strategies and tools for and leads team's efforts to drive efficiencies across data extraction, frequent retuning of models and ensure data quality and completeness using data wrangling, LLMs and artificial intelligence.
* Ensures adherence to Visa’s model review management processes, data management principles, governance, process, and tools to maintain data quality across products.
* Advises on technical specifications during discussions with collaborators (e.g., model review management team, software development team, product team, clients) to identify and clarify sophisticated technical or business requirements and identify business needs and upstream and/or downstream system/application dependencies.
* Identifies complex trends across relevant data sources and uses insights to plan platform\-wide future solution updates.
* Owns and maintains dashboards that use SQL to collect data from an internal data warehouse. Develop visualizations to make your complex analyses accessible to a broad audience.
* Find opportunities to create new data products out of analyses
* Provides ad\-hoc data analysis support and conducts data studies for Visa account management, business development and other internal teams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Four (4\) years of experience designing, building/fine tuning ML/AI models around fraud detection. E.g., XGBoost, NLP models, Neural Network models, e.t.c
* Four (4\) years of experience solving data problems using data technologies (e.g., SQL, Hadoop, Hive, NoSQL)
* Expert in : Python
* One (1\) year of experience in using LLMs for feature extraction from textual data
* One (1\) year of experience in building dashboards with Tableau or Power BI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161,400\.00 to 258,500\.00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99">
      <c r="A99" t="inlineStr">
        <is>
          <t>li-4371076484</t>
        </is>
      </c>
      <c r="B99" t="inlineStr">
        <is>
          <t>Data Scientist II</t>
        </is>
      </c>
      <c r="C99" t="inlineStr">
        <is>
          <t>Centene Corporation</t>
        </is>
      </c>
      <c r="D99" t="inlineStr">
        <is>
          <t>linkedin</t>
        </is>
      </c>
      <c r="E99">
        <f>HYPERLINK("https://www.linkedin.com/jobs/view/4371076484", "https://www.linkedin.com/jobs/view/4371076484")</f>
        <v/>
      </c>
      <c r="F99" t="inlineStr"/>
      <c r="G99" t="inlineStr">
        <is>
          <t>North Carolina, United States</t>
        </is>
      </c>
      <c r="H99" t="inlineStr"/>
      <c r="I9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**Must be authorized to work in the U.S. without the need for employment\-based visa sponsorship now or in the future. Sponsorship and future sponsorship are not available for this opportunity, including employment\-based visa types H\-1B, L\-1, O\-1, H\-1B1, F\-1, J\-1, OPT, or CPT**
**Position Purpose** 
 Responsible for advanced and predictive data analytics using big data and data science technology for healthcare innovation and outcomes. Perform analysis using data science techniques on structured and unstructured data sets, and develop algorithms for targeted business needs.
* Design and develop data models to predict member outcomes or future impact of key member decisions.
* Design and construct analysis tools that extract, and analyze data and store analytical results in an appropriate format for business needs.
* Conduct exploratory data analysis from complex data sources and build key data sets to support Centene’s mission.
* Evaluate and design experiments to monitor key metrics and identify improvement opportunities.
* Develop mathematical and statistical models to distinguish relevant content or events and recognize patterns.
* Participate in presentations and communicate results of analysis and findings.
* Participate in the design of automated, operational analytics processes to achieve scale and durability of analysis processes.
* Validate and measure the outcomes of health management programs using SAS, R and other tools, to include provider data, claims data, membership data.
* Manage multiple projects as assigned.
* Assist with training Data Analysts.
**Knowledge/Experience** 
 Master’s degree in Statistics, Mathematics, Computer Science, Informatics, Econometrics, Engineering, Experimental Science with 3\+ years of experience or Bachelor’s degree and 5\+ years of quantitative analysis experience in data science capabilities including data mining, predictive modeling, machine learning, statistical modeling, large scale data acquisition, transformation, and structured and unstructured data analysis. Experience with database technologies, including Oracle, SAP, DB2, Teradata, MS SQL Server, SAP HANA, MySQL.
***By applying to this requisition, you acknowledge and understand that you may be considered for other job opportunities for which Centene believes you may be qualified***
 Pay Range $87,700\.00 \- $157,800\.00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00">
      <c r="A100" t="inlineStr">
        <is>
          <t>li-4310476495</t>
        </is>
      </c>
      <c r="B100" t="inlineStr">
        <is>
          <t>Staff Data Scientist, Trust &amp; Safety</t>
        </is>
      </c>
      <c r="C100" t="inlineStr">
        <is>
          <t>Character.AI</t>
        </is>
      </c>
      <c r="D100" t="inlineStr">
        <is>
          <t>linkedin</t>
        </is>
      </c>
      <c r="E100">
        <f>HYPERLINK("https://www.linkedin.com/jobs/view/4310476495", "https://www.linkedin.com/jobs/view/4310476495")</f>
        <v/>
      </c>
      <c r="F100">
        <f>HYPERLINK("https://jobs.ashbyhq.com/character/07df7a5b-a285-4bfb-bef0-ee962efe3ab8?utm_source=da9fa8c5&amp;urlHash=yHPa", "https://jobs.ashbyhq.com/character/07df7a5b-a285-4bfb-bef0-ee962efe3ab8?utm_source=da9fa8c5&amp;urlHash=yHPa")</f>
        <v/>
      </c>
      <c r="G100" t="inlineStr">
        <is>
          <t>Redwood City, CA</t>
        </is>
      </c>
      <c r="H100" t="inlineStr"/>
      <c r="I100" t="inlineStr">
        <is>
          <t>**About the Role:**
 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Data Scientist, you will collaborate closely with Product cross\-functional teams to design innovative, user\-centered solutions that delight and inspire our customers. The ideal candidate will have a deep understanding of safety metrics and online harms derived from user\-centric data, a strong portfolio showcasing their craft, and a passion for pushing the boundaries of what's possible with AI.
**What you’ll do:**
 We are seeking a highly skilled and experienced Data Scientist with a strong background in trust \&amp; safety in consumer products to help scale Character.AI into its next era. You will work to support our Safety team across a number of product areas, with a major focus on our two\-side ecosystem of Creators and Users that together create the Characters and experiences that power the platform.
**Qualifications:**
* Have 7\+ years of experience at data science leadership at chat, social media, or UGC product companies
* Have 2\+ years of experience as a data scientist supporting the trust \&amp; safety function
* Have a strong intuition for choosing the right questions to ask and quickly driving to key insights
* Excel at turning findings into actionable next steps and working with engineering to execute
* Enjoy leaning into high velocity experimentation
* Are capable of standing up Character.AI's data science efforts, including the tools and systems that you will need to work effectively as we scale
****You will be a good fit if you have:****
* Ecosystems data science or B2C/C2C marketplace experience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01">
      <c r="A101" t="inlineStr">
        <is>
          <t>li-4363130359</t>
        </is>
      </c>
      <c r="B101" t="inlineStr">
        <is>
          <t>Senior Data Scientist</t>
        </is>
      </c>
      <c r="C101" t="inlineStr">
        <is>
          <t>ICI Services Corporation</t>
        </is>
      </c>
      <c r="D101" t="inlineStr">
        <is>
          <t>linkedin</t>
        </is>
      </c>
      <c r="E101">
        <f>HYPERLINK("https://www.linkedin.com/jobs/view/4363130359", "https://www.linkedin.com/jobs/view/4363130359")</f>
        <v/>
      </c>
      <c r="F101" t="inlineStr"/>
      <c r="G101" t="inlineStr"/>
      <c r="H101" t="inlineStr"/>
      <c r="I101" t="inlineStr">
        <is>
          <t>**Senior Data Scientist \- Position Description**
 Join a team that is shaping the future of Navy support. ICI Services is a 100% employee\-owned company proudly celebrating 26 years of excellence—is seeking a
 **Senior Data Scientist** 
 to Join our Team in a
 **Remote** 
 capacity.
 At ICI Services, our employee\-owners drive innovation and deliver mission\-focused solutions across the Navy enterprise. Our diverse team of acquisition experts, financial analysts, engineers, logisticians, IT professionals, and technical specialists is united by a commitment to quality, performance, and customer success. Become part of an organization where your expertise matters and your contributions make a difference.
**Security Clearance**
* Applicant must hold or be able to obtain an active Department of Defense (DoD) SECRET personnel security clearance.
**Responsibilities**
 Senior Data Scientist must have knowledge of and access to program datasets and broader information systems and databases such as NSWC Corona Ship Maintenance Data Improvement Initiative (SMDII), Navy Maintenance Database (NMD), Navy Data Environment (NDE), Enterprise Data Warehouse (EDW), Enterprise Resource Planning (ERP).
* Generate standard or custom reports summarizing business, financial, or performance data for review by managers and other stakeholders.
* Identify and analyze industry trends with business strategy implications.
* Maintain library of model documents, templates, or other reusable knowledge assets.
* Provide technical support for existing reports, dashboards, or other tools.
* Analyze business intelligence and data to support recommendations for action and updates to processes and procedures.
* Apply mathematical or statistical techniques to address practical issues in financial, program, and risk management.
* Interpret results of analysis procedures.
* Study work problems and procedures, such as organizational change, communications, information flow, integrated production methods, and cost analysis.
* Select statistical tests for collecting and analyzing data.
* Collaborate with management and users to develop content and integrate program strategies with websites and virtual tools.
* Research and apply innovative solutions for product design, visuals, and user experience to meet the needs of individual web development and digital projects.
* Write and edit technical documentation for digital products and designs, such as user manuals, testing protocols, and reports.
**Experience**
* 10\+ years of professional experience providing Data Analytics support to Navy programs.
* Experience with Navy Data Analytics tools.
* DoD/DoN procedures and Policies (DoD 5000 process); DoD/DoN contracting; experience communicating with SES/Flag level personnel; Navy procedures and processes is desired.
**Education / Certifications Requirements**
* Bachelor's degree in Math, science, engineering, or related field.
**EOE/M/F/ Disability/Vet**
**VEVRAA Federal Contractor**
**Benefits**
 ICI Services provides a comprehensive, competitive benefits package.
**Our Benefits**
* Employee Stock Ownership Plan
* 401(k) Plan with Immediately Vesting Match
* Paid Time Off
* Paid Holidays
* Health Insurance
* Dental Insurance
* Vision Plan
* Flexible Spending Accounts (Healthcare, Dependent Care, Transportation, Parking)
* Life Insurance and Accidental Death \&amp; Dismemberment (AD\&amp;D)
* Long Term and Short Term Disability Insurance
* Tuition Reimbursement
* Employee Referral Bonus Program
* Employee Performance Recognition \&amp; Awards (Spot Bonuses)
**Company Overview**
 ICI Services is an Employee\-Owned Business with a proud history of providing Engineering \&amp; Integration, Systems Acquisition, Information Warfare, and In\-Service Sustainment to our government customers. These objectives have been achieved by facilitating strong customer satisfaction and continuous growth. ICI Services’ engineers, analysts, logisticians, technicians and information technology specialists provide integral, quality support to multiple US Navy organizations and the Department of Homeland Security. We are headquartered in Virginia Beach, VA.
**EOE/M/F/Disability/Vet** 
**VEVRAA Federal Contractor**</t>
        </is>
      </c>
    </row>
    <row r="102">
      <c r="A102" t="inlineStr">
        <is>
          <t>li-4363045136</t>
        </is>
      </c>
      <c r="B102" t="inlineStr">
        <is>
          <t>Sr. Data Scientist - Marketing Science &amp; Offerings</t>
        </is>
      </c>
      <c r="C102" t="inlineStr">
        <is>
          <t>Ovative Group</t>
        </is>
      </c>
      <c r="D102" t="inlineStr">
        <is>
          <t>linkedin</t>
        </is>
      </c>
      <c r="E102">
        <f>HYPERLINK("https://www.linkedin.com/jobs/view/4363045136", "https://www.linkedin.com/jobs/view/4363045136")</f>
        <v/>
      </c>
      <c r="F102" t="inlineStr"/>
      <c r="G102" t="inlineStr">
        <is>
          <t>Chicago, IL</t>
        </is>
      </c>
      <c r="H102" t="inlineStr"/>
      <c r="I102"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As the Senior Data Scientist, you will play a key role in
* Developing advanced marketing measurement capabilities that unlock our company vision to transform the measure of marketing success. You will be at the forefront of developing and delivering differentiated AI assisted marketing data science and measurement solutions focused on maximizing profitable enterprise revenue and customer value for our clients.
* Partnering with driven, solution\-minded experts, business leaders, analysts, and scientists at Ovative in engaging with clients, and defining approaches and road maps for solutions to client problems.
* Technical mentoring of junior data scientists, guiding their algorithmic, testing methodological approaches, and reviewing their code.
* Working with technology leaders, product owners and engineers to convert novel solutions developed to scalable new services and product offerings at Ovative.
* Being a part of an inclusive culture that inspires and motivates the team and attracts new, diverse technical talent to the organization.
**Responsibilities Of a Sr. Data Scientist**
* Lead technical contributor in a high\-performance data science \&amp; advanced analytics team, responsible for your team’s productivity, operational excellence, and business impact
* Drive value across multiple business verticals by leading the technical development and deployment of impactful and interpretable models
* Partner closely with Engineering and Product Management to scale your team’s innovative measurement solutions into product and service offerings
* Provide mentoring, training, and other opportunities for effective technical development of data scientists
* Assist with technical parts of business development as needed, including RFP response, sales and conference presentations using AI assistance where applicable.
* Build strong relationships across the organization to understand internal stakeholder needs for trusted data science support
**Requirements**
* 5\+ years of hands\-on experience in data science, analytics, or a related quantitative field, with a strong track record of delivering business value through technical innovation.
* Proven success as a technical contributor in high\-performing data science teams, preferably within product\-centric or consulting environments.
* Very Important: Ability to quickly learn and execute
* Expertise in advanced statistical modeling and machine learning, with hands\-on experience preferred in techniques such as:
* Media Mix Modeling (MMM)
* Incrementality Testing/ Causal Inference
* Attribution Modeling
* Customer Analytics: Lifetime Value (CLV) Modeling, Segmentation
* Generative AI Data Science
* Proficiency in the following preferred programming and data environments:
* Languages: SQL, and/or R or Python
* Tools: Git, Docker, MLOps, POSIT IDEs, cloud notebooks, Frameworks like Shiny, Streamlit, etc
* Data platforms: BigQuery, Databricks
* Familiarity with cloud infrastructure and deployment practices (e.g., AWS/GCP/Azure), MLOps pipelines, and containerization is a plus.
* Experience with Bayesian/Probabilistic modeling frameworks (e.g., PyMC, Stan) is a plus.
* Strong business acumen, especially within digital and traditional marketing domains; ability to translate data insights into clear strategic recommendations.
* Excellent communicator: able to lead conversations with technical and non\-technical stakeholders, including senior client partners and internal executives.
* Demonstrated leadership and mentorship skills; able to think independently, guide junior team members and influence cross\-functional teams.
* Bonus: Familiarity with Generative AI applications in marketing analytics (e.g., using LLMs for data summarization, content tagging, or creative testing insights).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Data Scientist positions, our compensation ranges from $90,000 to $132,000, which is inclusive of a 20%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Generous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row>
    <row r="103">
      <c r="A103" t="inlineStr">
        <is>
          <t>li-4371054799</t>
        </is>
      </c>
      <c r="B103" t="inlineStr">
        <is>
          <t>Data Scientist</t>
        </is>
      </c>
      <c r="C103" t="inlineStr">
        <is>
          <t>Booz Allen Hamilton</t>
        </is>
      </c>
      <c r="D103" t="inlineStr">
        <is>
          <t>linkedin</t>
        </is>
      </c>
      <c r="E103">
        <f>HYPERLINK("https://www.linkedin.com/jobs/view/4371054799", "https://www.linkedin.com/jobs/view/4371054799")</f>
        <v/>
      </c>
      <c r="F103" t="inlineStr"/>
      <c r="G103" t="inlineStr">
        <is>
          <t>Herndon, VA</t>
        </is>
      </c>
      <c r="H103" t="inlineStr"/>
      <c r="I103" t="inlineStr">
        <is>
          <t>**Job Number: R0233691**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3\+ years of experience with using programming languages to manipulate and analyze data, including Python, R, and SQL
* Experience with deploying and maintaining user\-facing or user\-accessible models
* Experience with data cleansing, data analytics, inferential statistics, programming, data visualization, and system integration to provide data solutions
* Experience with developing data visualizations, dashboards, or lightweight web applications to communicate key insights
* Knowledge of research design principles
* Knowledge of analytic methods and methodological tools used in applied mathematics, computer programming, or data visualization
* Ability to apply supervised and unsupervised machine learning algorithms on structured and unstructured datasets
* TS/SCI clearance with a polygraph
* Bachelor’s degree
**Nice If You Have:**
* Experience with project management, project planning, and technical documentation
* Knowledge of psychometric theory and assessment validation methodologies such as Item Response Theory and Factor Analysis
* Knowledge of data strategy and data governance
* Ability to advise clients on the acquisition of data, data management, and data infrastructure
* Ability to execute projects and tasks with minimal guidance and supervision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4">
      <c r="A104" t="inlineStr">
        <is>
          <t>li-4370424292</t>
        </is>
      </c>
      <c r="B104" t="inlineStr">
        <is>
          <t>Sr. Principal Data Scientist - Machine Learning Engineer</t>
        </is>
      </c>
      <c r="C104" t="inlineStr">
        <is>
          <t>TalentAlly</t>
        </is>
      </c>
      <c r="D104" t="inlineStr">
        <is>
          <t>linkedin</t>
        </is>
      </c>
      <c r="E104">
        <f>HYPERLINK("https://www.linkedin.com/jobs/view/4370424292", "https://www.linkedin.com/jobs/view/4370424292")</f>
        <v/>
      </c>
      <c r="F104" t="inlineStr"/>
      <c r="G104" t="inlineStr">
        <is>
          <t>Falls Church, VA</t>
        </is>
      </c>
      <c r="H104" t="inlineStr"/>
      <c r="I104" t="inlineStr">
        <is>
          <t>RELOCATION ASSISTANCE: No relocation assistance availableCLEARANCE TYPE: NoneTRAVEL: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the Insights \&amp; Intelligence (i2\) organization seeks to embed trusted AI and data insights into every business decision at the company. Our Applied Data Science \&amp;AI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4years of relevant professional experience OR a Master's degree with 6years of relevant professional experience OR Bachelor's degree with 8years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positions.PDN\-a1091c5b\-b753\-49f9\-b9a4\-dda4d391e91c</t>
        </is>
      </c>
    </row>
    <row r="105">
      <c r="A105" t="inlineStr">
        <is>
          <t>li-4370699020</t>
        </is>
      </c>
      <c r="B105" t="inlineStr">
        <is>
          <t>Data Scientist - Senior Consultant level</t>
        </is>
      </c>
      <c r="C105" t="inlineStr">
        <is>
          <t>Visa</t>
        </is>
      </c>
      <c r="D105" t="inlineStr">
        <is>
          <t>linkedin</t>
        </is>
      </c>
      <c r="E105">
        <f>HYPERLINK("https://www.linkedin.com/jobs/view/4370699020", "https://www.linkedin.com/jobs/view/4370699020")</f>
        <v/>
      </c>
      <c r="F105" t="inlineStr"/>
      <c r="G105" t="inlineStr">
        <is>
          <t>Foster City, CA</t>
        </is>
      </c>
      <c r="H105" t="inlineStr"/>
      <c r="I10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**Key Responsibilities**
**Business Partnership \&amp; Strategy**
* Act as a trusted thought partner to senior business leaders, proactively identifying opportunities where data science can drive strategic outcomes in collaboration with teams across Product, Marketing, Operations and Finance.
* Translate complex business challenges into analytical frameworks and lead the development of data\-driven solutions that influence product, marketing, operations, and finance decisions.
* Deliver compelling, actionable insights through storytelling, quantifying business impact and aligning recommendations with strategic priorities.
* Prioritize initiatives based on business value, feasibility, and stakeholder alignment, ensuring the team is focused on the highest\-impact opportunities.
**Hands\-On Data Science \&amp; Innovation**
* Lead end\-to\-end development of advanced analytics and machine learning solutions, from data exploration to model deployment.
* Leverage Visa’s large\-scale datasets using tools such as Hive/R/SQL/Python/SAS to uncover insights and optimize business performance.
* Champion the use of AI\-powered tools (e.g., coding assistants, AutoML, workflow automation) to enhance productivity and accelerate delivery.
* Develop intuitive visualizations and dashboards to communicate insights to technical and non\-technical audiences.
* Implement MLOps best practices and collaborate with data engineering to ensure robust pipelines and data governance.
**Team Leadership \&amp; Technical Oversight**
* Mentor of junior data scientists, fostering a culture of innovation, collaboration, and continuous learning.
* Set technical direction, establish best practices, and ensure scientific rigor and scalability in all deliverables.
* Review peer work as needed, including code, models, and analytical outputs, to maintain high quality and business relevance.
* Encourage exploration of emerging techniques such as NLP, deep learning, and generative AI where applicable.
**Cross\-Functional Collaboration**
* Communicate complex technical concepts in clear, actionable terms to executive and non\-technical audiences.
* Drive adoption of data science solutions by demonstrating their value in solving real\-world business problems.
 This is a hybrid position. Expectation of days in the office will be confirmed by your Hiring Manager.
**Qualifications**
**Basic Qualifications** 
 :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Experience managing end\-to\-end data science projects and delivering measurable business impact.
* 9\+ years of experience (or 7\+ with Master’s, 3\+ with PhD) in analytics or data science.
* Experience with AI/ML tools that enhance productivity (e.g., GitHub Copilot, AutoML platforms).
* Experience with cloud analytics environments and MLOps practices.
* Experience creating or deploying AI agents to support or automate data science workflows is a strong plus.
* Proven ability to connect technical solutions to business strategy and outcomes.
* Proficiency in SQL and programming languages such as Python or R.
* Experience with large datasets and big data tools (e.g., Hive, Spark).
* Strong foundation in statistical modeling and machine learning techniques.
* Excellent communication and stakeholder engagement skills, with a proven ability to influence business decisions through data.
* Demonstrated leadership and project management experience.
* Domain knowledge in payments, banking, or financial services.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180,600\.00 to 289,300\.00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6">
      <c r="A106" t="inlineStr">
        <is>
          <t>li-4371015348</t>
        </is>
      </c>
      <c r="B106" t="inlineStr">
        <is>
          <t>Advisor, Data Scientist - CMC Data Products</t>
        </is>
      </c>
      <c r="C106" t="inlineStr">
        <is>
          <t>BioSpace</t>
        </is>
      </c>
      <c r="D106" t="inlineStr">
        <is>
          <t>linkedin</t>
        </is>
      </c>
      <c r="E106">
        <f>HYPERLINK("https://www.linkedin.com/jobs/view/4371015348", "https://www.linkedin.com/jobs/view/4371015348")</f>
        <v/>
      </c>
      <c r="F106">
        <f>HYPERLINK("https://jobs.biospace.com/job/3030445/?TrackID=433984&amp;utm_source=Partner_JS&amp;utm_medium=Aggregator_Paid&amp;utm_campaign=LinkedIn-Slots&amp;urlHash=fTAl", "https://jobs.biospace.com/job/3030445/?TrackID=433984&amp;utm_source=Partner_JS&amp;utm_medium=Aggregator_Paid&amp;utm_campaign=LinkedIn-Slots&amp;urlHash=fTAl")</f>
        <v/>
      </c>
      <c r="G106" t="inlineStr">
        <is>
          <t>Indianapolis, IN</t>
        </is>
      </c>
      <c r="H106" t="inlineStr"/>
      <c r="I106"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**Organizational \&amp; Position Overview**
 The Bioproduct Research \&amp; Development (BR\&amp;D) organization strives to deliver creative medicines to patients by developing and commercializing insulins, monoclonal antibodies, novel therapeutic proteins, peptides, oligonucleotide therapies, and gene therapy systems. This multidisciplinary group works collaboratively with our discovery and manufacturing colleagues.
 We are seeking an exceptional Data Scientist with deep data expertise in the pharmaceutical domain to lead the development and delivery of enterprise\-scale data products that power AI\-driven insights, process optimization, and regulatory compliance. In this role, you'll bridge pharmaceutical sciences with modern data engineering to transform complex CMC, PAT, and analytical data into strategic assets that accelerate drug development and manufacturing excellence.
**Responsibilities**
**Data Product Development** 
 : Define the roadmap and deliver analysis\-ready and AI\-ready data products that enable AI/ML applications, PAT systems, near\-time analytical testing, and process intelligence across CMC workflows.
**Data Archetypes \&amp; Modern Data Management** 
 : Define pharmaceutical\-specific data archetypes (process, analytical, quality, CMC submission) and create reusable data models aligned with industry standards (ISA\-88, ISA\-95, CDISC, eCTD).
**Modern Data Management for Regulated Environments** 
 : Implement data frameworks that ensure 21 CFR Part 11, ALCOA\+, and data integrity compliance, while enabling scientific innovation and self\-service access.
**AI/ML\-ready Data Products** 
 : Build training datasets for lab automation, process optimization, and predictive CQA models, and support generative AI applications for knowledge management and regulatory Q\&amp;A.
**Cross\-Functional Leadership:** 
 Collaborate with analytical R\&amp;D, process development, manufacturing science, quality, and regulatory affairs to standardize data products.
**Deliverables Include**
* Scalable data integration platform that automates compilation of technical\-review\-ready and submission\-ready data packages with demonstrable quality assurance.
* Unified CMC data repository supporting current process and analytical method development while enabling future AI/ML applications across R\&amp;D and manufacturing
* Data flow frameworks that enable self\-service access while maintaining GxP compliance and audit readiness
* Comprehensive documentation, standards, and training programs that democratize data access and accelerate product development
**Basic Requirements**
* Master’s degree in Computer Science, Data Science, Machine Learning, AI, or related technical field
* 8\+ years of product management experience focused on data products, data platforms, or scientific data systems and a strong grasp of modern data architecture patterns (data warehouses, data lakes, real\-time streaming)
* Knowledge of modern data stack technologies (Microsoft Fabric, Databricks, Airflow) and cloud platforms (AWS\- S3, RDS, Lambda/Glue, Azure)
* Demonstrated experience designing data products that support AI/ML workflows and advanced analytics in scientific domains
* Proficiency with SQL, Python, and data visualization tools
* Experience with analytical instrumentation and data systems (HPLC/UPLC, spectroscopy, particle characterization, process sensors)
* Knowledge of pharmaceutical manufacturing processes, including batch and continuous manufacturing, unit operations, and process control
* Expertise in data modeling for time\-series, spectroscopic, chromatographic, and hierarchical batch/lot data
* Experience with laboratory data management systems (LIMS, ELN, SDMS, CDS) and their integration patterns
**Additional Preferences**
* Understanding of Design of Experiments (DoE), Quality by Design (QbD), and process validation strategies
* Experience implementing data mesh architectures in scientific organizations
* Knowledge of MLOps practices and model deployment in validated environments
* Familiarity with regulatory submissions (eCTD, CTD) and how analytical data supports marketing applications
* Experience with CI/CD pipelines (GitHub Actions, CloudFormation) for scientific applications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$126,000 \- $244,200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07">
      <c r="A107" t="inlineStr">
        <is>
          <t>li-4370724181</t>
        </is>
      </c>
      <c r="B107" t="inlineStr">
        <is>
          <t>Data Scientist</t>
        </is>
      </c>
      <c r="C107" t="inlineStr">
        <is>
          <t>Jobs via Dice</t>
        </is>
      </c>
      <c r="D107" t="inlineStr">
        <is>
          <t>linkedin</t>
        </is>
      </c>
      <c r="E107">
        <f>HYPERLINK("https://www.linkedin.com/jobs/view/4370724181", "https://www.linkedin.com/jobs/view/4370724181")</f>
        <v/>
      </c>
      <c r="F107" t="inlineStr"/>
      <c r="G107" t="inlineStr">
        <is>
          <t>McLean, VA</t>
        </is>
      </c>
      <c r="H107" t="inlineStr"/>
      <c r="I107" t="inlineStr">
        <is>
          <t>Dice is the leading career destination for tech experts at every stage of their careers. Our client, System One, is seeking the following. Apply via Dice today!
**Title:** 
 Data Scientist – 2 roles available
**Location:** 
 Mclean, VA
**Clearance:** 
 Full Scope Polygraph
**Compensation:** 
 Open / Competitive
**Contact:**
**Position Overview**
 We are seeking experienced Data Scientists to support mission\-critical work in a secure cloud environment. Candidates should have strong technical expertise, experience working with large and complex datasets, and the ability to communicate effectively across technical and non\-technical teams.
**Required Skills \&amp; Experience**
**Data Scientist \#1**
* Proficiency in Python
* Experience with data analytics and data transformations
* Experience writing complex graph database queries
* Experience working in cloud computing environments
* Strong verbal and written communication skills, with the ability to collaborate with technical and non\-technical stakeholders at all levels
**Data Scientist \#2**
* Experience working in cloud computing environments
* Experience with containerization concepts
* Experience with Machine Learning Operations (MLOps)
* Expertise in software engineering, cloud architecture, and UI design
* Experience supporting big data environments
* Strong verbal and written communication skills, with the ability to collaborate with technical and non\-technical stakeholders at all levels
 System One, and its subsidiaries including Joulé,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\#M1
 \#DI\-CD1
 Ref: \#851\-Rockville\-S1</t>
        </is>
      </c>
    </row>
    <row r="108">
      <c r="A108" t="inlineStr">
        <is>
          <t>li-4370722357</t>
        </is>
      </c>
      <c r="B108" t="inlineStr">
        <is>
          <t>Data Scientist -- Azure and ML!- W2 (H1B/OPT) Accepted</t>
        </is>
      </c>
      <c r="C108" t="inlineStr">
        <is>
          <t>Jobs via Dice</t>
        </is>
      </c>
      <c r="D108" t="inlineStr">
        <is>
          <t>linkedin</t>
        </is>
      </c>
      <c r="E108">
        <f>HYPERLINK("https://www.linkedin.com/jobs/view/4370722357", "https://www.linkedin.com/jobs/view/4370722357")</f>
        <v/>
      </c>
      <c r="F108" t="inlineStr"/>
      <c r="G108" t="inlineStr">
        <is>
          <t>Dallas, TX</t>
        </is>
      </c>
      <c r="H108" t="inlineStr"/>
      <c r="I108" t="inlineStr">
        <is>
          <t>Dice is the leading career destination for tech experts at every stage of their careers. Our client, Xcelo Group Inc, is seeking the following. Apply via Dice today!
**Job Title:** 
 Data Scientist \-\- Azure and ML Full\-time
**Location:** 
 Dallas, TX (Remote)
**Duration:** 
 Long Term
**Experience:** 
 5\-10 Years
 We're searching for a skilled Data Scientist with expertise in Azure and Machine Learning (ML) to design, develop, and deploy data\-driven solutions. You'll collaborate with data engineers, developers, and product managers to build and optimize predictive models and analytics solutions.
**Responsibilities:**
* Design, develop, and deploy machine learning models and data pipelines on Azure.
* Use Azure Machine Learning and other Azure services to build scalable AI solutions.
* Analyze large datasets to identify trends, patterns, and actionable insights.
* Collaborate with cross\-functional teams to integrate ML models into applications and products.
* Optimize and fine\-tune models for performance, accuracy, and scalability.
* Conduct experiments to test model hypotheses and validate findings.
* Document and communicate findings, methodologies, and best practices to stakeholders.
* Stay up\-to\-date with the latest advancements in data science, Azure technologies, and machine learning.
**Qualifications:**
* 5\+ years of experience as a Data Scientist, with a focus on machine learning and cloud computing.
* Expertise in Azure Machine Learning, Azure Databricks, and other Azure data services.
* Proficiency in programming languages such as Python, R, or Scala.
* Strong knowledge of machine learning algorithms, statistical analysis, and data mining techniques.
* Experience with big data tools and technologies (e.g., Spark, Hadoop).
* Proficiency in version control systems (Git) and familiarity with CI/CD pipelines.
* Excellent problem\-solving, analytical, and quantitative skills.
* Strong communication and collaboration skills.
* Experience with MLOps and model deployment on cloud platforms is a plus.
* Relevant certifications in Azure and machine learning (e.g., Microsoft Certified: Azure Data Scientist Associate) are a plus.
**We look forward to meeting you!**</t>
        </is>
      </c>
    </row>
    <row r="109">
      <c r="A109" t="inlineStr">
        <is>
          <t>li-4342758462</t>
        </is>
      </c>
      <c r="B109" t="inlineStr">
        <is>
          <t>Sr. Applied Scientist, Amazon Ads</t>
        </is>
      </c>
      <c r="C109" t="inlineStr">
        <is>
          <t>Amazon</t>
        </is>
      </c>
      <c r="D109" t="inlineStr">
        <is>
          <t>linkedin</t>
        </is>
      </c>
      <c r="E109">
        <f>HYPERLINK("https://www.linkedin.com/jobs/view/4342758462", "https://www.linkedin.com/jobs/view/4342758462")</f>
        <v/>
      </c>
      <c r="F109" t="inlineStr"/>
      <c r="G109" t="inlineStr">
        <is>
          <t>Seattle, WA</t>
        </is>
      </c>
      <c r="H109" t="inlineStr"/>
      <c r="I109" t="inlineStr">
        <is>
          <t>**Description**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A3139328</t>
        </is>
      </c>
    </row>
    <row r="110">
      <c r="A110" t="inlineStr">
        <is>
          <t>li-4370720403</t>
        </is>
      </c>
      <c r="B110" t="inlineStr">
        <is>
          <t>Lead Data Scientist</t>
        </is>
      </c>
      <c r="C110" t="inlineStr">
        <is>
          <t>Jobs via Dice</t>
        </is>
      </c>
      <c r="D110" t="inlineStr">
        <is>
          <t>linkedin</t>
        </is>
      </c>
      <c r="E110">
        <f>HYPERLINK("https://www.linkedin.com/jobs/view/4370720403", "https://www.linkedin.com/jobs/view/4370720403")</f>
        <v/>
      </c>
      <c r="F110" t="inlineStr"/>
      <c r="G110" t="inlineStr">
        <is>
          <t>Juno Beach, FL</t>
        </is>
      </c>
      <c r="H110" t="inlineStr"/>
      <c r="I110" t="inlineStr">
        <is>
          <t>Dice is the leading career destination for tech experts at every stage of their careers. Our client, K\-Tek Resourcing LLC, is seeking the following. Apply via Dice today!
**Note: Lead candidate with 12\+ years if experience.**
**Local Candidate Preferred.**
**Job Description:**
**SUMMARY:** 
 The Lead Data Scientist will serve as a strategic leader in shaping advanced analytics and AI solutions across the enterprise. This role requires a visionary thinker capable of transforming complex business challenges into scalable, productionready machine learning systems. As a Lead Data Scientist, you will design and operationalize sophisticated models, drive analytical experimentation, and partner with crossfunctional teams to deliver actionable insights that influence highimpact business decisions. You will collaborate closely with engineering and operational leaders to develop datadriven solutions that optimize performance, improve forecasting accuracy, and unlock new opportunities for innovation across the organization.
**Essential Duties And Responsibilities**
* Frame highimpact analytical opportunities and design experimental approaches.
* Develop and deploy ML models across classification, regression, clustering, deep learning, and timeseries.
* Partner with business and operations teams to translate insights into measurable outcomes.
* Build productiongrade pipelines with versioned datasets, reproducible workflows, and monitored inference.
* Leverage cloud ML services and modern MLOps tooling.
* Advance geospatial analytics when applicable.
* Influence enterprise standards for model governance and lifecycle management.
**EDUCATION**
* Bachelor s or Master s degree in Data Science, Computer Science, Statistics, Engineering, or related field.
* Preferred: Certifications in ML/AI frameworks or cloud platforms.
**Experience**
* 7\+ years developing and deploying endtoend ML systems.
* Expertise with Python, R, SQL, and ML frameworks.
* Proven experience in production ML, experimentation, and A/B testing.
* Experience partnering with crossfunctional teams and communicating insights to nontechnical audiences.</t>
        </is>
      </c>
    </row>
    <row r="111">
      <c r="A111" t="inlineStr">
        <is>
          <t>li-4371036363</t>
        </is>
      </c>
      <c r="B111" t="inlineStr">
        <is>
          <t>Principal Associate, Data Scientist - US Card (Fraud)</t>
        </is>
      </c>
      <c r="C111" t="inlineStr">
        <is>
          <t>Capital One</t>
        </is>
      </c>
      <c r="D111" t="inlineStr">
        <is>
          <t>linkedin</t>
        </is>
      </c>
      <c r="E111">
        <f>HYPERLINK("https://www.linkedin.com/jobs/view/4371036363", "https://www.linkedin.com/jobs/view/4371036363")</f>
        <v/>
      </c>
      <c r="F111" t="inlineStr"/>
      <c r="G111" t="inlineStr">
        <is>
          <t>New York, NY</t>
        </is>
      </c>
      <c r="H111" t="inlineStr"/>
      <c r="I11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focuses on identifying and neutralizing novel fraud threats. This role will lead the strategy for key models (like our 'Iceberg' project and transaction fraud models) and drive innovation in areas like IP Address intelligence and Business Cards and Payments fraud detection. You will be responsible for guiding the team in developing sophisticated new feature inputs that enhance the protective power of our core Card Fraud models.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2">
      <c r="A112" t="inlineStr">
        <is>
          <t>li-4342629011</t>
        </is>
      </c>
      <c r="B112" t="inlineStr">
        <is>
          <t>Sr. Applied Scientist, Amazon Ads</t>
        </is>
      </c>
      <c r="C112" t="inlineStr">
        <is>
          <t>Amazon</t>
        </is>
      </c>
      <c r="D112" t="inlineStr">
        <is>
          <t>linkedin</t>
        </is>
      </c>
      <c r="E112">
        <f>HYPERLINK("https://www.linkedin.com/jobs/view/4342629011", "https://www.linkedin.com/jobs/view/4342629011")</f>
        <v/>
      </c>
      <c r="F112" t="inlineStr"/>
      <c r="G112" t="inlineStr">
        <is>
          <t>Boulder, CO</t>
        </is>
      </c>
      <c r="H112" t="inlineStr"/>
      <c r="I112" t="inlineStr">
        <is>
          <t>**Description**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A3139328</t>
        </is>
      </c>
    </row>
    <row r="113">
      <c r="A113" t="inlineStr">
        <is>
          <t>li-4364369726</t>
        </is>
      </c>
      <c r="B113" t="inlineStr">
        <is>
          <t>Senior Applied Scientist - Security Research</t>
        </is>
      </c>
      <c r="C113" t="inlineStr">
        <is>
          <t>Microsoft</t>
        </is>
      </c>
      <c r="D113" t="inlineStr">
        <is>
          <t>linkedin</t>
        </is>
      </c>
      <c r="E113">
        <f>HYPERLINK("https://www.linkedin.com/jobs/view/4364369726", "https://www.linkedin.com/jobs/view/4364369726")</f>
        <v/>
      </c>
      <c r="F113">
        <f>HYPERLINK("https://apply.careers.microsoft.com/careers/job/1970393556629523?utm_source=linkedin&amp;domain=microsoft.com&amp;src=LinkedIn&amp;urlHash=WpV-", "https://apply.careers.microsoft.com/careers/job/1970393556629523?utm_source=linkedin&amp;domain=microsoft.com&amp;src=LinkedIn&amp;urlHash=WpV-")</f>
        <v/>
      </c>
      <c r="G113" t="inlineStr">
        <is>
          <t>Redmond, WA</t>
        </is>
      </c>
      <c r="H113" t="inlineStr"/>
      <c r="I11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applied scientist to join and shape the research and product roadmap for the team in this space.
 We are looking to hire a
 **Senior Applied Scientist \- Security Research,** 
 you will have the opportunity to design and lead the implementation of advanced security solutions, leveraging cutting\-edge machine learning and data\-driven approaches to protect millions of users worldwide. You will collaborate with people at the forefront of their field from across the organization and see your ideas turn into reality with real\-world impact at Microsoft scale. This is a hands\-on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Model development \&amp; optimization. Design, develop, fine‑tune, and evaluate models, summarization, and reasoning
* Data \&amp; evaluation at scale. Build/extend data pipelines for curation/labeling/feature stores; author offline eval harnesses; run A/Bs; define guardrails and success metrics.
* Production ML engineering. contribute to service code and configs; add monitoring, tracing, dashboards, and auto‑scaling; participate in on‑call and postmortems to improve live‑site reliability.
* Collaboration \&amp; mentoring. Partner across PM/ENG/Research teams and beyond; identify AI technologies to create an adaptive and scalable solution to provide protection for our customers, share methods and code, review PRs, improve reproducibility and documentation; mentor junior scientists.
* Prototype end to end solutions (working in partnership with other stakeholders) to quickly prove out emergent technologies.
* Seek out experts across Microsoft and industry to learn about potential solutions and bring back the best and most relevant to solve our most critical problems.
* Serves as a subject matter expert by owning models and participate in oncall
* Let a deep empathy for customers guide you to improvements that make a tangible difference.
**Qualifications**
**Required/minimum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1\+ years experience bringing new technology and approaches into production by applying long\-term research efforts to solve immediate product needs.
* 4\+ years applied ML/NLP experience delivering models and features to production at scale.
* Languages and Technology \- Python, R, C, SQL, Kusto / Azure Data Explorer, Power BI
* Experimentation \&amp; evaluation: sound experimental design, metric design (quality, safety, latency, cost), and statistical analysis; experience running A/B tests.
* Proven collaboration with partners and stakeholders to integrate ML into shipped product and to drive measurable business impact.
* Experience with fraud/security a plus
* Experience with developing Agentic AI (Artificial Intelligence) in a COGS (Cost of Goods Sold) efficient manner
* Experience working across multiple product teams to deliver combined innovations and features and representing innovative work across the greater organization and/or the industry
* Able to deliver impact through collaborative work across organizational boundaries and thrive in an agile environment balancing committed work with emerging innovative solutions
* Model serving/inference (e.g., ONNX Runtime, vLLM, Triton, quantization, distillation, caching, dynamic batching, rate limiting).
* Experimentation: A/B \&amp; interleavings, guardrail metrics (quality/safety/latency/cost), sequential testing, eval governance.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li-4369870183</t>
        </is>
      </c>
      <c r="B114" t="inlineStr">
        <is>
          <t>AI/ML Data Scientist Consultant</t>
        </is>
      </c>
      <c r="C114" t="inlineStr">
        <is>
          <t>Jobs via Dice</t>
        </is>
      </c>
      <c r="D114" t="inlineStr">
        <is>
          <t>linkedin</t>
        </is>
      </c>
      <c r="E114">
        <f>HYPERLINK("https://www.linkedin.com/jobs/view/4369870183", "https://www.linkedin.com/jobs/view/4369870183")</f>
        <v/>
      </c>
      <c r="F114" t="inlineStr"/>
      <c r="G114" t="inlineStr">
        <is>
          <t>Chantilly, VA</t>
        </is>
      </c>
      <c r="H114" t="inlineStr"/>
      <c r="I114" t="inlineStr">
        <is>
          <t>**Job Family:**
 Data Science \&amp; Analysis
**Travel Required:**
 None
**Clearance Required:**
 Active Top Secret SCI with Polygraph
**What You Will Do** 
**:**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will join a team responsible for developing advanced analytics products; applying data visualization and statistical programming tools to enterprise data to advance and enable the key mission outcomes. In this role, they will support all phases of analytic work product development, from the identification of key business questions, through data collection and ETL, from performing analyses and using a wide range of statistical, machine learning, and applied mathematical techniques to delivery insights to decision\-makers. This role requires special attention to the interplay between data and the business processes that produce it and the decision\-makers that consume insights.
**What You Will Need** 
**:**
* An ACTIVE and MAINTAINED TS/SCI Federal or DoD security clearance with a FULL SCOPE (FS/FSP) polygraph
* Bachelor's degree
* FOUR or more (4\+) years of experience Data Science or Data Analytics
* Experience cleaning, manipulating, and pre\-processing data using Python, SQL, or R
**What Would Be Nice to Have** 
**:**
* M.S./M.A. in Data Science/Analytics, Statistics, Mathematics, Operations Research, Computer Science, Information Systems, Engineering, Economics, or similar quantitative/computational discipline.
* Experience performing data science / analytics, such as statistical modelling, predictive analysis, or machine learning using Python, SQL, PySpark and cloud\-based tools such as Big Query, Databricks
* Experience with Data science and ML packages such as scikit\-learn, pandas, NumPy etc.,
* Experience conducting cutting edge research in AI and ML with emphasis on novel algorithm development and advanced methodologies especially concerning model interpretability.
* Experience Designing, executing and evaluating exercises against AI models to ensure robustness against attack in real\-world environments.
* Experience developing and implementing risk assessment frameworks to evaluate model assurance, interpretability, and performance reliability.
* Experience maintaining a thorough understanding of the latest advancements in AI/ML research and model security, actively contributing to the development of best practices and defensive strategies.
* Strong foundation in python, deep learning frameworks (Pytorch, Tensorflow), and experience with the tools and libraries relevant to AI model evaluation.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15">
      <c r="A115" t="inlineStr">
        <is>
          <t>li-4370703992</t>
        </is>
      </c>
      <c r="B115" t="inlineStr">
        <is>
          <t>Data Scientist (AI/ML Engineer)</t>
        </is>
      </c>
      <c r="C115" t="inlineStr">
        <is>
          <t>Jobs via Dice</t>
        </is>
      </c>
      <c r="D115" t="inlineStr">
        <is>
          <t>linkedin</t>
        </is>
      </c>
      <c r="E115">
        <f>HYPERLINK("https://www.linkedin.com/jobs/view/4370703992", "https://www.linkedin.com/jobs/view/4370703992")</f>
        <v/>
      </c>
      <c r="F115">
        <f>HYPERLINK("https://click.appcast.io/t/WZdP0eq9YB2iOo57B4u_Tc9UCecwzZiXGc_s_7_ne9E=&amp;urlHash=cAV1", "https://click.appcast.io/t/WZdP0eq9YB2iOo57B4u_Tc9UCecwzZiXGc_s_7_ne9E=&amp;urlHash=cAV1")</f>
        <v/>
      </c>
      <c r="G115" t="inlineStr">
        <is>
          <t>New York, NY</t>
        </is>
      </c>
      <c r="H115" t="inlineStr"/>
      <c r="I115" t="inlineStr">
        <is>
          <t>Dice is the leading career destination for tech experts at every stage of their careers. Our client, Fourways Consulting Services, is seeking the following. Apply via Dice today!
**Title:** 
**Data Scientist (AI/ML Engineer)**
**Location:** 
**NYC, NY (Onsite 2 Days/Week)**
**Duration:** 
**12\+ Month Contract**
**Description:**
 Project \- Leveraging Llama to extract cybersecurity insights out of unstructured data from their ticketing system.
**Must have strong experience with:**
* Llama
* Python
* Hadoop
* MCP
* Machine Learning (ML)
 They need a strong developer\- using llama and Hadoop (this is where the data sits), experience with MCP. They have various ways to pull the data out of their tickets but want someone who can come in and make recommendations on the best way to do it and then get it done. They have tight timelines.
 1st 6 months will be very heavy and then next 6 months will be a little easier doing day to day operations and maintenance.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2026-02-10T21:10:35Z</dcterms:created>
  <dcterms:modified xsi:type="dcterms:W3CDTF">2026-02-10T21:10:35Z</dcterms:modified>
</cp:coreProperties>
</file>