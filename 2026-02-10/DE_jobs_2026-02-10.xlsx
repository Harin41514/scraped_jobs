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in-3eebdb6f079d854c</t>
        </is>
      </c>
      <c r="B2" t="inlineStr">
        <is>
          <t>Analytics Engineer, Real Estate and Workplace</t>
        </is>
      </c>
      <c r="C2" t="inlineStr">
        <is>
          <t>OpenAI</t>
        </is>
      </c>
      <c r="D2" t="inlineStr">
        <is>
          <t>indeed</t>
        </is>
      </c>
      <c r="E2" t="inlineStr"/>
      <c r="F2" t="inlineStr"/>
      <c r="G2" t="inlineStr">
        <is>
          <t>San Francisco, CA, US</t>
        </is>
      </c>
      <c r="H2" s="2" t="n">
        <v>46061</v>
      </c>
      <c r="I2" t="inlineStr">
        <is>
          <t>About the Team
The Real Estate \&amp; Workplace (REW) Data \&amp; Technology team builds the data foundation that powers how OpenAI plans, operates, and scales its global real estate and workplace footprint. We integrate data across people, seating, presence, meeting rooms, sensors, leases, and finance systems to create a trusted source of truth that enables efficient, high‑impact decisions about how we design and operate our offices.
Our data platform also serves as the backbone for agent‑based automation and real‑time applications, giving you the opportunity to contribute to cutting‑edge AI innovation that is transforming how workplaces and real‑estate operations run across OpenAI.
About the Role
As an
Analytics Engineer
on the REW Data \&amp; Technology team, you will build high‑quality data models, pipelines, and Tableau assets that enable OpenAI to make data‑driven decisions about offices, workplace operations, and employee experience. You will work closely with Workplace Operations, Finance, and Technology teams to translate real‑world operational problems into reliable, scalable analytics products.
**This role is focused on strong execution and delivery:** shipping trusted datasets, building production dashboards, and contributing to a growing analytics platform that supports both human and agent‑driven workflows.
**In this role you will:**  
Build and maintain business‑facing data models in Databricks and SQL that power REW reporting and planning.
Develop and manage data pipelines for Tableau dashboards used by site leaders, operators, and executives.
Define and maintain canonical REW metrics and documentation to ensure consistent decision\-making across teams.
Integrate data from HR systems, OfficeSpace, badge and access systems, meeting‑room bookings, and real‑time presence and occupancy sensors.
Implement data quality checks, tests, and monitoring to ensure the reliability of REW metrics.
Build real‑time data pipelines that support agent‑based operational applications.
Partner with product managers and engineers to evolve and scale the REW data platform.
You Might Thrive in This Role If You Have
6\+ years of experience in analytics engineering, data engineering, or analytics.
Strong SQL skills and experience working with cloud data platforms.
Comfort working with messy, operational, and real‑world datasets such as environmental sensor data, IoT data, or other event‑based data sources.
Experience with tools such as dbt, Airflow, or Spark, and real‑time systems such as Kafka, Kinesis, Delta Live Tables, or Spark Structured Streaming.
The ability to thrive in a fast‑moving, ambiguous environment where priorities can shift quickly.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$198K – $220K \+ Offers Equity</t>
        </is>
      </c>
    </row>
    <row r="3">
      <c r="A3" t="inlineStr">
        <is>
          <t>in-7dd9cd9ced9db653</t>
        </is>
      </c>
      <c r="B3" t="inlineStr">
        <is>
          <t>Sr Data Engineer - Python - Irving</t>
        </is>
      </c>
      <c r="C3" t="inlineStr">
        <is>
          <t>Photon</t>
        </is>
      </c>
      <c r="D3" t="inlineStr">
        <is>
          <t>indeed</t>
        </is>
      </c>
      <c r="E3" t="inlineStr"/>
      <c r="F3" t="inlineStr"/>
      <c r="G3" t="inlineStr">
        <is>
          <t>Irving, TX, US</t>
        </is>
      </c>
      <c r="H3" s="2" t="n">
        <v>46059</v>
      </c>
      <c r="I3" t="inlineStr">
        <is>
          <t>**Python**
* Design, develop, test, and maintain high\-performance Python applications
* Build and optimize backend services, APIs, and data processing pipelines
* Write clean, reusable, and well\-documented code following best practices
* Lead technical design discussions and contribute to architectural decisions
* Review code, provide constructive feedback, and mentor junior engineers
* Integrate applications with databases, third\-party services, and cloud platforms
* Troubleshoot, debug, and optimize application performance
* Collaborate with product managers, QA, DevOps, and frontend teams
* Ensure security, scalability, and reliability of applications
* Strong knowledge of Python frameworks (Django, Flask, FastAPI)
* Experience with RESTful APIs and microservices architecture
* Proficiency with SQL and/or NoSQL databases (PostgreSQL, MySQL, MongoDB)
* Solid understanding of OOP, data structures, and algorithms
* Experience with version control systems (Git)
* Familiarity with Linux/Unix environments
**Compensation, Benefits and Duration**
Minimum Compensation: USD 38,000
Maximum Compensation: USD 133,000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4">
      <c r="A4" t="inlineStr">
        <is>
          <t>in-2340a7923c56d5b5</t>
        </is>
      </c>
      <c r="B4" t="inlineStr">
        <is>
          <t>Sr Big Data Engineer</t>
        </is>
      </c>
      <c r="C4" t="inlineStr">
        <is>
          <t>American business solutions inc</t>
        </is>
      </c>
      <c r="D4" t="inlineStr">
        <is>
          <t>indeed</t>
        </is>
      </c>
      <c r="E4" t="inlineStr"/>
      <c r="F4" t="inlineStr"/>
      <c r="G4" t="inlineStr">
        <is>
          <t>Lansing, MI, US</t>
        </is>
      </c>
      <c r="H4" s="2" t="n">
        <v>46063</v>
      </c>
      <c r="I4" t="inlineStr">
        <is>
          <t>**Required Skills**
-------------------
12\+ years developing complex database systems.
8\+ years Databricks.
8\+ years using Elastic search, Kibanna.
8\+ years using Python/Scala.
8\+ years Oracle.
5\+ years//' experience with Extract, Transform, and Load (ETL) processes and developing Data Pipelines.
5\+ years//' experience with AWS.
5\+ years//' experience with data warehousing, data visualization Tools, data integrity.
5\+ years using CMM/CMMI Level 3 methods and practices.
5\+ years implemented agile development processes including test driven development.
**Preferred Skills**
--------------------
3\+ years//' experience or Knowledge on creating CI/CD pipelines using Azure DevOps.</t>
        </is>
      </c>
    </row>
    <row r="5">
      <c r="A5" t="inlineStr">
        <is>
          <t>in-3977a15d4fdee631</t>
        </is>
      </c>
      <c r="B5" t="inlineStr">
        <is>
          <t>Associate Data Engineer</t>
        </is>
      </c>
      <c r="C5" t="inlineStr"/>
      <c r="D5" t="inlineStr">
        <is>
          <t>indeed</t>
        </is>
      </c>
      <c r="E5" t="inlineStr"/>
      <c r="F5" t="inlineStr"/>
      <c r="G5" t="inlineStr">
        <is>
          <t>Brooklyn, NY, US</t>
        </is>
      </c>
      <c r="H5" s="2" t="n">
        <v>46062</v>
      </c>
      <c r="I5" t="inlineStr">
        <is>
          <t>**Associate Data Engineer**
===========================
* TECHNOLOGY \&amp; INNOVATION
Posted On: 02/10/2026
* Full\-Time
Location
BROOKLYN
* No Exam Required
Department
SECURITY SCIENCES
Salary Range:
$75,000\.00 – $85,000\.00
**Save**
**Job Description**
-------------------
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About New York City Cyber Command OTI / NYC Cyber Command is charged with protecting all City systems against cyber threats, including systems that deliver vital services to New Yorkers. Headed by the Chief Information Security Officer of the City of New York, we provide in\-depth support to over 100 agencies and offices to protect, detect, identify, respond to, and recover from cyber threats. The Security Sciences teams provide highly functional, available, trusted solutions that enable the city government to prevent, detect, respond, and recover from cyber threats.
Security Sciences is responsible for security, architecture and engineering, with an emphasis on big data and emerging technology. This includes evaluating security tools, building a highly resilient and defensible security architecture, and supporting Cyber Command’s software engineering and development lifecycle in order to rapidly meet the mission needs.
About the Position
We are seeking a motivated Associate Data Engineer to join our Data Science Team. Our Data Science Team strives to make security data a strategic asset by providing a platform to structure, manage, integrate, control, analyze, and support threat management activities. As an Associate Data Engineer, you will help build a secure, scalable, and cloud native data processing framework that will support OTI / Cyber Command's cybersecurity mission.
Responsibilities will include:
* Develop and maintain our data pipeline using Apache Beam, Java, Python, and other data processing technologies;
* Identify and implement performance improvements across all pipelines;
* Engage with data consumers and producers to design appropriate models to suit all needs;
* Maintain information exchanges through publish, subscribe, and alert functions that enable users to send and receive critical information as required;
* Support incident management, service\-level management, change management, release management, continuity management, and availability management for databases and data management systems;
* Administer databases and/or data management systems that allow for the secure storage, query, protection, and utilization of data;
* Handle special projects and initiatives as assigned.
HOURS/SHIFT  
Day \- Due to the necessary technical duties of this position in a 24/7 operation, candidate may be required to work various shifts such as weekends and/or nights/evenings.  
WORK LOCATION  
Brooklyn, NY  
TO APPLY  
* Interested applicants with other civil service titles who meet the preferred requirements should also submit a resume for consideration
Please go to www.cityjobs/jobs/search and search for Job ID \#768713  
SUBMISSION OF A RESUME IS NOT A GUARANTEE THAT YOU WILL RECEIVE AN INTERVIEW  
APPOINTMENTS ARE SUBJECT TO OVERSIGHT APPROVAL  
OTI participates in E\-Verify  
\#LI\-DNI  
IT SECURITY SPECIALIST \- 95622 **Minimum Qualifications**
A baccalaureate degree from an accredited college and four years of satisfactory full\-time experience related to projects and policies required by the particular position; or,  
Education and/or experience which is equivalent to "1" above.
 **Preferred Skills**
The preferred candidate should possess the following: \- Experience with Agile Development Methodology \- Practical knowledge of both Java and Python \- Familiarity with Unix scripting, Web development, and automated testing \- Familiarity with machine learning techniques and machine learning toolkits such as R, scikit\-learn, etc. \- Experience working with Terraform. \- Familiarity with the CI/CD process At least one year professional, academic, or personal experience with software development or data engineering experience (includes internship experience). \- At least 1 year professional, academic, or personal experience with object\-oriented/object function scripting languages preferably java or python. \- Familiarity with or exposure to cloud application development. \- Familiarity with distributed data processing frameworks.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768713
Posted until
04/07/2026
Title code
95622
Civil service title
IT SECURITY SPECIALIST
Title classification
Non\-Competitive\-5
Business title
Associate Data Engineer
* Experience Level: Experienced (Non\-Manager)
Job level
00
Number of positions
1
Work location
11 Metrotech Center
* Category: Technology, Data \&amp; Innovation
Associate Data Engineer</t>
        </is>
      </c>
    </row>
    <row r="6">
      <c r="A6" t="inlineStr">
        <is>
          <t>in-94a67a051ea1674e</t>
        </is>
      </c>
      <c r="B6" t="inlineStr">
        <is>
          <t>Senior Data Engineer</t>
        </is>
      </c>
      <c r="C6" t="inlineStr">
        <is>
          <t>Centurion Consulting Group</t>
        </is>
      </c>
      <c r="D6" t="inlineStr">
        <is>
          <t>indeed</t>
        </is>
      </c>
      <c r="E6" t="inlineStr"/>
      <c r="F6" t="inlineStr"/>
      <c r="G6" t="inlineStr">
        <is>
          <t>Remote, US</t>
        </is>
      </c>
      <c r="H6" s="2" t="n">
        <v>46062</v>
      </c>
      <c r="I6" t="inlineStr">
        <is>
          <t>**Job ID:** 5543
**City:** Remote
**State:**  
**Job Type:**  
**Compensation:** $0 to $0
Centurion Consulting is looking for a highly skilled Senior Data Engineer (REMOTE) to help evaluate and design robust data integration solutions for large\-scale, disparate datasets spanning multiple platforms and infrastructure types, including cloud\-based and potentially undefined or evolving environments. This role is critical in identifying optimal data ingestion, normalization, and transformation strategies while collaborating with cross\-functional teams to ensure data accessibility, reliability, and security across systems.
**Responsibilities:**  
Responsible for developing, expanding and optimizing our data and data pipeline architecture, as well as optimizing data flow and collection for cross functional teams.
Support software developers, database architects, data analysts and data scientists on data initiatives and ensure optimal data delivery architecture is consistent throughout ongoing projects.
Creates new pipeline and maintains existing pipeline, updates Extract, Transform, Load (ETL) process, creates new ETL feature , builds PoCs with Redshift Spectrum, Databricks, AWS EMR, SageMaker, etc.;
Implements, with support of project data specialists, large dataset engineering: data augmentation, data quality analysis, data analytics (anomalies and trends), data profiling, data algorithms, and (measure/develop) data maturity models and develop data strategy recommendations.
Operate large\-scale data processing pipelines and resolve business and technical issues pertaining to the processing and data quality.
Assemble large, complex sets of data that meet non\-functional and functional business requirements
Identify, design, and implement internal process improvements including re\-designing data infrastructure for greater scalability, optimizing data delivery, and automating manual processes ?
Building required infrastructure for optimal extraction, transformation and loading of data from various data sources using AWS and SQL technologies
Building analytical tools to utilize the data pipeline, providing actionable insight into key business performance metrics including operational efficiency and customer acquisition?
Working with stakeholders including data, design, product and government stakeholders and assisting them with data\-related technical issues
Write unit and integration tests for all data processing code.
Work with DevOps engineers on CI, CD, and IaC.
Read specs and translate them into code and design documents.
Perform code reviews and develop processes for improving code quality.
Perform other duties as assigned.
**Requirements:**  
All candidates must pass public trust clearance through the U.S. Federal Government. This requires candidates to either be U.S. citizens or pass clearance through the Foreign National Government System which will require that candidates have lived within the United States for at least 3 out of the previous 5 years, have a valid and non\-expired passport from their country of birth and appropriate VISA/work permit documentation.
Bachelor's degree in Computer Science, Software Engineering, Data Science, Statistics, or related technical field.
10\+ years of experience in software/data engineering, including data pipelines, data modeling, data integration, and data management.
Expertise in data lakes, data warehouses, data meshes, data modeling and data schemas (star, snowflake…).
Strong expertise in SQL, Python, and/or R, with applied experience in Apache Spark and large\-scale processing using PySpark or Sparklyr.
Experience with Databricks in a production environment.
Strong experience with AWS cloud\-native data services, including S3, Glue, Athena, and Lambda.
Strong proficiency with GitHub and GitHub Actions, including test\-driven development.
Proven ability to work with incomplete or ambiguous data infrastructure and design integration strategies.
Excellent analytical, organizational, and problem\-solving skills.
Strong communication skills, with the ability to translate complex concepts across technical and business teams.
Proven experience working with petabyte\-level data systems.
**Preferred Qualifications:**  
Experience working with healthcare data, especially CMS (Centers for Medicare \&amp; Medicaid Services) datasets.
**CMS and Healthcare Expertise:** In\-depth knowledge of CMS regulations and experience with complex healthcare projects; in particular, data infrastructure related projects or similar.
Demonstrated success providing support within the CMS OIT environment, ensuring alignment with organizational goals and technical standards.
Demonstrated experience and familiarity with CMS OIT data systems (e.g. IDR\-C, CCW, EDM, etc.)
**Experience with cloud platform services:** AWS and Azure.
Experience with streaming data (Kafka, Kinesis, Pub/Sub).
Familiarity with data governance, metadata management, and data quality practices.</t>
        </is>
      </c>
    </row>
    <row r="7">
      <c r="A7" t="inlineStr">
        <is>
          <t>in-661e2d28f08fcd3e</t>
        </is>
      </c>
      <c r="B7" t="inlineStr">
        <is>
          <t>Staff Data Engineer - Substantiation Platform *Hybrid*</t>
        </is>
      </c>
      <c r="C7" t="inlineStr">
        <is>
          <t>GEICO</t>
        </is>
      </c>
      <c r="D7" t="inlineStr">
        <is>
          <t>indeed</t>
        </is>
      </c>
      <c r="E7" t="inlineStr"/>
      <c r="F7" t="inlineStr"/>
      <c r="G7" t="inlineStr">
        <is>
          <t>Washington, DC, US</t>
        </is>
      </c>
      <c r="H7" s="2" t="n">
        <v>46062</v>
      </c>
      <c r="I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9\+ years of experience in Software Engineering
* Experience in one or more relevant programming languages, such as **C\#, Java and/or Go**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
      <c r="A8" t="inlineStr">
        <is>
          <t>in-a95c6bf418b7e919</t>
        </is>
      </c>
      <c r="B8" t="inlineStr">
        <is>
          <t>Staff Data Engineer - Substantiation Platform *Hybrid*</t>
        </is>
      </c>
      <c r="C8" t="inlineStr">
        <is>
          <t>GEICO</t>
        </is>
      </c>
      <c r="D8" t="inlineStr">
        <is>
          <t>indeed</t>
        </is>
      </c>
      <c r="E8" t="inlineStr"/>
      <c r="F8" t="inlineStr"/>
      <c r="G8" t="inlineStr">
        <is>
          <t>Dallas, TX, US</t>
        </is>
      </c>
      <c r="H8" s="2" t="n">
        <v>46062</v>
      </c>
      <c r="I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9\+ years of experience in Software Engineering
* Experience in one or more relevant programming languages, such as **C\#, Java and/or Go**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
      <c r="A9" t="inlineStr">
        <is>
          <t>in-36f84057967a173e</t>
        </is>
      </c>
      <c r="B9" t="inlineStr">
        <is>
          <t>Staff Data Engineer - Substantiation Platform *Hybrid*</t>
        </is>
      </c>
      <c r="C9" t="inlineStr">
        <is>
          <t>GEICO</t>
        </is>
      </c>
      <c r="D9" t="inlineStr">
        <is>
          <t>indeed</t>
        </is>
      </c>
      <c r="E9" t="inlineStr"/>
      <c r="F9" t="inlineStr"/>
      <c r="G9" t="inlineStr">
        <is>
          <t>Chevy Chase, MD, US</t>
        </is>
      </c>
      <c r="H9" s="2" t="n">
        <v>46062</v>
      </c>
      <c r="I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9\+ years of experience in Software Engineering
* Experience in one or more relevant programming languages, such as **C\#, Java and/or Go**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
      <c r="A10" t="inlineStr">
        <is>
          <t>in-d94c5212278a7635</t>
        </is>
      </c>
      <c r="B10" t="inlineStr">
        <is>
          <t>Staff Data Engineer - Substantiation Platform *Hybrid*</t>
        </is>
      </c>
      <c r="C10" t="inlineStr">
        <is>
          <t>GEICO</t>
        </is>
      </c>
      <c r="D10" t="inlineStr">
        <is>
          <t>indeed</t>
        </is>
      </c>
      <c r="E10" t="inlineStr"/>
      <c r="F10" t="inlineStr"/>
      <c r="G10" t="inlineStr">
        <is>
          <t>Seattle, WA, US</t>
        </is>
      </c>
      <c r="H10" s="2" t="n">
        <v>46062</v>
      </c>
      <c r="I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9\+ years of experience in Software Engineering
* Experience in one or more relevant programming languages, such as **C\#, Java and/or Go**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\*This is a Hybrid position working out of any of the below offices\*
Seattle, WA
Dallas, TX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
      <c r="A11" t="inlineStr">
        <is>
          <t>in-64efb1cabb2a821e</t>
        </is>
      </c>
      <c r="B11" t="inlineStr">
        <is>
          <t>Analytics Engineer - Clearance Required</t>
        </is>
      </c>
      <c r="C11" t="inlineStr">
        <is>
          <t>LMI</t>
        </is>
      </c>
      <c r="D11" t="inlineStr">
        <is>
          <t>indeed</t>
        </is>
      </c>
      <c r="E11" t="inlineStr"/>
      <c r="F11" t="inlineStr"/>
      <c r="G11" t="inlineStr">
        <is>
          <t>Colorado Springs, CO, US</t>
        </is>
      </c>
      <c r="H11" s="2" t="n">
        <v>46062</v>
      </c>
      <c r="I11" t="inlineStr">
        <is>
          <t>Overview: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LMI is seeking a Multidisciplinary Systems Engineer to support the Space Warfighting Analysis Center / Spectrum Warfare Program (SWAC / SWP) in Colorado Springs, Colorado. The selected applicant must demonstrate a strong analytical and technical background with experience in the cyber domain (i.e., cybersecurity, network service orchestration, threat analysis, resiliency metrics), experience with threat modeling and simulation, and how to integrate cyber effects into software modeling and simulation tools.  
Key Responsibilities:* Participate in and lead segments of force design analysis for cyber resiliency effects, specifically related to space and ground architectures for fielded, programmed, and objective forces.
* Work as part of a larger team with customers, external partners and vendors, scientists, developers, engineers, managers, technicians, and support personnel.
* Understand and address customer analytical needs and issues, usually by direct interface.
* Develop and encourage a strong partner relationship with the customer and engineering leadership teams.
* Lead complex system analytics by organizing and focusing the work of multiple engineers with diverse specialties on a common technical solution.
* Brief industry partners, senior leaders, and general officers regularly and sometimes with little lead time.
* Work with the Division Chief to ensure the technical team has clear deliverables with clear deadlines while keeping team focused on delivering world class analytics that include cost\-effective solutions.
Qualifications:
Required:* B.S. in Cybersecurity, Computer Science (or Engineering), Mathematics, Physics, or related STEM focus area
* Experience with space systems and cyber effects on those systems, network service orchestration, cyber threat analysis, and cyber resiliency metrics.
* 5\+ years of technical analytics experience.
* Ability to understand complex technical issues, translate them to workable tasks, and guide analytical discussions and decisions.
* Experience with cloud\-based services (i.e., AWS or Azure).
* Experience managing complex analytics development with loosely defined requirements.
* Ability to establish and maintain effective working relationships in a complex environment with partners.
* Proficiency in task management.
* Ability to organize and lead a geographically dispersed team that includes subcontractor team members.
* Ability to work in a team\-oriented environment while making direct contributions to team success.
* Strong verbal and written communication skills.
* Must be a U.S. Citizen and hold an **active Top\-Secret clearance with SCI eligibility.**
Desired:* M.S. in a degree field applicable to complex technical analysis and/or systems engineering.
* 10\+ years of analytical experience with cyber related effects on space systems, network service orchestration, cyber threat analysis, and cyber resiliency metrics.
* Experience with the following Cloud technologies or their equivalents: VPC, EC2, S3, EBS, EKS, Lambda, RDS.
* AWS Solutions Architect professional certification preferred (Equivalent Azure certifications accepted).
* Strong awareness of networking and internet protocols, including TCP/IP, DNS, SMTP, HTTP, VPN infrastructure, load balancing, application firewalls, and distributed networks.
* Experience with Department of War (DoW) technical programs.
* Demonstrated success managing high tempo projects.
Target salary range: $114,000 \- 192,000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t>
        </is>
      </c>
    </row>
    <row r="12">
      <c r="A12" t="inlineStr">
        <is>
          <t>in-9d249d92afd17f73</t>
        </is>
      </c>
      <c r="B12" t="inlineStr">
        <is>
          <t>Data Engineer 3- Onsite 4X Days per Week in NY</t>
        </is>
      </c>
      <c r="C12" t="inlineStr">
        <is>
          <t>Comcast</t>
        </is>
      </c>
      <c r="D12" t="inlineStr">
        <is>
          <t>indeed</t>
        </is>
      </c>
      <c r="E12" t="inlineStr"/>
      <c r="F12" t="inlineStr"/>
      <c r="G12" t="inlineStr">
        <is>
          <t>New York, NY, US</t>
        </is>
      </c>
      <c r="H12" s="2" t="n">
        <v>46061</v>
      </c>
      <c r="I12" t="inlineStr">
        <is>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Responsible for designing, building and overseeing the deployment and operation of technology architecture, solutions and software to capture, manage, store and utilize structured and unstructured data from internal and external sources. Establishes and builds processes and structures based on business and technical requirements to channel data from multiple inputs, route appropriately and store using any combination of distributed (cloud) structures, local databases, and other applicable storage forms as required. Develops technical tools and programming that leverage artificial intelligence, machine learning and big\-data techniques to cleanse, organize and transform data and to maintain, defend and update data structures and integrity on an automated basis. Creates and establishes design standards and assurance processes for software, systems and applications development to ensure compatibility and operability of data connections, flows and storage requirements. Reviews internal and external business and product requirements for data operations and activity and suggests changes and upgrades to systems and storage to accommodate ongoing needs. Work with data modelers/analysts to understand the business problems they are trying to solve then create or augment data assets to feed their analysis. Has in\-depth experience, knowledge and skills in own discipline. Usually determines own work priorities. Acts as resource for colleagues with less experience.**Job Description**
Core Responsibilities  
Develops data structures and pipelines aligned to established standards and guidelines to organize, collect, standardize and transform data that helps generate insights and address reporting needs.  
Focuses on ensuring data quality during ingest, processing as well as final load to the target tables.  
Creates standard ingestion frameworks for structured and unstructured data as well as checking and reporting on the quality of the data being processed.  
Creates standard methods for end users / downstream applications to consume data including but not limited to database views, extracts and Application Programming Interfaces.  
Develops and maintains information systems (e.g., data warehouses, data lakes) including data access Application Programming Interfaces.  
Participates in the implementation of solutions via data architecture, data engineering, or data manipulation on both on\-prem platforms like Kubernetes and Teradata as well as Cloud platforms like Databricks.
Determines the appropriate storage platform across different on\-prem (minIO and Teradata) and Cloud (AWS S3, Redshift) depending on the privacy, access and sensitivity requirements.  
Understands the data lineage from source to the final semantic layer along with the transformation rules applied to enable faster troubleshooting and impact analysis during changes.
Collaborates with technology and platform management partners to optimize data sourcing and processing rules to ensure appropriate data quality as well as process optimization.  
Creates and establishes design standards and assurance processes for software, systems and applications development to ensure compatibility and operability of data connections, flows and storage requirements. Reviews internal and external business and product requirements for data operations and activity and suggests changes and upgrades to systems and storage to accommodate ongoing needs.  
Develops strategies for data acquisition, archive recovery, and database implementation.  
Manages data migrations/conversions and troubleshooting data processing issues.  
Understands the data sensitivity, customer data privacy rules and regulations and applies them consistently in all Information Lifecycle Management activities.  
Identifies and reacts to system notification and log to ensure quality standards for databases and applications. Solves abstract problems beyond single development language or situation by reusing data file and flags already set.
Solves critical issues and shares knowledge such as trends, aggregate, quantity volume regarding specific data sources.
Consistent exercise of independent judgment and discretion in matters of significance.
Regular, consistent and punctual attendance. Must be able to work nights and weekends, variable schedule(s) as necessary.
Other duties and responsibilities as assigned.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Support a culture of inclusion in how you work and lead.  
Do what's right for each other, our customers, investors and our communities.  
Disclaimer:This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DataOps; Data Management; Go Programming Language
 **Salary:**
Primary Location Pay Range: $118,449\.51 \- $177,674\.27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3">
      <c r="A13" t="inlineStr">
        <is>
          <t>in-2cbedc8050b06400</t>
        </is>
      </c>
      <c r="B13" t="inlineStr">
        <is>
          <t>AI &amp; Data Platform Engineer</t>
        </is>
      </c>
      <c r="C13" t="inlineStr"/>
      <c r="D13" t="inlineStr">
        <is>
          <t>indeed</t>
        </is>
      </c>
      <c r="E13" t="inlineStr"/>
      <c r="F13" t="inlineStr"/>
      <c r="G13" t="inlineStr">
        <is>
          <t>Appleton, WI, US</t>
        </is>
      </c>
      <c r="H13" s="2" t="n">
        <v>46061</v>
      </c>
      <c r="I13" t="inlineStr">
        <is>
          <t>Amplifi, a data management and strategy consultancy, helps the world’s leading brands harness the power of their data. We provide strategic advisement for digital transformation initiatives, implementation services for master data management (MDM) / product information management (PIM) platforms and more. Our company and team members are proud to empower our clients’ businesses by providing exceptional solutions and value, as we truly believe their success is our success. We thrive on delivering excellent solutions and overcoming technical and business challenges. As such, we are looking for like\-minded individuals to learn, grow, and mentor others as a part of the Amplifi family. **Position Summary**
As an AI \&amp; Data Platform Engineer at Amplifi, you will design and build software systems that help organizations work effectively with their data and integrate AI into real business workflows. This role emphasizes strong software engineering fundamentals: writing production\-quality code, designing reliable systems, and operating what you build.  
You’ll focus on building end\-to\-end systems that integrate applications, data pipelines, cloud services, and AI capabilities. You’ll apply existing AI services and APIs as part of larger software systems, ensuring they are reliable, secure, observable, and suitable for production use. **What You’ll Work On*** Designing and implementing backend services, APIs, and supporting systems
* Building, maintaining, and operating data pipelines that support analytics, applications, and AI\-enabled workflows.
* Implementing batch and near\-real\-time data processing using managed cloud services Integrating AI services (such as LLM APIs, document processing, and automation tools) into broader software and data systems
* Applying patterns for AI\-enabled systems, including prompt orchestration, retrieval\-based integrations, evaluation, and guardrails
* Integrating cloud\-managed services, third\-party APIs, and internal platforms into cohesive solutions
* Ensuring systems meet expectations for reliability, performance, security, and observability.
* Collaborating with Amplifi consultants, AI specialists, and customer engineering teams to deliver practical, production\-ready solutions
* Using AI\-assisted development tools in daily engineering work and helping customers adopt them effectively.
 **What We’re Looking For*** Strong experience as a software engineer building and operating production systems.
* Solid fundamentals in system design, backend development, and API design.
* Hands\-on experience with cloud platforms such as AWS, Azure, and/or GCP.
* Experience building and operating data pipelines and working with data platforms
* Practical experience integrating AI or automation services into applications, or strong interest in doing so.
* Comfort working in customer\-facing environments and explaining technical decisions clearly.
* Cloud certifications such as AWS Certified Solutions Architect, Azure Developer Associate, or GCP Professional Cloud Engineer are strongly preferred.
 **Nice to Have*** Strong experience as a software engineer building and operating production systems.
* Solid fundamentals in system design, backend development, and API design.
* Hands\-on experience with cloud platforms such as AWS, Azure, and/or GCP.
* Experience with JavaScript / TypeScript in production environments.
* Familiarity with data warehouses, data lakes, streaming, or event\-driven architectures.
* Exposure to AI\-enabled patterns such as retrieval\-augmented generation, workflow automation, or agent\-style systems.
* Consulting or professional services experience.
 **Travel**
Ability to travel as needed. **Benefits \&amp; Compensation**
Amplifi offers excellent compensation and benefits including, but not limited to, health, dental, 401(k) program, employee assistance program, short and long\-term disability, life insurance, accidental death and dismemberment (AD\&amp;D), PTO program, flex work schedules, and paid holidays. Amplifi is an Equal Opportunity Employer.</t>
        </is>
      </c>
    </row>
    <row r="14">
      <c r="A14" t="inlineStr">
        <is>
          <t>in-dc2463fa22815cc8</t>
        </is>
      </c>
      <c r="B14" t="inlineStr">
        <is>
          <t>Senior Backend and Data Engineer</t>
        </is>
      </c>
      <c r="C14" t="inlineStr">
        <is>
          <t>Native American Industrial Solutions, LLC (NAIS)</t>
        </is>
      </c>
      <c r="D14" t="inlineStr">
        <is>
          <t>indeed</t>
        </is>
      </c>
      <c r="E14" t="inlineStr"/>
      <c r="F14" t="inlineStr"/>
      <c r="G14" t="inlineStr">
        <is>
          <t>Washington, DC, US</t>
        </is>
      </c>
      <c r="H14" s="2" t="n">
        <v>46061</v>
      </c>
      <c r="I14" t="inlineStr">
        <is>
          <t>**Role Summary**
We’re looking for a **Senior Backend and Data Engineer** who is energized by the challenge of turning disparate, messy, real\-world data into structured, scalable, and accessible systems. You will be the primary architect of the "engine room" for enterprise grade systems serving tens of thousands of internal and external users.
This role is ideal for someone who loves working across ingestion, modeling, and workflow orchestration, and who gets satisfaction from designing systems that are resilient, transparent, and easy for others to build on. This role is also ideal for someone who has experience and is excited about using AI to support their coding workflow.
You will partner closely with a Frontend Engineer to handle the backend data and infrastructure aspects of products, ensuring that high\-volume user and enterprise data (structured and unstructured) are seamlessly integrated. You will also support the implementation of machine learning and large language models (LLMs) that automate compliance reviews and provide high\-speed analytical insights.
 **Responsibilities**
You will be responsible for:
**Data Architecture \&amp; Pipeline Development**
* **Medallion Architecture:** Design and implement a Medallion\-style data architecture (Bronze/Silver/Gold) to manage raw transaction data, immutable snapshots, and curated analytics.
* **Pipeline Engineering:** Build and maintain data pipelines that ingest, clean, and transform data from a variety of sources.
* **Immutable Audit Trails:** Ensure all files and snapshots are stored in a non\-destructive environment with strict versioning to preserve original evidence.
* **Performance Optimization:** Implement high\-speed querying to enable complex ad\-hoc analyses against raw data in seconds.
**Backend \&amp; Infrastructure Engineering**
* **API Development/Integrations:** Experience with **event\-streaming architecture** (e.g., Kafka/MSK, node.js/Express) and API management tools (e.g., Kong or Apigee).
* **Secure Access:** Implement robust Identity \&amp; Access Control layers, including mandatory Multi\-Factor Authentication (MFA) and Role\-Based Access Control (RBAC).
* **AWS and Infrastructure as Code:** Provision and manage cloud infrastructure within AWS Commercial Cloud environment (EKS, RDS, S3, MSK, Taraform).
* **AI/LLMs:** Must experience leveraging AI coding agents (e.g., **Claude Code**) to accelerate development and optimize workflows.
**AI, ML \&amp; Data Science Support**
* **LLM \&amp; NLP Integration:** Build systems to parse and index unstructured text within uploaded documents using Large Language Models and NLP tools.
* **Data Science Enablement:** Support the internal Data Science Workbench by providing Python notebook access and direct data hooks for risk analysts.
**Cross\-Team Collaboration**
* **Frontend Partnership:** Work daily with the Frontend Engineer to architect data flows, manage APIs, and ensure the UI can handle complex list management and in\-browser file rendering.
* **Stakeholder Communication:** Present technical tradeoffs and implementation paths to both technical and non\-technical team members.
* **Agile Ownership:** Participate in technical discussions and architectural decisions in an iterative, startup\-style environment.
**Qualifications**
* **Experience:** 4\+ years of professional experience in data engineering or data\-focused backend engineering, ideally in a startup or fast\-paced context.
* **Modern Data Stack:** Deep experience with SQL, data modeling, and workflow orchestration tools.
* **Cloud Proficiency:** Comfort provisioning infrastructure and deploying workflows to cloud platforms (specifically **AWS**).
* **Data Technologies:** Proficiency across modern storage technologies (PostgreSQL, S3, Databricks, Palantir, Python) and handling varied file formats.
* **Adaptability:** Ability to manage multiple projects, adapt to shifting priorities, and deliver high\-quality work in a fast moving CI/CD environment.
* Experience building and deploying **Large Language Models (LLMs)** or automated scoring algorithms in a production environment.
* Experience with **event\-streaming architecture** (e.g., Kafka/MSK) and API management tools (e.g., Kong or Apigee).
**The Team**
Native American Industrial Solutions (NAIS) is an Information Technology (IT) and professional services firm specializing in network design and management, cybersecurity, systems engineering, and program management. We deliver agile solutions with unmatched excellence to federal, state, and commercial clients nationwide. **Equal Employment Opportunity (EEO)**
NAIS provides equal employment opportunities to all employees and applicants and prohibits discrimination and harassment of any type without regard to race, color, religion, age, sex, national origin, disability status, genetics, protected veteran status, sexual orientation, gender identity or expression, or any other characteristic protected by law.</t>
        </is>
      </c>
    </row>
    <row r="15">
      <c r="A15" t="inlineStr">
        <is>
          <t>in-04dbe504db042f59</t>
        </is>
      </c>
      <c r="B15" t="inlineStr">
        <is>
          <t>Data Engineer II (Python/SQL, Data Bricks, AWS)</t>
        </is>
      </c>
      <c r="C15" t="inlineStr">
        <is>
          <t>Travelers</t>
        </is>
      </c>
      <c r="D15" t="inlineStr">
        <is>
          <t>indeed</t>
        </is>
      </c>
      <c r="E15" t="inlineStr"/>
      <c r="F15" t="inlineStr"/>
      <c r="G15" t="inlineStr">
        <is>
          <t>Atlanta, GA, US</t>
        </is>
      </c>
      <c r="H15" s="2" t="n">
        <v>46061</v>
      </c>
      <c r="I15"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o Eight years of related experience  
o Experience with building robust data pipelines and working with large\-scale datasets.  
o Proficiency in tools like AWS, Databricks, Snowflake, Gen AI, ETL Tools, Terraform etc.  
o Passion for automation, optimization and delivering high\-quality data solutions.  
o A problem\-solving mindset with a focus on continuous improvement.  
o Incorporate core data management competencies including data governance, data security and data quality.  
o Highly proficient use of tools, techniques, and manipulation including Cloud platforms, programming languages, and a full understanding of modern software engineering practices.  
o The ability to deliver work at a steady, predictable pace to achieve commitments, deliver complete solutions but release them in small batches, and identify and negotiate important tradeoffs.  
o Demonstrated track record of domain expertise including understanding technical concepts necessary and industry trends, and possess in\-depth knowledge of immediate systems worked on and some knowledge of adjacent systems.  
o Strong problem solver who ensures systems are built with longevity and creates innovate ways to resolve issues.  
o Strong written and verbal communication skills with the ability to work collaborate well with team members and business partners.  
o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6">
      <c r="A16" t="inlineStr">
        <is>
          <t>in-45c3b4ca163af3d1</t>
        </is>
      </c>
      <c r="B16" t="inlineStr">
        <is>
          <t>Data Engineer</t>
        </is>
      </c>
      <c r="C16" t="inlineStr">
        <is>
          <t>Viasat</t>
        </is>
      </c>
      <c r="D16" t="inlineStr">
        <is>
          <t>indeed</t>
        </is>
      </c>
      <c r="E16" t="inlineStr"/>
      <c r="F16" t="inlineStr"/>
      <c r="G16" t="inlineStr">
        <is>
          <t>Carlsbad, CA, US</t>
        </is>
      </c>
      <c r="H16" s="2" t="n">
        <v>46061</v>
      </c>
      <c r="I16"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As a member of our Data Platform team, you’ll help build infrastructure and tools for collecting and processing data in streaming and batch pipelines. Your work will power access to data for a variety of use\-cases, be it real\-time stream processing, online data access, analytic data exploration or large\-scale data processing. Our mission is to enable our community of data scientists, analysts, and developers to derive faster insights and reduce TTM in order to fuel Viasat growth.
The day\-to\-day:
In this Software Engineer role, you will own core components of data ingestion and integration processing that intakes \~4 billon events per hour with data volume in excess of 30TB per day. You will design and implement new features and enhancements to our data platform to advance component architecture towards strategic data governance/management objectives while providing ongoing support, monitoring, and maintenance of deployed products. Additionally, you will monitor emerging technologies/technology practices for potential use within the Company.
What you'll need:
* 5\+ years software development experience using at least two of the following: Java, Scala, Python, C or C\+\+.
* Familiarity with RDBMS technologies (PostgreSQL, MySQL, Oracle, etc.)
* Experience in Linux based systems, docker, and code versioning tooling (Git/CI/CD).
* Familiarity with at least one cloud provider such as AWS, GCP, or Azure.
* Experience in design and implementation of robust and highly scalable Data services
* Experience in Linux based systems, docker, and code versioning tooling (Git/CI/CD).
* Reliable teammate with the ability to handle different projects simultaneously in a fast\-paced multifaceted agile work environment.
* BS or equivalent experience in Computer Science, Computer Engineering, Software Engineering, Electrical Engineering, Math, Physics or a related field
* Ability to travel up to 10%
* Strong analytical abilities
* US Citizenship required
What will help you on the job:
* Understanding of distributed and parallel computing architectures
* Experience with scaled data environments and Streaming technologies like Kafka and Spark
* Expertise in Scala and/or Java
* Working experience in design, development, and implementation of highly scalable, scaled software systems and components, client\-facing web applications and systems as a full stack developer using one of the following: Java, Python, or Scala
Salary range: $135,500\.00 \- $214,000\.00 / annually. For specific work locations within San Jose, the San Francisco Bay area and New York City metropolitan area, the base pay range for this role is $168,500\.00\- $252,500\.00/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7">
      <c r="A17" t="inlineStr">
        <is>
          <t>in-84a687b74f88221a</t>
        </is>
      </c>
      <c r="B17" t="inlineStr">
        <is>
          <t>Sr Data Engineer - Spark with Kudernetes - Irving</t>
        </is>
      </c>
      <c r="C17" t="inlineStr">
        <is>
          <t>Photon</t>
        </is>
      </c>
      <c r="D17" t="inlineStr">
        <is>
          <t>indeed</t>
        </is>
      </c>
      <c r="E17" t="inlineStr"/>
      <c r="F17" t="inlineStr"/>
      <c r="G17" t="inlineStr">
        <is>
          <t>Irving, TX, US</t>
        </is>
      </c>
      <c r="H17" s="2" t="n">
        <v>46059</v>
      </c>
      <c r="I17" t="inlineStr">
        <is>
          <t>Spark with Kubernetes
* Design, develop, and optimize large\-scale data pipelines using Apache Spark (batch \&amp; streaming)
* Build and deploy containerized Spark workloads on Kubernetes (EKS/GKE/AKS or on\-prem K8s)
* Architect cloud\-native data platforms with high availability, scalability, and fault tolerance
* Implement end\-to\-end ETL/ELT pipelines for structured and semi\-structured data
* Tune Spark jobs for performance, memory, and cost optimization
* Manage data orchestration using tools like Airflow / Argo / Dagster
* Integrate with data sources such as Kafka, cloud object storage (S3/GCS/ADLS), RDBMS, NoSQL
* Ensure data quality, governance, lineage, and observability
* Collaborate with DevOps teams on CI/CD, monitoring, and security best practices
* Mentor junior engineers and participate in architecture and design reviews
**Compensation, Benefits and Duration**
Minimum Compensation: USD 38,000
Maximum Compensation: USD 133,000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18">
      <c r="A18" t="inlineStr">
        <is>
          <t>in-ae2f6505b2c61b92</t>
        </is>
      </c>
      <c r="B18" t="inlineStr">
        <is>
          <t>Senior Manager of Data Engineering</t>
        </is>
      </c>
      <c r="C18" t="inlineStr">
        <is>
          <t>Oracle</t>
        </is>
      </c>
      <c r="D18" t="inlineStr">
        <is>
          <t>indeed</t>
        </is>
      </c>
      <c r="E18" t="inlineStr"/>
      <c r="F18" t="inlineStr"/>
      <c r="G18" t="inlineStr">
        <is>
          <t>Nashville, TN, US</t>
        </is>
      </c>
      <c r="H18" s="2" t="n">
        <v>46041</v>
      </c>
      <c r="I18" t="inlineStr">
        <is>
          <t>Are you a visionary leader passionate about harnessing data to drive transformative cloud solutions? At Oracle, we're redefining the future of cloud technology, and we're looking for a Senior Manager of Data Engineering to join our cutting\-edge Analytics and Data Science Team within Oracle Cloud Infrastructure (OCI).
This is your chance to lead a dynamic team of data engineers and architects, solving complex challenges that power the backbone of global enterprises. From optimizing cloud capacity to delivering actionable operational metrics and self\-service data analytics, your work will directly impact how businesses scale and innovate in the cloud. In this role, you'll be at the forefront of data\-driven decision\-making, shaping strategies that enhance OCI's performance and reliability. You'll inspire and mentor a high\-performing team, fostering a culture of innovation while collaborating with cross\-functional stakeholders to tackle some of the industry's toughest problems. If you thrive in a fast\-paced environment and are excited by the opportunity to build scalable, impactful data solutions, we want to hear from you. Join us at Oracle, where your leadership will help shape the future of cloud infrastructure for customers worldwide.
**Qualifications:**  
\- Bachelor's or Master's degree in Computer Science, Information Systems, Engineering, or a related discipline.
\- 7\+ years of experience in data engineering with demonstrated expertise designing, building, and maintaining large\-scale enterprise data platforms.
\- Proven hands\-on experience with cloud ecosystem data services (OCI, AWS, Azure), their data engineering tools, and AI/ML service integration.
\- Advanced skills in building reliable ETL/ELT pipelines, data integration, transformation, validation, and orchestration frameworks.
\- Strong programming skills (e.g., Python, Kafka, Java, Scala) with experience in distributed data processing technologies (e.g. Spark, Databricks, Apache Beam).
\- In\-depth knowledge of data governance, quality, security, and compliance best practices within cloud\-first or hybrid environments.
\- Excellent problem\-solving, communication, and collaboration skills within global and cross\-functional teams.  
**Responsibilities:**  
\- Design and develop robust, scalable, and secure data pipelines (batch and real\-time) to ingest, process, and deliver data from multiple sources.
\- Implement and optimize data architectures in cloud environments (OCI, AWS, Azure) including data lakes, data warehouses, ETL/ELT, and orchestration frameworks.
\- Collaborate with data architects to implement best practices for data modeling (conceptual, logical, and physical) and support platform\-wide standards such as medallion architecture (Bronze/Silver/Gold).
\- Design and establish monitoring, alerting, and data quality frameworks to ensure reliability and accuracy of data pipelines.
\- Develop and enforce best practices for data security, lineage, metadata management, and compliance requirements.
\- Work closely with analysts, ML engineers, business stakeholders, and cross\-functional teams to enable industry\-specific data use cases and analytics.
\- Evaluate, recommend, and onboard new data technologies to continuously improve platform performance and capabilities.
\- Lead troubleshooting and root cause analysis for data issues, ensuring continuous platform availability and reliability.
\- Mentor and guide data engineers and drive technical excellence and innovation across engineering efforts.</t>
        </is>
      </c>
    </row>
    <row r="19">
      <c r="A19" t="inlineStr">
        <is>
          <t>in-f0e4cfb8ebc560be</t>
        </is>
      </c>
      <c r="B19" t="inlineStr">
        <is>
          <t>Senior Data Engineer</t>
        </is>
      </c>
      <c r="C19" t="inlineStr">
        <is>
          <t>Capital One</t>
        </is>
      </c>
      <c r="D19" t="inlineStr">
        <is>
          <t>indeed</t>
        </is>
      </c>
      <c r="E19" t="inlineStr"/>
      <c r="F19" t="inlineStr"/>
      <c r="G19" t="inlineStr">
        <is>
          <t>Wilmington, DE, US</t>
        </is>
      </c>
      <c r="H19" s="2" t="n">
        <v>46061</v>
      </c>
      <c r="I19" t="inlineStr">
        <is>
          <t>Senior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
      <c r="A20" t="inlineStr">
        <is>
          <t>in-e01a0bfd7ca88d69</t>
        </is>
      </c>
      <c r="B20" t="inlineStr">
        <is>
          <t>Senior Cloud Data Engineer</t>
        </is>
      </c>
      <c r="C20" t="inlineStr">
        <is>
          <t>NS IT Solutions</t>
        </is>
      </c>
      <c r="D20" t="inlineStr">
        <is>
          <t>indeed</t>
        </is>
      </c>
      <c r="E20" t="inlineStr"/>
      <c r="F20" t="inlineStr"/>
      <c r="G20" t="inlineStr">
        <is>
          <t>Quincy, MA, US</t>
        </is>
      </c>
      <c r="H20" s="2" t="n">
        <v>46063</v>
      </c>
      <c r="I20" t="inlineStr">
        <is>
          <t>**Job Title: Senior Cloud Data Engineer**  
**Location: Quincy, MA, USA**  
**Work Model: Hybrid (Onsite presence required)**  
**Employment Type: Contract**  
**Duration: 12 Months**  
**Note: No H1B for this position and need only local Massachusetts candidates.**  
**Position Overview**  
We are seeking a highly skilled Senior Cloud Data Engineer to support large\-scale Data Modernization Initiative (DMI) projects focused on building a consolidated Enterprise Data Platform using modern cloud technologies such as AWS and Snowflake.  
This role involves designing and implementing scalable cloud\-based data solutions, modernizing legacy platforms, and enabling data\-driven decision\-making across public health and business environments. The ideal candidate will possess deep expertise in data pipelines, enterprise data architecture, and cloud\-based data platforms, with the ability to collaborate effectively with both technical and business stakeholders.  
**Education**  
Bachelor’s degree preferred.  
**Preferred Certifications**  
AWS Certification or Cloud Data Engineer Certification  
Snowflake Certification  
**Required Skills \&amp; Experience**  
5\+ years of experience in:  
Data pipeline design and development  
Cloud data architecture  
Data warehousing and data modeling  
ETL processes  
Enterprise information system architectures  
System engineering  
Strong knowledge and hands\-on experience with enterprise data architecture principles, including decentralized architectures such as Data Mesh.  
3\-5 years of experience developing AWS\-based cloud data solutions.  
5\+ years of experience with cloud database platforms such as Snowflake.  
Proven experience building and maintaining end\-to\-end data pipelines.  
Proficiency in Unix, Linux, and shell scripting.  
Experience supporting multi\-terabyte enterprise cloud data platforms.  
Solid understanding of:  
System administration  
Database administration  
Storage architectures  
Backup and recovery  
Networking  
3\-5 years of experience with:  
Informatica (IICS) ETL  
GitHub (CI/CD)  
Airflow (workflow orchestration)  
Experience handling highly sensitive healthcare data with knowledge of HIPAA and data privacy controls.  
Strong communication skills with the ability to present solutions to technical teams, vendors, and business stakeholders.  
**Preferred Skills**  
Additional experience with Informatica (IICS) and Airflow  
Reporting experience using Cognos and/or Tableau  
**Key Responsibilities**  
Design and develop cloud\-based data management systems.  
Architect and implement data pipelines across centralized and decentralized architectures.  
Ensure adherence to data security policies and standards when designing cloud solutions.  
Collaborate with cross\-functional teams to build scalable, highly available, and high\-performing data platforms.  
Evaluate and recommend cloud products and services for efficient data storage, curation, and processing.  
Monitor platform performance and implement optimization strategies.  
Ensure compliance with data governance policies and best practices.  
Implement data governance and management processes for cloud platforms.  
Analyze and document cloud data engineering strategies and designs.  
Establish system performance assessment processes and action plans.  
Lead data integration efforts using Informatica (IICS), Snowflake, SQL, and Python to solve complex use cases.  
Provide technical direction for data layer design and review ETL requirements.  
Facilitate design sessions and support architectural decision\-making.  
Ensure timely delivery of solutions aligned with business requirements.  
**Must\-Have Technical Skills**  
AWS  
Snowflake  
Airflow  
Informatica (IICS)  
ETL  
GitHub (CI/CD)  
Linux / Unix  
Shell Scripting  
Cloud Data Architecture  
Arushi Khanna \| Associate \- Hiring \&amp; Recruitment
Email: arushi@nsitsolutions.com
NS IT Solutions
www.nsitsolutions.com
\&amp;
Vishal (Victor) Verma \| Assistant Manager
vishal@nsitsolutions.com</t>
        </is>
      </c>
    </row>
    <row r="21">
      <c r="A21" t="inlineStr">
        <is>
          <t>in-46f85288b27a4252</t>
        </is>
      </c>
      <c r="B21" t="inlineStr">
        <is>
          <t>Data Platform Engineer</t>
        </is>
      </c>
      <c r="C21" t="inlineStr">
        <is>
          <t>OIL STATES MANAGEMENT, INC.</t>
        </is>
      </c>
      <c r="D21" t="inlineStr">
        <is>
          <t>indeed</t>
        </is>
      </c>
      <c r="E21" t="inlineStr"/>
      <c r="F21" t="inlineStr"/>
      <c r="G21" t="inlineStr">
        <is>
          <t>Houston, TX, US</t>
        </is>
      </c>
      <c r="H21" s="2" t="n">
        <v>46063</v>
      </c>
      <c r="I21" t="inlineStr">
        <is>
          <t>**The role serves as a technical bridge between core transactional systems (ERP, QMS, document control, CRM) and downstream reporting and analytics teams, establishing standardized data access patterns, integration interfaces, and governance controls. In addition to traditional database administration duties, this position leads the design and implementation of data services, integration patterns, and platform standards that reduce system coupling and improve data consistency across the enterprise.**
**ESSENTIAL DUTIES AND RESPONSIBILITIES**
**Primary Functions \- Data Platform \&amp; Database Engineering**
* Administer, support, and maintain Microsoft SQL Server environments (on\-prem and/or cloud\-hosted), ensuring availability, performance, scalability, and security.
* Design and implement database solutions including schema design, indexing strategies, stored procedures, functions, and data archival approaches.
* Proactively monitor database platforms for performance, reliability, and capacity using SQL\-native and approved third\-party monitoring tools.
* Develop, implement, and test backup, recovery, and disaster\-recovery strategies in accordance with OSII standards.
* Apply patches, service packs, and version upgrades with minimal business disruption.
* Partner with infrastructure and security teams to support platform\-level availability, recovery, and compliance objectives.
**System Integration \&amp; Data Services**
* Document and support **systems integration and architecture**, by making design recommendations and decisions with IT management, enhancing data flow and accuracy between key systems, and reducing direct database dependencies between systems.
* Support and contribute to API\- and integration\-based data exchange between enterprise platforms (ERP, QMS, document control, CRM).
* Collaborate with integration and application teams to optimize data flows, performance, and reliability across system boundaries.
* Assist in defining and enforcing standards for data interfaces, integration error handling, and operational supportability.
* Provide database and data services expertise for integration platforms and tooling (e.g., ETL, middleware, SSIS, API\-backed data services).
**Data Governance \&amp; Security**
* Enforce database security best practices including role design, least\-privilege access, auditing, and compliance with regulatory requirements such as SOX.
* Support data governance initiatives by implementing technical controls for data access, retention, and traceability.
* Maintain clear documentation for schemas, data access patterns, integration interfaces, and platform standards.
**Business Intelligence \&amp; Analytics Enablement**
* Provide stable, performant, and governed data sources for BI and reporting teams.
* Partner with report writers and analytics teams to support:
* + query performance optimization
	+ curated reporting schemas
	+ data quality and consistency across source systems
* Assist in designing data structures and access patterns that support self\-service reporting while protecting transactional systems.
**Collaboration \&amp; Operational Excellence**
* Participate in cross\-functional IT initiatives, providing data platform and integration expertise throughout the project lifecycle.
* Follow established change control, incident response, and release management processes.
* Mentor junior team members and promote best practices in database and data platform engineering.
**QUALIFICATION REQUIREMENTS**
**Formal Education \&amp; Certification**
* Bachelor’s degree in Computer Science, Information Systems, or a related field.
* 5\+ years of experience in database engineering or administration within a mid\-to\-large enterprise environment.
* Microsoft SQL Server certifications preferred.
* ITIL Foundations or Project Management certification is a plus.
**Knowledge \&amp; Experience**
* Strong expertise in Microsoft SQL Server (2016 and newer), including SSMS, T\-SQL, indexing, and performance tuning.
* Experience with high availability and disaster recovery technologies (e.g., Always On Availability Groups, clustering, replication, log shipping).
* Proficiency in T\-SQL scripting and query optimization.
* Experience with data modeling and relational design best practices.
* Working knowledge of integration and data movement technologies (e.g., SSIS, APIs, middleware, ETL tools).
* Familiarity with Azure SQL, PowerShell, and automation is a plus.
* Experience supporting ERP, manufacturing, or other business\-critical enterprise systems preferred.
* Strong communication skills and the ability to collaborate effectively with application, integration, and analytics teams.
**PHYSICAL REQUIREMENTS**
* Occasional after\-hours support for maintenance windows or critical incidents.
* Minimal travel required.
* Ability to sit for extended periods; occasional walking, bending, and lifting of equipment (up to 40 lbs)</t>
        </is>
      </c>
    </row>
    <row r="22">
      <c r="A22" t="inlineStr">
        <is>
          <t>in-942cef4d9bd4a892</t>
        </is>
      </c>
      <c r="B22" t="inlineStr">
        <is>
          <t>Azure Senior Data Engineer</t>
        </is>
      </c>
      <c r="C22" t="inlineStr">
        <is>
          <t>Lams Technology LLC</t>
        </is>
      </c>
      <c r="D22" t="inlineStr">
        <is>
          <t>indeed</t>
        </is>
      </c>
      <c r="E22" t="inlineStr"/>
      <c r="F22" t="inlineStr"/>
      <c r="G22" t="inlineStr">
        <is>
          <t>Las Vegas, NV, US</t>
        </is>
      </c>
      <c r="H22" s="2" t="n">
        <v>46063</v>
      </c>
      <c r="I22" t="inlineStr">
        <is>
          <t>MUST HAVE (Non\-Negotiable):
Designing data pipelines using Medallion Architecture (Bronze, Silver, Gold)
Local candidates only.
In\-person interview is mandatory.
Work location: 500 S Grand Central Pkwy, Las Vegas, NV 89155
Estimated Start Date: March 16, 2026 (pending background check; may take up to 6 weeks)
Estimated Duration: Ongoing project – may extend up to 3 years
Role Overview:
Seeking a Data Analyst Programmer with 3\+ years of experience designing and maintaining end\-to\-end data pipelines across on\-premises and cloud environments, with strong Azure data services and governance expertise.
Minimum Qualifications (Must Meet All):
Expert Level (3\+ years):
* ETL development (on\-prem \&amp; cloud)
* Python, R, T\-SQL, and/or PL/SQL
* Azure Synapse Analytics \&amp; Azure Data Lake Storage
* Medallion Architecture (Bronze, Silver, Gold)
Advanced Level (1\+ year):
* Oracle, SQL Server, or DB2
* Power BI and Power BI data modeling
Additional Experience (1\+ year):
* Data modeling \&amp; data warehouse design
* Data governance, validation, monitoring, and lineage management
Scope Includes:
* ETL/ELT development using DataStage, SSIS, Azure Data Factory
* Building scalable pipelines in Azure Synapse \&amp; Data Lake
* Performance tuning \&amp; database integration
* Enterprise data modeling \&amp; warehouse architecture
* Power BI datasets and reporting
* Data quality enforcement \&amp; governance
* Weekly progress and bug status reporting
Preferred:
* Predictive/advanced analytics support experience
* Familiarity with cloud governance frameworks
Please share local, pre\-vetted candidates who meet all mandatory qualifications and are comfortable with an in\-person interview in Las Vegas.
Job Types: Full\-time, Contract, Permanent
Pay: $58\.41 \- $70\.35 per hour
Expected hours: 40 per week
Work Location: In person</t>
        </is>
      </c>
    </row>
    <row r="23">
      <c r="A23" t="inlineStr">
        <is>
          <t>in-fc772fb623b0a925</t>
        </is>
      </c>
      <c r="B23" t="inlineStr">
        <is>
          <t>Data Engineer</t>
        </is>
      </c>
      <c r="C23" t="inlineStr">
        <is>
          <t>Janus Henderson Investors</t>
        </is>
      </c>
      <c r="D23" t="inlineStr">
        <is>
          <t>indeed</t>
        </is>
      </c>
      <c r="E23" t="inlineStr"/>
      <c r="F23" t="inlineStr"/>
      <c r="G23" t="inlineStr">
        <is>
          <t>Denver, CO, US</t>
        </is>
      </c>
      <c r="H23" s="2" t="n">
        <v>46062</v>
      </c>
      <c r="I23"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Data Engineer, you will build and maintain reliable data pipelines and solutions on the Janus Henderson Data Platform. You will work closely with team members and stakeholders to ensure data quality and support critical business processes.  
* Develop and maintain scalable data pipelines using Snowflake, Databricks, and supporting technologies.
* Collaborate with engineers and business stakeholders to deliver integrated data solutions.
* Optimise queries and storage for performance and cost efficiency.
* Apply CI/CD and observability practices to improve reliability and performance.
* Ensure data security and compliance with governance standards.
* Support production systems, troubleshoot incidents, and assist with root cause analysis.
* Carry out other duties as assigned.
What to expect when you join our firm  
* Hybrid working and reasonable accommodations
* Generous Holiday policies
* Paid volunteer time to step away from your desk and into the community
* Support to grow through professional development courses, tuition/qualification reimbursement and more
* Maternal/paternal leave benefits and family services
* Complimentary subscription to Headspace – the mindfulness app
* Corporate membership to ClassPass and other health and well\-being benefits
* Unique employee events and programs including a 14er challenge
* Complimentary beverages, snacks and all employee Happy Hours
Must have skills  
* Hands\-on experience in data engineering and pipeline development using Snowflake and/or Databricks.
* Proficiency in SQL for data manipulation and optimisation on cloud\-based platforms.
* Strong Python skills for data processing and automation.
* Basic understanding of DevOps principles and CI/CD practices.
* Familiarity with job orchestration tools (e.g., Airflow, Autosys).
* Good communication and problem\-solving skills.
Nice to have skills  
* Certifications in Snowflake or Databricks.
* Experience with dbt Core/Cloud for transformation and testing.
* Awareness of Data Mesh principles.
* Exposure to Microsoft Azure services (e.g., Azure Data Factory, Azure Key Vault, Azure DevOps).
* Knowledge of data governance frameworks and lineage tools.
Supervisory responsibilities  
* No
Potential for growth  
* Mentoring
* Leadership development programs
* Regular training
* Career development services
* Continuing education courses
Compensation information  
The base salary range for this position is $90,000\-$115,000\. This range is estimated for this role. Actual pay may be different. This position will be open through the end of March 2026\.  
**Colorado law requires an estimated closing date for job postings. Please don't be discouraged from applying if you see this date has passed.**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row>
    <row r="24">
      <c r="A24" t="inlineStr">
        <is>
          <t>in-3a82c1447cebe5b5</t>
        </is>
      </c>
      <c r="B24" t="inlineStr">
        <is>
          <t>Data Engineer</t>
        </is>
      </c>
      <c r="C24" t="inlineStr">
        <is>
          <t>Charles Schwab</t>
        </is>
      </c>
      <c r="D24" t="inlineStr">
        <is>
          <t>indeed</t>
        </is>
      </c>
      <c r="E24" t="inlineStr"/>
      <c r="F24" t="inlineStr"/>
      <c r="G24" t="inlineStr">
        <is>
          <t>Austin, TX, US</t>
        </is>
      </c>
      <c r="H24" s="2" t="n">
        <v>46062</v>
      </c>
      <c r="I24"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We’re looking for a **Data Engineer** who is excited to use their technical strengths to help influence the future of how clients manage their money. In this role, you’ll join a collaborative technology team within Schwab Technology Services, building reliable data products that support critical decisions across the business. You’ll work in an environment shaped by trust, respect, and a shared purpose — where your contributions fuel both client impact and your own career growth.
You’ll partner closely with talented engineers, analysts, and business stakeholders, leveraging modern cloud technologies to design and deliver high‑quality data solutions. If you thrive in a supportive culture that values learning, fresh thinking, and the opportunity to “own your tomorrow,” this is a role where you can truly make a difference.
**Key Responsibilities**
* Creation and maintenance of enterprise data assets, reporting, and data analytics that support business leaders in decision‑making, regulatory reporting, and continuous process improvement.
* Work closely with business and other stakeholders to understand needs and ensure accurate implementation.
* Perform ETL design, development, data management, and data analysis.
* Create data models, conduct performance tuning, develop load plans, and ensure deliverables meet both functional and non‑functional requirements.
* Provide guidance and technical oversight to junior engineers and vendor contractors.
* Collaborate with onshore and offshore teams to ensure timely delivery of high‑quality data engineering solutions.
* Ensure system alignment to architecture policies and best practices; follow process methodologies during system development.
* Identify opportunities for system reuse and simplification.
**What you have**
-----------------
 **Required Qualifications**
* Bachelor’s degree in Computer Science, Information Technology, or related field, or equivalent practical experience.
* 5\+ years of experience in development, support, and maintenance of ETL and database applications.
* 2\+ years of hands‑on experience with GCP (GCS, BigQuery, Dataproc).
* 2\+ years of hands‑on experience with IDMC (Informatica Intelligent Data Management Cloud).
* 2\+ years of experience with Control‑M.
* Strong SQL knowledge and shell scripting skills.
* Working knowledge of Agile methodologies.
* Familiarity with SCM/DevOps tools such as Git, GitHub, GitLab, Bitbucket, and Bamboo.
* Strong critical‑thinking and problem‑solving skills with the ability to analyze and understand data.
**Preferred Qualifications**
* Experience in the financial services industry.
* Ability to interpret trends and metrics to drive actionable insights.
* Python scripting experience.
* Strong oral, written, and interpersonal communication skills.
In addition to the salary range, this role is also eligible for bonus or incentive opportunities.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5">
      <c r="A25" t="inlineStr">
        <is>
          <t>in-c5cdcb9a502a43d9</t>
        </is>
      </c>
      <c r="B25" t="inlineStr">
        <is>
          <t>Senior Azure Data Engineer with Fabric-5</t>
        </is>
      </c>
      <c r="C25" t="inlineStr">
        <is>
          <t>Realign</t>
        </is>
      </c>
      <c r="D25" t="inlineStr">
        <is>
          <t>indeed</t>
        </is>
      </c>
      <c r="E25" t="inlineStr"/>
      <c r="F25" t="inlineStr"/>
      <c r="G25" t="inlineStr">
        <is>
          <t>Newark, NJ, US</t>
        </is>
      </c>
      <c r="H25" s="2" t="n">
        <v>46062</v>
      </c>
      <c r="I25" t="inlineStr">
        <is>
          <t>Newark, New Jersey 07101 Posted February 10th, 2026
 Looking for more job opportunities? Click here!
Job Type: Full Time
Job Category: IT
Job Description
**Role :** Senior Azure Data Engineer with Fabric  
**Location:** Newark, NJ  
**FTE ONLY** **Job Description****Senior Azure Data Engineer with Microsoft Fabric Experience*** Minimum 10\+ years experience in modern data engineering/data warehousing/data lakes technologies on cloud platforms like Azure, Microsoft Fabric etc.
* Azure experience is preferred over other cloud platforms.
* Minimum 10 \+ years of proven experience with SQL, schema design and dimensional data modelling.
* Solid knowledge of data warehouse best practices, development standards and methodologies.
* Experience with ETL/ELT tools like ADF, Azure, MS Fabric etc., and data warehousing technologies like Azure Synapse, Azure SQL, ADLS etc.
* Strong experience with big data tools(Microsoft Fabric, Databricks , Spark etc..) and programming skills in PySpark and Spark SQL.
* Be an independent self\-learner with a let s get this done approach and ability to work in Fast paced and Dynamic environment.
* Knowledge in Microsoft Fabric Data Platform
* Expertise in designing application solution on Azure Data Platform for complex business needs.
* Serves as key technical expert engaged on designing, architecting, deploying and maintaining cloud solutions, Data Management \&amp; Analytics.
* Strong knowledge of ETL patterns for data ingestion, processing and distribution using pipelines on Azure cloud services. Leads technology proof of concepts to ensure feasibility of architecture solutions.
* Provides architecture direction for engineers in support of a technical pattern.
* Displays strong thought leadership in pursuit of modern data architecture principles and technology modernization.
* Drives continuous technology transformation to minimize technical debt. Continuously improve efficiency and effectiveness of the architecture
* Looks for opportunities to capitalize on technology advances through analysis of key industry and technology trends to assess potential impact on the enterprise. Participates in defining target state technology architecture and roadmaps.
* Ensures alignment of IT initiatives with the target state.
**Roles \&amp; Responsibilities**  
Build and maintain new and existing applications in preparation for a large\-scale architectural migration within an Agile function.* Align with the Product Owner and Scrum Master in assessing business needs and transforming them into scalable applications.
* Build and maintain code to manage data received from heterogenous data formats including web\- based sources, internal/external databases, flat files, heterogenous data formats (binary, ASCII).
* Help build new enterprise Datawarehouse and maintain the existing one.
* Design and support effective storage and retrieval of very large internal and external data set and be forward think about the convergence strategy with our Azure cloud migration
* Assess the impact of scaling up and scaling out and ensure sustained data management and data delivery performance.
Required Skills
DEVOPS ENGINEER
 SENIOR EMAIL SECURITY ENGINEER</t>
        </is>
      </c>
    </row>
    <row r="26">
      <c r="A26" t="inlineStr">
        <is>
          <t>in-a3a8b601535da6e6</t>
        </is>
      </c>
      <c r="B26" t="inlineStr">
        <is>
          <t>Senior Data Management Professional - Data Engineer - Company Financial Market Data</t>
        </is>
      </c>
      <c r="C26" t="inlineStr">
        <is>
          <t>Bloomberg</t>
        </is>
      </c>
      <c r="D26" t="inlineStr">
        <is>
          <t>indeed</t>
        </is>
      </c>
      <c r="E26" t="inlineStr"/>
      <c r="F26" t="inlineStr"/>
      <c r="G26" t="inlineStr">
        <is>
          <t>Montgomery, NJ, US</t>
        </is>
      </c>
      <c r="H26" s="2" t="n">
        <v>46062</v>
      </c>
      <c r="I26" t="inlineStr">
        <is>
          <t>Senior Data Management Professional \- Data Engineer \- Company Financial Market Data
Location
Skillman
Business Area
Data
Ref \#
10048980
**Description \&amp; Requirements**
-------------------------------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identify innovative workflow efficiencies, and we implement technology solutions to enhance our systems, products and processes.
Our Team:
The Company Financials team provides our clients with fast and accurate market\-moving data so they can stay on top of their game: broker estimates, financial filings, and any other dataset that is useful to understand financial performance in the markets. Our products run on intelligence and industry\-specific insights provided by the industry teams. We combine financial modeling, industry expertise, data management, and technical skills to curate critical metrics and drive insights from our data. We are dedicated to crafting a best\-in\-class financial analysis and modeling product while constantly looking to enhance and expand our existing offering through a deep understanding of the markets we operate in, the sectors we cover, and our clients current and future needs.  
What's the role?
The Company Financials Markets team is looking for a Senior Data Management Professional who can combine deep subject matter expertise and advanced technical skills to own and develop data\-driven strategies and workflows around exchanges and 3rd party data providers. You are expected to take advantage of these knowledge and skills to drive workflow strategies, deliver best\-in\-class user and technical workflows and better incorporate humans in the automation pipelines that eventually help shape and build fit\-for\-purpose Company Financials products. Coupled with good communication and stakeholder management skills, you will also be working very closely with partners across PD\&amp;T, including Product Managers, Engineering teams as well as other Company Financials Industries and Cross\-function teams to meet the needs of our external and internal clients.
We'll trust you to:
* Develop data\-driven strategies, balancing the best of Technical, Product, Financial and Market knowledge, and work with our engineering and product departments to craft solutions
* Own the reliable and efficient workflows around the exchanges and 3rd party data providers such as document acquisition and
structured/unstructured contents processing, utilizing programming, machine learning and/or human\-in\-the\-loop approaches.  
* Analyze workflows to identify critical observability checkpoints to ensure delivery of the
fit\-for\-purpose data on market basis; design and build efficient, maintainable and scalable solutions to facilitate monitoring, reporting and alerting across markets.  
* Analyze market specific workstreams to identify opportunities for improvement and/or consolidation by leveraging technical knowledge of Bloomberg's proprietary or open\-source stacks.
* Communicate and collaborate across team members and complementary teams including Engineering, Product, and Bloomberg Intelligence
* Develop interconnected data models that enable analysis across datasets and develop statistical analysis.
You'll need to have:
* Minimum 3\+ years of experience in the
financial/fintech services industry, including exchanges, market data providers or financial technology institutions, and/or a data engineering role or related fields such data quality, data modeling, or data architecture  
* Demonstrated experience working with Python in development or production environment
* Experience implementing high volume, low\-latency ETL pipelines and proven track record of managing data lifecycle
* Familiarity with various databases, schemas, modeling, as well as structured and unstructured formats (PDF, HTML, XBRL, JSON, CSV etc.)
* Strong project management skills and ability to prioritize and adapt to tasks accordingly with a customer focused mentality
* Powerful collaboration skills to work across departments and regions, excellent written and verbal communication skills
* Demonstrated continuous career growth within an organization
* Excellent written and verbal communication skills
We would love to see:  
* Advanced degree/Master’s degree in a Finance or STEM subject and/or CFA designation (or working towards it)
* Experience in Bloomberg Company Financials products especially with specific
market/exchange, Bloomberg Terminal fluency, and/or Bloomberg Data Workflows  
* Familiarity with use cases of advanced statistical methods such as Machine Learning, Artificial Intelligence, and Natural language Processing
* Experience designing optimal database structures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7">
      <c r="A27" t="inlineStr">
        <is>
          <t>in-7c7dfdc27578cad4</t>
        </is>
      </c>
      <c r="B27" t="inlineStr">
        <is>
          <t>Data and Analytics Engineer</t>
        </is>
      </c>
      <c r="C27" t="inlineStr">
        <is>
          <t>Gridiron IT</t>
        </is>
      </c>
      <c r="D27" t="inlineStr">
        <is>
          <t>indeed</t>
        </is>
      </c>
      <c r="E27" t="inlineStr"/>
      <c r="F27" t="inlineStr"/>
      <c r="G27" t="inlineStr">
        <is>
          <t>St. Louis, MO, US</t>
        </is>
      </c>
      <c r="H27" s="2" t="n">
        <v>46063</v>
      </c>
      <c r="I27" t="inlineStr">
        <is>
          <t>**Description:**   
Gridiron IT is looking to hire a Data \&amp; Analytics Engineer to support a government program in St. Louis, MO.
**Role Overview**: The Data and Analytics Engineer plays a crucial role in the implementation and ongoing support of the Network Operations Center (NOC) and Security Operations Center (SOC). This position is responsible for designing, implementing, and maintaining the data infrastructure and analytics capabilities that power both centers. The Data and Analytics Engineer works closely with NOC and SOC teams to ensure efficient data collection, processing, storage, and analysis, enabling data\-driven decision\-making and enhancing operational effectiveness. This Data and Analytics Engineer role is essential for building and maintaining the data infrastructure that powers modern NOC and SOC operations. The position requires a blend of technical expertise in data engineering, analytics, and an understanding of operational security and network management to deliver insights that drive effective decision\-making and enhance overall operational capabilities.
**Key Responsibilities:**  
\- Design and implement scalable data architectures to support NOC and SOC operations  
\- Develop data models that accommodate various data sources and types (e.g., logs, metrics, alerts)  
\- Develop and maintain data pipelines to ingest data from various sources into NOC/SOC systems  
\- Implement ETL (Extract, Transform, Load) processes for data normalization and enrichment  
\- Ensure data quality and consistency across different systems and tools  
\- Implement and manage big data technologies (e.g., Hadoop, Spark) to handle large volumes of NOC/SOC data  
\- Optimize data storage and retrieval for efficient analysis and reporting  
\- Design and implement real\-time data processing and analytics capabilities  
\- Develop streaming analytics solutions for immediate insights on network and security events  
\- Create interactive dashboards and visualizations for NOC and SOC teams  
\- Develop custom reports and analytics views for various stakeholders  
\- Implement data governance policies and procedures for NOC/SOC data  
\- Ensure data security and privacy compliance (e.g., data masking, access controls)  
\- Develop and maintain data retention and archiving strategies
Requirements: Bachelors degree  
Years of Experience: 5\-10
**Skills:**  
Data Analysis. Data Analytic Tools \- PowerBI, Advanced Excel.
**Clearance:**  
Applicants selected will be subject to a security investigation and may need to meet eligibility requirements for access to classified information.
**Benefits:** Gridiron offers a comprehensive benefits package including medical, dental, vision insurance, HSA, FSA, 401(k), disability \&amp; ADD insurance, life and pet insurance to eligible employees. Full\-time and part\-time employees working at least 30 hours per week on a regular basis are eligible to participate in Gridiron’s benefits programs.
Gridiron IT Solutions is an Equal Opportunity Employer. All qualified applicants will receive consideration for employment without regard to race, color, religion, sex, pregnancy, sexual orientation, gender identity, national origin, age, protected veteran status or disability status.
Gridiron IT is a Women Owned Small Business (WOSB) headquartered in the Washington, D.C. area that supports our clients' missions throughout the United States. Gridiron IT specializes in providing comprehensive IT services tailored to meet the needs of federal agencies. Our capabilities include IT Infrastructure \&amp; Cloud Services, Cyber Security, Software Integration \&amp; Development, Data Solution \&amp; AI, and Enterprise Applications. These capabilities are backed by Gridiron IT's experienced workforce and our commitment to ensuring we meet and exceed our clients' expectations.
Pay: $70\.00 \- $80\.00 per hour
Benefits:
* 401(k)
* Dental insurance
* Health insurance
* Vision insurance
Work Location: In person</t>
        </is>
      </c>
    </row>
    <row r="28">
      <c r="A28" t="inlineStr">
        <is>
          <t>in-a2297d3c936cfb1c</t>
        </is>
      </c>
      <c r="B28" t="inlineStr">
        <is>
          <t>Data Analytics Engineer</t>
        </is>
      </c>
      <c r="C28" t="inlineStr">
        <is>
          <t>Catholic Guardian Services</t>
        </is>
      </c>
      <c r="D28" t="inlineStr">
        <is>
          <t>indeed</t>
        </is>
      </c>
      <c r="E28" t="inlineStr"/>
      <c r="F28" t="inlineStr"/>
      <c r="G28" t="inlineStr">
        <is>
          <t>Bronx, NY, US</t>
        </is>
      </c>
      <c r="H28" s="2" t="n">
        <v>46063</v>
      </c>
      <c r="I28" t="inlineStr">
        <is>
          <t>**We provide help, create hope, and preserve dignity.**
As one of the largest human services agencies in New York, we offer a variety of programs and services addressing child welfare, family support, developmental disabilities, immigration, and mental health needs.
**www.catholicguardian.org**
**Job Title:** Data Engineer
**Program:** PMMI
**Salary:** $50,000\- $60,000 (based on educational achievements and years of relevant experience)
**General Responsibilities:**
We’re looking for a detail\-oriented and tech\-savvy Data Engineer to help us bring all our data together in one place. You’ll work with systems like myEvolv, Connections, COGNOS, Therap, and Foothold to build a unified backend database, design and optimize APIs, and create seamless data pipelines. Your work will directly support our mission by turning complex data into actionable insights for better decision\-making and improved outcomes.
**Required Skills:**
* Bachelor's degree in Computer Science, Data Engineering, Information Systems
* Ability to understand data architecture, data warehousing, and ETL processes.
* Ability to understand abstract data requests and translate them into clear and effective data visualizations.
* Detail\-oriented, proactive and with strong problem\-solving and analytical skills.
* Must currently reside in the New York tri\-state area (New York — including all five boroughs — Connecticut, or New Jersey).
**Desired Skills:**
* Some knowledge of front\-end and back\-end UX design principles in data visualization.
* Communication skills to work effectively with cross\-functional teams.
**What do you bring to the table:**
You are a change agent, strong communicator and love to support others.
**What do we bring to the table:**
A minimum of 15 paid holidays per year, Generous PTO starting at 34 days year one, Medical/Dental/Vision, 403b retirement plan, training/job development and growth opportunities, Tuition Reimbursement, Student Loan Repayment, Life Insurance, STD/LTD, AD\&amp;D Insurance, AFLAC, Pet Insurance, a robust Employee Assistance Program with over 8,000 free training classes and additional support, Credit Union, Tickets At Work, Flexible Spending Accounts – Health/Commuter/Dependent Care</t>
        </is>
      </c>
    </row>
    <row r="29">
      <c r="A29" t="inlineStr">
        <is>
          <t>in-7d428eb390635a84</t>
        </is>
      </c>
      <c r="B29" t="inlineStr">
        <is>
          <t>Azure Data Engineer</t>
        </is>
      </c>
      <c r="C29" t="inlineStr">
        <is>
          <t>Fustis LLC</t>
        </is>
      </c>
      <c r="D29" t="inlineStr">
        <is>
          <t>indeed</t>
        </is>
      </c>
      <c r="E29" t="inlineStr"/>
      <c r="F29" t="inlineStr"/>
      <c r="G29" t="inlineStr">
        <is>
          <t>Mississippi State, MS, US</t>
        </is>
      </c>
      <c r="H29" s="2" t="n">
        <v>46063</v>
      </c>
      <c r="I29" t="inlineStr">
        <is>
          <t>**Title: Azure Data Engineer**
**Location: Mississippi (100% Remote)**
**Contract Duration: 12 Months**
**Rate: $55\-60/hr. on C2C**
**Eligibility: USC, GC, GC\-EAD and H4\-EAD, OPT\-EAD**
**Required Experience (Minimum 5 Years)**
* Advanced development and orchestration of data pipelines using **Azure Data Factory, Azure Synapse**, or similar cloud\-based platforms
* Pipelines, triggers, integration runtimes, parameterization
* Data warehousing and analytics engineering using **Azure Synapse Analytics** or equivalent platforms
* Dedicated and serverless SQL pools
* Strong **T\-SQL** expertise
* Query optimization, indexing strategies, stored procedures, performance tuning
* Implementation of **ETL/ELT frameworks**
* Incremental loads, CDC patterns, error handling
* Integration of structured and semi\-structured data
* CSV, JSON, XML from APIs, SFTP, and vendor systems
* Source control and deployment practices
* **Azure DevOps, Git, CI/CD pipelines**
**Preferred / Domain Experience**
* Experience with **Student Information Management Systems**
* Background in **K\-12 data and reporting**
* Familiarity with **Common Education Data Standards (CEDS)**
**Certifications**
* **Azure Data Engineer Associate** (Required)</t>
        </is>
      </c>
    </row>
    <row r="30">
      <c r="A30" t="inlineStr">
        <is>
          <t>in-08705b74d2d7ccd8</t>
        </is>
      </c>
      <c r="B30" t="inlineStr">
        <is>
          <t>Associate Data Engineer</t>
        </is>
      </c>
      <c r="C30" t="inlineStr">
        <is>
          <t>Brightside Health</t>
        </is>
      </c>
      <c r="D30" t="inlineStr">
        <is>
          <t>indeed</t>
        </is>
      </c>
      <c r="E30" t="inlineStr"/>
      <c r="F30" t="inlineStr"/>
      <c r="G30" t="inlineStr">
        <is>
          <t>Remote, US</t>
        </is>
      </c>
      <c r="H30" s="2" t="n">
        <v>46063</v>
      </c>
      <c r="I30" t="inlineStr">
        <is>
          <t>Brightside Health delivers life\-saving virtual mental healthcare to everyone who needs it. We are powered by proprietary AI, purpose\-built technology, a world\-class clinician network, and a care model that rivals the best of in\-person treatment. When combined with precision psychiatry and leading\-edge therapeutic techniques, we’re able to improve outcomes for those with mild\-to\-severe clinical depression, anxiety, and other mood disorders. Our innovative approach has earned recognition from leading publications such as Healthline, Fortune, and Forbes, naming us 'Most Comprehensive,' and 'Best Online Therapy for Anxiety and Depression.'
We take an action\-oriented, purposeful approach with everything we do and seek out team members who value collaboration and thoughtful prioritization. As a result, our organization is looking for the brightest and most innovative talent in the industry. We can promise you that, as a member of the Brightside team, you’ll have the opportunity to collaborate alongside smart and driven people while growing your professional skills.
We are looking for an Associate Data Engineer to contribute to our Data Platform, reporting directly to the Senior Director, Platform Services. In this role, you will be responsible for supporting the entire Data Lifecycle (DLC) using dbt, BigQuery, Airflow, and Terraform. You will partner closely with the Data Analytics and Data Science teams to ensure scalable, efficient, and reliable data infrastructure. Ultimately, this role will focus on building reliable transformations using Python and SQL, and optimizing our data platform infrastructure to support business insights and decision\-making.
 ***What you’ll be doing an Associate Data Engineer***
* Build and maintain data pipelines using dbt and Airflow
* Collaborate with analysts and stakeholders to support data\-driven decision\-making
* Build Automated data testing with good test coverage to ensure data quality
* Optimize BigQuery performance for scalability and efficiency
* Participate in on\-call rotations for troubleshooting and triaging outages/errors
* Support Data science and Data Analyst by curation required data
 ***Requirements***:
* Strong SQL and data modeling expertise
* Experience in dbt development and deployment
* Knowledge in Data science is a plus
* Proficiency in Python programming
* Hands\-on experience with Airflow pipeline orchestration
* Infrastructure as Code (IaC) knowledge with Terraform
* Cloud experience (GCP preferred, but other public cloud platforms are acceptable)
 ***Benefits:***
* A competitive salary
* Fully paid for comprehensive health care (medical, dental, vision)
* Pet Insurance
* Life Insurance \&amp; Short / Long Term Disability
* 401k Plan
* Unlimited PTO and sick leave
* Parental Leave
* Work remotely and whatever schedule works best for you
* Additional memberships and perks
Final offer amounts are determined by multiple factors including geographic location as well as candidate experience and expertise. If you have questions on compensation bands, please ask your recruiter.
Brightside Health is committed to equal employment opportunities for all team members. Every decision we make regarding employment is solely based on merit, competence, and performance. We are committed to building a team that represents a variety of backgrounds, perspectives, and skills. We realize the full promise of diversity and want you to bring your whole self to work every single day.
Research shows that underrepresented groups typically apply only if they meet 100% of the criteria listed. At Brightside, we are dedicated to fair play and encourage women, people of color, and LGBTQ\+ job seekers to apply for positions even if they don’t check every box for the role.</t>
        </is>
      </c>
    </row>
    <row r="31">
      <c r="A31" t="inlineStr">
        <is>
          <t>in-253170b9d576ad8b</t>
        </is>
      </c>
      <c r="B31" t="inlineStr">
        <is>
          <t>Sr Data Engineer (Hybrid - Boston, MA)</t>
        </is>
      </c>
      <c r="C31" t="inlineStr">
        <is>
          <t>SmartSense by Digi</t>
        </is>
      </c>
      <c r="D31" t="inlineStr">
        <is>
          <t>indeed</t>
        </is>
      </c>
      <c r="E31" t="inlineStr"/>
      <c r="F31" t="inlineStr"/>
      <c r="G31" t="inlineStr">
        <is>
          <t>Boston, MA, US</t>
        </is>
      </c>
      <c r="H31" s="2" t="n">
        <v>46063</v>
      </c>
      <c r="I31" t="inlineStr">
        <is>
          <t>Join a high\-performing, tight\-knit team at a fast\-growing company using the Internet of Things (IoT) to transform how organizations maintain compliance, enhance safety, and reimagine operations. SmartSense by Digi and Jolt are trusted by some of the world’s most recognizable brands including CVS Health, Walgreens, Walmart, McDonald’s, Jack in the Box, Hartford HealthCare, and Children’s Minnesota to protect their operations and the people they serve. We’re looking for team\-oriented change agents who want to help shape the future of IoT.
**Position**Data Services team members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(Personally Identifiable Information), or reflecting internal processes such as our supply chain.
**What We Offer**
In this Sr. Data Engineer role, you will contribute to strategic data engineering solutions moving data from raw to cold storage, through ETL (Extract, Transform, Load) pipelines, to data sets used to train ML (Machine Learning) models. You will collaborate with our Data Science, Business Analysts and Machine Learning Engineers producing quality data flows, transformations, and cleansing towards improved data products for the customer. You will facilitate the democratization of data for data scientists to experiment and train machine learning models and business analysts supporting the enterprise. You will have an enthusiasm and drive to deliver data products that exceed expectations, a passion for data engineering and bring an eagerness to learn. This is an exciting opportunity for an engineer ready to bring this enterprise forward on our data maturity path towards predictive analytics. Join us on our data journey.
**What You Will Do**
* Join a tightly knit team solving hard problems the right way
* Understand the various sensors and environments critical to our customers’ success
* Know the data flows and technology that are currently in use to transform raw data into analytic products
* Build relationships with the awesome team members across other functional groups
* Learn our code practice, work in our code base, write tests, and collaborate with us in our workflows
* Contribute to on\-boarding processes and make recommendations to make on\-boarding process better
* Demonstrate your capabilities defining solutions, implementing, and delivering data products for your user stories and tasks
* Contributing to systems and processes to implement and automate quality on data pipeline deliverables
* Implement data tests for quality and focuses on improving inefficient tooling and adopting new transformative technologies while maintaining operational continuity.
* Contribute to the quality of data and the pipeline after working closely with the product team and stakeholders to understand how our products are used
* Identify opportunities to improve our infrastructure, operational performance, and data pipeline deliverables
* Evaluate new technologies and build proof\-of\-concept systems to enhance Data Engineering capabilities and data products
* Contribute to improving the efficiency of our pipeline scripts, automation, and general data operations
* Demonstrate command and accountability for the design and implementation of new features
* Develop and support data operations and efficiencies in production
* Demonstrate competencies in data modeling new and existing capabilities while progressing the maturity of our data
* Influence your peers through your excellence in delivering high quality data products and code reviews
* Deliver operational data from the data platform to software and analytic teams producing aggregate metrics from real time data streams
* Establish a reputation for reliability in data contextualization and troubleshooting with the team
* Improve the velocity of development of data ingestion, orchestration, fusion, transformation, and data analysis.
* Deliver infrastructure required for optimal extraction, transformation, and data loading in predictive analytic contexts
* Transform ETL development with optimizations for efficient storage, retention policies, access, and computation while accounting for cost
* Contributing to the strategic maturity of all our operations and delivery of product requests
* Define orchestrations of data transformations that distill information to highly valuable signals for ML models
* Collaborate with your teammates to deliver a data analytics and AI platform for advanced analytic data product development
**Within 1 Month, you’ll**
* Join a tightly knit team solving hard problems the right way
* Understand the various sensors and environments critical to our customers’ success
* Learn the data models and flows that are currently in use to transform raw data into analytic products
* Build relationships with the awesome team members across other functional groups
* Learn our code practice, work in our code base, write tests, and collaborate with us in our workflows
* Contribute to on\-boarding processes and make recommendations to make on\-boarding process better
**Within 3 Months, you’ll**
* Demonstrate your capabilities defining solutions, implementing, and delivering data products for your user stories and tasks
* Implement data quality tests, support existing pipelines \&amp; procedures, and optimize warehouse
* Work closely with the product team and stakeholders to understand how our products are used
* Identify opportunities to improve our infrastructure, operational performance, and data pipeline deliverables and influence us all to be better
**Within 6 Months, you’ll**
* Evaluate new technologies and build proof\-of\-concept systems to enhance Data Engineering capabilities and data products
* Contribute to improving the efficiency of our automation and general data operations
* Design and implement new features and be accountable for their performance
* Deliver high quality operational data
* Generate high quality documentation and detailed analysis
* Articulate conceptual, logical, and physical data models in confluence
* Join the on\-call rotation for your team supporting product services and responding to incidents.
**Within 12 Months, you’ll**
* Establish a reputation as a partner in data analysis and contextualization with clear articulations about our data space for targeted internal audiences.
* Deliver infrastructure required for optimal extraction, transformation, and data loading in predictive analytic contexts
* Transform ETL development with optimizations for efficient storage, retention policies, access, and computation while accounting for cost
* Contribute to the strategic maturity of our operations and delivery of product requests
* Key Player in the design and delivery of the data pipelines and engineering infrastructure which support machine learning systems at scale
* Collaborate with your teammates to advance our architecture in support of the predictive analytics roadmap
**Who You Are and What You Bring**
* Bachelor’s or master’s degree in a technical or quantitative field.
* 5\+ years of hands\-on Data Engineering experience, delivering production\-grade solutions at scale.
* Expert in Snowflake, with proven ability to design, optimize, and deploy high\-quality solutions for large\-scale environments.
* Advanced SQL and Python skills, including writing efficient, reusable, and well\-documented code.
* Proven experience building and maintaining ETL/data pipelines, including orchestration, monitoring, and optimization for performance and cost.
* Strong knowledge of data warehousing, data lakes, and relational/non\-relational databases.
* Experience with managed cloud services (AWS or GCP) and implementing secure, scalable data solutions.
* Experience delivering and articulating data models to support enterprise and data product needs.
* Proficiency in DBT, including authoring transformations and automated tests.
* Experience implementing automated testing frameworks (unit tests, integration tests, data\-quality checks) for data pipelines.
* Strong Git and Agile/Scrum experience, including code reviews and collaborative workflows.
* Excellent communication skills to articulate complex technical concepts simply and collaborate effectively across teams.
* Experience participating in design and code reviews and communicating feedback respectfully.
* Must have experience authoring stories and bugs independently and in team grooming sessions.
* **Core technologies:** SQL, Python, JavaScript, Snowflake, RESTful, Atlassian, DBT, Git, AWS
**Desired But Not Required**
* Experience using GenAI tools (e.g., Windsurf, Claude, Copilot, Cursor) to accelerate development and improve data workflows.
* Proven ability to build REST APIs using Python web frameworks such as FastAPI.
* Familiarity with the Data Science lifecycle, including Machine Learning DataOps and supporting ML model training pipelines.
* Hands\-on experience with orchestration tools such as Airflow or Luigi for managing complex data workflows.
* Knowledge of data governance practices, including handling PII and implementing secure data access paradigms.
* Experience working with time\-series telemetry data, including aggregation and optimization for analytics.
* Snowflake SnowPro Certification is a plus; familiarity with other cloud data platforms or Lakehouse architectures is desirable.
* Experience integrating with BI platforms and building data workflows for analytics and reporting.
* Background in supporting production environments, including participation in on\-call rotations and incident response.
* Experience working with Kubernetes or other container\-orchestration system.
* Experience deploying data pipelines and data models to a production environment.
* Experience operating and monitoring production data pipelines.
* Please note that we are unable to provide visa sponsorship for this position. This includes, but is not limited to, work visas, employment\-based visas, or residency sponsorship. Candidates must have valid work authorization in the United States at the time of application. Visa applications of any kind will not be considered.
Digi International offers a distinctive Total Rewards package including a short\-term incentive program, new hire stock award, paid parental leave, open (uncapped) PTO, and hybrid work environment in addition to our competitive medical, health \&amp; wellbeing and compensation offerings.
The anticipated base pay range for this position is $95,000 – $149,000\. Pay ranges are determined by role, job level and primary job location. The range displayed reflects the reasonable range we anticipate paying for this position and reflects the cost of labor within several U.S. geographic markets. The specific salary offered within the range will depend on various factors including, but not limited to the candidate’s relevant and prior experience, education, skills, and primary work location. It is not typical for an individual to be hired at or near the top of the range for their role and compensation decisions are dependent on the facts and circumstances of each position. Pay ranges are typically reviewed and updated annually.
At Digi, we embrace diversity and inclusion among our teammates. It is critical to our success as a global company, and we seek to recruit, develop and retain the most talented people from a diverse candidate pool. We are committed to providing an environment of respect where equal employment opportunities are available to all applicants and teammates.</t>
        </is>
      </c>
    </row>
    <row r="32">
      <c r="A32" t="inlineStr">
        <is>
          <t>in-0be4617b95a13c6c</t>
        </is>
      </c>
      <c r="B32" t="inlineStr">
        <is>
          <t>SENIOR DATA ENGINEER - HYBRID/REMOTE OPTIONS</t>
        </is>
      </c>
      <c r="C32" t="inlineStr">
        <is>
          <t>Independence Health</t>
        </is>
      </c>
      <c r="D32" t="inlineStr">
        <is>
          <t>indeed</t>
        </is>
      </c>
      <c r="E32" t="inlineStr"/>
      <c r="F32" t="inlineStr"/>
      <c r="G32" t="inlineStr">
        <is>
          <t>Greensburg, PA, US</t>
        </is>
      </c>
      <c r="H32" s="2" t="n">
        <v>46063</v>
      </c>
      <c r="I32" t="inlineStr">
        <is>
          <t>**Job Summary/Overall Object**i**ves**
The Senior Business Intelligence Engineer designs, develops, and troubleshoots business, clinical, and population management databases and analytic tools. They demonstrate an expert understanding of designing and maintaining data models. By using various data extraction methods across multiple data sources, the Senior Engineer will be responsible for compiling application\-ready data models for analytic deliveries.
**Essential Job Functions**
* Develops the standard to maintain the enterprise data strategy for the analytics team.
* Investigates data quality and integrity issues and derives solutions to ensure accuracy and consistency across the organization.
* Designs, creates, tests, and deploys data pipelines (ETL, ELT, streaming) and data models.
* Demonstrates advanced knowledge of structured, semi\-structured, and unstructured data.
* Builds and maintains the data infrastructure that powers business intelligence tools.
* Develops and maintains data integrations with on\-premises and cloud\-hosted technologies such as APIs and ODBC connections.
* Ensures data observability, availability, and scalability for analytic solutions.
* Minimizes data downtimes.
* Maintains working knowledge of source system databases.
* Implements data security and access management protocols for safeguard storage and analytic assets.
* Actively participates in data governance standards.
* Other duties as assigned.
**Competency and Experience \[Knowledge, Skills and Abilities]**
**Required Qualifications/Experience**
* Bachelor’s Degree or higher level of education in Data Sciences, Mathematics, Statistics, Biostatistics, Healthcare Management or Business.
* Four (4\) – six (6\) years of experience in data analysis, data visualization, reporting or analytics.
* Strong leadership ability, good organizational skills, independent and critical thinking skills, sound judgment, and knowledge of legal aspects and liability data analytics.
* Strong ability to communicate complex and/or controversial topics and concepts to a wide and diverse audience.
**Preferred Qualifications/Experience**
* Master’s Degree in Data Sciences, Mathematics, Statistics, Biostatistics, Healthcare Management or Business preferred.
* Six (6\+) years’ experience in data aggregation or reporting setting.
* Experience in Healthcare setting.
**License, Certification \&amp; Clearances**
* Act 34\-PA Criminal Record Check from the PA State Police system
**Position Type/Expected Hours of Work**
* Incumbent will be scheduled based on operational need (rotate shifts, standby, on\-call, etc.).
* Travel may be expected locally between System locations.
**Equal Employment Opportunity**
Independence Health and its affiliated companies are Equal Opportunity Employers. It is their policy to prohibit discrimination of any type and to afford equal employment opportunities to employees and applicants without regard to race, color, religion, sex, sexual orientation, national origin, age, marital status, disability, veteran status, or genetic information, or any other classification protected by law. Independence Health and its affiliated companies will comply with all applicable laws and regulations.
**Disclaimer**
This job description is not designed to contain a comprehensive listing of all activities, duties or responsibilities that are required of the employee. Moreover, duties, responsibilities and activities may change or new ones may be assigned at any time with or without notice.
**Work Environment**
**When lift requirement is in excess of 50\#,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Extreme Cold
X
Heights
X
Confined Spaces
X
Extreme Noise(\&gt;85dB)
X
Mechanical Hazards
X
Use of Vibrating Tools
X
Operates Vehicle
X
Operates Heavy Equipment
X
Use of Lifting/Transfer Devices
X
Rotates All Shifts
X
8 Hours Shifts
X
X
10\-12 Hours Shifts
X
On\-Call
X
Overtime(\+8/hrs/shift; 40/hr/wk)
X
X
Travel Between Sites
X
Direct Patient Care
X
Respirator Protective Equipment
X
Eye Protection
X
Head Protection (hard hat)
X
Hearing Protection
X
Hand Protection
X
Feet, Toe Protection
X
Body Protection
X
Latex Exposure
X
X
Solvent Exposure
X
Paint (direct use) Exposure
X
Dust (sanding) Exposure
X
Ethylene Oxide Exposure
X
Cytotoxic (Chemo) Exposure
X
Blood/Body Fluid Exposure
X
Chemicals (direct use) Exposure
X
Mist Exposure
X
Wax Stripper (direct use)
X
Non\-Ionizing Radiation Exposure
X
Ionizing Radiation Exposure
X
Laser Exposure
X
**Physical Demand**
**When lift requirement is in excess of 50\#,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Bending (Stooping)
X
X
Sitting
X
X
Walking
X
X
Climbing Stairs
X
X
Climbing Ladders
X
Standing
X
X
Kneeling
X
Squatting (Crouching)
X
Twisting/Turning
X
Keyboard/Computer Operation
X
X
Gross Grasp
X
X
Fine Finger Manipulation
X
X
Hand/Arm Coordination
X
X
Pushing/Pulling(lbs. of force)
X
\&lt;10\#
Carry
X
\&lt;10\#
Transfer/Push/Pull Patients
X
Seeing Near w/Acuity
X
X
Feeling (Sensation)
X
Color Vision
X
Hearing Clearly
X
X
Pulling/Pushing Objects Overhead
Reaching Above Shoulder Level
Reaching Forward
X
X
Lifting Floor to Knuckle
X
\&lt;10\#
Lifting Seat Pan to Knuckle
X
\&lt;10\#
Lifting Knuckle to Shoulder
X
Lifting Shoulder to Overhead
X
When lift requirement is in excess of 50\#, lift assistance (2 person) and/or transfer device is required.</t>
        </is>
      </c>
    </row>
    <row r="33">
      <c r="A33" t="inlineStr">
        <is>
          <t>in-921d994f2487b050</t>
        </is>
      </c>
      <c r="B33" t="inlineStr">
        <is>
          <t>Data Engineer with Mongo DB-5</t>
        </is>
      </c>
      <c r="C33" t="inlineStr">
        <is>
          <t>Realign</t>
        </is>
      </c>
      <c r="D33" t="inlineStr">
        <is>
          <t>indeed</t>
        </is>
      </c>
      <c r="E33" t="inlineStr"/>
      <c r="F33" t="inlineStr"/>
      <c r="G33" t="inlineStr">
        <is>
          <t>Charlotte, NC, US</t>
        </is>
      </c>
      <c r="H33" s="2" t="n">
        <v>46062</v>
      </c>
      <c r="I33" t="inlineStr">
        <is>
          <t>Charlotte, North Carolina 28105 Posted February 10th,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34">
      <c r="A34" t="inlineStr">
        <is>
          <t>in-2ca63cfe1163d441</t>
        </is>
      </c>
      <c r="B34" t="inlineStr">
        <is>
          <t>Starburst Data Engineer-2</t>
        </is>
      </c>
      <c r="C34" t="inlineStr">
        <is>
          <t>Realign</t>
        </is>
      </c>
      <c r="D34" t="inlineStr">
        <is>
          <t>indeed</t>
        </is>
      </c>
      <c r="E34" t="inlineStr"/>
      <c r="F34" t="inlineStr"/>
      <c r="G34" t="inlineStr">
        <is>
          <t>Plano, TX, US</t>
        </is>
      </c>
      <c r="H34" s="2" t="n">
        <v>46062</v>
      </c>
      <c r="I34" t="inlineStr">
        <is>
          <t>Plano, Texas 75023 Posted February 10th,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35">
      <c r="A35" t="inlineStr">
        <is>
          <t>in-af87b58fe1d75cd9</t>
        </is>
      </c>
      <c r="B35" t="inlineStr">
        <is>
          <t>Network Data Engineer-5</t>
        </is>
      </c>
      <c r="C35" t="inlineStr">
        <is>
          <t>Realign</t>
        </is>
      </c>
      <c r="D35" t="inlineStr">
        <is>
          <t>indeed</t>
        </is>
      </c>
      <c r="E35" t="inlineStr"/>
      <c r="F35" t="inlineStr"/>
      <c r="G35" t="inlineStr">
        <is>
          <t>Phoenix, AZ, US</t>
        </is>
      </c>
      <c r="H35" s="2" t="n">
        <v>46062</v>
      </c>
      <c r="I35" t="inlineStr">
        <is>
          <t>Phoenix, Arizona 85001 Posted February 10th, 2026
 Looking for more job opportunities? Click here!
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36">
      <c r="A36" t="inlineStr">
        <is>
          <t>in-aa6204a764141b06</t>
        </is>
      </c>
      <c r="B36" t="inlineStr">
        <is>
          <t>Starburst Data Engineer-2</t>
        </is>
      </c>
      <c r="C36" t="inlineStr">
        <is>
          <t>Realign</t>
        </is>
      </c>
      <c r="D36" t="inlineStr">
        <is>
          <t>indeed</t>
        </is>
      </c>
      <c r="E36" t="inlineStr"/>
      <c r="F36" t="inlineStr"/>
      <c r="G36" t="inlineStr">
        <is>
          <t>Charlotte, NC, US</t>
        </is>
      </c>
      <c r="H36" s="2" t="n">
        <v>46062</v>
      </c>
      <c r="I36" t="inlineStr">
        <is>
          <t>Charlotte, North Carolina 28105 Posted February 10th,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37">
      <c r="A37" t="inlineStr">
        <is>
          <t>in-aac18c16885f23f8</t>
        </is>
      </c>
      <c r="B37" t="inlineStr">
        <is>
          <t>Network Data Engineer-5</t>
        </is>
      </c>
      <c r="C37" t="inlineStr">
        <is>
          <t>Realign</t>
        </is>
      </c>
      <c r="D37" t="inlineStr">
        <is>
          <t>indeed</t>
        </is>
      </c>
      <c r="E37" t="inlineStr"/>
      <c r="F37" t="inlineStr"/>
      <c r="G37" t="inlineStr">
        <is>
          <t>Raleigh, NC, US</t>
        </is>
      </c>
      <c r="H37" s="2" t="n">
        <v>46062</v>
      </c>
      <c r="I37" t="inlineStr">
        <is>
          <t>Raleigh, North Carolina 27513 Posted February 10th, 2026
 Looking for more job opportunities? Click here!
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38">
      <c r="A38" t="inlineStr">
        <is>
          <t>in-4193bc740d1f5583</t>
        </is>
      </c>
      <c r="B38" t="inlineStr">
        <is>
          <t>Data Engineer with Mongo DB-5</t>
        </is>
      </c>
      <c r="C38" t="inlineStr">
        <is>
          <t>Realign</t>
        </is>
      </c>
      <c r="D38" t="inlineStr">
        <is>
          <t>indeed</t>
        </is>
      </c>
      <c r="E38" t="inlineStr"/>
      <c r="F38" t="inlineStr"/>
      <c r="G38" t="inlineStr">
        <is>
          <t>Plano, TX, US</t>
        </is>
      </c>
      <c r="H38" s="2" t="n">
        <v>46062</v>
      </c>
      <c r="I38" t="inlineStr">
        <is>
          <t>Plano, Texas 75023 Posted February 10th,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39">
      <c r="A39" t="inlineStr">
        <is>
          <t>in-a54f9a07eb3616d0</t>
        </is>
      </c>
      <c r="B39" t="inlineStr">
        <is>
          <t>Data Engineer</t>
        </is>
      </c>
      <c r="C39" t="inlineStr">
        <is>
          <t>Fairlife, LLC</t>
        </is>
      </c>
      <c r="D39" t="inlineStr">
        <is>
          <t>indeed</t>
        </is>
      </c>
      <c r="E39" t="inlineStr"/>
      <c r="F39" t="inlineStr"/>
      <c r="G39" t="inlineStr">
        <is>
          <t>Chicago, IL, US</t>
        </is>
      </c>
      <c r="H39" s="2" t="n">
        <v>46062</v>
      </c>
      <c r="I39" t="inlineStr">
        <is>
          <t>fairlife, LLC is a Chicago\-based nutrition company that creates great\-tasting, nutrition\-rich and dairy products to nourish consumers.
With over $3B in annual retail sales, fairlife's portfolio of delicious, lactose\-free, real dairy products includes: **fairlife® ultra\-filtered milk**; **Core Power®** High Protein Shakes, a sports nutrition drink to support post\-workout recovery; **fairlife® nutrition plan™**, a nutrition shake to support the journey to better health.
A wholly owned subsidiary of The Coca\-Cola company, fairlife, LLC has been recognized by both Fast Company and Nielsen for its industry leading innovation.
To learn more about fairlife and its complete line of products, please visit fairlife.com.
**job purpose**: The Data Engineer will play a key role in delivering fairlife's ambition of building a best\-in\-class Decision Intelligence (DI) ecosystem. This role will support the digital transformation of our enterprise and manufacturing operations, translating technical requirements into targeted solutions that fit into fairlife's broader data framework, roadmap and architecture. This role will also support AI engineering initiatives that drive operational excellence and automated decision\-making across the organization.
**responsibilities:**
* Design, implement, and operationalize pipelines to support the data lifecycle of our factory IoT and enterprise use cases
* Support the development and delivery of function\-specific data models in Microsoft Fabric that enable a self\-service analytics culture across the enterprise
* Support development and maintenance of resources supporting our factory IoT streaming pipeline, mainly in our Ignition and Azure environments
* Partner with manufacturing \&amp; enterprise stakeholders to ensure data validity \&amp; adoption
* Champion data engineering best practices within the Fabric analytics layer, including Spark optimization, compute trade\-offs, and efficient API and file integrations
* Work closely with 3rd party data architects and internal data team to develop a deep understanding of our existing data ecosystem
* Provide training and support the technical development of fellow team members
**skills/qualifications required:**
* Bachelor's degree in data/computer science, an engineering discipline, or related
* Internship or work experience on an enterprise data team
* Proficiency in SQL
* Proficiency in Kusto query language (KQL)
* Proficiency in at least one object\-oriented language (Python, Java, C\#, etc.)
* Experience with Git or other source control
* Experience with telemetry or time\-series data sources
* Experience with any cloud framework (Azure, AWS, GCP, etc.)
* Familiar with data streaming/integration tools (message brokers, REST APIs, GraphQL, etc.)
* Detailed oriented self\-starter, with a growth mindset and a passion for data
* Ability to handle ambiguity and work in a fast paced, entrepreneurial environment
**position location:** Chicago, IL
**reports to**: Director, Data Engineering
**travel requirements:** 10\-20%
**exempt/nonexempt:** Exempt
\#LI\-Hybrid \#LI\-BB1
*fairlife, LLC is an equal opportunity employer. We do not discriminate on the basis of* *race, color, religion, age, sex, national origin, disability status, genetics, protected veteran status, sexual orientation, gender identity or expression, or any other characteristic protected by federal, state or local laws. All qualified applicants and employees will be given equal opportunity. Selection decisions are based on job\-related factors.*
*In addition to its nondiscrimination commitment, the Company will also provide reasonable accommodation of qualified individuals with known disabilities unless doing so would impose an undue hardship on the Company. If you have a disability and would like to request accommodation in order to apply for a position with us, please email* *careers@fairlife.com*.
***For Recruitment Agencies***  
*At fairlife, we manage the majority of our hiring internally through our dedicated Talent Acquisition team, which is actively engaged in direct candidate sourcing. Most of our roles are filled through applications submitted via our careers site or through direct outreach by our team.*
*As our recruitment is primarily handled in\-house, we work only occasionally with external agencies, and only those on our existing, pre\-approved vendor list. At this time, we are not reviewing or expanding that list.*
***Unsolicited resumes or submissions from external agencies not authorized by our Talent Acquisition team will be considered direct candidate applications. As such, fairlife will not assume responsibility for any placement fees associated with these submissions.***</t>
        </is>
      </c>
    </row>
    <row r="40">
      <c r="A40" t="inlineStr">
        <is>
          <t>in-cc6b24e022e2005d</t>
        </is>
      </c>
      <c r="B40" t="inlineStr">
        <is>
          <t>Data Engineer, Denied Party Screening, AWS Compliance &amp; Security Assurance</t>
        </is>
      </c>
      <c r="C40" t="inlineStr">
        <is>
          <t>Amazon.com</t>
        </is>
      </c>
      <c r="D40" t="inlineStr">
        <is>
          <t>indeed</t>
        </is>
      </c>
      <c r="E40" t="inlineStr"/>
      <c r="F40" t="inlineStr"/>
      <c r="G40" t="inlineStr">
        <is>
          <t>Dallas, TX, US</t>
        </is>
      </c>
      <c r="H40" s="2" t="n">
        <v>46029</v>
      </c>
      <c r="I4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1">
      <c r="A41" t="inlineStr">
        <is>
          <t>in-6ad26109f9a79a48</t>
        </is>
      </c>
      <c r="B41" t="inlineStr">
        <is>
          <t>Data Engineer, Denied Party Screening, AWS Compliance &amp; Security Assurance</t>
        </is>
      </c>
      <c r="C41" t="inlineStr">
        <is>
          <t>Amazon.com</t>
        </is>
      </c>
      <c r="D41" t="inlineStr">
        <is>
          <t>indeed</t>
        </is>
      </c>
      <c r="E41" t="inlineStr"/>
      <c r="F41" t="inlineStr"/>
      <c r="G41" t="inlineStr">
        <is>
          <t>Seattle, WA, US</t>
        </is>
      </c>
      <c r="H41" s="2" t="n">
        <v>46029</v>
      </c>
      <c r="I4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2">
      <c r="A42" t="inlineStr">
        <is>
          <t>in-67d7e90ecb935126</t>
        </is>
      </c>
      <c r="B42" t="inlineStr">
        <is>
          <t>Data Engineer</t>
        </is>
      </c>
      <c r="C42" t="inlineStr">
        <is>
          <t>Amazon.com</t>
        </is>
      </c>
      <c r="D42" t="inlineStr">
        <is>
          <t>indeed</t>
        </is>
      </c>
      <c r="E42" t="inlineStr"/>
      <c r="F42" t="inlineStr"/>
      <c r="G42" t="inlineStr">
        <is>
          <t>San Francisco, CA, US</t>
        </is>
      </c>
      <c r="H42" s="2" t="n">
        <v>46001</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in-6a1e2164b4768966</t>
        </is>
      </c>
      <c r="B43" t="inlineStr">
        <is>
          <t>Data Engineer</t>
        </is>
      </c>
      <c r="C43" t="inlineStr">
        <is>
          <t>Amazon.com</t>
        </is>
      </c>
      <c r="D43" t="inlineStr">
        <is>
          <t>indeed</t>
        </is>
      </c>
      <c r="E43" t="inlineStr"/>
      <c r="F43" t="inlineStr"/>
      <c r="G43" t="inlineStr">
        <is>
          <t>Seattle, WA, US</t>
        </is>
      </c>
      <c r="H43" s="2" t="n">
        <v>46001</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in-8146e1cd93022b10</t>
        </is>
      </c>
      <c r="B44" t="inlineStr">
        <is>
          <t>Delivery Consultant - Data Engineer, Data and Machine Learning, WWPS US Federal</t>
        </is>
      </c>
      <c r="C44" t="inlineStr">
        <is>
          <t>Amazon Web Services</t>
        </is>
      </c>
      <c r="D44" t="inlineStr">
        <is>
          <t>indeed</t>
        </is>
      </c>
      <c r="E44" t="inlineStr"/>
      <c r="F44" t="inlineStr"/>
      <c r="G44" t="inlineStr">
        <is>
          <t>Herndon, VA, US</t>
        </is>
      </c>
      <c r="H44" s="2" t="n">
        <v>45991</v>
      </c>
      <c r="I4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in-118a684d84065225</t>
        </is>
      </c>
      <c r="B45" t="inlineStr">
        <is>
          <t>Delivery Consultant - Data Engineer, Data and Machine Learning, WWPS US Federal</t>
        </is>
      </c>
      <c r="C45" t="inlineStr">
        <is>
          <t>Amazon Web Services</t>
        </is>
      </c>
      <c r="D45" t="inlineStr">
        <is>
          <t>indeed</t>
        </is>
      </c>
      <c r="E45" t="inlineStr"/>
      <c r="F45" t="inlineStr"/>
      <c r="G45" t="inlineStr">
        <is>
          <t>Arlington, VA, US</t>
        </is>
      </c>
      <c r="H45" s="2" t="n">
        <v>45991</v>
      </c>
      <c r="I4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in-0d620f9b9d15d048</t>
        </is>
      </c>
      <c r="B46" t="inlineStr">
        <is>
          <t>Data Engineer (Python, Spark, AWS) - W2 Only</t>
        </is>
      </c>
      <c r="C46" t="inlineStr">
        <is>
          <t>Tricon IT Solutions</t>
        </is>
      </c>
      <c r="D46" t="inlineStr">
        <is>
          <t>indeed</t>
        </is>
      </c>
      <c r="E46">
        <f>HYPERLINK("https://www.indeed.com/viewjob?jk=0d620f9b9d15d048", "https://www.indeed.com/viewjob?jk=0d620f9b9d15d048")</f>
        <v/>
      </c>
      <c r="F46">
        <f>HYPERLINK("http://www.indeed.com/job/data-engineer-python-spark-aws-w2-only-0d620f9b9d15d048", "http://www.indeed.com/job/data-engineer-python-spark-aws-w2-only-0d620f9b9d15d048")</f>
        <v/>
      </c>
      <c r="G46" t="inlineStr">
        <is>
          <t>Columbus, OH, US</t>
        </is>
      </c>
      <c r="H46" s="3" t="n">
        <v>46063</v>
      </c>
      <c r="I46" t="inlineStr">
        <is>
          <t>**\=\=\=\=\=\=\=\=\=\=\=\=\=\=\=\=\=\=\= Need W2 Resource Only \=\=\=\=\=\=\=\=\=\=\=\=\=\=\=\=\=**
**Job Title:** Data Engineer (Python, Spark, AWS)
**Location:** Columbus. OH
**Duration:** 12 Months contract
**Pay Rate:** $60/Hr on W2\.
**Job Description:**
We are seeking a Data Engineer to build and maintain scalable data pipelines using **Python, Apache Spark, and AWS**. The role involves working with large datasets, optimizing ETL processes, and supporting **AI/ML initiatives** by enabling reliable data and feature pipelines. You will collaborate closely with data scientists and analytics teams to deliver high\-quality, production\-ready data solutions.
**Key Skills:**
Python, Spark (PySpark), AWS, SQL, ETL, AI/ML data exposure
Job Type: Contract
Pay: Up to $60\.00 per hour
Expected hours: 40 per week
Work Location: In person</t>
        </is>
      </c>
    </row>
    <row r="47">
      <c r="A47" t="inlineStr">
        <is>
          <t>in-7c7dfdc27578cad4</t>
        </is>
      </c>
      <c r="B47" t="inlineStr">
        <is>
          <t>Data and Analytics Engineer</t>
        </is>
      </c>
      <c r="C47" t="inlineStr">
        <is>
          <t>Gridiron IT</t>
        </is>
      </c>
      <c r="D47" t="inlineStr">
        <is>
          <t>indeed</t>
        </is>
      </c>
      <c r="E47">
        <f>HYPERLINK("https://www.indeed.com/viewjob?jk=7c7dfdc27578cad4", "https://www.indeed.com/viewjob?jk=7c7dfdc27578cad4")</f>
        <v/>
      </c>
      <c r="F47">
        <f>HYPERLINK("http://www.indeed.com/job/data-and-analytics-engineer-7c7dfdc27578cad4", "http://www.indeed.com/job/data-and-analytics-engineer-7c7dfdc27578cad4")</f>
        <v/>
      </c>
      <c r="G47" t="inlineStr">
        <is>
          <t>St. Louis, MO, US</t>
        </is>
      </c>
      <c r="H47" s="3" t="n">
        <v>46063</v>
      </c>
      <c r="I47" t="inlineStr">
        <is>
          <t>**Description:**   
Gridiron IT is looking to hire a Data \&amp; Analytics Engineer to support a government program in St. Louis, MO.
**Role Overview**: The Data and Analytics Engineer plays a crucial role in the implementation and ongoing support of the Network Operations Center (NOC) and Security Operations Center (SOC). This position is responsible for designing, implementing, and maintaining the data infrastructure and analytics capabilities that power both centers. The Data and Analytics Engineer works closely with NOC and SOC teams to ensure efficient data collection, processing, storage, and analysis, enabling data\-driven decision\-making and enhancing operational effectiveness. This Data and Analytics Engineer role is essential for building and maintaining the data infrastructure that powers modern NOC and SOC operations. The position requires a blend of technical expertise in data engineering, analytics, and an understanding of operational security and network management to deliver insights that drive effective decision\-making and enhance overall operational capabilities.
**Key Responsibilities:**  
\- Design and implement scalable data architectures to support NOC and SOC operations  
\- Develop data models that accommodate various data sources and types (e.g., logs, metrics, alerts)  
\- Develop and maintain data pipelines to ingest data from various sources into NOC/SOC systems  
\- Implement ETL (Extract, Transform, Load) processes for data normalization and enrichment  
\- Ensure data quality and consistency across different systems and tools  
\- Implement and manage big data technologies (e.g., Hadoop, Spark) to handle large volumes of NOC/SOC data  
\- Optimize data storage and retrieval for efficient analysis and reporting  
\- Design and implement real\-time data processing and analytics capabilities  
\- Develop streaming analytics solutions for immediate insights on network and security events  
\- Create interactive dashboards and visualizations for NOC and SOC teams  
\- Develop custom reports and analytics views for various stakeholders  
\- Implement data governance policies and procedures for NOC/SOC data  
\- Ensure data security and privacy compliance (e.g., data masking, access controls)  
\- Develop and maintain data retention and archiving strategies
Requirements: Bachelors degree  
Years of Experience: 5\-10
**Skills:**  
Data Analysis. Data Analytic Tools \- PowerBI, Advanced Excel.
**Clearance:**  
Applicants selected will be subject to a security investigation and may need to meet eligibility requirements for access to classified information.
**Benefits:** Gridiron offers a comprehensive benefits package including medical, dental, vision insurance, HSA, FSA, 401(k), disability \&amp; ADD insurance, life and pet insurance to eligible employees. Full\-time and part\-time employees working at least 30 hours per week on a regular basis are eligible to participate in Gridiron’s benefits programs.
Gridiron IT Solutions is an Equal Opportunity Employer. All qualified applicants will receive consideration for employment without regard to race, color, religion, sex, pregnancy, sexual orientation, gender identity, national origin, age, protected veteran status or disability status.
Gridiron IT is a Women Owned Small Business (WOSB) headquartered in the Washington, D.C. area that supports our clients' missions throughout the United States. Gridiron IT specializes in providing comprehensive IT services tailored to meet the needs of federal agencies. Our capabilities include IT Infrastructure \&amp; Cloud Services, Cyber Security, Software Integration \&amp; Development, Data Solution \&amp; AI, and Enterprise Applications. These capabilities are backed by Gridiron IT's experienced workforce and our commitment to ensuring we meet and exceed our clients' expectations.
Pay: $70\.00 \- $80\.00 per hour
Benefits:
* 401(k)
* Dental insurance
* Health insurance
* Vision insurance
Work Location: In person</t>
        </is>
      </c>
    </row>
    <row r="48">
      <c r="A48" t="inlineStr">
        <is>
          <t>in-a2297d3c936cfb1c</t>
        </is>
      </c>
      <c r="B48" t="inlineStr">
        <is>
          <t>Data Analytics Engineer</t>
        </is>
      </c>
      <c r="C48" t="inlineStr">
        <is>
          <t>Catholic Guardian Services</t>
        </is>
      </c>
      <c r="D48" t="inlineStr">
        <is>
          <t>indeed</t>
        </is>
      </c>
      <c r="E48">
        <f>HYPERLINK("https://www.indeed.com/viewjob?jk=a2297d3c936cfb1c", "https://www.indeed.com/viewjob?jk=a2297d3c936cfb1c")</f>
        <v/>
      </c>
      <c r="F48">
        <f>HYPERLINK("https://cgswelcome.rec.pro.ukg.net/CAT1024CATH/JobBoard/f9e661b6-6d09-48d8-9a29-a00fc9c9ff03/OpportunityDetail?opportunityId=917181ec-004d-42bc-b79b-48f85aa2e419&amp;postingId=fd6c89e2-3202-48cb-b38f-3914e3559175", "https://cgswelcome.rec.pro.ukg.net/CAT1024CATH/JobBoard/f9e661b6-6d09-48d8-9a29-a00fc9c9ff03/OpportunityDetail?opportunityId=917181ec-004d-42bc-b79b-48f85aa2e419&amp;postingId=fd6c89e2-3202-48cb-b38f-3914e3559175")</f>
        <v/>
      </c>
      <c r="G48" t="inlineStr">
        <is>
          <t>Bronx, NY, US</t>
        </is>
      </c>
      <c r="H48" s="3" t="n">
        <v>46063</v>
      </c>
      <c r="I48" t="inlineStr">
        <is>
          <t>**We provide help, create hope, and preserve dignity.**
As one of the largest human services agencies in New York, we offer a variety of programs and services addressing child welfare, family support, developmental disabilities, immigration, and mental health needs.
**www.catholicguardian.org**
**Job Title:** Data Engineer
**Program:** PMMI
**Salary:** $50,000\- $60,000 (based on educational achievements and years of relevant experience)
**General Responsibilities:**
We’re looking for a detail\-oriented and tech\-savvy Data Engineer to help us bring all our data together in one place. You’ll work with systems like myEvolv, Connections, COGNOS, Therap, and Foothold to build a unified backend database, design and optimize APIs, and create seamless data pipelines. Your work will directly support our mission by turning complex data into actionable insights for better decision\-making and improved outcomes.
**Required Skills:**
* Bachelor's degree in Computer Science, Data Engineering, Information Systems
* Ability to understand data architecture, data warehousing, and ETL processes.
* Ability to understand abstract data requests and translate them into clear and effective data visualizations.
* Detail\-oriented, proactive and with strong problem\-solving and analytical skills.
* Must currently reside in the New York tri\-state area (New York — including all five boroughs — Connecticut, or New Jersey).
**Desired Skills:**
* Some knowledge of front\-end and back\-end UX design principles in data visualization.
* Communication skills to work effectively with cross\-functional teams.
**What do you bring to the table:**
You are a change agent, strong communicator and love to support others.
**What do we bring to the table:**
A minimum of 15 paid holidays per year, Generous PTO starting at 34 days year one, Medical/Dental/Vision, 403b retirement plan, training/job development and growth opportunities, Tuition Reimbursement, Student Loan Repayment, Life Insurance, STD/LTD, AD\&amp;D Insurance, AFLAC, Pet Insurance, a robust Employee Assistance Program with over 8,000 free training classes and additional support, Credit Union, Tickets At Work, Flexible Spending Accounts – Health/Commuter/Dependent Care</t>
        </is>
      </c>
    </row>
    <row r="49">
      <c r="A49" t="inlineStr">
        <is>
          <t>in-7d428eb390635a84</t>
        </is>
      </c>
      <c r="B49" t="inlineStr">
        <is>
          <t>Azure Data Engineer</t>
        </is>
      </c>
      <c r="C49" t="inlineStr">
        <is>
          <t>Fustis LLC</t>
        </is>
      </c>
      <c r="D49" t="inlineStr">
        <is>
          <t>indeed</t>
        </is>
      </c>
      <c r="E49">
        <f>HYPERLINK("https://www.indeed.com/viewjob?jk=7d428eb390635a84", "https://www.indeed.com/viewjob?jk=7d428eb390635a84")</f>
        <v/>
      </c>
      <c r="F49">
        <f>HYPERLINK("https://fustis.oorwin.ai/#/careers/index.html/job/details/0311e1791c1fe92ecd3215fa0472bce6bf2b252d?source=indeed&amp;postedby=3", "https://fustis.oorwin.ai/#/careers/index.html/job/details/0311e1791c1fe92ecd3215fa0472bce6bf2b252d?source=indeed&amp;postedby=3")</f>
        <v/>
      </c>
      <c r="G49" t="inlineStr">
        <is>
          <t>Mississippi State, MS, US</t>
        </is>
      </c>
      <c r="H49" s="3" t="n">
        <v>46063</v>
      </c>
      <c r="I49" t="inlineStr">
        <is>
          <t>**Title: Azure Data Engineer**
**Location: Mississippi (100% Remote)**
**Contract Duration: 12 Months**
**Rate: $55\-60/hr. on C2C**
**Eligibility: USC, GC, GC\-EAD and H4\-EAD, OPT\-EAD**
**Required Experience (Minimum 5 Years)**
* Advanced development and orchestration of data pipelines using **Azure Data Factory, Azure Synapse**, or similar cloud\-based platforms
* Pipelines, triggers, integration runtimes, parameterization
* Data warehousing and analytics engineering using **Azure Synapse Analytics** or equivalent platforms
* Dedicated and serverless SQL pools
* Strong **T\-SQL** expertise
* Query optimization, indexing strategies, stored procedures, performance tuning
* Implementation of **ETL/ELT frameworks**
* Incremental loads, CDC patterns, error handling
* Integration of structured and semi\-structured data
* CSV, JSON, XML from APIs, SFTP, and vendor systems
* Source control and deployment practices
* **Azure DevOps, Git, CI/CD pipelines**
**Preferred / Domain Experience**
* Experience with **Student Information Management Systems**
* Background in **K\-12 data and reporting**
* Familiarity with **Common Education Data Standards (CEDS)**
**Certifications**
* **Azure Data Engineer Associate** (Required)</t>
        </is>
      </c>
    </row>
    <row r="50">
      <c r="A50" t="inlineStr">
        <is>
          <t>in-08705b74d2d7ccd8</t>
        </is>
      </c>
      <c r="B50" t="inlineStr">
        <is>
          <t>Associate Data Engineer</t>
        </is>
      </c>
      <c r="C50" t="inlineStr">
        <is>
          <t>Brightside Health</t>
        </is>
      </c>
      <c r="D50" t="inlineStr">
        <is>
          <t>indeed</t>
        </is>
      </c>
      <c r="E50">
        <f>HYPERLINK("https://www.indeed.com/viewjob?jk=08705b74d2d7ccd8", "https://www.indeed.com/viewjob?jk=08705b74d2d7ccd8")</f>
        <v/>
      </c>
      <c r="F50">
        <f>HYPERLINK("https://ats.rippling.com/brightside-health-jobs/jobs/8cfe0046-07e7-465b-bfd3-aba16d365729?jobSite=Indeed", "https://ats.rippling.com/brightside-health-jobs/jobs/8cfe0046-07e7-465b-bfd3-aba16d365729?jobSite=Indeed")</f>
        <v/>
      </c>
      <c r="G50" t="inlineStr">
        <is>
          <t>Remote, US</t>
        </is>
      </c>
      <c r="H50" s="3" t="n">
        <v>46063</v>
      </c>
      <c r="I50" t="inlineStr">
        <is>
          <t>Brightside Health delivers life\-saving virtual mental healthcare to everyone who needs it. We are powered by proprietary AI, purpose\-built technology, a world\-class clinician network, and a care model that rivals the best of in\-person treatment. When combined with precision psychiatry and leading\-edge therapeutic techniques, we’re able to improve outcomes for those with mild\-to\-severe clinical depression, anxiety, and other mood disorders. Our innovative approach has earned recognition from leading publications such as Healthline, Fortune, and Forbes, naming us 'Most Comprehensive,' and 'Best Online Therapy for Anxiety and Depression.'
We take an action\-oriented, purposeful approach with everything we do and seek out team members who value collaboration and thoughtful prioritization. As a result, our organization is looking for the brightest and most innovative talent in the industry. We can promise you that, as a member of the Brightside team, you’ll have the opportunity to collaborate alongside smart and driven people while growing your professional skills.
We are looking for an Associate Data Engineer to contribute to our Data Platform, reporting directly to the Senior Director, Platform Services. In this role, you will be responsible for supporting the entire Data Lifecycle (DLC) using dbt, BigQuery, Airflow, and Terraform. You will partner closely with the Data Analytics and Data Science teams to ensure scalable, efficient, and reliable data infrastructure. Ultimately, this role will focus on building reliable transformations using Python and SQL, and optimizing our data platform infrastructure to support business insights and decision\-making.
 ***What you’ll be doing an Associate Data Engineer***
* Build and maintain data pipelines using dbt and Airflow
* Collaborate with analysts and stakeholders to support data\-driven decision\-making
* Build Automated data testing with good test coverage to ensure data quality
* Optimize BigQuery performance for scalability and efficiency
* Participate in on\-call rotations for troubleshooting and triaging outages/errors
* Support Data science and Data Analyst by curation required data
 ***Requirements***:
* Strong SQL and data modeling expertise
* Experience in dbt development and deployment
* Knowledge in Data science is a plus
* Proficiency in Python programming
* Hands\-on experience with Airflow pipeline orchestration
* Infrastructure as Code (IaC) knowledge with Terraform
* Cloud experience (GCP preferred, but other public cloud platforms are acceptable)
 ***Benefits:***
* A competitive salary
* Fully paid for comprehensive health care (medical, dental, vision)
* Pet Insurance
* Life Insurance \&amp; Short / Long Term Disability
* 401k Plan
* Unlimited PTO and sick leave
* Parental Leave
* Work remotely and whatever schedule works best for you
* Additional memberships and perks
Final offer amounts are determined by multiple factors including geographic location as well as candidate experience and expertise. If you have questions on compensation bands, please ask your recruiter.
Brightside Health is committed to equal employment opportunities for all team members. Every decision we make regarding employment is solely based on merit, competence, and performance. We are committed to building a team that represents a variety of backgrounds, perspectives, and skills. We realize the full promise of diversity and want you to bring your whole self to work every single day.
Research shows that underrepresented groups typically apply only if they meet 100% of the criteria listed. At Brightside, we are dedicated to fair play and encourage women, people of color, and LGBTQ\+ job seekers to apply for positions even if they don’t check every box for the role.</t>
        </is>
      </c>
    </row>
    <row r="51">
      <c r="A51" t="inlineStr">
        <is>
          <t>in-253170b9d576ad8b</t>
        </is>
      </c>
      <c r="B51" t="inlineStr">
        <is>
          <t>Sr Data Engineer (Hybrid - Boston, MA)</t>
        </is>
      </c>
      <c r="C51" t="inlineStr">
        <is>
          <t>SmartSense by Digi</t>
        </is>
      </c>
      <c r="D51" t="inlineStr">
        <is>
          <t>indeed</t>
        </is>
      </c>
      <c r="E51">
        <f>HYPERLINK("https://www.indeed.com/viewjob?jk=253170b9d576ad8b", "https://www.indeed.com/viewjob?jk=253170b9d576ad8b")</f>
        <v/>
      </c>
      <c r="F51">
        <f>HYPERLINK("https://recruiting2.ultipro.com/DIG1008DIGI/JobBoard/bf7d79dc-5bb9-447e-be77-bc5713185792/OpportunityDetail?opportunityId=47076b47-4c51-40f6-afd1-765d763e4ab9&amp;postingId=c8cf0254-20e1-4c96-9595-3b4285b20acb", "https://recruiting2.ultipro.com/DIG1008DIGI/JobBoard/bf7d79dc-5bb9-447e-be77-bc5713185792/OpportunityDetail?opportunityId=47076b47-4c51-40f6-afd1-765d763e4ab9&amp;postingId=c8cf0254-20e1-4c96-9595-3b4285b20acb")</f>
        <v/>
      </c>
      <c r="G51" t="inlineStr">
        <is>
          <t>Boston, MA, US</t>
        </is>
      </c>
      <c r="H51" s="3" t="n">
        <v>46063</v>
      </c>
      <c r="I51" t="inlineStr">
        <is>
          <t>Join a high\-performing, tight\-knit team at a fast\-growing company using the Internet of Things (IoT) to transform how organizations maintain compliance, enhance safety, and reimagine operations. SmartSense by Digi and Jolt are trusted by some of the world’s most recognizable brands including CVS Health, Walgreens, Walmart, McDonald’s, Jack in the Box, Hartford HealthCare, and Children’s Minnesota to protect their operations and the people they serve. We’re looking for team\-oriented change agents who want to help shape the future of IoT.
**Position**Data Services team members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(Personally Identifiable Information), or reflecting internal processes such as our supply chain.
**What We Offer**
In this Sr. Data Engineer role, you will contribute to strategic data engineering solutions moving data from raw to cold storage, through ETL (Extract, Transform, Load) pipelines, to data sets used to train ML (Machine Learning) models. You will collaborate with our Data Science, Business Analysts and Machine Learning Engineers producing quality data flows, transformations, and cleansing towards improved data products for the customer. You will facilitate the democratization of data for data scientists to experiment and train machine learning models and business analysts supporting the enterprise. You will have an enthusiasm and drive to deliver data products that exceed expectations, a passion for data engineering and bring an eagerness to learn. This is an exciting opportunity for an engineer ready to bring this enterprise forward on our data maturity path towards predictive analytics. Join us on our data journey.
**What You Will Do**
* Join a tightly knit team solving hard problems the right way
* Understand the various sensors and environments critical to our customers’ success
* Know the data flows and technology that are currently in use to transform raw data into analytic products
* Build relationships with the awesome team members across other functional groups
* Learn our code practice, work in our code base, write tests, and collaborate with us in our workflows
* Contribute to on\-boarding processes and make recommendations to make on\-boarding process better
* Demonstrate your capabilities defining solutions, implementing, and delivering data products for your user stories and tasks
* Contributing to systems and processes to implement and automate quality on data pipeline deliverables
* Implement data tests for quality and focuses on improving inefficient tooling and adopting new transformative technologies while maintaining operational continuity.
* Contribute to the quality of data and the pipeline after working closely with the product team and stakeholders to understand how our products are used
* Identify opportunities to improve our infrastructure, operational performance, and data pipeline deliverables
* Evaluate new technologies and build proof\-of\-concept systems to enhance Data Engineering capabilities and data products
* Contribute to improving the efficiency of our pipeline scripts, automation, and general data operations
* Demonstrate command and accountability for the design and implementation of new features
* Develop and support data operations and efficiencies in production
* Demonstrate competencies in data modeling new and existing capabilities while progressing the maturity of our data
* Influence your peers through your excellence in delivering high quality data products and code reviews
* Deliver operational data from the data platform to software and analytic teams producing aggregate metrics from real time data streams
* Establish a reputation for reliability in data contextualization and troubleshooting with the team
* Improve the velocity of development of data ingestion, orchestration, fusion, transformation, and data analysis.
* Deliver infrastructure required for optimal extraction, transformation, and data loading in predictive analytic contexts
* Transform ETL development with optimizations for efficient storage, retention policies, access, and computation while accounting for cost
* Contributing to the strategic maturity of all our operations and delivery of product requests
* Define orchestrations of data transformations that distill information to highly valuable signals for ML models
* Collaborate with your teammates to deliver a data analytics and AI platform for advanced analytic data product development
**Within 1 Month, you’ll**
* Join a tightly knit team solving hard problems the right way
* Understand the various sensors and environments critical to our customers’ success
* Learn the data models and flows that are currently in use to transform raw data into analytic products
* Build relationships with the awesome team members across other functional groups
* Learn our code practice, work in our code base, write tests, and collaborate with us in our workflows
* Contribute to on\-boarding processes and make recommendations to make on\-boarding process better
**Within 3 Months, you’ll**
* Demonstrate your capabilities defining solutions, implementing, and delivering data products for your user stories and tasks
* Implement data quality tests, support existing pipelines \&amp; procedures, and optimize warehouse
* Work closely with the product team and stakeholders to understand how our products are used
* Identify opportunities to improve our infrastructure, operational performance, and data pipeline deliverables and influence us all to be better
**Within 6 Months, you’ll**
* Evaluate new technologies and build proof\-of\-concept systems to enhance Data Engineering capabilities and data products
* Contribute to improving the efficiency of our automation and general data operations
* Design and implement new features and be accountable for their performance
* Deliver high quality operational data
* Generate high quality documentation and detailed analysis
* Articulate conceptual, logical, and physical data models in confluence
* Join the on\-call rotation for your team supporting product services and responding to incidents.
**Within 12 Months, you’ll**
* Establish a reputation as a partner in data analysis and contextualization with clear articulations about our data space for targeted internal audiences.
* Deliver infrastructure required for optimal extraction, transformation, and data loading in predictive analytic contexts
* Transform ETL development with optimizations for efficient storage, retention policies, access, and computation while accounting for cost
* Contribute to the strategic maturity of our operations and delivery of product requests
* Key Player in the design and delivery of the data pipelines and engineering infrastructure which support machine learning systems at scale
* Collaborate with your teammates to advance our architecture in support of the predictive analytics roadmap
**Who You Are and What You Bring**
* Bachelor’s or master’s degree in a technical or quantitative field.
* 5\+ years of hands\-on Data Engineering experience, delivering production\-grade solutions at scale.
* Expert in Snowflake, with proven ability to design, optimize, and deploy high\-quality solutions for large\-scale environments.
* Advanced SQL and Python skills, including writing efficient, reusable, and well\-documented code.
* Proven experience building and maintaining ETL/data pipelines, including orchestration, monitoring, and optimization for performance and cost.
* Strong knowledge of data warehousing, data lakes, and relational/non\-relational databases.
* Experience with managed cloud services (AWS or GCP) and implementing secure, scalable data solutions.
* Experience delivering and articulating data models to support enterprise and data product needs.
* Proficiency in DBT, including authoring transformations and automated tests.
* Experience implementing automated testing frameworks (unit tests, integration tests, data\-quality checks) for data pipelines.
* Strong Git and Agile/Scrum experience, including code reviews and collaborative workflows.
* Excellent communication skills to articulate complex technical concepts simply and collaborate effectively across teams.
* Experience participating in design and code reviews and communicating feedback respectfully.
* Must have experience authoring stories and bugs independently and in team grooming sessions.
* **Core technologies:** SQL, Python, JavaScript, Snowflake, RESTful, Atlassian, DBT, Git, AWS
**Desired But Not Required**
* Experience using GenAI tools (e.g., Windsurf, Claude, Copilot, Cursor) to accelerate development and improve data workflows.
* Proven ability to build REST APIs using Python web frameworks such as FastAPI.
* Familiarity with the Data Science lifecycle, including Machine Learning DataOps and supporting ML model training pipelines.
* Hands\-on experience with orchestration tools such as Airflow or Luigi for managing complex data workflows.
* Knowledge of data governance practices, including handling PII and implementing secure data access paradigms.
* Experience working with time\-series telemetry data, including aggregation and optimization for analytics.
* Snowflake SnowPro Certification is a plus; familiarity with other cloud data platforms or Lakehouse architectures is desirable.
* Experience integrating with BI platforms and building data workflows for analytics and reporting.
* Background in supporting production environments, including participation in on\-call rotations and incident response.
* Experience working with Kubernetes or other container\-orchestration system.
* Experience deploying data pipelines and data models to a production environment.
* Experience operating and monitoring production data pipelines.
* Please note that we are unable to provide visa sponsorship for this position. This includes, but is not limited to, work visas, employment\-based visas, or residency sponsorship. Candidates must have valid work authorization in the United States at the time of application. Visa applications of any kind will not be considered.
Digi International offers a distinctive Total Rewards package including a short\-term incentive program, new hire stock award, paid parental leave, open (uncapped) PTO, and hybrid work environment in addition to our competitive medical, health \&amp; wellbeing and compensation offerings.
The anticipated base pay range for this position is $95,000 – $149,000\. Pay ranges are determined by role, job level and primary job location. The range displayed reflects the reasonable range we anticipate paying for this position and reflects the cost of labor within several U.S. geographic markets. The specific salary offered within the range will depend on various factors including, but not limited to the candidate’s relevant and prior experience, education, skills, and primary work location. It is not typical for an individual to be hired at or near the top of the range for their role and compensation decisions are dependent on the facts and circumstances of each position. Pay ranges are typically reviewed and updated annually.
At Digi, we embrace diversity and inclusion among our teammates. It is critical to our success as a global company, and we seek to recruit, develop and retain the most talented people from a diverse candidate pool. We are committed to providing an environment of respect where equal employment opportunities are available to all applicants and teammates.</t>
        </is>
      </c>
    </row>
    <row r="52">
      <c r="A52" t="inlineStr">
        <is>
          <t>in-03b8a38b226bb23c</t>
        </is>
      </c>
      <c r="B52" t="inlineStr">
        <is>
          <t>Data Engineer 1</t>
        </is>
      </c>
      <c r="C52" t="inlineStr">
        <is>
          <t>Indeed</t>
        </is>
      </c>
      <c r="D52" t="inlineStr">
        <is>
          <t>indeed</t>
        </is>
      </c>
      <c r="E52">
        <f>HYPERLINK("https://www.indeed.com/viewjob?jk=03b8a38b226bb23c", "https://www.indeed.com/viewjob?jk=03b8a38b226bb23c")</f>
        <v/>
      </c>
      <c r="F52">
        <f>HYPERLINK("https://careers-indeed.icims.com/jobs/46469/job", "https://careers-indeed.icims.com/jobs/46469/job")</f>
        <v/>
      </c>
      <c r="G52" t="inlineStr">
        <is>
          <t>Remote, US</t>
        </is>
      </c>
      <c r="H52" s="3" t="n">
        <v>46062</v>
      </c>
      <c r="I52"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Data Engineer’s role is to integrate data from a variety of sources into common data domain models. The purpose is to support data and analytics activities across Glassdoor and Indeed’s global business functions. This is a technical role that involves defining changes to the data lake data model and building scalable and efficient processes to populate or modify data lake data. You will have practical data processing and data modeling experience in a “big data” environment. Also, experience in data modeling, test automation, and building reliable, trusted, and efficient data pipelines. This work contributes to our mission of helping people get jobs by providing insight into the global job market and supporting product innovation. That makes it easier for job seekers and employers to find each other.  
Responsibilities  
Designing and implementing data pipelines (ETLs) to integrate data from a variety of sources into the Glassdoor (Indeed) Data Warehouse  
Designing and implementing data model changes, working cross\-functionally with various product and data teams  
Providing documentation, training, and consulting for data warehouse users  
Participating in on\-call rotation supporting critical business data pipelines  
Skills/Competencies  
B.S. degree in Computer Science, Computer Engineering, Electrical Engineering, Mathematics, Statistics  
1\+ years of experience with big data and streaming technologies (Snowflake, Redshift, Hive, Kafka, Spark, Flink or similar technologies)  
Exposure to workflow orchestration and pipeline tools such as Airflow  
2\+ years coding experience (Python or Scala preferred)  
Passionate about data and learning new skills and technologies  
Salary Range Transparency  
US Remote 95,000 \- 137,000 USD per year  
Austin Metro Area 95,000 \- 137,000 USD per year  
NYC Metro Area 111,000 \- 161,000 USD per year  
Seattle Metro Area 104,000 \- 152,000 USD per year  
Scottsdale Metro Area 83,200 \- 103,500 USD per year  
San Francisco Bay Area 111,000 \- 161,000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46469  
The deadline to apply to this position is \[2/18/2026].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46469</t>
        </is>
      </c>
    </row>
    <row r="53">
      <c r="A53" t="inlineStr">
        <is>
          <t>in-3f36c68e6b515ef9</t>
        </is>
      </c>
      <c r="B53" t="inlineStr">
        <is>
          <t>Azure Data Engineer</t>
        </is>
      </c>
      <c r="C53" t="inlineStr">
        <is>
          <t>Freudenberg Group</t>
        </is>
      </c>
      <c r="D53" t="inlineStr">
        <is>
          <t>indeed</t>
        </is>
      </c>
      <c r="E53">
        <f>HYPERLINK("https://www.indeed.com/viewjob?jk=3f36c68e6b515ef9", "https://www.indeed.com/viewjob?jk=3f36c68e6b515ef9")</f>
        <v/>
      </c>
      <c r="F53">
        <f>HYPERLINK("https://jobs.freudenberg.com/freudenberg/job/de/details/3950931/", "https://jobs.freudenberg.com/freudenberg/job/de/details/3950931/")</f>
        <v/>
      </c>
      <c r="G53" t="inlineStr">
        <is>
          <t>Plymouth, MI, US</t>
        </is>
      </c>
      <c r="H53" s="3" t="n">
        <v>46062</v>
      </c>
      <c r="I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AZURE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row>
    <row r="54">
      <c r="A54" t="inlineStr">
        <is>
          <t>in-1c9c63bf19a24ce9</t>
        </is>
      </c>
      <c r="B54" t="inlineStr">
        <is>
          <t>Data Engineer</t>
        </is>
      </c>
      <c r="C54" t="inlineStr">
        <is>
          <t>Guidehouse</t>
        </is>
      </c>
      <c r="D54" t="inlineStr">
        <is>
          <t>indeed</t>
        </is>
      </c>
      <c r="E54">
        <f>HYPERLINK("https://www.indeed.com/viewjob?jk=1c9c63bf19a24ce9", "https://www.indeed.com/viewjob?jk=1c9c63bf19a24ce9")</f>
        <v/>
      </c>
      <c r="F54">
        <f>HYPERLINK("https://guidehouse.searchgreatcareers.com/job/san-antonio/data-engineer/25181/91584338256", "https://guidehouse.searchgreatcareers.com/job/san-antonio/data-engineer/25181/91584338256")</f>
        <v/>
      </c>
      <c r="G54" t="inlineStr">
        <is>
          <t>San Antonio, TX, US</t>
        </is>
      </c>
      <c r="H54" s="3" t="n">
        <v>46062</v>
      </c>
      <c r="I54" t="inlineStr">
        <is>
          <t>Job Family:
Management Consulting  
Travel Required:
None  
Clearance Required:
Active Secret
What You Will Do:
* Design and build ETL pipelines for AFIMSC data platforms.
* Integrate data sources into cloud\-based environments (Advana, VAULT, BLADE).
* Ensure data quality, consistency, and governance across systems.
* Support migration of civil engineering data platforms to cloud infrastructure.
* Develop automated workflows for data ingestion and transformation.
* Collaborate with data scientists to enable AI/ML model deployment.
* Optimize database performance and implement indexing strategies.
* Maintain secure data transfer protocols and compliance standards.
* Document data architecture and integration processes.
* Provide technical support for data\-related issues and enhancements.
What You Will Need:
* An ACTIVE and MAINTAINED "SECRET" Federal or DoD security clearance.
* Bachelor’s degree in Computer Science, Data Engineering, or related field.
* FOUR (4\) or more years of experience in data engineering and ETL development.
* Proficiency in Python, SQL, and data pipeline tools (Databricks, Airflow).
* Experience with cloud platforms (AWS, Azure, GCP).
What Would Be Nice To Have:
* Master’s degree in Data Engineering or related discipline.
* Experience with big data technologies (Spark, Hadoop).
* Knowledge of data warehousing and governance principles.
* Strong understanding of relational and NoSQL databases.
* Experience with API integration and data connectors.
* Ability to troubleshoot and optimize data workflows.
* Excellent communication and documentation skills.
* Knowledge of DevSecOps and CI/CD for data pipelines.
* Experience with advanced analytics platforms (Advana, VAULT).
* Familiarity with geospatial data integration.
* Certifications in cloud technologies (AWS, Azure).
* Experience with robotic process automation tools.
* Understanding of cybersecurity requirements for data systems.
* Knowledge of Air Force or DoD data environments.
* Experience in agile development methodologies.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55">
      <c r="A55" t="inlineStr">
        <is>
          <t>in-1236080813423554</t>
        </is>
      </c>
      <c r="B55" t="inlineStr">
        <is>
          <t>Data Engineer &amp; Developer</t>
        </is>
      </c>
      <c r="C55" t="inlineStr">
        <is>
          <t>Lumen Bioscience, Inc.</t>
        </is>
      </c>
      <c r="D55" t="inlineStr">
        <is>
          <t>indeed</t>
        </is>
      </c>
      <c r="E55">
        <f>HYPERLINK("https://www.indeed.com/viewjob?jk=1236080813423554", "https://www.indeed.com/viewjob?jk=1236080813423554")</f>
        <v/>
      </c>
      <c r="F55">
        <f>HYPERLINK("https://grnh.se/eldxtya19us", "https://grnh.se/eldxtya19us")</f>
        <v/>
      </c>
      <c r="G55" t="inlineStr">
        <is>
          <t>Seattle, WA, US</t>
        </is>
      </c>
      <c r="H55" s="3" t="n">
        <v>46062</v>
      </c>
      <c r="I55" t="inlineStr">
        <is>
          <t>**This position is on\-site in Seattle, WA.**
Join Lumen Bioscience as a Data Engineer \&amp; Developer to build and maintain cloud infrastructure, data pipelines, and software integrations that power our scientific computing capabilities. In this role, you will own AWS architecture and operations and develop integrations between Benchling (ELN/LIMS), laboratory instruments, and downstream data systems to enable seamless data flow from bench to warehouse to decision\-ready dashboards.
You will design, deploy, and maintain AWS infrastructure supporting QC instrument pipelines, data warehousing, and analytical workloads. You will develop and maintain Benchling API integrations that automate data capture from lab workflows and enable bi\-directional data exchange with enterprise systems. You will build and optimize ETL/ELT pipelines for lot release assays, quality metrics, and operational dashboards, and implement event\-driven architectures that propagate data automatically to downstream consumers.
You will contribute as a dependable teammate in a fast\-paced, cross\-functional environment, collaborating with the LIMS team to translate workflow requirements into robust, validated data pipelines. You will monitor infrastructure health, troubleshoot pipeline failures, and establish alerting for proactive issue detection. Success in this role requires strong organization, clear communication with scientific stakeholders, and thorough documentation.
**Duties \&amp; Responsibilities:**
* Cloud Infrastructure, Pipelines, and Integrations:
	+ Design, deploy, and maintain AWS infrastructure supporting QC instrument pipelines, data warehousing, and analytical workloads.
	+ Build and optimize ETL/ELT pipelines for lot release assays, quality metrics, and operational dashboards.
	+ Implement event\-driven architectures that propagate data automatically to downstream consumers (warehouses, dashboards, reporting systems).
	+ Develop and maintain Benchling API integrations, automating data capture from lab workflows and enabling bi\-directional data exchange with enterprise systems.
* Collaboration, Operations, and Documentation:
	+ Collaborate with the LIMS team to translate workflow requirements into robust, validated data pipelines.
	+ Monitor infrastructure health, troubleshoot pipeline failures, and establish alerting for proactive issue detection.
	+ Contribute to data integrity and audit trail requirements for GxP\-relevant systems; support validation activities as needed.
	+ Document architecture decisions, integration patterns, and operational runbooks.
**Qualifications \&amp; Requirements:**
* Education and Experience:
	+ Hands\-on experience with AWS services (Lambda, Step Functions, RDS/Aurora, S3, EventBridge, IAM).
	+ Proficiency in Python; experience building REST API integrations and working with third\-party APIs.
	+ Strong SQL skills and experience with data warehousing concepts (star schemas, dimensional modeling).
	+ Familiarity with infrastructure\-as\-code (Terraform, CloudFormation) and CI/CD practices.
	+ Experience with Benchling or similar ELN/LIMS platforms and their APIs.
	+ Background in regulated industries (biotech/pharma) or familiarity with 21 CFR Part 11 / data integrity (ALCOA\+) principles.
	+ Experience with dashboard/BI tools (e.g., Metabase, Tableau, or custom solutions).
	+ Familiarity with PostgreSQL, data lake architectures, or streaming pipelines.
	+ Exposure to laboratory instrument data formats and scientific data workflows.
* Skills and Attributes:
	+ Clear communicator who can translate technical concepts for scientific stakeholders.
	+ Strong attention to detail and organizational skills.
	+ Self\-starter with the ability to adapt and contribute effectively in a fast\-changing environment, and to work independently and in a team\-oriented environment.
	+ High level of integrity, ethics, and commitment to quality and timely delivery of results.
**Physical Requirements:**
* Ability to work on\-site in Seattle, WA
* Ability to sit for extended periods of time (2 or more hours)
* Occasionally lift or carry items up to 50 lb/23 kg
**Benefits at Lumen Bioscience:**
* **Stock bonus**
* Health, Dental, and Vision premiums fully covered by Lumen
* 401k match up to 4%
* Industry\-leading PTO policy, paid refresh days, and paid year\-end holiday office closure
* Monthly wellness program to support your health and well\-being
* Free onsite parking or public transportation subsidies
* Comprehensive parental leave policies
* Life insurance, short \&amp; long\-term disability, and access to employee assistance programs
At Lumen Bioscience, we foster a workplace built on collaboration, innovation, and professional growth. This role offers a significant opportunity to contribute directly to cutting\-edge biotechnology and the advancement of global health solutions.
**Join us to shape innovative solutions and drive operational excellence.**</t>
        </is>
      </c>
    </row>
    <row r="56">
      <c r="A56" t="inlineStr">
        <is>
          <t>in-4c57fdee43954e1a</t>
        </is>
      </c>
      <c r="B56" t="inlineStr">
        <is>
          <t>Sr. Data Platform Engineer I (6366)</t>
        </is>
      </c>
      <c r="C56" t="inlineStr">
        <is>
          <t>Metrostar Systems</t>
        </is>
      </c>
      <c r="D56" t="inlineStr">
        <is>
          <t>indeed</t>
        </is>
      </c>
      <c r="E56">
        <f>HYPERLINK("https://www.indeed.com/viewjob?jk=4c57fdee43954e1a", "https://www.indeed.com/viewjob?jk=4c57fdee43954e1a")</f>
        <v/>
      </c>
      <c r="F56">
        <f>HYPERLINK("https://grnh.se/xnkqezt33us", "https://grnh.se/xnkqezt33us")</f>
        <v/>
      </c>
      <c r="G56" t="inlineStr">
        <is>
          <t>Washington, DC, US</t>
        </is>
      </c>
      <c r="H56" s="3" t="n">
        <v>46062</v>
      </c>
      <c r="I56" t="inlineStr">
        <is>
          <t>As a **Sr. Data Platform Engineer I,** you'll work as part of a collaborative and high\-performing team providing your expertise to deliver technical solutions within the highest levels of the federal government by providing PostgreSQL expertise supporting highly visible, mission\-critical applications; taking deep technical ownership of database platforms; executing disciplined operational practices; and maintaining database stability, performance, and security under constant operational demand.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administer, and optimize PostgreSQL and Microsoft SQL Server databases in on\-premises and cloud environments.
* Manage Kubernetes clusters and support containerized database and application operations.
* Administer CI/CD pipelines and automation supporting database and application delivery.
* Perform database performance tuning, backups, replication, and recovery.
* Enforce access controls, auditing, governance, and retention policies.
* Manage schemas, indexes, stored procedures, and permissions.
* Develop SQL queries and reporting logic; support Power BI reporting needs.
* Participate in Agile ceremonies and collaborative delivery activities.
* Support production operations with urgency and operational discipline.
* Communicate technical risks, issues, and recommendations clearly to stakeholders.
* Build and maintain strong customer trust through technical expertise, responsiveness, and reliability.
**What you'll need to succeed:**
* Active Top Secret with SCI eligibility security clearance.
* Bachelor's degree in Computer Science, or related field, is preferred; relevant experience may substitute.
* Certification meeting DoD 8140 (e.g., Security\+ or GSEC, or higher).
* Certification for database platform (e.g., DP\-300, Oracle OCP, or equivalent).
* 5\+ years of experience as a database administrator or engineer.
* Experience designing, implementing, managing, and tuning PostgreSQL databases in enterprise environments.
* Experience ensuring database performance, availability, and reliability, including capacity planning and performance tuning.
* Experience implementing and managing database security controls, including access management and auditing.
* Experience performing database backups, recovery, and restore operations, including support for high\-availability configurations.
* Experience with distributed PostgreSQL solutions (e.g., pgEdge or similar).
* Ability to contribute immediately with minimal ramp\-up in a mission\-critical operational environment.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7">
      <c r="A57" t="inlineStr">
        <is>
          <t>in-b6d3dce127a03d37</t>
        </is>
      </c>
      <c r="B57" t="inlineStr">
        <is>
          <t>Data engineer</t>
        </is>
      </c>
      <c r="C57" t="inlineStr">
        <is>
          <t>Stacklogy</t>
        </is>
      </c>
      <c r="D57" t="inlineStr">
        <is>
          <t>indeed</t>
        </is>
      </c>
      <c r="E57">
        <f>HYPERLINK("https://www.indeed.com/viewjob?jk=b6d3dce127a03d37", "https://www.indeed.com/viewjob?jk=b6d3dce127a03d37")</f>
        <v/>
      </c>
      <c r="F57">
        <f>HYPERLINK("https://stacklogy.com/career/", "https://stacklogy.com/career/")</f>
        <v/>
      </c>
      <c r="G57" t="inlineStr">
        <is>
          <t>US</t>
        </is>
      </c>
      <c r="H57" s="3" t="n">
        <v>46062</v>
      </c>
      <c r="I57"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58">
      <c r="A58" t="inlineStr">
        <is>
          <t>in-7f80659676cd19e0</t>
        </is>
      </c>
      <c r="B58" t="inlineStr">
        <is>
          <t>Snowflake DBT Lead Data Engineer</t>
        </is>
      </c>
      <c r="C58" t="inlineStr">
        <is>
          <t>Infosys</t>
        </is>
      </c>
      <c r="D58" t="inlineStr">
        <is>
          <t>indeed</t>
        </is>
      </c>
      <c r="E58">
        <f>HYPERLINK("https://www.indeed.com/viewjob?jk=7f80659676cd19e0", "https://www.indeed.com/viewjob?jk=7f80659676cd19e0")</f>
        <v/>
      </c>
      <c r="F58">
        <f>HYPERLINK("https://digitalcareers.infosys.com/global-careers/company-job/description/reqid/144055BR?Codes=Indeed", "https://digitalcareers.infosys.com/global-careers/company-job/description/reqid/144055BR?Codes=Indeed")</f>
        <v/>
      </c>
      <c r="G58" t="inlineStr">
        <is>
          <t>Broomfield, CO, US</t>
        </is>
      </c>
      <c r="H58" s="3" t="n">
        <v>46062</v>
      </c>
      <c r="I58" t="inlineStr">
        <is>
          <t>Infosys is seeking an **AWS Snowflake and DBT Data Engineer**.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Candidate must be located within commuting distance of **Broomfield, CO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4 years of Information Technology experience
* At least 2 years of DBT experience
* At least 2 years of Snowflake experience
* Hands on experience with developing complex transformations using Data Build tool (**DBT**)
* Strong knowledge and hands\-on experience in SQL, Unix shell scripting, and Python
 **Preferred Qualifications:**
* Experience in end\-to\-end implementation using technologies such as AWS and Snowflake
* Experience in Services and Utilities domain
* Strong knowledge Data structures, Data Engineering concepts, Algorithms, Collections, Multi\-threading and memory management and concurrency
* Experience in large scale cloud data migrations using Snowflake, Python, Spark, SQL
* Sound knowledge of software engineering design patterns and practices
* Good understanding of Agile software development frameworks
* Strong communication and Analytical skills
* Ability to work in teams in a diverse, multi\-stakeholder environment comprising of Business and Technology teams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 Hospital Indemnity, Legal)
* 401(k) plan and contributions dependent on salary level
* Paid holidays plus Paid Time Off</t>
        </is>
      </c>
    </row>
    <row r="59">
      <c r="A59" t="inlineStr">
        <is>
          <t>in-0920bbdc4ab8ca6f</t>
        </is>
      </c>
      <c r="B59" t="inlineStr">
        <is>
          <t>GCP Data Engineer</t>
        </is>
      </c>
      <c r="C59" t="inlineStr">
        <is>
          <t>Infosys</t>
        </is>
      </c>
      <c r="D59" t="inlineStr">
        <is>
          <t>indeed</t>
        </is>
      </c>
      <c r="E59">
        <f>HYPERLINK("https://www.indeed.com/viewjob?jk=0920bbdc4ab8ca6f", "https://www.indeed.com/viewjob?jk=0920bbdc4ab8ca6f")</f>
        <v/>
      </c>
      <c r="F59">
        <f>HYPERLINK("https://digitalcareers.infosys.com/global-careers/company-job/description/reqid/144057BR?Codes=Indeed", "https://digitalcareers.infosys.com/global-careers/company-job/description/reqid/144057BR?Codes=Indeed")</f>
        <v/>
      </c>
      <c r="G59" t="inlineStr">
        <is>
          <t>Richardson, TX, US</t>
        </is>
      </c>
      <c r="H59" s="3" t="n">
        <v>46062</v>
      </c>
      <c r="I59" t="inlineStr">
        <is>
          <t>**Infosys is seeking GCP data engineer**.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Candidate must be located within commuting distance of **Richardson, TX**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4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experience in Tera data
* Good understanding of Agile software development frameworks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60">
      <c r="A60" t="inlineStr">
        <is>
          <t>in-9c79eefd83ee42a7</t>
        </is>
      </c>
      <c r="B60" t="inlineStr">
        <is>
          <t>Data Engineer (MUST HAVE DOD TS CLEARANCE)</t>
        </is>
      </c>
      <c r="C60" t="inlineStr">
        <is>
          <t>Sandoval Technology Solutions</t>
        </is>
      </c>
      <c r="D60" t="inlineStr">
        <is>
          <t>indeed</t>
        </is>
      </c>
      <c r="E60">
        <f>HYPERLINK("https://www.indeed.com/viewjob?jk=9c79eefd83ee42a7", "https://www.indeed.com/viewjob?jk=9c79eefd83ee42a7")</f>
        <v/>
      </c>
      <c r="F60">
        <f>HYPERLINK("https://sandtechsolutions.hrmdirect.com/employment/view.php?req=3635601&amp;jbsrc=1014&amp;location=759a9e72-250f-2575-04d0-37e738ed5745", "https://sandtechsolutions.hrmdirect.com/employment/view.php?req=3635601&amp;jbsrc=1014&amp;location=759a9e72-250f-2575-04d0-37e738ed5745")</f>
        <v/>
      </c>
      <c r="G60" t="inlineStr">
        <is>
          <t>San Antonio, TX, US</t>
        </is>
      </c>
      <c r="H60" s="3" t="n">
        <v>46062</v>
      </c>
      <c r="I60" t="inlineStr">
        <is>
          <t>Job Summary:  
We are seeking a skilled Data Engineer with an active Department of Defense (DOD) Top Secret (TS) Clearance to join our team. The Data Engineer will be responsible for designing and implementing scalable data pipelines, building and maintaining data systems, and ensuring data quality and reliability.  
Qualifications:  
* Bachelor's degree in Computer Science, Information Technology, or related field.
* Must have a current Department of Defense (DOD) Top Secret (TS) Clearance.
* Proven experience working as a Data Engineer or in a similar role.
* Strong knowledge of SQL, Python, and other programming languages.
* Experience with data modeling, data warehousing, and building ETL pipelines.
* Familiarity with cloud platforms such as AWS, Azure, or Google Cloud.
* Excellent analytical and problem\-solving skills.
* Strong attention to detail and the ability to work independently or as part of a team.
Responsibilities:  
* Design, build, and maintain efficient and reliable data pipelines.
* Develop and implement data models for use in analytics and reporting.
* Ensure data quality and integrity throughout the data lifecycle.
* Optimize data systems for performance and scalability.
* Collaborate with cross\-functional teams to gather requirements and deliver data solutions.
* Stay up\-to\-date with industry best practices and emerging technologies in data engineering.</t>
        </is>
      </c>
    </row>
    <row r="61">
      <c r="A61" t="inlineStr">
        <is>
          <t>in-09b7048b45f54b0f</t>
        </is>
      </c>
      <c r="B61" t="inlineStr">
        <is>
          <t>Senior Data Engineer</t>
        </is>
      </c>
      <c r="C61" t="inlineStr">
        <is>
          <t>Elder Research Inc</t>
        </is>
      </c>
      <c r="D61" t="inlineStr">
        <is>
          <t>indeed</t>
        </is>
      </c>
      <c r="E61">
        <f>HYPERLINK("https://www.indeed.com/viewjob?jk=09b7048b45f54b0f", "https://www.indeed.com/viewjob?jk=09b7048b45f54b0f")</f>
        <v/>
      </c>
      <c r="F61">
        <f>HYPERLINK("https://elderresearch.hrmdirect.com/employment/view.php?req=3635181&amp;jbsrc=1014&amp;location=2d0a0cbb-ccd0-70ac-d462-516ecb9ce60e", "https://elderresearch.hrmdirect.com/employment/view.php?req=3635181&amp;jbsrc=1014&amp;location=2d0a0cbb-ccd0-70ac-d462-516ecb9ce60e")</f>
        <v/>
      </c>
      <c r="G61" t="inlineStr">
        <is>
          <t>Arlington, VA, US</t>
        </is>
      </c>
      <c r="H61" s="3" t="n">
        <v>46062</v>
      </c>
      <c r="I61" t="inlineStr">
        <is>
          <t>**Senior Data Engineer**
**General Information**
**Requisition \# 657**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Engineer. The Senior Data Engineer will lead the design, construction, and optimization of scalable data pipelines and services that support advanced analytics and machine learning solutions. This role focuses on data quality, performance, and interoperability within modern cloud environments, advancing strategic initiatives such as Sentinel\-driven product safety analytics. The engineer will deliver secure, efficient, and reproducible data workflows that enable predictive modeling, real\-time monitoring, and actionable insights.
**Responsibilities include but are not limited to:**
* **Data Pipeline Engineering \&amp; Cloud Integration**
	+ Design, develop, and optimize production\-grade ETL workflows using Python and Microsoft\-based frameworks to ingest, transform, and validate large\-scale structured and unstructured data.
	+ Implement schema enforcement, data validation, and quality checks to maintain integrity across diverse sources, while optimizing pipelines for performance, scalability, and fault tolerance using cloud\-native and open\-source patterns.
	+ Architect and manage Azure\-based data solutions, including Data Lake Storage, Azure SQL, and Python\-accessible cloud storage, ensuring secure API and service integration.
	+ Design and deploy workflow orchestration with Azure Data Factory or Foundry for scheduling, monitoring, and automation.
* **Advanced Technical Development \&amp; Services**
	+ Build Python\-based data services using Pandas, PyTorch, and other open\-source frameworks for high\-performance processing.
	+ Develop API endpoints and microservices to enable interoperability with analytics and ML platforms
	+ Implement logging, monitoring, and performance tuning to ensure robust operational reliability.
* **Collaboration, Governance \&amp; Agile Delivery**
	+ Partner with data scientists, analysts, and cloud architects to deliver clean, reliable data for predictive modeling and real\-time dashboards.
	+ Apply data governance best practices to ensure compliance, reproducibility, and auditability across workflows.
	+ Contribute to Agile team processes, driving iterative improvements, collaborative problem\-solving, and continuous enhancement of data delivery.
**Minimum Qualifications:**
* **Experience \&amp; Core Skills**
	+ 5\+ years developing and deploying advanced statistical and machine learning models or supporting data pipelines for such models.
	+ Proficient in Python (Pandas required; scikit\-learn, NumPy, PyTorch, TensorFlow, and related libraries preferred) and strong SQL skills for integrating relational data.
	+ Hands\-on experience in cloud environments (Azure); Microsoft Data Engineer certification advantageous.
* **Technical Expertise \&amp; Implementation**
	+ Build production\-grade data pipelines and ETL workflows using Python and Microsoft technologies, including Azure Data Lake Storage and Azure SQL.
	+ Ensure data validation, schema enforcement, and quality assurance, while developing APIs within the Microsoft ecosystem.
	+ Optimize performance, implement logging and monitoring, and deploy Python\-based data services at scale.
	+ Design and manage workflow orchestration with Azure Data Factory to automate, monitor, and streamline data operations.
**Preferred Qualifications:**
* Master’s, Ph.D., or equivalent professional experience in Data Science, Computer Science, Statistics, Engineering, or a related field.
* Familiarity with data engineering patterns for building scalable, secure systems in regulated environments.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62">
      <c r="A62" t="inlineStr">
        <is>
          <t>in-c0b2c921ff51db56</t>
        </is>
      </c>
      <c r="B62" t="inlineStr">
        <is>
          <t>Senior Data Engineer</t>
        </is>
      </c>
      <c r="C62" t="inlineStr">
        <is>
          <t>Elder Research Inc</t>
        </is>
      </c>
      <c r="D62" t="inlineStr">
        <is>
          <t>indeed</t>
        </is>
      </c>
      <c r="E62">
        <f>HYPERLINK("https://www.indeed.com/viewjob?jk=c0b2c921ff51db56", "https://www.indeed.com/viewjob?jk=c0b2c921ff51db56")</f>
        <v/>
      </c>
      <c r="F62">
        <f>HYPERLINK("https://elderresearch.hrmdirect.com/employment/view.php?req=3635181&amp;jbsrc=1014&amp;location=335e120b-ac6b-ee52-88cf-831a9b449eb2", "https://elderresearch.hrmdirect.com/employment/view.php?req=3635181&amp;jbsrc=1014&amp;location=335e120b-ac6b-ee52-88cf-831a9b449eb2")</f>
        <v/>
      </c>
      <c r="G62" t="inlineStr">
        <is>
          <t>Remote, US</t>
        </is>
      </c>
      <c r="H62" s="3" t="n">
        <v>46062</v>
      </c>
      <c r="I62" t="inlineStr">
        <is>
          <t>**Senior Data Engineer**
**General Information**
**Requisition \# 657**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Engineer. The Senior Data Engineer will lead the design, construction, and optimization of scalable data pipelines and services that support advanced analytics and machine learning solutions. This role focuses on data quality, performance, and interoperability within modern cloud environments, advancing strategic initiatives such as Sentinel\-driven product safety analytics. The engineer will deliver secure, efficient, and reproducible data workflows that enable predictive modeling, real\-time monitoring, and actionable insights.
**Responsibilities include but are not limited to:**
* **Data Pipeline Engineering \&amp; Cloud Integration**
	+ Design, develop, and optimize production\-grade ETL workflows using Python and Microsoft\-based frameworks to ingest, transform, and validate large\-scale structured and unstructured data.
	+ Implement schema enforcement, data validation, and quality checks to maintain integrity across diverse sources, while optimizing pipelines for performance, scalability, and fault tolerance using cloud\-native and open\-source patterns.
	+ Architect and manage Azure\-based data solutions, including Data Lake Storage, Azure SQL, and Python\-accessible cloud storage, ensuring secure API and service integration.
	+ Design and deploy workflow orchestration with Azure Data Factory or Foundry for scheduling, monitoring, and automation.
* **Advanced Technical Development \&amp; Services**
	+ Build Python\-based data services using Pandas, PyTorch, and other open\-source frameworks for high\-performance processing.
	+ Develop API endpoints and microservices to enable interoperability with analytics and ML platforms
	+ Implement logging, monitoring, and performance tuning to ensure robust operational reliability.
* **Collaboration, Governance \&amp; Agile Delivery**
	+ Partner with data scientists, analysts, and cloud architects to deliver clean, reliable data for predictive modeling and real\-time dashboards.
	+ Apply data governance best practices to ensure compliance, reproducibility, and auditability across workflows.
	+ Contribute to Agile team processes, driving iterative improvements, collaborative problem\-solving, and continuous enhancement of data delivery.
**Minimum Qualifications:**
* **Experience \&amp; Core Skills**
	+ 5\+ years developing and deploying advanced statistical and machine learning models or supporting data pipelines for such models.
	+ Proficient in Python (Pandas required; scikit\-learn, NumPy, PyTorch, TensorFlow, and related libraries preferred) and strong SQL skills for integrating relational data.
	+ Hands\-on experience in cloud environments (Azure); Microsoft Data Engineer certification advantageous.
* **Technical Expertise \&amp; Implementation**
	+ Build production\-grade data pipelines and ETL workflows using Python and Microsoft technologies, including Azure Data Lake Storage and Azure SQL.
	+ Ensure data validation, schema enforcement, and quality assurance, while developing APIs within the Microsoft ecosystem.
	+ Optimize performance, implement logging and monitoring, and deploy Python\-based data services at scale.
	+ Design and manage workflow orchestration with Azure Data Factory to automate, monitor, and streamline data operations.
**Preferred Qualifications:**
* Master’s, Ph.D., or equivalent professional experience in Data Science, Computer Science, Statistics, Engineering, or a related field.
* Familiarity with data engineering patterns for building scalable, secure systems in regulated environments.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63">
      <c r="A63" t="inlineStr">
        <is>
          <t>in-d8f7114f53362544</t>
        </is>
      </c>
      <c r="B63" t="inlineStr">
        <is>
          <t>GCP Data Engineer</t>
        </is>
      </c>
      <c r="C63" t="inlineStr">
        <is>
          <t>Wipro</t>
        </is>
      </c>
      <c r="D63" t="inlineStr">
        <is>
          <t>indeed</t>
        </is>
      </c>
      <c r="E63">
        <f>HYPERLINK("https://www.indeed.com/viewjob?jk=d8f7114f53362544", "https://www.indeed.com/viewjob?jk=d8f7114f53362544")</f>
        <v/>
      </c>
      <c r="F63">
        <f>HYPERLINK("https://careers.wipro.com/job/GCP-Data-Engineer/131459-en_US", "https://careers.wipro.com/job/GCP-Data-Engineer/131459-en_US")</f>
        <v/>
      </c>
      <c r="G63" t="inlineStr">
        <is>
          <t>Nashville, TN, US</t>
        </is>
      </c>
      <c r="H63" s="3" t="n">
        <v>46062</v>
      </c>
      <c r="I63" t="inlineStr">
        <is>
          <t>Job Description* 
Job Title: GCP Data Engineer
City: Nashville
State/Province: Tennessee
Posting Start Date: 2/10/26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**Location \- Nashvilee, TN ( 5 days WFO)**
**JD for GCP Senior Data Engineer (Big Query) –**  
* Ability to assist in translating business requirements into technical specifications.
* Hands on experience in migrating the on\-premises ETL data pipelines and Enterprise Datawarehouse applications to Google Cloud Platform.
* Experience in Data Migration from various databases like Greenplum, Teradata to
BigQuery.
* Hands\-on experience with various data analytic services like Google Cloud Storage, BigQuery, Pub/Sub, Dataflow, Datafusion, Cloud Composer.
o Should have strong experience writing complex SQL queries, PL/SQL procedures.
o Should have experience with writing scripts (Unix, Python).
o Should have implemented BQ scripts and procedures, performance tuning of queries.
o Should have good knowledge in RDBMS, Datawarehouse concepts.
o Should be able to implement BigQuery best practices. Data modeling experience in BigQuery is nice to have
* Should have strong analytical and troubleshooting skills.
* Ability to mentor and guide junior developers in the team.
* GCP Professional data engineer certification is Preferred.
* 2 years’ Experience working in GCP Projects.
* 7\+ Years of professional experience in IT industry within data space is preferred.
Mandatory Skills: Google BigQuery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64">
      <c r="A64" t="inlineStr">
        <is>
          <t>in-b19c0ee0594024a7</t>
        </is>
      </c>
      <c r="B64" t="inlineStr">
        <is>
          <t>Analytics Engineer II</t>
        </is>
      </c>
      <c r="C64" t="inlineStr">
        <is>
          <t>Khan Academy</t>
        </is>
      </c>
      <c r="D64" t="inlineStr">
        <is>
          <t>indeed</t>
        </is>
      </c>
      <c r="E64">
        <f>HYPERLINK("https://www.indeed.com/viewjob?jk=b19c0ee0594024a7", "https://www.indeed.com/viewjob?jk=b19c0ee0594024a7")</f>
        <v/>
      </c>
      <c r="F64">
        <f>HYPERLINK("https://job-boards.greenhouse.io/khanacademy/jobs/7600452", "https://job-boards.greenhouse.io/khanacademy/jobs/7600452")</f>
        <v/>
      </c>
      <c r="G64" t="inlineStr">
        <is>
          <t>Mountain View, CA, US</t>
        </is>
      </c>
      <c r="H64" s="3" t="n">
        <v>46062</v>
      </c>
      <c r="I64" t="inlineStr">
        <is>
          <t>**ABOUT KHAN ACADEMY**
Khan Academy is a nonprofit with the mission to deliver a free, world\-class education to anyone, anywhere. Our proven learning platform offers free, high\-quality supplemental learning content and practice that cover Pre\-K \- 12th grade and early college core academic subjects, focusing on math and science. We have over 181 million registered learners globally and are committed to improving learning outcomes for students worldwide, focusing on learners in historically under\-resourced communities.
**OUR COMMUNITY ABOUT THE ROLE**
Our students, teachers, and parents come from all walks of life, and so do we. Our team includes people from academia, traditional/non\-traditional education, big tech companies, and tiny startups. We hire great people from diverse backgrounds and experiences because it makes our company stronger. We value diversity, equity, inclusion, and belonging as necessary to achieve our mission and impact the communities we serve. We know that transforming education starts in\-house with learning about ourselves and our colleagues. We strive to be world\-class in investing in our people and commit to developing you as a professional.
**ABOUT THE ROLE**
We’re looking for an **Analytics Engineer II** to join Khan Academy’s **Analytics Engineering (AE)** team. You’ll help transform raw product, learning, and operational data into clean, reliable, and well\-modeled datasets that power insights across the organization.
You’ll collaborate closely with Data Infrastructure (DI), Data Analysts, and Product/Program teams to ensure that our data warehouse (BigQuery) and BI layer (Looker) serve as trusted sources for decision\-making.
This role is ideal for someone who’s **comfortable working across both dbt and Looker**, has an eye for data model design, and enjoys making complex data systems intuitive and performant.
**WHAT YOU'LL DO**
* Design, build, and maintain **dbt** models that transform raw event\- and entity\-level data into curated, analytics\-ready datasets.
* Develop, document, and test semantic and reporting layers in **Looker** (LookML).
* Partner with Analysts and cross\-functional stakeholders to ensure consistent metric definitions and accurate data pipelines.
* Contribute to data modeling best practices, including naming conventions, incremental strategies, and schema evolution.
* Implement data quality tests and validation checks to ensure reliability of production datasets.
* Monitor and troubleshoot data issues, coordinating fixes with Data Infrastructure and Engineering.
#### **WHAT WE'RE LOOKING FOR**
**Required Skills \&amp; Experience:**
* 3\+ years of deep, warehouse\-centric analytics engineering experience..
* Strong SQL and **dbt** proficiency (including macros, Jinja, and incremental model strategies).
* Hands\-on experience building and maintaining **Looker** models (LookML, Explores, derived tables).
* Familiarity with modern data stacks (e.g., BigQuery, Git, and basic CI/CD practices for testing and deploying data models).
* Understanding of data modeling concepts (SCDs, star schemas, bridge tables).
* Strong communication skills and comfort collaborating across technical and non\-technical teams.
* Exposure to orchestration tools like **Airflow**.
* Familiarity with version control and collaborative development (Git, code review).
**Preferred:** Experience with **BigQuery**; familiarity with **education\-technology** contexts.
#### **OUR TECH STACK**
* **Warehouse:** BigQuery
* **Transformation:** dbt (open\-source)
* **BI / Semantic Layer:** Looker
* **Orchestration:** Airflow
* **Version Control:** GitHub
* **Collaboration:** Confluence, Jira, Slack
**PERKS AND BENEFITS**
We may be a non\-profit, but we reward our talented team extremely well! We offer:
* Competitive salaries
* Ample paid time off as needed – Your well\-being is a priority
* 8 pre\-scheduled Wellness Days in 2026 occurring on a Monday or a Friday for a 3\-day weekend boost
* Remote\-first culture \- that caters to your time zone, with open flexibility as needed, at times
* Generous parental leave
* An exceptional team that trusts you and gives you the freedom to do your best
* The chance to put your talents towards a deeply meaningful mission and the opportunity to work on high\-impact products that are already defining the future of education
* Opportunities to connect through affinity, ally, and social groups
* And we offer all those other typical benefits as well: 401(k) \+ 4% matching \&amp; comprehensive insurance, including medical, dental, vision, and life
At Khan Academy, we are committed to fair and equitable compensation practices, the well\-being of our employees, and our Khan community. This belief is why we have built out a robust Total Rewards package that includes competitive base salaries, and extensive benefits and perks to support physical, mental, and financial well\-being.
The compensation band for this role is $107,712 \- $121,176 USD annually for candidates based in the United States and $145,552 \- $163,746 CAD annually for candidates based in Canada.
The pay range for this position is a general guideline only. The salary offered will depend on internal pay equity and the candidate’s relevant skills, experience, qualifications, and job market data. Additional incentives are provided as part of the complete total rewards package, in addition to comprehensive medical and other benefits.
### 
### **MORE ABOUT US**
* Sal’s TED talk from 2011
* Sal’s TED talk from 2015
* Sal's TED talk from 2023
* Our team: http://www.khanacademy.org/about/the\-team
### **OUR COMPANY VALUES**
**Live \&amp; breathe learners**
We deeply understand and empathize with our users. We leverage user insights, research, and experience to build content, products, services, and experiences that our users trust and love. Our success is defined by the success of our learners and educators.
**Take a stand**
As a company, we have conviction in our aspirational point of view of how education will evolve. The work we do is in service to moving towards that point of view. However, we also listen, learn and flex in the face of new data, and commit to evolving this point of view as the industry and our users evolve.
**Embrace diverse perspectives**
We are a diverse community. We seek out and embrace a diversity of voices, perspectives, and life experiences, leading to stronger, more inclusive teams and better outcomes. As individuals, we are committed to bringing up tough topics and leaning into different points of view with curiosity. We actively listen, learn, and collaborate to gain a shared understanding. When a decision is made, we commit to moving forward as a united team.
**Work responsibly and sustainably**
We understand that achieving our audacious mission is a marathon, so we set realistic timelines and we focus on delivery that also links to the bigger picture. As a non\-profit, we are supported by the generosity of donors as well as strategic partners, and understand our responsibility to our finite resources. We spend every dollar as though it were our own. We are responsible for the impact we have on the world and to each other. We ensure our team and company stay healthy and financially sustainable.
**Bring out the joy**
We are committed to making learning a joyful process. This informs what we build for our users and the culture we co\-create with our teammates, partners and donors.
**Cultivate learning mindset**
We believe in the power of growth for learners and for ourselves. We constantly learn and teach to improve our offerings, ourselves, and our organization. We learn from our mistakes and aren’t afraid to fail. We don't let past failures or successes stop us from taking future bold action and achieving our goals.
**Deliver wow**
We insist on high standards and deliver delightful, effective end\-to\-end experiences that our users can rely on. We choose to focus on fewer things — each of which aligns to our ambitious vision — so we can deliver high\-quality experiences that accelerate positive measurable learning with our strategic partners.
*We are committed to equal employment opportunity regardless of race, color, ancestry, religion, sex, gender, gender identity or expression, national origin, sexual orientation, age, citizenship, marital status, disability, or Veteran status. We value diversity, equity, and inclusion, and we encourage candidates from historically underrepresented groups to apply.*  
*As part of this commitment, Khan Academy will ensure that persons with disabilities are provided reasonable accommodations for the hiring process. If reasonable accommodation is needed, please contact* *careers@khanacademy.org*</t>
        </is>
      </c>
    </row>
    <row r="65">
      <c r="A65" t="inlineStr">
        <is>
          <t>in-2e06c70720817880</t>
        </is>
      </c>
      <c r="B65" t="inlineStr">
        <is>
          <t>Data Engineer</t>
        </is>
      </c>
      <c r="C65" t="inlineStr">
        <is>
          <t>LP Building Solutions</t>
        </is>
      </c>
      <c r="D65" t="inlineStr">
        <is>
          <t>indeed</t>
        </is>
      </c>
      <c r="E65">
        <f>HYPERLINK("https://www.indeed.com/viewjob?jk=2e06c70720817880", "https://www.indeed.com/viewjob?jk=2e06c70720817880")</f>
        <v/>
      </c>
      <c r="F65">
        <f>HYPERLINK("https://jobs.lpcorp.com/job/Nashville-Data-Engineer-TN-37203/1342383900/?feedId=298900&amp;utm_source=Indeed&amp;utm_campaign=LouPac_Indeed", "https://jobs.lpcorp.com/job/Nashville-Data-Engineer-TN-37203/1342383900/?feedId=298900&amp;utm_source=Indeed&amp;utm_campaign=LouPac_Indeed")</f>
        <v/>
      </c>
      <c r="G65" t="inlineStr">
        <is>
          <t>Nashville, TN, US</t>
        </is>
      </c>
      <c r="H65" s="3" t="n">
        <v>46062</v>
      </c>
      <c r="I65" t="inlineStr">
        <is>
          <t>Louisiana\-Pacific Corporation (LP Building Solutions) is a leading provider of high\-performance building solutions that meet the demands of builders, remodelers, and homeowners worldwide. We manufacture engineered wood building products that include an extensive offering of innovative and dependable building materials and accessories. LP’s values\-driven culture creates an environment where talented and hardworking people thrive in an ethical, inclusive, challenging, and rewarding place to work. Since our founding in 1972, we’ve developed careers and provided advancement opportunities in the building products industry. Headquartered in Nashville, Tennessee, LP operates more than 20 facilities across North and South America. For more information, visit LPCorp.com.
**Job Purpose**
---------------
As a Data Engineer II, you will play a key leadership role in the Enterprise Data Engineering organization by architecting, building, and optimizing scalable data solutions that power advanced analytics and business intelligence. This position requires deep expertise in data engineering, cloud platforms, and modern data architectures. You will lead complex projects, mentor junior engineers, and ensure best practices in data governance, security, and performance across enterprise systems.  
You will also build strong relationships with business stakeholders, guiding them through requirements discovery and helping them articulate needs that translate into actionable technical solutions. Additionally, you will contribute to the development, documentation, and enforcement of data engineering standards in collaboration with the Data Engineering Lead, ensuring alignment with enterprise architecture and compliance frameworks.**In this position you will have the opportunity to:**
------------------------------------------------------
* Lead the design and architecture of advanced data solutions
* + Architect and implement data pipelines and frameworks using dbt, Snowflake, and cloud services (AWS, Azure) across medallion architecture layers (bronze, silver, gold).
	+ Define and enforce standards for data modeling, ETL/ELT processes, and pipeline orchestration under the guidance of the Data Engineering Lead.
* Own and optimize complex integrations
* + Design and manage integrations with enterprise systems (SAP, Salesforce, Manufacturing Efficiency Systems) and external data sources at scale.
	+ Optimize data ingestion for performance, reliability, and cost efficiency.
* Ensure data quality and governance across the enterprise
* + Implement automated data quality frameworks and monitoring solutions to ensure accuracy, consistency, and compliance.
	+ Drive adherence to governance, security, and audit requirements across all data assets.
* Collaborate, build relationships, and guide stakeholders
* + Develop trusted partnerships with business leaders, analysts, and technical teams to understand objectives and challenges.
	+ Facilitate requirements\-gathering sessions, asking the right questions to uncover critical details and ensure clarity.
	+ Act as a liaison between technical teams and business units, translating needs into scalable, well\-documented solutions.
* Develop, document, and enforce standards
* + Create and maintain guidelines for data modeling, pipeline design, and transformation logic.
	+ Ensure consistency and quality across all data assets by implementing coding standards, naming conventions, and documentation protocols.
	+ Provide feedback to improve practices and drive adoption of best practices within project teams.
* Innovate and drive continuous improvement
* + Evaluate emerging technologies and recommend improvements to data engineering practices.
	+ Champion automation and performance optimization initiatives across pipelines and workflows.
**What do I need to be successful?**
------------------------------------
* 4\+ years of data engineering experience with proven leadership in complex projects.
* Advanced proficiency in Python, SQL and transformation tools like dbt.
* Strong understanding of ETL processes, data modeling (including dimensional modeling), and medallion architecture.
* Expertise with cloud\-based services platforms (e.g., AWS, Azure) and modern data warehouses/lakehouses (e.g., Snowflake, Databricks).
* Hands\-on experience designing and implementing complex ETL/ELT workflows using tools like Azure Data Factory (ADF), AWS Glue, Informatica, or equivalent.
* Experience with database technologies (SQL, NoSQL, Oracle) and API development is highly preferred.
* Experience with integration into reporting platforms like Tableau and Power BI.
* Strong analytical and problem\-solving skills.
* Ability to lead technical discussions, mentor team members, and communicate effectively with stakeholders.
* Strong relationship\-building skills with the ability to influence and guide stakeholders through requirements discovery.
* Skilled at defining and championing standards that improve team efficiency and data reliability.
**Education**
-------------
* Bachelor’s or master’s degree in computer science, software or computer engineering or related field, or equivalent work experience.
**Work Environment**
--------------------
* This position will work at home and in our Nashville office on a hybrid schedule
* Must currently live within the Nashville area
\#LI\-HYBRID
LP offers competitive salaries and comprehensive benefits and programs including health and welfare benefits, 401(k) program, career mobility, tuition reimbursement, volunteer opportunities, profit sharing and more.</t>
        </is>
      </c>
    </row>
    <row r="66">
      <c r="A66" t="inlineStr">
        <is>
          <t>in-921d994f2487b050</t>
        </is>
      </c>
      <c r="B66" t="inlineStr">
        <is>
          <t>Data Engineer with Mongo DB-5</t>
        </is>
      </c>
      <c r="C66" t="inlineStr">
        <is>
          <t>Realign</t>
        </is>
      </c>
      <c r="D66" t="inlineStr">
        <is>
          <t>indeed</t>
        </is>
      </c>
      <c r="E66">
        <f>HYPERLINK("https://www.indeed.com/viewjob?jk=921d994f2487b050", "https://www.indeed.com/viewjob?jk=921d994f2487b050")</f>
        <v/>
      </c>
      <c r="F66">
        <f>HYPERLINK("https://realign-llc.com/careers/job-details/IT83049DA-5", "https://realign-llc.com/careers/job-details/IT83049DA-5")</f>
        <v/>
      </c>
      <c r="G66" t="inlineStr">
        <is>
          <t>Charlotte, NC, US</t>
        </is>
      </c>
      <c r="H66" s="3" t="n">
        <v>46062</v>
      </c>
      <c r="I66" t="inlineStr">
        <is>
          <t>Charlotte, North Carolina 28105 Posted February 10th,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67">
      <c r="A67" t="inlineStr">
        <is>
          <t>in-2ca63cfe1163d441</t>
        </is>
      </c>
      <c r="B67" t="inlineStr">
        <is>
          <t>Starburst Data Engineer-2</t>
        </is>
      </c>
      <c r="C67" t="inlineStr">
        <is>
          <t>Realign</t>
        </is>
      </c>
      <c r="D67" t="inlineStr">
        <is>
          <t>indeed</t>
        </is>
      </c>
      <c r="E67">
        <f>HYPERLINK("https://www.indeed.com/viewjob?jk=2ca63cfe1163d441", "https://www.indeed.com/viewjob?jk=2ca63cfe1163d441")</f>
        <v/>
      </c>
      <c r="F67">
        <f>HYPERLINK("https://realign-llc.com/careers/job-details/IT83119ST-2", "https://realign-llc.com/careers/job-details/IT83119ST-2")</f>
        <v/>
      </c>
      <c r="G67" t="inlineStr">
        <is>
          <t>Plano, TX, US</t>
        </is>
      </c>
      <c r="H67" s="3" t="n">
        <v>46062</v>
      </c>
      <c r="I67" t="inlineStr">
        <is>
          <t>Plano, Texas 75023 Posted February 10th,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68">
      <c r="A68" t="inlineStr">
        <is>
          <t>in-af87b58fe1d75cd9</t>
        </is>
      </c>
      <c r="B68" t="inlineStr">
        <is>
          <t>Network Data Engineer-5</t>
        </is>
      </c>
      <c r="C68" t="inlineStr">
        <is>
          <t>Realign</t>
        </is>
      </c>
      <c r="D68" t="inlineStr">
        <is>
          <t>indeed</t>
        </is>
      </c>
      <c r="E68">
        <f>HYPERLINK("https://www.indeed.com/viewjob?jk=af87b58fe1d75cd9", "https://www.indeed.com/viewjob?jk=af87b58fe1d75cd9")</f>
        <v/>
      </c>
      <c r="F68">
        <f>HYPERLINK("https://realign-llc.com/careers/job-details/IT83025NE-5", "https://realign-llc.com/careers/job-details/IT83025NE-5")</f>
        <v/>
      </c>
      <c r="G68" t="inlineStr">
        <is>
          <t>Phoenix, AZ, US</t>
        </is>
      </c>
      <c r="H68" s="3" t="n">
        <v>46062</v>
      </c>
      <c r="I68" t="inlineStr">
        <is>
          <t>Phoenix, Arizona 85001 Posted February 10th, 2026
 Looking for more job opportunities? Click here!
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69">
      <c r="A69" t="inlineStr">
        <is>
          <t>in-aa6204a764141b06</t>
        </is>
      </c>
      <c r="B69" t="inlineStr">
        <is>
          <t>Starburst Data Engineer-2</t>
        </is>
      </c>
      <c r="C69" t="inlineStr">
        <is>
          <t>Realign</t>
        </is>
      </c>
      <c r="D69" t="inlineStr">
        <is>
          <t>indeed</t>
        </is>
      </c>
      <c r="E69">
        <f>HYPERLINK("https://www.indeed.com/viewjob?jk=aa6204a764141b06", "https://www.indeed.com/viewjob?jk=aa6204a764141b06")</f>
        <v/>
      </c>
      <c r="F69">
        <f>HYPERLINK("https://realign-llc.com/careers/job-details/IT83118ST-2", "https://realign-llc.com/careers/job-details/IT83118ST-2")</f>
        <v/>
      </c>
      <c r="G69" t="inlineStr">
        <is>
          <t>Charlotte, NC, US</t>
        </is>
      </c>
      <c r="H69" s="3" t="n">
        <v>46062</v>
      </c>
      <c r="I69" t="inlineStr">
        <is>
          <t>Charlotte, North Carolina 28105 Posted February 10th,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70">
      <c r="A70" t="inlineStr">
        <is>
          <t>in-aac18c16885f23f8</t>
        </is>
      </c>
      <c r="B70" t="inlineStr">
        <is>
          <t>Network Data Engineer-5</t>
        </is>
      </c>
      <c r="C70" t="inlineStr">
        <is>
          <t>Realign</t>
        </is>
      </c>
      <c r="D70" t="inlineStr">
        <is>
          <t>indeed</t>
        </is>
      </c>
      <c r="E70">
        <f>HYPERLINK("https://www.indeed.com/viewjob?jk=aac18c16885f23f8", "https://www.indeed.com/viewjob?jk=aac18c16885f23f8")</f>
        <v/>
      </c>
      <c r="F70">
        <f>HYPERLINK("https://realign-llc.com/careers/job-details/IT83024NE-5", "https://realign-llc.com/careers/job-details/IT83024NE-5")</f>
        <v/>
      </c>
      <c r="G70" t="inlineStr">
        <is>
          <t>Raleigh, NC, US</t>
        </is>
      </c>
      <c r="H70" s="3" t="n">
        <v>46062</v>
      </c>
      <c r="I70" t="inlineStr">
        <is>
          <t>Raleigh, North Carolina 27513 Posted February 10th, 2026
 Looking for more job opportunities? Click here!
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71">
      <c r="A71" t="inlineStr">
        <is>
          <t>in-c5cdcb9a502a43d9</t>
        </is>
      </c>
      <c r="B71" t="inlineStr">
        <is>
          <t>Senior Azure Data Engineer with Fabric-5</t>
        </is>
      </c>
      <c r="C71" t="inlineStr">
        <is>
          <t>Realign</t>
        </is>
      </c>
      <c r="D71" t="inlineStr">
        <is>
          <t>indeed</t>
        </is>
      </c>
      <c r="E71">
        <f>HYPERLINK("https://www.indeed.com/viewjob?jk=c5cdcb9a502a43d9", "https://www.indeed.com/viewjob?jk=c5cdcb9a502a43d9")</f>
        <v/>
      </c>
      <c r="F71">
        <f>HYPERLINK("https://realign-llc.com/careers/job-details/IT83027SE-5", "https://realign-llc.com/careers/job-details/IT83027SE-5")</f>
        <v/>
      </c>
      <c r="G71" t="inlineStr">
        <is>
          <t>Newark, NJ, US</t>
        </is>
      </c>
      <c r="H71" s="3" t="n">
        <v>46062</v>
      </c>
      <c r="I71" t="inlineStr">
        <is>
          <t>Newark, New Jersey 07101 Posted February 10th, 2026
 Looking for more job opportunities? Click here!
Job Type: Full Time
Job Category: IT
Job Description
**Role :** Senior Azure Data Engineer with Fabric  
**Location:** Newark, NJ  
**FTE ONLY** **Job Description****Senior Azure Data Engineer with Microsoft Fabric Experience*** Minimum 10\+ years experience in modern data engineering/data warehousing/data lakes technologies on cloud platforms like Azure, Microsoft Fabric etc.
* Azure experience is preferred over other cloud platforms.
* Minimum 10 \+ years of proven experience with SQL, schema design and dimensional data modelling.
* Solid knowledge of data warehouse best practices, development standards and methodologies.
* Experience with ETL/ELT tools like ADF, Azure, MS Fabric etc., and data warehousing technologies like Azure Synapse, Azure SQL, ADLS etc.
* Strong experience with big data tools(Microsoft Fabric, Databricks , Spark etc..) and programming skills in PySpark and Spark SQL.
* Be an independent self\-learner with a let s get this done approach and ability to work in Fast paced and Dynamic environment.
* Knowledge in Microsoft Fabric Data Platform
* Expertise in designing application solution on Azure Data Platform for complex business needs.
* Serves as key technical expert engaged on designing, architecting, deploying and maintaining cloud solutions, Data Management \&amp; Analytics.
* Strong knowledge of ETL patterns for data ingestion, processing and distribution using pipelines on Azure cloud services. Leads technology proof of concepts to ensure feasibility of architecture solutions.
* Provides architecture direction for engineers in support of a technical pattern.
* Displays strong thought leadership in pursuit of modern data architecture principles and technology modernization.
* Drives continuous technology transformation to minimize technical debt. Continuously improve efficiency and effectiveness of the architecture
* Looks for opportunities to capitalize on technology advances through analysis of key industry and technology trends to assess potential impact on the enterprise. Participates in defining target state technology architecture and roadmaps.
* Ensures alignment of IT initiatives with the target state.
**Roles \&amp; Responsibilities**  
Build and maintain new and existing applications in preparation for a large\-scale architectural migration within an Agile function.* Align with the Product Owner and Scrum Master in assessing business needs and transforming them into scalable applications.
* Build and maintain code to manage data received from heterogenous data formats including web\- based sources, internal/external databases, flat files, heterogenous data formats (binary, ASCII).
* Help build new enterprise Datawarehouse and maintain the existing one.
* Design and support effective storage and retrieval of very large internal and external data set and be forward think about the convergence strategy with our Azure cloud migration
* Assess the impact of scaling up and scaling out and ensure sustained data management and data delivery performance.
Required Skills
DEVOPS ENGINEER
 SENIOR EMAIL SECURITY ENGINEER</t>
        </is>
      </c>
    </row>
    <row r="72">
      <c r="A72" t="inlineStr">
        <is>
          <t>in-4193bc740d1f5583</t>
        </is>
      </c>
      <c r="B72" t="inlineStr">
        <is>
          <t>Data Engineer with Mongo DB-5</t>
        </is>
      </c>
      <c r="C72" t="inlineStr">
        <is>
          <t>Realign</t>
        </is>
      </c>
      <c r="D72" t="inlineStr">
        <is>
          <t>indeed</t>
        </is>
      </c>
      <c r="E72">
        <f>HYPERLINK("https://www.indeed.com/viewjob?jk=4193bc740d1f5583", "https://www.indeed.com/viewjob?jk=4193bc740d1f5583")</f>
        <v/>
      </c>
      <c r="F72">
        <f>HYPERLINK("https://realign-llc.com/careers/job-details/IT83050DA-5", "https://realign-llc.com/careers/job-details/IT83050DA-5")</f>
        <v/>
      </c>
      <c r="G72" t="inlineStr">
        <is>
          <t>Plano, TX, US</t>
        </is>
      </c>
      <c r="H72" s="3" t="n">
        <v>46062</v>
      </c>
      <c r="I72" t="inlineStr">
        <is>
          <t>Plano, Texas 75023 Posted February 10th,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73">
      <c r="A73" t="inlineStr">
        <is>
          <t>in-572c926f8df72730</t>
        </is>
      </c>
      <c r="B73" t="inlineStr">
        <is>
          <t>Data Engineer</t>
        </is>
      </c>
      <c r="C73" t="inlineStr">
        <is>
          <t>City Wide Facility Solutions</t>
        </is>
      </c>
      <c r="D73" t="inlineStr">
        <is>
          <t>indeed</t>
        </is>
      </c>
      <c r="E73">
        <f>HYPERLINK("https://www.indeed.com/viewjob?jk=572c926f8df72730", "https://www.indeed.com/viewjob?jk=572c926f8df72730")</f>
        <v/>
      </c>
      <c r="F73">
        <f>HYPERLINK("https://apply.workable.com/j/F3C2688E70", "https://apply.workable.com/j/F3C2688E70")</f>
        <v/>
      </c>
      <c r="G73" t="inlineStr">
        <is>
          <t>Lenexa, KS, US</t>
        </is>
      </c>
      <c r="H73" s="3" t="n">
        <v>46062</v>
      </c>
      <c r="I73" t="inlineStr">
        <is>
          <t>City Wide Facility Solutions is seeking a **Data Engineer** to join our growing IT team! In this role, you’ll play a key part in designing, building, and maintaining our enterprise data environment—ensuring data flows seamlessly from our MS Dynamics applications to the Fabric Lakehouse. You’ll use your technical expertise and curiosity to transform complex data into meaningful insights that drive better business decisions.
### **What You’ll Do**
* Design, develop, and maintain scalable data environments to support reporting, analytics, and AI/ML initiatives.
* Build optimized data schemas that power intuitive reporting in Power BI and similar tools.
* Create and maintain ETL/ELT pipelines and notebooks to ingest, transform, and model data from multiple sources into our Fabric data platform.
* Monitor and improve data quality, performance, and reliability across systems.
* Collaborate with cross\-functional teams to ensure data structures align with business goals and analytical needs.
* Apply AI/ML techniques to enhance data accuracy and produce predictive insights.
* Support analysts and leadership by developing dashboards, visualizations, and ad hoc reports.
* Document data sources, transformations, and flows to ensure transparency and consistency.
* Research and recommend emerging tools and technology to improve data processes.
### **How You’ll Measure Success**
* **Data Availability:** Reports and dashboards consistently show accurate, complete, and timely data.
* **Reliability \&amp; Performance:** Data warehouse refreshes run successfully across all scheduled intervals with minimal issues.
* **Effectiveness:** Projects and ad hoc analyses are delivered on time and meet data accuracy expectations.
**Requirements**
* Bachelor’s degree in Computer Science, Data Science/Analytics, Economics, or a related field.
* 5\+ years of experience in data analytics, engineering, or warehouse management.
* Strong experience with Fabric Lakehouse, SQL Server Management Studio, Azure SQL, SSIS (or similar ETL tools), and Windows environments.
* Solid understanding of ELT/ETL development and data modeling best practices.
* Proven ability to analyze large datasets and translate findings into actionable insights.
* Excellent communication and teamwork skills, with a proactive approach to problem\-solving.
**\*\*\*\*\* Candidate must be located in the Kansas City Metropolitan area, and no relocation offered at this time. \*\*\*\***
**Benefits**
City Wide offers a competitive salary, In addition, we offer a comprehensive benefits package to include medical, dental, vision and PTO.
More on City Wide...
City Wide Facility Solutions is the largest management company in the building maintenance industry and services Kansas City\-based businesses. We have over 60 years of business and continue to experience healthy business growth across our communities. Our culture supports the company’s Mission: to create a Ripple Effect by positively impacting the people and communities they serve. Learn more at
City Wide is an Equal Opportunity Employer</t>
        </is>
      </c>
    </row>
    <row r="74">
      <c r="A74" t="inlineStr">
        <is>
          <t>in-a54f9a07eb3616d0</t>
        </is>
      </c>
      <c r="B74" t="inlineStr">
        <is>
          <t>Data Engineer</t>
        </is>
      </c>
      <c r="C74" t="inlineStr">
        <is>
          <t>Fairlife, LLC</t>
        </is>
      </c>
      <c r="D74" t="inlineStr">
        <is>
          <t>indeed</t>
        </is>
      </c>
      <c r="E74">
        <f>HYPERLINK("https://www.indeed.com/viewjob?jk=a54f9a07eb3616d0", "https://www.indeed.com/viewjob?jk=a54f9a07eb3616d0")</f>
        <v/>
      </c>
      <c r="F74">
        <f>HYPERLINK("https://grnh.se/9wxejxol7us", "https://grnh.se/9wxejxol7us")</f>
        <v/>
      </c>
      <c r="G74" t="inlineStr">
        <is>
          <t>Chicago, IL, US</t>
        </is>
      </c>
      <c r="H74" s="3" t="n">
        <v>46062</v>
      </c>
      <c r="I74" t="inlineStr">
        <is>
          <t>fairlife, LLC is a Chicago\-based nutrition company that creates great\-tasting, nutrition\-rich and dairy products to nourish consumers.
With over $3B in annual retail sales, fairlife's portfolio of delicious, lactose\-free, real dairy products includes: **fairlife® ultra\-filtered milk**; **Core Power®** High Protein Shakes, a sports nutrition drink to support post\-workout recovery; **fairlife® nutrition plan™**, a nutrition shake to support the journey to better health.
A wholly owned subsidiary of The Coca\-Cola company, fairlife, LLC has been recognized by both Fast Company and Nielsen for its industry leading innovation.
To learn more about fairlife and its complete line of products, please visit fairlife.com.
**job purpose**: The Data Engineer will play a key role in delivering fairlife's ambition of building a best\-in\-class Decision Intelligence (DI) ecosystem. This role will support the digital transformation of our enterprise and manufacturing operations, translating technical requirements into targeted solutions that fit into fairlife's broader data framework, roadmap and architecture. This role will also support AI engineering initiatives that drive operational excellence and automated decision\-making across the organization.
**responsibilities:**
* Design, implement, and operationalize pipelines to support the data lifecycle of our factory IoT and enterprise use cases
* Support the development and delivery of function\-specific data models in Microsoft Fabric that enable a self\-service analytics culture across the enterprise
* Support development and maintenance of resources supporting our factory IoT streaming pipeline, mainly in our Ignition and Azure environments
* Partner with manufacturing \&amp; enterprise stakeholders to ensure data validity \&amp; adoption
* Champion data engineering best practices within the Fabric analytics layer, including Spark optimization, compute trade\-offs, and efficient API and file integrations
* Work closely with 3rd party data architects and internal data team to develop a deep understanding of our existing data ecosystem
* Provide training and support the technical development of fellow team members
**skills/qualifications required:**
* Bachelor's degree in data/computer science, an engineering discipline, or related
* Internship or work experience on an enterprise data team
* Proficiency in SQL
* Proficiency in Kusto query language (KQL)
* Proficiency in at least one object\-oriented language (Python, Java, C\#, etc.)
* Experience with Git or other source control
* Experience with telemetry or time\-series data sources
* Experience with any cloud framework (Azure, AWS, GCP, etc.)
* Familiar with data streaming/integration tools (message brokers, REST APIs, GraphQL, etc.)
* Detailed oriented self\-starter, with a growth mindset and a passion for data
* Ability to handle ambiguity and work in a fast paced, entrepreneurial environment
**position location:** Chicago, IL
**reports to**: Director, Data Engineering
**travel requirements:** 10\-20%
**exempt/nonexempt:** Exempt
\#LI\-Hybrid \#LI\-BB1
*fairlife, LLC is an equal opportunity employer. We do not discriminate on the basis of* *race, color, religion, age, sex, national origin, disability status, genetics, protected veteran status, sexual orientation, gender identity or expression, or any other characteristic protected by federal, state or local laws. All qualified applicants and employees will be given equal opportunity. Selection decisions are based on job\-related factors.*
*In addition to its nondiscrimination commitment, the Company will also provide reasonable accommodation of qualified individuals with known disabilities unless doing so would impose an undue hardship on the Company. If you have a disability and would like to request accommodation in order to apply for a position with us, please email* *careers@fairlife.com*.
***For Recruitment Agencies***  
*At fairlife, we manage the majority of our hiring internally through our dedicated Talent Acquisition team, which is actively engaged in direct candidate sourcing. Most of our roles are filled through applications submitted via our careers site or through direct outreach by our team.*
*As our recruitment is primarily handled in\-house, we work only occasionally with external agencies, and only those on our existing, pre\-approved vendor list. At this time, we are not reviewing or expanding that list.*
***Unsolicited resumes or submissions from external agencies not authorized by our Talent Acquisition team will be considered direct candidate applications. As such, fairlife will not assume responsibility for any placement fees associated with these submissions.***</t>
        </is>
      </c>
    </row>
    <row r="75">
      <c r="A75" t="inlineStr">
        <is>
          <t>in-a3a8b601535da6e6</t>
        </is>
      </c>
      <c r="B75" t="inlineStr">
        <is>
          <t>Senior Data Management Professional - Data Engineer - Company Financial Market Data</t>
        </is>
      </c>
      <c r="C75" t="inlineStr">
        <is>
          <t>Bloomberg</t>
        </is>
      </c>
      <c r="D75" t="inlineStr">
        <is>
          <t>indeed</t>
        </is>
      </c>
      <c r="E75">
        <f>HYPERLINK("https://www.indeed.com/viewjob?jk=a3a8b601535da6e6", "https://www.indeed.com/viewjob?jk=a3a8b601535da6e6")</f>
        <v/>
      </c>
      <c r="F75">
        <f>HYPERLINK("https://click.appcast.io/t/-mfhS9NFhGUT-ZkzAcXRG-zY5zSA-KsSxSoB474gNx4=", "https://click.appcast.io/t/-mfhS9NFhGUT-ZkzAcXRG-zY5zSA-KsSxSoB474gNx4=")</f>
        <v/>
      </c>
      <c r="G75" t="inlineStr">
        <is>
          <t>Montgomery, NJ, US</t>
        </is>
      </c>
      <c r="H75" s="3" t="n">
        <v>46062</v>
      </c>
      <c r="I75" t="inlineStr">
        <is>
          <t>Senior Data Management Professional \- Data Engineer \- Company Financial Market Data
Location
Skillman
Business Area
Data
Ref \#
10048980
**Description \&amp; Requirements**
-------------------------------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identify innovative workflow efficiencies, and we implement technology solutions to enhance our systems, products and processes.
Our Team:
The Company Financials team provides our clients with fast and accurate market\-moving data so they can stay on top of their game: broker estimates, financial filings, and any other dataset that is useful to understand financial performance in the markets. Our products run on intelligence and industry\-specific insights provided by the industry teams. We combine financial modeling, industry expertise, data management, and technical skills to curate critical metrics and drive insights from our data. We are dedicated to crafting a best\-in\-class financial analysis and modeling product while constantly looking to enhance and expand our existing offering through a deep understanding of the markets we operate in, the sectors we cover, and our clients current and future needs.  
What's the role?
The Company Financials Markets team is looking for a Senior Data Management Professional who can combine deep subject matter expertise and advanced technical skills to own and develop data\-driven strategies and workflows around exchanges and 3rd party data providers. You are expected to take advantage of these knowledge and skills to drive workflow strategies, deliver best\-in\-class user and technical workflows and better incorporate humans in the automation pipelines that eventually help shape and build fit\-for\-purpose Company Financials products. Coupled with good communication and stakeholder management skills, you will also be working very closely with partners across PD\&amp;T, including Product Managers, Engineering teams as well as other Company Financials Industries and Cross\-function teams to meet the needs of our external and internal clients.
We'll trust you to:
* Develop data\-driven strategies, balancing the best of Technical, Product, Financial and Market knowledge, and work with our engineering and product departments to craft solutions
* Own the reliable and efficient workflows around the exchanges and 3rd party data providers such as document acquisition and
structured/unstructured contents processing, utilizing programming, machine learning and/or human\-in\-the\-loop approaches.  
* Analyze workflows to identify critical observability checkpoints to ensure delivery of the
fit\-for\-purpose data on market basis; design and build efficient, maintainable and scalable solutions to facilitate monitoring, reporting and alerting across markets.  
* Analyze market specific workstreams to identify opportunities for improvement and/or consolidation by leveraging technical knowledge of Bloomberg's proprietary or open\-source stacks.
* Communicate and collaborate across team members and complementary teams including Engineering, Product, and Bloomberg Intelligence
* Develop interconnected data models that enable analysis across datasets and develop statistical analysis.
You'll need to have:
* Minimum 3\+ years of experience in the
financial/fintech services industry, including exchanges, market data providers or financial technology institutions, and/or a data engineering role or related fields such data quality, data modeling, or data architecture  
* Demonstrated experience working with Python in development or production environment
* Experience implementing high volume, low\-latency ETL pipelines and proven track record of managing data lifecycle
* Familiarity with various databases, schemas, modeling, as well as structured and unstructured formats (PDF, HTML, XBRL, JSON, CSV etc.)
* Strong project management skills and ability to prioritize and adapt to tasks accordingly with a customer focused mentality
* Powerful collaboration skills to work across departments and regions, excellent written and verbal communication skills
* Demonstrated continuous career growth within an organization
* Excellent written and verbal communication skills
We would love to see:  
* Advanced degree/Master’s degree in a Finance or STEM subject and/or CFA designation (or working towards it)
* Experience in Bloomberg Company Financials products especially with specific
market/exchange, Bloomberg Terminal fluency, and/or Bloomberg Data Workflows  
* Familiarity with use cases of advanced statistical methods such as Machine Learning, Artificial Intelligence, and Natural language Processing
* Experience designing optimal database structures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76">
      <c r="A76" t="inlineStr">
        <is>
          <t>in-9a28c7a6de84fae3</t>
        </is>
      </c>
      <c r="B76" t="inlineStr">
        <is>
          <t>Data Analytics Engineer Level 5</t>
        </is>
      </c>
      <c r="C76" t="inlineStr">
        <is>
          <t>Northrop Grumman</t>
        </is>
      </c>
      <c r="D76" t="inlineStr">
        <is>
          <t>indeed</t>
        </is>
      </c>
      <c r="E76">
        <f>HYPERLINK("https://www.indeed.com/viewjob?jk=9a28c7a6de84fae3", "https://www.indeed.com/viewjob?jk=9a28c7a6de84fae3")</f>
        <v/>
      </c>
      <c r="F76">
        <f>HYPERLINK("https://jsv3.recruitics.com/redirect?rx_cid=3658&amp;rx_jobId=R10222195&amp;rx_url=https%3A%2F%2Fjobs.northropgrumman.com%2Fcareers%2Fjob%2F1340069894234%3Fcode%3DJB-17946%26domain%3Dngc.com%26rx_a%3D0%26rx_c%3D%26rx_ch%3Djobp4p%26rx_group%3D288254%26rx_id%3D1d6c800b-067b-11f1-847b-9d8af191712a%26rx_job%3DR10222195%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10222195&amp;rx_url=https%3A%2F%2Fjobs.northropgrumman.com%2Fcareers%2Fjob%2F1340069894234%3Fcode%3DJB-17946%26domain%3Dngc.com%26rx_a%3D0%26rx_c%3D%26rx_ch%3Djobp4p%26rx_group%3D288254%26rx_id%3D1d6c800b-067b-11f1-847b-9d8af191712a%26rx_job%3DR10222195%26rx_medium%3Dcpc%26rx_r%3Dnone%26rx_source%3Dindeed%26rx_ts%3D20260210T200606Z%26rx_vp%3Dcpc%26source%3DJB-17946%26utm_audience%3Dprospectivetalentemployees%26utm_campaign%3Dta-general%26utm_content%3Djobfeed%26utm_format%3Dcpl%26utm_medium%3Djobboard%26utm_source%3Dindeed")</f>
        <v/>
      </c>
      <c r="G76" t="inlineStr">
        <is>
          <t>Sunnyvale, CA, US</t>
        </is>
      </c>
      <c r="H76" s="3" t="n">
        <v>46060</v>
      </c>
      <c r="I76"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Northrop Grumman Mission Systems is seeking a **Data Analytics Engineer Level 5** to support the development and ongoing support of world\-class US Navy machinery (turbines, generators, motors, and other system components based out of **Sunnyvale, CA**. In this role, you will leverage data to drive decision\-making within engineering, and production processes. Your work will involve analyzing complex data sets, developing insights to improve manufacturing efficiency and quality, and collaborating with cross\-functional teams to enhance production and design capabilities. If you are passionate about using data to improve manufacturing processes and enhance engineering outcomes, join our team and contribute to critical national defense projects.
**What You’ll get to Do:**
* Use classical analysis techniques to establish an understanding of machinery acoustic performance and resolve issues.
* Develop a variety of component and system level predictive / simulation models.
* Perform modal, vibration, modal, direct frequency response, and sound transmission analyses to predict performance and resolve issues.
* Gather data from tests, and analyze the results.
* Correlate model predictions to test data to validate the approach / model.
* Work closely with cross\-function internal and customer teams.
* Prepare technical reports and presentations summarizing findings and recommendations for internal and external stakeholders.
**Basic Qualifications for Data Analytics Engineer level 5:**
* Bachelor’s Degree in STEM (Science, Technology, Engineering or Math) discipline with 12 years relevant work experience; or Master’s Degree in STEM (Science, Technology, Engineering or Math) discipline with 10 years relevant work experience; or Ph.D in STEM (Science, Technology, Engineering or Math) with 7 years of relevant work experience.
* Experience with simulation software tools: Hypermesh, Nastran, Abaqus, MATLAB (or similar)
* Must be a US citizen.
* Ability to obtain and maintain a Secret Clearance.
**Preferred Qualifications:**
* Experience in developing system\-level finite element models.
* Experience in performing a classical and finite element analysis solution types.
* Experience collecting and analyzing large data sets.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li-4370956380</t>
        </is>
      </c>
      <c r="B2" t="inlineStr">
        <is>
          <t>Data Engineer</t>
        </is>
      </c>
      <c r="C2" t="inlineStr">
        <is>
          <t>Stuut</t>
        </is>
      </c>
      <c r="D2" t="inlineStr">
        <is>
          <t>linkedin</t>
        </is>
      </c>
      <c r="E2" t="inlineStr"/>
      <c r="F2" t="inlineStr"/>
      <c r="G2" t="inlineStr">
        <is>
          <t>New York, NY</t>
        </is>
      </c>
      <c r="H2" t="inlineStr"/>
      <c r="I2" t="inlineStr">
        <is>
          <t>Stuut is transforming accounts receivable for B2B companies—making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
**The Role**
 We are hiring a Data Engineer to build the data foundation that powers Stuut's intelligence layer. You'll work closely with our product and engineering teams to transform raw financial data into actionable insights that help our customers get paid faster. This is a foundational role, you'll be our first data hire, which means you'll shape everything from our data architecture to how we think about analytics.
 This is a high\-impact role for someone who can think strategically about data infrastructure while rolling up their sleeves to build pipelines, models, and systems from scratch. You'll translate messy data into clean, reliable datasets that drive product decisions, customer insights, and business growth. If you've ever wanted to own the entire data stack at a fast\-growing company, this is it.
**What You’ll Do**
* Build and own our data infrastructure from the ground up, design pipelines that ingest, transform, and model data from customer ERPs, payment processors, and internal systems
* Partner with product and engineering to embed data quality and observability into everything we ship
* Create the analytics foundation that helps our customers understand payment patterns, collection trends, and cash flow predictions
* Implement DataOps best practices to ensure our data is timely, accurate, and trusted across the organization
* Collaborate with leadership to define KPIs, build dashboards, and surface insights that drive strategic decisions
* Scale our data platform as we grow from dozens to hundreds of customers, anticipating needs before they become bottlenecks
**You Might Be a Fit If You…**
* Have 3\+ years of hands\-on experience building production data pipelines using Python
* Know your way around SQL and modern data warehouses; bonus if you've worked with Snowflake, BigQuery, or Redshift
* Have experience implementing ETL/ELT workflows at scale using tools like Airflow, dbt, or similar
* Understand data modeling fundamentals and can design schemas that balance performance with flexibility
* Have worked with messy, real\-world data from SaaS APIs, databases, or third\-party integrations
* Thrive in ambiguity and get energized by building something new rather than inheriting someone else's stack
* Care deeply about data quality and believe that great analytics start with great infrastructure
* Have experience (or strong interest) in fintech, B2B SaaS, or financial data, understanding AR/AP workflows is a big plus
**Compensation**
* Top\-of\-market salary and equity package
* Benefits (for U.S.\-based full\-time employees)
* Medical, dental \&amp; vision insurance coverage for you
* 401(k) \&amp; Match
* Equity
* Flexible PTO
* Parental Leave</t>
        </is>
      </c>
    </row>
    <row r="3">
      <c r="A3" t="inlineStr">
        <is>
          <t>li-4370955377</t>
        </is>
      </c>
      <c r="B3" t="inlineStr">
        <is>
          <t>Data Engineer</t>
        </is>
      </c>
      <c r="C3" t="inlineStr">
        <is>
          <t>Stuut</t>
        </is>
      </c>
      <c r="D3" t="inlineStr">
        <is>
          <t>linkedin</t>
        </is>
      </c>
      <c r="E3" t="inlineStr"/>
      <c r="F3" t="inlineStr"/>
      <c r="G3" t="inlineStr">
        <is>
          <t>San Francisco, CA</t>
        </is>
      </c>
      <c r="H3" t="inlineStr"/>
      <c r="I3" t="inlineStr">
        <is>
          <t>Stuut is transforming accounts receivable for B2B companies—making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
**The Role**
 We are hiring a Data Engineer to build the data foundation that powers Stuut's intelligence layer. You'll work closely with our product and engineering teams to transform raw financial data into actionable insights that help our customers get paid faster. This is a foundational role, you'll be our first data hire, which means you'll shape everything from our data architecture to how we think about analytics.
 This is a high\-impact role for someone who can think strategically about data infrastructure while rolling up their sleeves to build pipelines, models, and systems from scratch. You'll translate messy data into clean, reliable datasets that drive product decisions, customer insights, and business growth. If you've ever wanted to own the entire data stack at a fast\-growing company, this is it.
**What You’ll Do**
* Build and own our data infrastructure from the ground up, design pipelines that ingest, transform, and model data from customer ERPs, payment processors, and internal systems
* Partner with product and engineering to embed data quality and observability into everything we ship
* Create the analytics foundation that helps our customers understand payment patterns, collection trends, and cash flow predictions
* Implement DataOps best practices to ensure our data is timely, accurate, and trusted across the organization
* Collaborate with leadership to define KPIs, build dashboards, and surface insights that drive strategic decisions
* Scale our data platform as we grow from dozens to hundreds of customers, anticipating needs before they become bottlenecks
**You Might Be a Fit If You…**
* Have 3\+ years of hands\-on experience building production data pipelines using Python
* Know your way around SQL and modern data warehouses; bonus if you've worked with Snowflake, BigQuery, or Redshift
* Have experience implementing ETL/ELT workflows at scale using tools like Airflow, dbt, or similar
* Understand data modeling fundamentals and can design schemas that balance performance with flexibility
* Have worked with messy, real\-world data from SaaS APIs, databases, or third\-party integrations
* Thrive in ambiguity and get energized by building something new rather than inheriting someone else's stack
* Care deeply about data quality and believe that great analytics start with great infrastructure
* Have experience (or strong interest) in fintech, B2B SaaS, or financial data, understanding AR/AP workflows is a big plus
**Compensation**
* Top\-of\-market salary and equity package
* Benefits (for U.S.\-based full\-time employees)
* Medical, dental \&amp; vision insurance coverage for you
* 401(k) \&amp; Match
* Equity
* Flexible PTO
* Parental Leave</t>
        </is>
      </c>
    </row>
    <row r="4">
      <c r="A4" t="inlineStr">
        <is>
          <t>li-4278672717</t>
        </is>
      </c>
      <c r="B4" t="inlineStr">
        <is>
          <t>Senior Analytics Engineer</t>
        </is>
      </c>
      <c r="C4" t="inlineStr">
        <is>
          <t>StubHub</t>
        </is>
      </c>
      <c r="D4" t="inlineStr">
        <is>
          <t>linkedin</t>
        </is>
      </c>
      <c r="E4" t="inlineStr"/>
      <c r="F4" t="inlineStr"/>
      <c r="G4" t="inlineStr">
        <is>
          <t>New York, NY</t>
        </is>
      </c>
      <c r="H4" t="inlineStr"/>
      <c r="I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rebuilding our data foundation from the ground up \- and we’re looking for a Senior Analytics Engineer who thrives at the intersection of data infrastructure, business context, and cross\-functional collaboration. If you're excited by the idea of owning foundational systems that will power pricing, personalization, experimentation, and more—this role is for you.
*Location: Hybrid (3 days in office/2 days remote) – New York, NY or Century City, CA*
**About The Team**
 As a
 **Senior Analytics Engineer** 
 at StubHub, you’ll be a force multiplier for the entire company. You’ll build scalable data products and frameworks that empower analysts, data scientists, and business leaders to make better, faster decisions. You'll bring order to chaos, anticipate data needs before they arise, and partner with stakeholders across engineering, product, and business teams to help us unlock the full value of our data.
**What You'll Do**
* Own the development of cross\-functional data models, core business metrics, and self\-service dashboards/tools.
* Build, document, and maintain robust data pipelines using tools like dbt, Airflow, Snowflake, BigQuery, or Databricks.
* Anticipate and solve common data access patterns across product, marketing, finance, and operations teams.
* Partner closely with data scientists, analysts, and software engineers—often serving as the bridge between product needs and data infrastructure.
* Define and scale analytical frameworks that support experimentation, decision\-making, and business health monitoring.
* Act as a domain expert in one or more business areas (e.g., pricing, supply, demand, user growth), becoming a go\-to thought partner for leadership.
* Support real\-time and batch data workflows, data governance practices, and metadata/catalog tooling.
**What You've Done**
* 5 \- 10 years of experience in analytics engineering, data engineering, or business intelligence in a fast\-paced, high\-growth environment.
* Expert SQL skills and strong proficiency in Python (or another programming language like Java).
* Hands\-on experience building data pipelines and models with tools like dbt, Airflow, and Snowflake (or equivalent).
* Experience with BI tools such as Looker, Tableau, or Mode, and a strong understanding of enabling self\-serve analytics.
* Familiarity with both batch and streaming data processing patterns.
* An ability to translate messy, real\-world business problems into elegant, scalable data systems.
* A collaborative mindset with a passion for partnering with non\-technical stakeholders to unlock insights and drive impact.
* Familiarity with data governance, observability, and metadata management tools is a plus.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5">
      <c r="A5" t="inlineStr">
        <is>
          <t>li-4361848870</t>
        </is>
      </c>
      <c r="B5" t="inlineStr">
        <is>
          <t>Data Engineer</t>
        </is>
      </c>
      <c r="C5" t="inlineStr">
        <is>
          <t>Janus Henderson Investors</t>
        </is>
      </c>
      <c r="D5" t="inlineStr">
        <is>
          <t>linkedin</t>
        </is>
      </c>
      <c r="E5" t="inlineStr"/>
      <c r="F5" t="inlineStr"/>
      <c r="G5" t="inlineStr">
        <is>
          <t>Denver, CO</t>
        </is>
      </c>
      <c r="H5" t="inlineStr"/>
      <c r="I5" t="inlineStr">
        <is>
          <t>Why work for us?
 A career at Janus Henderson is more than a job, it’s about investing in a brighter future together .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Data Engineer, you will build and maintain reliable data pipelines and solutions on the Janus Henderson Data Platform. You will work closely with team members and stakeholders to ensure data quality and support critical business processes.
* Develop and maintain scalable data pipelines using Snowflake, Databricks, and supporting technologies.
* Collaborate with engineers and business stakeholders to deliver integrated data solutions.
* Optimise queries and storage for performance and cost efficiency.
* Apply CI/CD and observability practices to improve reliability and performance.
* Ensure data security and compliance with governance standards.
* Support production systems, troubleshoot incidents, and assist with root cause analysis.
* Carry out other duties as assigned.
 What to expect when you join our firm
* Hybrid working and reasonable accommodations
* Generous Holiday policies
* Paid volunteer time to step away from your desk and into the community
* Support to grow through professional development courses, tuition/qualification reimbursement and more
* Maternal/paternal leave benefits and family services
* Complimentary subscription to Headspace – the mindfulness app
* Corporate membership to ClassPass and other health and well\-being benefits
* Unique employee events and programs including a 14er challenge
* Complimentary beverages, snacks and all employee Happy Hours
 Must have skills
* Hands\-on experience in data engineering and pipeline development using Snowflake and/or Databricks.
* Proficiency in SQL for data manipulation and optimisation on cloud\-based platforms.
* Strong Python skills for data processing and automation.
* Basic understanding of DevOps principles and CI/CD practices.
* Familiarity with job orchestration tools (e.g., Airflow, Autosys).
* Good communication and problem\-solving skills.
 Nice to have skills
* Certifications in Snowflake or Databricks.
* Experience with dbt Core/Cloud for transformation and testing.
* Awareness of Data Mesh principles.
* Exposure to Microsoft Azure services (e.g., Azure Data Factory, Azure Key Vault, Azure DevOps).
* Knowledge of data governance frameworks and lineage tools.
 Supervisory responsibilities
* No
 Potential for growth
* Mentoring
* Leadership development programs
* Regular training
* Career development services
* Continuing education courses
 Compensation information
 The base salary range for this position is $90,000\-$115,000\. This range is estimated for this role. Actual pay may be different. This position will be open through the end of March 2026\.
**Colorado law requires an estimated closing date for job postings. Please don't be discouraged from applying if you see this date has passed.**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row>
    <row r="6">
      <c r="A6" t="inlineStr">
        <is>
          <t>li-4346594760</t>
        </is>
      </c>
      <c r="B6" t="inlineStr">
        <is>
          <t>Data Engineer</t>
        </is>
      </c>
      <c r="C6" t="inlineStr">
        <is>
          <t>Elder Research</t>
        </is>
      </c>
      <c r="D6" t="inlineStr">
        <is>
          <t>linkedin</t>
        </is>
      </c>
      <c r="E6" t="inlineStr"/>
      <c r="F6" t="inlineStr"/>
      <c r="G6" t="inlineStr">
        <is>
          <t>Raleigh, NC</t>
        </is>
      </c>
      <c r="H6" t="inlineStr"/>
      <c r="I6" t="inlineStr">
        <is>
          <t>**Job Title: Data Engineer**
**Location(s): Raleigh, NC OR Charlottesville, VA**
**Workplace: Hybrid \- Due to in\-office requirements, candidates must be local to either Raleigh, NC or Charlottesville, VA. Relocation assistance is not available**
**Clearance Required: Not required, BUT YOU MUST BE ELIGIBLE FOR A CLEARANCE**
**Position Overview**
 Elder Research, Inc. (ERI) is seeking to hire a Data Engineer with strong engineering skills who will provide technical support across multiple project teams by leading, designing, and implementing the software and data architectures necessary to deliver analytics to our clients, as well as providing consulting and training support to client teams in the areas of architecture, data engineering, ML engineering and/or related areas. The ideal candidate will have a strong command of
 **Python** 
 for data analysis and engineering tasks, a demonstrated ability to create reports and visualizations using tools like
 **R, Python, SQL, or Power BI** 
 , and deep expertise in
 **Microsoft Azure environments** 
 . The candidate will play a key role in collaborating with cross\-functional teams, including software developers, cloud engineers, architects, business leaders, and power users, to deliver innovative data solutions to our clients.
 This role requires a
 **consultative mindset** 
 , excellent communication skills, and a thorough understanding of the
 **Software Development Life Cycle (SDLC)** 
 . Candidates should have 5\-8 years of relevant experience and experience in client\-facing or consultative roles.
 **The role will be based out of Raleigh NC or Charlottesville VA and will require 2\-4 days of Business Travel to our customer site every 6 weeks.**
**Key Responsibilities**
**Data Engineering \&amp; Analysis:**
* Develop, optimize, and maintain scalable data pipelines and systems in Azure environments.
* Analyze large, complex datasets to extract insights and support business decision\-making.
* Create detailed and visually appealing reports and dashboards using R, Python, SQL, and Power BI.
**Collaboration \&amp; Consulting**
* Work closely with software developers, cloud engineers, architects, business leaders, and power users to understand requirements and deliver tailored solutions.
* Act as a subject\-matter expert in data engineering and provide guidance on best practices.
* Translate complex technical concepts into actionable business insights for stakeholders.
**Azure Expertise**
* Leverage Azure services such as Azure Data Factory, Azure Synapse Analytics, Azure Databricks, Azure SQL Database, and Azure Blob Storage for data solutions.
* Ensure data architecture is aligned with industry standards and optimized for performance in cloud environments.
**SDLC Proficiency**
* Follow and advocate for SDLC best practices in data engineering projects.
* Collaborate with software development teams to ensure seamless integration of data solutions into applications.
**Required Qualifications**
* Experience: 5\-8 years in data engineering, analytics, or related fields, with a focus on Azure environments.
* Education: Bachelors degree in Computer Science, Data Science, Engineering, or a related field (Master’s degree preferred).
**Technical Skills**
* Programming: Advanced expertise in Python; experience with R is a plus.
* Data Tools: Proficient in SQL, Power BI, and Azure\-native data tools.
* Azure Knowledge: Strong understanding of Azure services, including data integration, storage, and analytics solutions.
* SDLC Knowledge: Proven track record of delivering data solutions following SDLC methodologies.
* Consultative Skills: Strong client\-facing experience with excellent communication and presentation abilities.
* Due to Customer requirements Candidates must be US Citizens or Permanent Residents of the United States of America.
**Preferred Skills And Qualifications**
* Certifications in Azure (e.g., Azure Data Engineer, Azure Solutions Architect).
* Familiarity with Azure Functions, Event Grid, and Logic Apps.
* Hands\-on experience with machine learning frameworks and big data processing tools (e.g., Spark, Hadoop).
* Familiarity with CI/CD pipelines and DevOps practices for data engineering workflows.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7">
      <c r="A7" t="inlineStr">
        <is>
          <t>li-4370951595</t>
        </is>
      </c>
      <c r="B7" t="inlineStr">
        <is>
          <t>Senior Data Engineer</t>
        </is>
      </c>
      <c r="C7" t="inlineStr">
        <is>
          <t>Mytra</t>
        </is>
      </c>
      <c r="D7" t="inlineStr">
        <is>
          <t>linkedin</t>
        </is>
      </c>
      <c r="E7" t="inlineStr"/>
      <c r="F7" t="inlineStr"/>
      <c r="G7" t="inlineStr"/>
      <c r="H7" t="inlineStr"/>
      <c r="I7" t="inlineStr">
        <is>
          <t>**About Mytra**
 We’re creating an entirely new way to solve the most ubiquitous problem in industry \- moving and storing material. We’re applying robotics and distributed software to create a new class of product for this $1T market. We’re focused on the supply chain industry first. The industry is in a massive bind with the continued growth of e\-commerce, sharp rise in costs, and supply chain disruptions. What has been a “sleepy” industry for decades is now at the epicenter of sustaining the global economy.
**About The Role**
 Mytra is looking for a Senior Data Engineer to continually improve the business through scientific and data\-driven insights.
 As a Senior Data Engineer you’ll develop and evolve our data pipeline, collaborate with internal stakeholders to define and measure key metrics, and develop data models. You’ll get the opportunity to have significant ownership of the data infrastructure that empowers internal teams to make key decisions.
****Example Projects****
* Work with stakeholders to define and align on key metrics
* Architect and implement the next generation data pipeline
* Collaborate with cross\-functional partners in software, product and hardware engineering to capture data in line with company goals
 The Ideal Candidate
* You’re very comfortable with best\-in\-class data tooling like Prometheus, Grafana (not an exhaustive list) and have experience with ETL Processes.
* Uncertainty isn’t scary, and you’re willing to realize mistakes and pivot.
* You’re familiar with Observability.
* You can convey complex ideas and technical concepts to a diverse audience.
* Openness, inquisitiveness, and constant ambition are important values.
* You enjoy collaborative working and taking time to help others.
* You seek and value ownership, accountability and taking on responsibility
**A Final Note**
 You’re encouraged to apply even if you can’t take on every example project in its totality. We work closely and collaboratively at Mytra \- No one takes on projects alone. We seek people who are eager to work together, learn new things, and bring unique perspectives.
**Benefits Include**
* Competitive compensation and equity grants at a high\-growth company backed by top\-tier VCs
* Fully subsidized health coverage, including medical (baseline plans), dental, and vision for employees and dependents
* 401(k) plans and employer\-subsidized life insurance
* Fully subsidized lunch and snacks at HQ—we eat and share stories together at the “long” table
* Generous PTO and company\-paid holidays, including one week over the winter break so everyone can recharge together
* Voluntary pet insurance, Voluntary Life Insurance, Accident, Critical Illness, and Hospital Indemnity
* Fully subsidized tax advisory services and education to help you understand your equity
* Commuter benefits, including a up to $150 monthly commuter benefit
* Lively, modern combined office and lab space where we rapidly iterate through design, build, and test phases
* Fully equipped onsite gym and showers at headquarters
**Pay Notice**
* Compensation for this position will be set based on the candidate's experience level and location. The posted salary band is applicable only to the San Francisco Bay Area and is subject to change.
*****This role requires on\-site presence at our Brisbane, CA headquarters, for close collaboration with the other teams.*****
**The Pay Range For This Role Is**
 180,000 \- 190,000 USD per year(Mytra, Inc.)</t>
        </is>
      </c>
    </row>
    <row r="8">
      <c r="A8" t="inlineStr">
        <is>
          <t>li-4370994302</t>
        </is>
      </c>
      <c r="B8" t="inlineStr">
        <is>
          <t>Data Engineer (MI-155145)</t>
        </is>
      </c>
      <c r="C8" t="inlineStr">
        <is>
          <t>CCI- Computer Consultants International, Inc.</t>
        </is>
      </c>
      <c r="D8" t="inlineStr">
        <is>
          <t>linkedin</t>
        </is>
      </c>
      <c r="E8" t="inlineStr"/>
      <c r="F8" t="inlineStr"/>
      <c r="G8" t="inlineStr">
        <is>
          <t>Lansing, MI</t>
        </is>
      </c>
      <c r="H8" t="inlineStr"/>
      <c r="I8" t="inlineStr">
        <is>
          <t>* ***Candidates must be local to Michigan within 60mi radius from Lansing***
* ***Candidates MUST be willing to come ONSITE (Lansing, MI) for interviews***
 The position is responsible for providing ongoing maintenance and support of the Michigan Disease Surveillance System (MDSS). MDSS is a complex application that supports communicable disease surveillance, registries, and case management systems that are critical to supporting effective responses to public health emergencies and reducing the burden of communicable diseases. MDSS is going through modernization to enhance stability and functionality of the system. With phase 1 already completed. The resource is integral to developing and maintaining and enhancing MDHHS’ MDSS phase 1\. Making sure automated processes are funtioning, streamlining critical business processes, data integrity, SEM/SUITE compliance, and securing the application. The resource also performs as a technical lead and provides technical guidance to the other developers in the department.As a technical lead, the resource participates in a variety of analytical assignments that provide for the enhancement, integration, maintenance, and implementation of projects.The resource will also provides technical oversight to other developers in the team that support other critical applications . Not having a resource on staff will lead to MDHSS failing to maintain, enhance, and support the modernized MDSS that can lead to errors causing application outages, data integrity issues and can eventually lead to incorrect information being processed and reporting of the patient information.
* Lead the design and development of scalable and high\-performance solutions using AWS services.
* Experience with Databricks, Elastic search, Kibanna, S3\.
* Experience with Extract, Transform, and Load (ETL) processes and data pipelines.
* Write clean, maintainable, and efficient code in Python/Scala.
* Experience with AWS Cloud\-based Application Development
* Experience in Electronic Health Records (EHR) HL7 solutions.
* Implement and manage Elastic Search engine for efficient data retrieval and analysis.
* Experience with data warehousing, data visualization Tools, data integrity
* Execute full software development life cycle (SDLC) including experience in gathering requirements and writing functional/technical specifications for complex projects.
* Excellent knowledge in designing both logical and physical database model
* Develop database objects including stored procedures, functions,
* Extensive knowledge on source control tools such as GIT
* Develop software design documents and work with stakeholders for review and approval.
* Exposure to flowcharts, screen layouts and documentation to ensure logical flow of the system requirements
* Experience working on large agile projects.
* Experience or Knowledge on creating CI/CD pipelines using Azure Devops
**MANDATORY REQUIREMENTS:** 
* 12\+ years developing complex database systems
* 8\+ years Databricks
* 8\+ years using Elastic search, Kibanna
* 8\+ years using Python/Scala
* 8\+ years Oracle experience
* 5\+ years experience with Extract, Transform, and Load (ETL) processes and developing Data Pipelines
* 5\+ years experience with AWS
* Over 5\+ years experience with data warehousing, data visualization Tools, data integrity
* Over 5\+ years using CMM/CMMI Level 3 methods and practices
* Over 5\+ years implemented agile development processes including test driven development
**NICE TO HAVE** 
* Over 3\+ years Experience or Knowledge on creating CI/CD pipelines using Azure Devops</t>
        </is>
      </c>
    </row>
    <row r="9">
      <c r="A9" t="inlineStr">
        <is>
          <t>li-4326394153</t>
        </is>
      </c>
      <c r="B9" t="inlineStr">
        <is>
          <t>Senior Data Engineer - Data Platform</t>
        </is>
      </c>
      <c r="C9" t="inlineStr">
        <is>
          <t>EvenUp</t>
        </is>
      </c>
      <c r="D9" t="inlineStr">
        <is>
          <t>linkedin</t>
        </is>
      </c>
      <c r="E9" t="inlineStr"/>
      <c r="F9" t="inlineStr"/>
      <c r="G9" t="inlineStr">
        <is>
          <t>San Francisco, CA</t>
        </is>
      </c>
      <c r="H9" t="inlineStr"/>
      <c r="I9"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**The Team:**
 The Data \&amp; Analytics team at EvenUp plays a critical role in driving data\-informed decision\-making across the organization. We partner closely with Product, Engineering, Operations, and Executive teams to uncover insights, build scalable data solutions, and enable a culture of data\-driven decision making and continuous improvement. Our team is responsible for everything from foundational data modeling and reporting to advanced analytics and forecasting.
 We’re looking for a
 **Senior Data Engineer** 
 to join our fast\-paced, data\-driven team. You’ll play a key role in building and scaling the data platform that enables fast, reliable, and actionable insights. You’ll work closely with partner teams to drive end\-to\-end analytics initiatives and work alongside Data Scientists, ML Engineers, Product Managers, Software Engineers and Operations.
**Please Note: This is a hybrid role with the expectation of working at least 3 days a week from one of our office hubs.**
**What You'll Do:**
* Partner with product, analytics, and operations teams to understand data needs and translate them into scalable models and pipelines.
* Build and maintain a robust data platform, with well\-documented ELT/ETL pipelines using dbt, Airflow/Dagster, and BigQuery/Snowflake (or similar).
* Own the design and implementation of data pipelines that support product development \&amp; instrumentation, BI reporting, and data experimentation.
* Improve data quality and reliability by establishing and maintaining testing, monitoring, and observability best practices.
* Help drive our data architecture forward with a focus on usability, performance, strong data governance, and scalability.
* Mentor other engineers and analysts on data \&amp; software best practices, modeling standards, and tooling.
**What We're Looking For:**
* 4\+ years of experience as a Data Engineer or Software Engineer ideally in product\-focused, fast\-paced environments
* Strong proficiency in Python for data wrangling and orchestration logic, and comfortable navigating Python application codebases
* Strong proficiency in SQL for data transformation, utilizing transformations tool such as dbt to create reusable data models
* Strong experience with designing dimensional models and defining clear source\-of\-truth metrics
* Expertise in creating compelling reporting and data visualization solutions using dashboarding tools (e.g., Looker, Tableau, Metabase)
* A self starter, comfort working in fast paced and evolving environments with a bias toward action
* Excellent communication skills and experience collaborating closely with product managers and business stakeholders
* Strong interpersonal skills, with the ability to build relationships and trust across functions and work collaboratively
* Strong attention to detail, structured thinking, and experience developing processes to reduce human error
**Bonus Points:**
* Experience working as a product software engineer
* Experience working in the legal domain
* Experience working with document processing with unstructured data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$136K \- $226K</t>
        </is>
      </c>
    </row>
    <row r="10">
      <c r="A10" t="inlineStr">
        <is>
          <t>li-4360886213</t>
        </is>
      </c>
      <c r="B10" t="inlineStr">
        <is>
          <t>Data Engineer - Data Platform</t>
        </is>
      </c>
      <c r="C10" t="inlineStr">
        <is>
          <t>Kraken</t>
        </is>
      </c>
      <c r="D10" t="inlineStr">
        <is>
          <t>linkedin</t>
        </is>
      </c>
      <c r="E10" t="inlineStr"/>
      <c r="F10" t="inlineStr"/>
      <c r="G10" t="inlineStr"/>
      <c r="H10" t="inlineStr"/>
      <c r="I10"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Join our Data Engineering Team at Kraken!
 Are you passionate about designing and building scalable data systems that power one of the fastest\-growing companies in cryptocurrency? We’re seeking a skilled Data Engineer to join our Data Platform team and help us architect the future of Kraken’s data ecosystem.
 As a Data Engineer at Kraken, you’ll be responsible for building and maintaining high\-performance data pipelines, ensuring the reliability and scalability of our data infrastructure, and enabling teams across the company to access clean, consistent, and timely data. You’ll work with modern technologies and large\-scale datasets, playing a key role in making data accessible for analytics, machine learning, and product innovation.
**The opportunity**
* Build scalable and reliable data pipelines that collect, transform, load and curate data from internal systems
* Augment data platform with data pipelines from external systems.
* Ensure high data quality for pipelines you build and make them auditable
* Drive data systems to be as near real\-time as possible
* Support design and deployment of distributed data store that will be central source of truth across the organization
* Build data connections to company's internal IT systems
* Develop, customize, configure self service tools that help our data consumers to extract and analyze data from our massive internal data store
* Evaluate new technologies and build prototypes for continuous improvements in data engineering.
**Skills You Should HODL**
* 5\+ years of work experience in relevant field (Data Engineer, DWH Engineer, Software Engineer, etc)
* Experience with data\-lake and data\-warehousing technologies and relevant data modeling best practices (Presto, Athena, Glue, etc)
* Proficiency in at least one of the main programming languages used: Python and Scala. Additional programming languages expertise is a big plus!
* Experience building data pipelines/ETL in Airflow, and familiarity with software design principles.
* Excellent SQL and data manipulation skills using common frameworks like Spark/PySpark, or similar.
* Expertise in Apache Spark, or similar Big Data technologies, with a proven record of processing high volumes and velocity of datasets.
* Experience with business requirements gathering for data sourcing.
* Bonus \- Kafka and other streaming technologies like Apache Flink.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$96K \- $192K</t>
        </is>
      </c>
    </row>
    <row r="11">
      <c r="A11" t="inlineStr">
        <is>
          <t>li-4326189868</t>
        </is>
      </c>
      <c r="B11" t="inlineStr">
        <is>
          <t>Data Engineer (Remote)</t>
        </is>
      </c>
      <c r="C11" t="inlineStr">
        <is>
          <t>Frontdoor, Inc.</t>
        </is>
      </c>
      <c r="D11" t="inlineStr">
        <is>
          <t>linkedin</t>
        </is>
      </c>
      <c r="E11" t="inlineStr"/>
      <c r="F11" t="inlineStr"/>
      <c r="G11" t="inlineStr"/>
      <c r="H11" t="inlineStr"/>
      <c r="I11" t="inlineStr">
        <is>
          <t>****Overview****
 Frontdoor is reimagining how homeowners maintain and repair their most valuable asset – their home. As the parent company of two leading brands, we bring over 50 years of experience in providing our members with comprehensive options to protect their homes from costly and unexpected breakdowns through our extensive network of pre\-qualified professional contractors. American Home Shield, the category leader in home service plans with approximately two million members, gives homeowners budget protection and convenience, covering up to 23 essential home systems and appliances. Frontdoor is a cutting edge, one\-stop app for home repair and maintenance. Enabled by our Streem technology, the app empowers homeowners by connecting them in real time through video chat with pre\-qualified experts to diagnose and solve their problems. The Frontdoor app also offers homeowners a range of other benefits including DIY tips, discounts and more. For more information about American Home Shield and Frontdoor, please visit frontdoorhome.com .
****Responsibilities****
**Summary:**
 As an intermediate level Data Engineer, you will use various methods to transform raw data into useful data systems. You will create complex algorithms for the purpose of aligning data systems with business goals. You will manage projects within larger projects.
****Responsibilities:****
* Build and maintain data systems and pipelines to support increases in data volume and complexity
* Contribute towards the development, construction, and maintenance of data models within data warehouses using dimensional modeling
* Collaborate with analytics and business teams to improve data models in order to increase data accessibility and foster data driven decision making in the organization
* Build and maintain scalable data pipelines for both batch and stream processing in a cloud\-computing environment.
* Create and optimize database architecture by trading off storage and computation to achieve low cost and high performance.
* Interact face\-to\-face with business stakeholders, develop cooperative relationships, and acquire domain knowledge of the business.
* Proactively automate manual processes throughout the business for higher efficiency, robustness, and speed.
* Enforce production standards and governance best practices in the management of enterprise\-level data, metrics, and reports.
* May include other duties as assigned
****Qualifications****
**Minimum Education, Licensure and Professional Certification requirements:**
 Bachelor's degree in Computer Science, Statistics, or similar field
**Minimum Experience required:** 
 2\+ years experience in relevant field
****Required Skills:****
* Excellent communication and inter\-personal skills.
* Versatile and quick learner with ability to pick up any new skills necessary to get the job done.
* Demonstrated strength in data modeling, ETL development, data warehousing, data pipeline and data lake creation.
* Extensive experience with cloud infrastructure and tools for AWS and GCP.
* Demonstrable proficiency in Python development and advanced SQL querying.
* Strong grasp of business elements and ability to convert requirements into database models and full\-data pipeline systems.
* Experience with visualization and reporting tools, such as Looker and Tableau.
* Experience with cloud data warehouses such as Snowflake
* Experience building data lakes in the cloud
****Other/State Specific****
*This role pays between $* 
*85k* 
*to $* 
*107k* 
*, and your actual base pay will depend on your skills, qualifications, responsibilities, experience, and location.*
*At Frontdoor certain roles are eligible for additional rewards and incentives. Speak directly to your recruiter to learn more.*
*Our approach to benefits is holistic, and includes health, wellbeing and financial components including: insurance for medical/pharmacy, dental, vision, life, and disability, weight loss and smoking cessation programs, matching 401(k) and ability to participate in our employee stock purchase plan.*
**Need help finding the right job?**
 We can recommend jobs specifically for you!
**Job Locations** 
 US
**ID** 
 2025\-3910
**Category** 
 Engineering
**Type** 
 Full Time
**Company** 
 AHS American Home Shield Corp</t>
        </is>
      </c>
    </row>
    <row r="12">
      <c r="A12" t="inlineStr">
        <is>
          <t>li-4370979939</t>
        </is>
      </c>
      <c r="B12" t="inlineStr">
        <is>
          <t>Data Engineer</t>
        </is>
      </c>
      <c r="C12" t="inlineStr">
        <is>
          <t>Best Job Tool</t>
        </is>
      </c>
      <c r="D12" t="inlineStr">
        <is>
          <t>linkedin</t>
        </is>
      </c>
      <c r="E12" t="inlineStr"/>
      <c r="F12" t="inlineStr"/>
      <c r="G12" t="inlineStr"/>
      <c r="H12" t="inlineStr"/>
      <c r="I12" t="inlineStr">
        <is>
          <t>**About The Company**
 Ztek Consulting is a leading provider of innovative technology solutions dedicated to helping organizations streamline their operations and achieve their strategic objectives. With a strong reputation for excellence and a commitment to delivering high\-quality services, Ztek Consulting specializes in a wide range of IT consulting, software development, and digital transformation initiatives. Our team of experienced professionals works closely with clients across various industries to develop customized solutions that drive growth, improve efficiency, and foster sustainable success. At Ztek Consulting, we prioritize a collaborative approach, leveraging the latest technologies and industry best practices to deliver impactful results for our clients.
**About The Role**
 We are seeking a highly motivated and skilled \[Job Title] to join our dynamic team at Ztek Consulting. The ideal candidate will possess a strong background in \[relevant field or expertise], with a proven track record of delivering innovative solutions and managing complex projects. In this role, you will be responsible for collaborating with clients and internal teams to understand their needs, designing effective strategies, and implementing technology solutions that align with their business goals. You will play a key role in driving project success, ensuring high standards of quality, and maintaining excellent client relationships. This position offers an exciting opportunity to work on cutting\-edge projects in a fast\-paced environment, contributing to the growth and success of both our clients and Ztek Consulting.
**Qualifications**
 The ideal candidate should possess a bachelor’s degree in Computer Science, Information Technology, or a related field. A minimum of \[X] years of experience in \[relevant industry or role] is required. Strong technical skills in \[specific technologies, tools, or platforms relevant to the role], along with excellent problem\-solving and analytical abilities, are essential. Candidates should demonstrate effective communication skills, the ability to work independently and as part of a team, and a proactive approach to project management. Certifications such as \[relevant certifications, e.g., PMP, AWS, Microsoft Certified] are preferred but not mandatory. A passion for continuous learning and staying updated with industry trends is highly valued.
**Responsibilities**
* Collaborate with clients to gather requirements and understand their business needs.
* Design, develop, and implement innovative technology solutions tailored to client specifications.
* Manage multiple projects simultaneously, ensuring timely delivery within scope and budget.
* Provide technical guidance and support to team members and clients throughout project lifecycle.
* Conduct thorough testing and quality assurance to ensure solutions meet high standards.
* Maintain clear documentation of project processes, technical specifications, and user manuals.
* Stay current with industry trends and emerging technologies to continuously improve service offerings.
* Participate in client meetings, presentations, and workshops to communicate project progress and gather feedback.
* Assist in training and mentoring junior team members to foster a collaborative and knowledgeable work environment.
**Benefits**
 Ztek Consulting offers a competitive benefits package designed to support the well\-being and professional growth of our employees. Benefits include comprehensive health insurance plans, paid time off, and flexible working arrangements to promote work\-life balance. We also provide opportunities for ongoing training and development, including certifications and industry conferences, to help our team stay ahead in the rapidly evolving technology landscape. Our collaborative work environment encourages innovation, creativity, and continuous learning. Additionally, employees are eligible for performance\-based incentives and recognition programs that celebrate individual and team achievements.
 Equal Opportunity
 Ztek Consulting is an equal opportunity employer. We are committed to creating an inclusive environment where all employees and applicants are treated fairly and with respect, regardless of race, color, religion, gender, sexual orientation, gender identity, national origin, age, disability, or veteran status. We believe diversity enhances our ability to serve our clients effectively and fosters a vibrant workplace culture. We encourage individuals from diverse backgrounds to apply and join our team in contributing to our mission of delivering innovative technology solutions.</t>
        </is>
      </c>
    </row>
    <row r="13">
      <c r="A13" t="inlineStr">
        <is>
          <t>li-4370961951</t>
        </is>
      </c>
      <c r="B13" t="inlineStr">
        <is>
          <t>Data Engineer II</t>
        </is>
      </c>
      <c r="C13" t="inlineStr">
        <is>
          <t>Centene Corporation</t>
        </is>
      </c>
      <c r="D13" t="inlineStr">
        <is>
          <t>linkedin</t>
        </is>
      </c>
      <c r="E13" t="inlineStr"/>
      <c r="F13" t="inlineStr"/>
      <c r="G13" t="inlineStr"/>
      <c r="H13" t="inlineStr"/>
      <c r="I13" t="inlineStr">
        <is>
          <t>**About The Company**
 Centene Corporation is a diversified, national organization dedicated to transforming the health of our communities through innovative health solutions. Serving over 28 million members across the United States, Centene is committed to providing accessible, high\-quality healthcare services. Our mission is to improve health outcomes by leveraging advanced technology, data\-driven insights, and a patient\-centered approach. With a focus on diversity and inclusion, Centene fosters a collaborative work environment that encourages innovation, professional growth, and a commitment to making a positive impact on the lives of our members.
**About The Role**
 We are seeking a skilled Data Engineer to join our dynamic team. In this role, you will be responsible for developing and operationalizing robust data pipelines that facilitate the seamless flow of data across various environments. Your expertise will support the creation of reports and advanced analytics, ensuring data quality, transformation, and optimization. Collaborating closely with DevSecOps engineers, you will participate in continuous integration and deployment processes to maintain high standards of data security and efficiency. The ideal candidate will design and implement standardized data management procedures, develop high\-performance data structures for business intelligence, and maintain real\-time processing applications. Your work will directly influence our ability to make data\-driven decisions, improve operational efficiencies, and enhance healthcare outcomes for our members.
**Qualifications**
* Bachelor's degree in statistics, mathematics, engineering, computer science, or a related quantitative or business field
* 2 to 4 years of relevant experience in data engineering or related roles
* Proficiency in SQL and Python programming languages
* Experience with Teradata and Snowflake data platforms
* Strong understanding of data ingestion, transformation, validation, and pipeline optimization
* Knowledge of DevSecOps practices and CI/CD pipelines
* Ability to design, develop, test, document, and operate large\-scale, high\-volume data structures
* Experience with real\-time data processing and streaming applications
* Excellent problem\-solving skills and attention to detail
* Strong communication skills and ability to work collaboratively within cross\-functional teams
**Responsibilities**
* Develop and operationalize data pipelines to enable efficient data consumption for reports and analytics
* Design, implement, and maintain standardized data management procedures including staging, ingestion, preparation, provisioning, and destruction
* Create and optimize high\-performance data structures suitable for business intelligence and analytics
* Develop real\-time data processing applications and pipelines to support immediate data needs
* Ensure data quality, integrity, and security as data moves across different environments
* Provide insights into evolving data environments, storage solutions, and processing requirements, recommending improvements as needed
* Construct, test, and maintain data architectures using programming languages and tools
* Identify opportunities to improve data reliability, automate repetitive tasks, and enhance overall data efficiency
* Collaborate with DevSecOps teams during continuous integration and deployment cycles
* Adhere to organizational policies and standards for data management and security
* Perform additional duties as assigned to support team objectives
**Benefits**
* Competitive salary range of $63,600 to $114,600 annually
* Comprehensive health insurance plans
* 401(k) retirement savings plan with company match
* Stock purchase plans
* Tuition reimbursement programs
* Paid time off and holidays
* Flexible work arrangements including remote, hybrid, field, or office\-based schedules
* Opportunities for professional development and career growth
 Equal Opportunity
 Centene is an equal opportunity employer committed to fostering a diverse and inclusive workplace. We welcome applicants regardless of race, color, religion, sex, sexual orientation, gender identity, national origin, disability, veteran status, or any other characteristic protected by law. All qualified applicants will receive consideration for employment without discrimination. We also consider qualified applicants with arrest or conviction records in accordance with applicable laws, including the LA County Ordinance and the California Fair Chance Act.</t>
        </is>
      </c>
    </row>
    <row r="14">
      <c r="A14" t="inlineStr">
        <is>
          <t>li-4361848016</t>
        </is>
      </c>
      <c r="B14" t="inlineStr">
        <is>
          <t>Senior Data Engineer</t>
        </is>
      </c>
      <c r="C14" t="inlineStr">
        <is>
          <t>Boeing</t>
        </is>
      </c>
      <c r="D14" t="inlineStr">
        <is>
          <t>linkedin</t>
        </is>
      </c>
      <c r="E14" t="inlineStr"/>
      <c r="F14" t="inlineStr"/>
      <c r="G14" t="inlineStr">
        <is>
          <t>Tukwila, WA</t>
        </is>
      </c>
      <c r="H14" t="inlineStr"/>
      <c r="I14"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**Senior Data** 
**Engineer** 
 (Data Solutions Architect) to join the Finance Systems and Analytics (FS\&amp;A) team in
 **Tukwila, WA** 
 .
 The selected candidate will design, develop, and maintain advanced analytics solutions that deliver step\-function business improvement. As the Data Engineering Subject Matter Expert (SME) on the Finance Analytics full‑stack Development team, you will partner with Base Data Architects to harmonize finance data sources and build the data foundation needed by Data Scientists and Business Intelligence (BI) Engineers to deliver analytics solutions across Finance.
**Position Responsibilities:**
* Build and operate production data pipelines, Extract Transform Load (ETL)/Extract Load Transform (ELT) processes, and data platforms that support analytics and Machine Learning (ML) workloads
* Design, implement, and optimize reliable, scalable data architectures (data lakes, warehouses, lakehouses) and data modeling patterns for business consumption
* Build robust ingestion, transformation, and orchestration solutions using tools such as Spark, SQL, Airflow, Bash, or equivalents
* Possess domain knowledge in Finance (e.g., Earned Value Management (EVM), accounting, treasury, reconciliation, payments, Financial Planning and Analysis (FP\&amp;A)) or equivalent business\-facing experience to partner effectively with Finance SMEs
* Ensure data quality, governance, lineage, and cataloging to support auditability and regulatory requirements (e.g., SOX)
* Implement security, privacy, and data protection best practices for sensitive financial data, including access controls and encryption
* Apply observability and monitoring best practices (logging, metrics, alerts) and use Continuous Integration and Continuous Delivery (CI/CD) for data infrastructure and pipeline deployments
* Work effectively in collaborative analytics environments using modern analytics practices (code reviews, feature branches, agile delivery) and provide technical leadership across cross\-functional teams
**Basic Qualifications (Required Skills/Experience):**
* Bachelor’s Degree or higher in Computer Science, Engineering, Information Systems, or a related quantitative/technical field, or equivalent practical experience
* 5\+ years of experience designing, building, and operating production data pipelines, ETL/ELT workflows, and data platforms supporting analytics and ML workloads
* Experience with SQL and querying relational and cloud data warehouses (e.g., SQL Server, Oracle, Teradata, BigQuery)
* Experience with at least one programming language used for data engineering (e.g., Python, Scala, Java) and experience with Spark or equivalent distributed processing frameworks
* Experience with orchestration and workflow tools (e.g., Airflow, SQL, Bash) and authoring repeatable, testable transformations
* Experience with data modeling, schema design, and data architecture patterns for lakes, warehouses, or lakehouses
* Experience working with cloud platforms and managed data services (Amazon Web Services (AWS)/Google Cloud Platform (GCP)/Azure) and basic familiarity with containerization (Docker, Podman)
* Experience with version control and collaborative coding practices (Git, code reviews, branching)
**Preferred Qualifications (Desired Skills/Experience):**
* 10\+ years of related work experience or an equivalent combination of education and experience
* Experience with streaming and event\-driven systems and real‑time ingestion patterns
* Experience with lakehouse technologies, object storage, and cloud native data services
* Familiarity with infrastructure such as code, automation tools and CI/CD for data infrastructure
* Experience with monitoring and observability for data systems (logging, metrics, alerting, lineage tools)
* Experience with security, privacy, and governance for sensitive financial data, including access controls, encryption, and SOX/compliance requirements
* Experience optimizing cost and performance for cloud data environments
* Experience in Finance domain (EVM, accounting, treasury, reconciliation, payments, FP\&amp;A) or working closely with Finance SMEs
* Ability to mentor and provide technical leadership across cross‑functional teams
* Master’s Degree or higher in a technical discipline or equivalent advanced experience
**Conflict of Interest:**
 Successful candidates for this job must satisfy the Company’s Conflict of Interest (COI) assessment process.
**Drug Free Workplace:**
 Boeing is a Drug Free Workplace (DFW)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(Senior, Level 4\): $153,000 – $207,000
 Summary pay range (Senior, Level 5\): $184,450 – $249,550
 Applications for this position will be accepted until
 **Feb. 14,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**Education**
 Bachelor's Degree or Equivalent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5">
      <c r="A15" t="inlineStr">
        <is>
          <t>li-4350881421</t>
        </is>
      </c>
      <c r="B15" t="inlineStr">
        <is>
          <t>Data Engineer</t>
        </is>
      </c>
      <c r="C15" t="inlineStr">
        <is>
          <t>ANSER</t>
        </is>
      </c>
      <c r="D15" t="inlineStr">
        <is>
          <t>linkedin</t>
        </is>
      </c>
      <c r="E15" t="inlineStr"/>
      <c r="F15" t="inlineStr"/>
      <c r="G15" t="inlineStr">
        <is>
          <t>Reston, VA</t>
        </is>
      </c>
      <c r="H15" t="inlineStr"/>
      <c r="I15"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**Position Summary**
 ANSER is seeking a Data Engineer to design, build, and optimize enterprise\-level data management systems to support Object\-Based Intelligence (OBI) analytic processes and mission requirements. You will focus on integrating and maintaining scalable, secure data pipelines and architectures that enable advanced analytic workflows, visualization, and automation.
**Day\-to\-Day Responsibilities**
* Manage complex, long\-term projects involving the design, development, integration, and installation of new information systems, databases, and data services.
* Perform technical studies, systems analysis, and feasibility assessments to ensure designs meet user requirements and define specifications for new or existing data and content management solutions.
* Design, develop, integrate, install, and optimize data management capabilities, data integration solutions, and both relational and non\-relational databases (e.g., PostgreSQL) to support enterprise ingestion, storage, retrieval, and analytics.
* Collaborate with team members to design, refine, implement, and maintain resilient, scalable ETL pipelines using industry\-standard tools and frameworks (e.g., Apache NiFi).
* Ensure ETL pipelines support secure data acquisition, normalization, enrichment, and delivery while meeting security controls, SLA requirements, and evolving data architecture needs.
* Collaborate with team members to design, implement, and maintain GraphQL APIs enabling flexible, efficient access and aggregation of data across distributed enterprise sources.
* Conduct testing and promote the integration of new databases and data services within existing IT infrastructure, including operational readiness testing and transitional user support.
* Create, execute, and document comprehensive test plans covering component, integration, system, compatibility/interface, user acceptance, and performance/stress testing.
* Monitor, maintain, and upgrade data services, content management systems, and databases; analyze system and database reports to ensure optimal performance.
* Identify data redundancy and design solutions to integrate or consolidate sources, reducing storage and maintenance costs while improving enterprise consistency.
* Produce technical data, performance reporting, and analysis outlining the operational characteristics of databases and data services across the DIA/DIE infrastructure.
* Develop and maintain disaster recovery and continuity plans to ensure data availability, access reliability, and database integrity during crisis situations.
* Analyze, evaluate, and provide recommendations, artifacts, and integration patterns for current, planned, and emerging data service, data management, and database technologies based on performance, cost, and security requirements.
* Design, develop, test, and implement unstructured data management solutions, including content extraction, tagging, data integration, web services, service versioning, containerization (e.g., Docker, Kubernetes), and infrastructure\-as\-code automation.
* Troubleshoot service, database, and user interface failures; implement temporary fixes and permanent corrections; interface with vendors, developers, and users; manage change requests; support code repositories; and prepare and present technical briefings to senior leadership.
**Required Qualifications**
* TS/SCI with Poly Clearance
* Bachelor’s degree in Computer Science, Data Engineering, Information Systems, or a related technical discipline.
* Eight (8\) or more years of experience in data engineering.
* Proven experience developing and managing data pipelines, ETL processes, and database systems for large\-scale or mission\-critical environments.
* Proficiency in Python, R, and SQL, and experience with data visualization tools such as Power BI or Tableau.
* Experience with data orchestration and automation tools (e.g., Apache NiFi, Airflow, or similar).
* Familiarity with knowledge graphs, semantic data modeling, and query languages (e.g., SPARQL, GraphQL).
* Experience developing, implementing, and evaluating AI/ML models for analytic efficiency and tradecraft compliance.
* Strong understanding of data security, access control, and system hardening in accordance with DoD and IC standards.
* Demonstrated ability to apply semantic data modeling and metadata standards within an OBI or analytic environment.
* Proficiency in containerization and orchestration technologies such as Docker and Kubernetes.
**Preferred Qualifications**
* Master’s degree in Data Science, Computer Engineering, or related field.
* Familiarity with semantic web technologies (RDF, OWL, SPARQL) and their use in OBI data integration.
* Understanding of advanced analytic method augmentation.
* Experience developing data visualization and analytic tools supporting structured and unstructured intelligence data.
* Certification in Data Management or Cloud Architecture (e.g., AWS Certified Data Engineer, Google Professional Data Engineer).
* Ability to communicate technical data management concepts clearly to both technical and non\-technical audiences.
* Experience supporting DIA, IC, or DoD analytic modernization or OBI initiatives.
* Experience with distributed data processing, cloud\-based analytics, or large\-scale machine learning architectures.
* Experience working with in support of Defense Intelligence All\-source Analytic Enterprise (DIAAE) OBI efforts, the Defense Intelligence Enterprise Knowledge Model (DIEKM), and Defense Intelligence Core Ontology (DICO).
* Experience developing OBI governance and tradecraft to assist DIA and other DIAAE organizations conducting OBI.
 In compliance with the Americans with Disabilities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t>
        </is>
      </c>
    </row>
    <row r="16">
      <c r="A16" t="inlineStr">
        <is>
          <t>li-4371009011</t>
        </is>
      </c>
      <c r="B16" t="inlineStr">
        <is>
          <t>Data Engineer</t>
        </is>
      </c>
      <c r="C16" t="inlineStr">
        <is>
          <t>Robert Half</t>
        </is>
      </c>
      <c r="D16" t="inlineStr">
        <is>
          <t>linkedin</t>
        </is>
      </c>
      <c r="E16" t="inlineStr"/>
      <c r="F16" t="inlineStr"/>
      <c r="G16" t="inlineStr">
        <is>
          <t>Oklahoma City, OK</t>
        </is>
      </c>
      <c r="H16" t="inlineStr"/>
      <c r="I16" t="inlineStr">
        <is>
          <t>We are looking for an experienced Data Engineer to join a dynamic team in Oklahoma City, Oklahoma. In this role, you will play a crucial part in designing and maintaining data infrastructure to support analytics and decision\-making processes. You will be a key contributor in developing, optimizing, and maintaining the data infrastructure that supports analytics and business intelligence initiatives, and data driven decision making using Snowflake, Matillion, and other tools. Position will be in\-office to work closely with the team. No 3rd parties please.
 Responsibilities:
 • Design, develop, and maintain scalable data pipelines to support data integration and real\-time processing.
 • Implement and manage data warehouse solutions, with a strong focus on Snowflake architecture and optimization.
 • Write efficient and effective scripts and tools using Python to automate workflows and enhance data processing capabilities.
 • Work with SQL Server to design, query, and optimize relational databases in support of analytics and reporting needs.
 • Monitor and troubleshoot data pipelines, resolving any performance or reliability issues.
 • Ensure data quality, governance, and integrity by implementing and enforcing best practices.
 Qualifications:
 • Proven expertise with Snowflake Data Cloud, including schema design, performance tuning, and best practices.
 • Proficiency in Python for scripting and data manipulation
 • Strong knowledge of SQL Server
 • Experience with Matillion Data productivity cloud is highly preferred
 • Experience with data modeling and building data pipelines in cloud\-based or hybrid environments.
 • Strong analytical and problem\-solving skills with an attention to detail.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7">
      <c r="A17" t="inlineStr">
        <is>
          <t>li-4371010065</t>
        </is>
      </c>
      <c r="B17" t="inlineStr">
        <is>
          <t>Data Engineer</t>
        </is>
      </c>
      <c r="C17" t="inlineStr">
        <is>
          <t>Calyptus</t>
        </is>
      </c>
      <c r="D17" t="inlineStr">
        <is>
          <t>linkedin</t>
        </is>
      </c>
      <c r="E17" t="inlineStr"/>
      <c r="F17" t="inlineStr"/>
      <c r="G17" t="inlineStr">
        <is>
          <t>New York, United States</t>
        </is>
      </c>
      <c r="H17" t="inlineStr"/>
      <c r="I17"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8">
      <c r="A18" t="inlineStr">
        <is>
          <t>li-4370962499</t>
        </is>
      </c>
      <c r="B18" t="inlineStr">
        <is>
          <t>Data Engineer, Sr.</t>
        </is>
      </c>
      <c r="C18" t="inlineStr">
        <is>
          <t>Highmark Health</t>
        </is>
      </c>
      <c r="D18" t="inlineStr">
        <is>
          <t>linkedin</t>
        </is>
      </c>
      <c r="E18" t="inlineStr"/>
      <c r="F18" t="inlineStr"/>
      <c r="G18" t="inlineStr"/>
      <c r="H18" t="inlineStr"/>
      <c r="I18" t="inlineStr">
        <is>
          <t>**About The Company** 
 Highmark Health's enGen is a leading healthcare technology organization dedicated to transforming healthcare data management and interoperability. Committed to innovation and excellence, enGen leverages cutting\-edge technologies to facilitate seamless data exchange, improve patient outcomes, and support healthcare providers and payers in achieving operational efficiency. The company emphasizes compliance with industry standards and regulations, ensuring data security, privacy, and integrity across all platforms. With a focus on advancing healthcare through technology, enGen strives to deliver scalable, reliable, and innovative solutions that align with the evolving needs of the healthcare industry.
**About The Role** 
 We are seeking a highly skilled Senior FHIR Interoperability Engineer to join our dynamic team. In this role, you will be responsible for designing, developing, and maintaining robust FHIR\-enabled data pipelines that facilitate the secure and efficient exchange of healthcare data. Your expertise will drive the transformation and storage of complex clinical and administrative information, ensuring data quality, security, and compliance with federal and industry mandates. You will collaborate with cross\-functional teams to implement scalable solutions that support healthcare interoperability initiatives, align with Highmark Health’s quintuple aim objectives, and enhance patient care delivery. This position offers an exciting opportunity to influence healthcare data standards and contribute to innovative interoperability solutions in a fast\-paced, technology\-driven environment.
**Qualifications** 
* Bachelor’s degree in Computer Science, Information Systems, Data Science, Computer Engineering, or a related field
* Minimum of 5 years of experience in data engineering, ETL development, or data management
* Extensive experience with SQL and database technologies such as MySQL, PostgreSQL, and MongoDB
* Proficiency in data warehousing solutions including Snowflake, Redshift, and BigQuery
* Deep understanding of healthcare data standards, particularly FHIR
* Experience with cloud platforms such as GCP, AWS, or Azure and their data services
* Knowledge of ETL tools and scripting languages like Python, PySpark, and DBT
* Familiarity with data virtualization frameworks such as Starburst
* Experience with EHR systems like Epic and Cerner
* Understanding of cloud orchestration tools such as Terraform
* Preferred certifications in cloud technologies, data management, or healthcare interoperability
**Responsibilities** 
* Design, develop, and optimize data pipelines and solutions for healthcare data movement and transformation using FHIR standards
* Create and maintain data models, databases, and data warehouses to support analytics and business intelligence
* Collaborate with IT, analytics, product, and business teams to gather requirements and deliver data solutions that meet organizational needs
* Monitor production workflows, troubleshoot issues, and provide regular updates on progress to leadership
* Implement data governance frameworks to ensure data quality, integrity, and compliance with relevant regulations
* Work on data security measures, including access controls, encryption, and data masking protocols
* Mentor junior and intermediate data engineers, fostering knowledge sharing and best practices
* Perform data analysis to generate insights that support strategic decision\-making
* Stay updated with emerging trends, tools, and technologies in data engineering and healthcare interoperability
* Participate in cross\-functional projects to enhance system architecture and data solutions
**Benefits** 
* Competitive salary range from $78,900 to $147,500, commensurate with experience and qualifications
* Flexible work arrangements including remote and office\-based options
* Comprehensive health, dental, and vision insurance plans
* Retirement savings plans with company matching
* Paid time off and holidays
* Opportunities for professional growth and development
* Inclusive and diverse work environment
* Support for work\-life balance and wellness initiatives
 Equal Opportunity
 enGen and Highmark Health are committed to creating an inclusive environment and are proud to be an equal opportunity employer. We welcome applicants of all backgrounds and do not discriminate based on race, color, religion, gender, sexual orientation, gender identity, age, disability, or any other protected status.</t>
        </is>
      </c>
    </row>
    <row r="19">
      <c r="A19" t="inlineStr">
        <is>
          <t>li-4360824607</t>
        </is>
      </c>
      <c r="B19" t="inlineStr">
        <is>
          <t>Senior Data Engineer</t>
        </is>
      </c>
      <c r="C19" t="inlineStr">
        <is>
          <t>Golden Technology</t>
        </is>
      </c>
      <c r="D19" t="inlineStr">
        <is>
          <t>linkedin</t>
        </is>
      </c>
      <c r="E19" t="inlineStr"/>
      <c r="F19" t="inlineStr"/>
      <c r="G19" t="inlineStr">
        <is>
          <t>Blue Ash, OH</t>
        </is>
      </c>
      <c r="H19" t="inlineStr"/>
      <c r="I19" t="inlineStr">
        <is>
          <t>The team is seeking a Data Engineer experienced in implementing modern data solutions in Azure, with strong hands\-on skills in Databricks, Spark, Python, and cloud\-based DataOps practices. The Data Engineer will analyze, design, and develop data products, pipelines, and information architecture deliverables, focusing on data as an enterprise asset. This role also supports cloud infrastructure automation and CI/CD using Terraform, GitHub, and GitHub Actions to deliver scalable, reliable, and secure data solutions.
**Requirements**
* 5\+ years of experience as a Data Engineer
* Hands\-on experience with Azure Databricks, Spark, and Python
* Experience with Delta Live Tables (DLT) or Databricks SQL
* Strong SQL and database background
* Experience with Azure Functions, messaging services, or orchestration tools
* Familiarity with data governance, lineage, or cataloging tools (e.g., Purview, Unity Catalog)
* Experience monitoring and optimizing Databricks clusters or workflows
* Experience working with Azure cloud data services and understanding how they integrate with Databricks and enterprise data platforms
* Experience with Terraform for cloud infrastructure provisioning
* Experience with GitHub and GitHub Actions for version control and CI/CD automation
* Strong understanding of distributed computing concepts (partitions, joins, shuffles, cluster behavior)
* Familiarity with SDLC and modern engineering practices
* Ability to balance multiple priorities, work independently, and stay organized
 Key Responsibilities
* Analyze, design, and develop enterprise data solutions with a focus on Azure, Databricks, Spark, Python, and SQL
* Develop, optimize, and maintain Spark/PySpark data pipelines, including managing performance issues such as data skew, partitioning, caching, and shuffle optimization
* Build and support Delta Lake tables and data models for analytical and operational use cases
* Apply reusable design patterns, data standards, and architecture guidelines across the enterprise, including collaboration with when needed
* Use Terraform to provision and manage cloud and Databricks resources, supporting Infrastructure as Code (IaC) practices
* Implement and maintain CI/CD workflows using GitHub and GitHub Actions for source control, testing, and pipeline deployment
* Manage Git\-based workflows for Databricks notebooks, jobs, and data engineering artifacts
* Troubleshoot failures and improve reliability across Databricks jobs, clusters, and data pipelines
* Apply cloud computing skills to deploy fixes, upgrades, and enhancements in Azure environments
* Work closely with engineering teams to enhance tools, systems, development processes, and data security
* Participate in the development and communication of data strategy, standards, and roadmaps
* Draft architectural diagrams, interface specifications, and other design documents
* Promote the reuse of data assets and contribute to enterprise data catalog practices
* Deliver timely and effective support and communication to stakeholders and end users
* Mentor team members on data engineering principles, best practices, and emerging technologies</t>
        </is>
      </c>
    </row>
    <row r="20">
      <c r="A20" t="inlineStr">
        <is>
          <t>li-4363063653</t>
        </is>
      </c>
      <c r="B20" t="inlineStr">
        <is>
          <t>Senior Data Engineer</t>
        </is>
      </c>
      <c r="C20" t="inlineStr">
        <is>
          <t>SoTalent</t>
        </is>
      </c>
      <c r="D20" t="inlineStr">
        <is>
          <t>linkedin</t>
        </is>
      </c>
      <c r="E20" t="inlineStr"/>
      <c r="F20" t="inlineStr"/>
      <c r="G20" t="inlineStr">
        <is>
          <t>Frisco, TX</t>
        </is>
      </c>
      <c r="H20" t="inlineStr"/>
      <c r="I20" t="inlineStr">
        <is>
          <t>**Job Title: Principal Data Engineer** 
**Location: Frisco, Texas, United States** 
**Type: Full Time** 
 Our Client is seeking a highly experienced Principal Data Engineer to lead the design and development of modern, scalable data platforms. This role is ideal for a technical leader who thrives on building robust data architectures, optimizing analytics ecosystems, and shaping best‑in‑class engineering practices across data teams.
**What You’ll Do** 
**Data Engineering \&amp; Architecture** 
* Architect and implement scalable data pipelines and transformation workflows using tools such as dbt, SnowSQL, and cloud‑native technologies.
* Design and maintain enterprise‑level data lakes, data warehouses, and curated transformation layers leveraging modern patterns such as the Medallion (Bronze–Silver–Gold) architecture.
* Define and implement best practices for data ingestion, modeling, quality assurance, and lineage to ensure trusted, reliable, and consistent data delivery.
* Build reusable frameworks and automation tools for deployment, monitoring, and lifecycle management of data assets.
* Optimize data platforms for performance, reliability, and cost efficiency to support advanced analytics and machine learning workloads.
**Requirements** 
**Education** 
* Bachelor’s or Master’s degree in Computer Science, Data Science, Information Systems, or a related technical field.
**Experience** 
* 10\+ years of experience in data management, including integration, modeling, architecture, and performance optimization.
* Hands‑on experience with analytics platforms and tools such as Snowflake or Informatica Cloud.
* Expert‑level proficiency in SQL, SnowSQL, ETL development, and enterprise data warehousing concepts.
**Core Skills** 
* Strong background in conceptual architecture, data integration design, and technical wireframing.
* Familiarity with DevOps and Agile environments (preferred).
* Excellent communication, presentation, and change‑management skills.
**Nice to Have** 
* Exposure to SAP ERP and SAP‑based data integration processes.
* Experience with CI/CD pipelines, DevOps practices, and Git‑based workflows.
* Understanding of AI/ML use cases in data operations, such as anomaly detection or intelligent data quality.
* Certifications related to Snowflake, dbt, or major cloud platforms.</t>
        </is>
      </c>
    </row>
    <row r="21">
      <c r="A21" t="inlineStr">
        <is>
          <t>li-4370994582</t>
        </is>
      </c>
      <c r="B21" t="inlineStr">
        <is>
          <t>Data Engineer</t>
        </is>
      </c>
      <c r="C21" t="inlineStr">
        <is>
          <t>Guidehouse</t>
        </is>
      </c>
      <c r="D21" t="inlineStr">
        <is>
          <t>linkedin</t>
        </is>
      </c>
      <c r="E21" t="inlineStr"/>
      <c r="F21" t="inlineStr"/>
      <c r="G21" t="inlineStr">
        <is>
          <t>San Antonio, TX</t>
        </is>
      </c>
      <c r="H21" t="inlineStr"/>
      <c r="I21" t="inlineStr">
        <is>
          <t>**Job Family**
 Management Consulting
**Travel Required**
 None
**Clearance Required**
 Active Secret
**What You Will Do**
* Design and build ETL pipelines for AFIMSC data platforms.
* Integrate data sources into cloud\-based environments (Advana, VAULT, BLADE).
* Ensure data quality, consistency, and governance across systems.
* Support migration of civil engineering data platforms to cloud infrastructure.
* Develop automated workflows for data ingestion and transformation.
* Collaborate with data scientists to enable AI/ML model deployment.
* Optimize database performance and implement indexing strategies.
* Maintain secure data transfer protocols and compliance standards.
* Document data architecture and integration processes.
* Provide technical support for data\-related issues and enhancements.
**What You Will Need**
* An ACTIVE and MAINTAINED "SECRET" Federal or DoD security clearance.
* Bachelor’s degree in Computer Science, Data Engineering, or related field.
* FOUR (4\) or more years of experience in data engineering and ETL development.
* Proficiency in Python, SQL, and data pipeline tools (Databricks, Airflow).
* Experience with cloud platforms (AWS, Azure, GCP).
**What Would Be Nice To Have**
* Master’s degree in Data Engineering or related discipline.
* Experience with big data technologies (Spark, Hadoop).
* Knowledge of data warehousing and governance principles.
* Strong understanding of relational and NoSQL databases.
* Experience with API integration and data connectors.
* Ability to troubleshoot and optimize data workflows.
* Excellent communication and documentation skills.
* Knowledge of DevSecOps and CI/CD for data pipelines.
* Experience with advanced analytics platforms (Advana, VAULT).
* Familiarity with geospatial data integration.
* Certifications in cloud technologies (AWS, Azure).
* Experience with robotic process automation tools.
* Understanding of cybersecurity requirements for data systems.
* Knowledge of Air Force or DoD data environments.
* Experience in agile development methodologies.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2">
      <c r="A22" t="inlineStr">
        <is>
          <t>li-4364328643</t>
        </is>
      </c>
      <c r="B22" t="inlineStr">
        <is>
          <t>Data Engineer II</t>
        </is>
      </c>
      <c r="C22" t="inlineStr">
        <is>
          <t>Spencer's</t>
        </is>
      </c>
      <c r="D22" t="inlineStr">
        <is>
          <t>linkedin</t>
        </is>
      </c>
      <c r="E22" t="inlineStr"/>
      <c r="F22" t="inlineStr"/>
      <c r="G22" t="inlineStr">
        <is>
          <t>Egg Harbor, NJ</t>
        </is>
      </c>
      <c r="H22" t="inlineStr"/>
      <c r="I22" t="inlineStr">
        <is>
          <t>**Overview**
 We are authentic, professional providers of fun, focused on building a Great Place To Work For All by staying true to our mission: "Life's a Party, We're Makin' It Fun!" and "So Much Fun It's Scary!"
 At Spencer's and Spirit Halloween, we do the right thing always\-integrity, fairness, respect, and transparency are our foundation. You will find our culture to be inclusive, passionate, resilient, and one that values differences and embraces all.
**One Team / One Goal**
 We are leaders and owners of our business success. Whether it's developing new and exclusive costumes, quality testing products, or implementing technology solutions, our teams understand the value of working collaboratively to embrace change through innovation, curiosity, and thoughtfulness.
**We Offer a Comprehensive Benefits Package That Includes**
* Flexible work environment
* Career advancement
* Competitive base salary
* Bonus opportunity
* Vacation, Personal, Sick and Holiday pay
* Medical, Dental, Vision, Disability, Life and AD\&amp;D insurance
* 401k with a company match
* 30% merchandise discount
**Responsibilities**
 As a Data engineer, you will support the data engineering function by assisting in the development and maintenance of robust data pipelines and collaborating with various teams. Key responsibilities include:
* Development and management of data pipelines for various data sources such as e\-commerce, stores, suppliers \&amp; vendors, and internal ERP systems
* Supporting senior data engineers and data architects in building and maintaining data infrastructure and architecture and ensuring data integrity and security
* Collaborating with cross\-function teams including Data engineers, Data architects, Business Analyst, IT leaders and business users to understand data requirements
* Assisting in maintaining the code repository and assist in maintaining and promoting the pipelines through CI/CD
* Responsible for performing root cause analysis on internal and external data processing related issues
* Maintain documentation and create high level data flow and low\-level data flow for the pipelines
* Following best practices in coding and maintaining data pipelines to ensure efficiency, reliability, and scalability
**Qualifications**
* Bachelor's degree in computer science, Information Technology, or a related field; and at least 2 years of hands\-on experience with Data Engineering, BI, or Data Warehousing; or an equivalent combination of education and experience
* Strong experience on Azure Databricks, Azure Data Factory, Azure Key Vault, ADLS
* Proficiency in Python and SQL
* Experience with Data integration, ingestion, transformation and modelling
* Basic understanding of agile project delivery framework and DevOps processes
* Familiarity with visualization platforms like PowerBI
* Basic knowledge of modeling techniques (star schema, OLAP) and workflow orchestration (Apache Airflow)
* Knowledge on using AI tools like Co\-pilot, ChatGPT, Databricks Assistant, Github Co\-pilot
* Basic knowledge on AI/ML concept will be plus
* Excellent written and verbal communication skills
* Self\-starter who welcomes responsibility and is eager to learn and grow and should be able to work with the team
*The pay range reflects the potential base salary range for this role. Individual base pay is determined by various factors such as relevant experience and skills, and the scope and responsibilities of the position.*
**Pay Range**
 $85,000\-$95,000</t>
        </is>
      </c>
    </row>
    <row r="23">
      <c r="A23" t="inlineStr">
        <is>
          <t>li-4370673178</t>
        </is>
      </c>
      <c r="B23" t="inlineStr">
        <is>
          <t>Data Engineer III</t>
        </is>
      </c>
      <c r="C23" t="inlineStr">
        <is>
          <t>RemoteHunter</t>
        </is>
      </c>
      <c r="D23" t="inlineStr">
        <is>
          <t>linkedin</t>
        </is>
      </c>
      <c r="E23" t="inlineStr"/>
      <c r="F23" t="inlineStr"/>
      <c r="G23" t="inlineStr"/>
      <c r="H23" t="inlineStr"/>
      <c r="I23"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li-4350684289</t>
        </is>
      </c>
      <c r="B24" t="inlineStr">
        <is>
          <t>Data Engineer</t>
        </is>
      </c>
      <c r="C24" t="inlineStr">
        <is>
          <t>BAE Systems, Inc.</t>
        </is>
      </c>
      <c r="D24" t="inlineStr">
        <is>
          <t>linkedin</t>
        </is>
      </c>
      <c r="E24" t="inlineStr"/>
      <c r="F24" t="inlineStr"/>
      <c r="G24" t="inlineStr">
        <is>
          <t>Reston, VA</t>
        </is>
      </c>
      <c r="H24" t="inlineStr"/>
      <c r="I24" t="inlineStr">
        <is>
          <t>**Job Description**
 At BAE Systems, we're passionate about harnessing the power of technology to drive innovation and make a meaningful impact. Our team is dedicated to delivering cutting\-edge solutions that support our government customer's mission\-critical objectives. We're now seeking a highly skilled Data Engineer to join our dynamic team and help us drive data\-driven decision making.
 We're looking for a talented Data Engineer to play a key role in producing data cleaning, basic analysis, and preparation for visualization. As a Data Engineer, you will be responsible for developing dashboards, performing analysis using AI techniques, and providing data preprocessing, quality checks, data integration, and visualization creation.
**Responsibilities**
* Produce data cleaning, basic analysis, and preparation for visualization
* Develop dashboards and perform analysis using AI techniques
* Provide data preprocessing, quality checks, data integration, and visualization creation
* Provide quality assurance, and complex data visualizations
* Develop dashboards with tools like Tableau or Power BI, and apply AI/ML models and techniques for unstructured data analysis
**Required Education, Experience, \&amp; Skills**
* Bachelor’s degree in an area related to the labor category (i.e., IT, Information Science, Computer Science, Data Science/Engineering) from a college or university accredited by an agency recognized by the U.S. Department of Education
* 8 years of experience conducting data engineering and visualization support, with at least a portion of the experience within the last 2 years
**Preferred Education, Experience, \&amp; Skills**
* Intelligence Community experience preferred
 \#EKS01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25">
      <c r="A25" t="inlineStr">
        <is>
          <t>li-4318562038</t>
        </is>
      </c>
      <c r="B25" t="inlineStr">
        <is>
          <t>Data Engineer</t>
        </is>
      </c>
      <c r="C25" t="inlineStr">
        <is>
          <t>Monks</t>
        </is>
      </c>
      <c r="D25" t="inlineStr">
        <is>
          <t>linkedin</t>
        </is>
      </c>
      <c r="E25" t="inlineStr"/>
      <c r="F25" t="inlineStr"/>
      <c r="G25" t="inlineStr">
        <is>
          <t>Austin, TX</t>
        </is>
      </c>
      <c r="H25" t="inlineStr"/>
      <c r="I25"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**About The Role**
 As a
 *Data Engineer* 
 , you’ll architect, develop, and test large scale and efficient solutions that provide the leadership team with the accurate data required to rapidly understand and adapt to changing business conditions. We are seeking an experienced, detail\-minded data engineer to support our clients worldwide business sales and finance team.
**Responsibilities**
* Design and implement scalable, efficient and high quality methods of consuming data from a diverse set of sources with variable quality and predictability.
* Build libraries and frameworks that drive leverage and productivity for the entire team.
* Optimize and maintain solutions, driving improvements in efficiency, data quality, and operational excellence.
**About You**
**The essentials:**
* 14\+ years of experience.
* Deep Snowflake expertise.
* Experience working and creating with large (5\-10bn record, \~200 column wide) aggregate datasets.
* Python for orchestration.
* S3 / DataLake / Open Data Formats (e.g. Parquet, Iceberg).
* DBT experience.
**Not a Must, But a Plus**
* Experience with Dataiku.
* Experience with Dremio.
*At .Monks,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$100,000\.00 — $113,774\.00 USD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$100,000—$113,774 USD
**About Monks**
 Monks is the global, digital\-first, data\-driven, unitary operating brand of S4 Capital plc. With a legacy of innovation and specialized expertise, Monks combines an extraordinary range of global Marketing and Technology Services to redefine how brands interact with the world. Through Monks.Flow, its flagship AI ecosystem for marketing orchestration, Monks transforms marketing into a growth engine, collapsing timelines and connecting brands to culture in real time. By deploying bespoke intelligent agents across disciplines and delivering culturally relevant, high\-impact creative and digital solutions, Monks solves key critical business challenges across the entire brand enterprise to help brands sustain long\-term impact.
 Monks was named a Contender in The Forrester Wave™: Global Marketing Services, ranks among Cannes Lions' Top 10 Creative Companies (2022\-25\) and remains the only partner featured in AdExchanger’s Programmatic Power Players list every year (2020\-24\). Named Adweek’s first AI Agency of the Year (2023\) and The One Show’s inaugural AI Pioneer Organization, Monks was also awarded Business Intelligence Group’s 2025 Excellence in Artificial Intelligence Award in both the Organizational and AI Product categories. As a trusted partner to cutting\-edge innovators in tech, Monks earned titles such as Optimizely Experimentation Partner of the Year (2025\), runner\-up for the Adobe Firefly Partner Award (2024\), and Workato’s AI Visionary Customer Impact Award (2024\). Additionally, Monks achieved a record\-breaking number of FWAs and continues to hold the most of any partner.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26">
      <c r="A26" t="inlineStr">
        <is>
          <t>li-4370957915</t>
        </is>
      </c>
      <c r="B26" t="inlineStr">
        <is>
          <t>Sr. Data Engineer - Remote</t>
        </is>
      </c>
      <c r="C26" t="inlineStr">
        <is>
          <t>ExecutivePlacements.com</t>
        </is>
      </c>
      <c r="D26" t="inlineStr">
        <is>
          <t>linkedin</t>
        </is>
      </c>
      <c r="E26" t="inlineStr"/>
      <c r="F26" t="inlineStr"/>
      <c r="G26" t="inlineStr"/>
      <c r="H26" t="inlineStr"/>
      <c r="I26" t="inlineStr">
        <is>
          <t>**Job Summary**
 :
 Sharecare is seeking aSenior Data Engineerto help build and evolve our next\-generation data platform supporting high\-profile partners and customers. In this role, you will collaborate closely with Product, Account Management, QA, Analytics, and Architecture teams to deliver scalable, reliable, and secure data solutions.
 This is a hands\-on, high\-impact position within a fast\-paced, agile environment, offering the opportunity to develop breakthrough solutions in the health information and digital health space. The ideal candidate isself\-driven, analytical, and detail\-oriented, with deep expertise in Python\-based data engineering, modern orchestration frameworks, and cloud\-native architectures.
**Essential Job Functions**
* Design, build, and maintain scalable data pipelines usingPython, Apache Airflow, and Apache Spark
* Analyze business and technical requirements and translate them into reliable, future\-proof data solutions
* Develop, validate, deploy, and support complexETL/ELT pipelinesat scale
* Build clean, secure, and maintainableREST APIsfollowing company standards
* Implementreal\-time and batch processingsolutions for diverse data sources
* Develop reusabledata engineering and AI frameworksfor enterprise\-wide adoption
* Define and managedomain\-based source of truth data models, ensuring scalability and end\-to\-end data lineage
* Implement data governance practices, automate data quality checks, and enable pipeline testing
* Optimize data infrastructure forperformance, cost efficiency, and reliability
* Manage source control, CI/CD pipelines, and production deployments
* Partner with data scientists and analysts to supportAI/ML initiatives
**Specific Skills/ Attributes**
* Strong problem\-solving and analytical thinking
* Excellent communication and collaboration skills across technical and non\-technical teams
* Ability to work independently as well as within cross\-functional, agile teams
* Strong organizational and time\-management skills
* Ability to balance big\-picture thinking with attention to technical detail
* Flexibility and adaptability in a rapidly evolving environment
**Qualifications**
* Bachelors degree (or higher) in Computer Science, Data Engineering, or a related field
* 10\+ yearsof experience in data engineering or related roles
* Strong proficiency inPythonand related libraries (Pandas, SQLAlchemy, Boto3, Paramiko, Flask, FastAPI)
* Advanced SQL skills with experience analyzinghealthcare datasets(e.g., claims, provider directories)
* Hands\-on experience with orchestration tools such asApache AirflowandDatabricks Workflows
* Strong experience withApache Spark; exposure toApache Flinkis a plus
* Experience integrating with.NET applicationsand working withSQL Server
* Cloud platform experience (AWS, Azure, or GCPrequired)
* Experience with data warehousing solutions such asAmazon RedshiftorVertica
* Solid understanding of distributed systems and functional programming concepts
* Proficiency withGitand modernCI/CDpractices
* Exposure tostreaming technologies, containerization, and ML pipelinespreferred
* Familiarity withAI tools and large language modelsis a plus</t>
        </is>
      </c>
    </row>
    <row r="27">
      <c r="A27" t="inlineStr">
        <is>
          <t>li-4370989552</t>
        </is>
      </c>
      <c r="B27" t="inlineStr">
        <is>
          <t>Cloudera Data Engineer</t>
        </is>
      </c>
      <c r="C27" t="inlineStr">
        <is>
          <t>Chenega Professional Services Strategic  Business Unit</t>
        </is>
      </c>
      <c r="D27" t="inlineStr">
        <is>
          <t>linkedin</t>
        </is>
      </c>
      <c r="E27" t="inlineStr"/>
      <c r="F27" t="inlineStr"/>
      <c r="G27" t="inlineStr"/>
      <c r="H27" t="inlineStr"/>
      <c r="I27" t="inlineStr">
        <is>
          <t>Come join a company that strives for
 *Extraordinary People and Exceptional Performance* 
 !
 **Chenega Services \&amp; Federal Solutions, LLC,** 
 a
 **Chenega Professional Services** 
 ’ company, is looking for a
 **Cloudera Data Engineer** 
 to join our team supporting the Centers for Disease Control and Prevention (CDC).
 In this role, you’ll work with a variety of technologies across the Hadoop and Cloudera ecosystems to move, transform, and optimize data from multiple sources. You’ll partner with data engineers, analysts, and developers to make sure the data infrastructure is efficient, scalable, and secure—enabling smarter, faster decisions for our clients.
 You’ll spend your days designing and deploying data solutions, improving data processing performance, and supporting the overall health of our data environment. This position is ideal for someone who enjoys hands\-on technical work, problem\-solving, and continuous learning in a collaborative, team\-oriented setting.
 Our company offers employees the opportunity to join a team where there is a robust employee benefits program, management engagement, quality leadership, an atmosphere of teamwork, recognition for performance, and promotion opportunities. We actively strive to channel our highly engaged employee’s knowledge, critical thinking, innovative solutions for our clients.
**Responsibilities** 
* Design and build data pipelines to extract, transform, and load (ETL) large data sets from multiple sources into the Cloudera environment.
* Manage and optimize data infrastructure for high performance, reliability, and scalability across both on\-premise and cloud environments.
* Develop and maintain scripts and workflows using Python, Java, Scala, or Pig to automate data processing and integration tasks.
* Collaborate with cross\-functional teams to understand data requirements, develop solutions, and ensure data is accurate and available for analytics and reporting.
* Monitor and troubleshoot Cloudera environments, leveraging tools such as Cloudera Manager and Hue for system health, tuning, and debugging.
* Use generative AI tools (like GitHub Copilot, Codex, or Claude Code) to enhance development efficiency and code quality.
**Qualifications** 
* 3\+ years of experience using Hadoop technologies (including Spark) to ingest, transform, and process data
* Experience with Cloudera installation, configuration, tuning, and administration
* Experience leveraging generative AI coding tools to assist in development
* Experience working in SQL (Hive, Spark SQL, or Impala) for querying and managing data within the Cloudera ecosystem
* Knowledge of Python, Java, Scala, or Pig for data engineering and automation
* Possession of strong collaboration and communication skills with the ability to work effectively in a cross\-functional team environment
* Ability to obtain and maintain a Public Trust or Suitability/Fitness determination based on client requirements
* Bachelor’s degree
 Preferred:
* Experience managing and monitoring Cloudera data platforms using Cloudera Manager or Hue
* Experience managing infrastructure deployments in both on\-premises and cloud environments
* Experience with public cloud platforms such as AWS or Microsoft Azure
* Ability to optimize queries and resource usage for better performance and efficiency
*Final salary determination based on skill\-set, qualifications, and approved funding.* 
 Many of our jobs come with great benefits – Some offerings are dependent upon the role, work schedule, or location, and may include the following:
**Paid Time Off** 
 PTO / Vacation – 5\.67 hours accrued per pay period / 136 hours accrued annually
 Paid Holidays \- 11
 California residents receive an additional 24 hours of sick leave a year
**Health \&amp; Wellness** 
 Medical
 Dental
 Vision
 Prescription
 Employee Assistance Program
 Short\- \&amp; Long\-Term Disability
 Life and AD\&amp;D Insurance
**Spending Account** 
 Flexible Spending Account
 Health Savings Account
 Health Reimbursement Account
 Dependent Care Spending Account
 Commuter Benefits
**Retirement** 
 401k / 401a
**Voluntary Benefits** 
 Hospital Indemnity
 Critical Illness
 Accident Insurance
 Pet Insurance
 Legal Insurance
 ID Theft Protection</t>
        </is>
      </c>
    </row>
    <row r="28">
      <c r="A28" t="inlineStr">
        <is>
          <t>li-4370995448</t>
        </is>
      </c>
      <c r="B28" t="inlineStr">
        <is>
          <t>Senior Snowflake Data Engineer | Large New York City Hospital | Full Time Position!</t>
        </is>
      </c>
      <c r="C28" t="inlineStr">
        <is>
          <t>Integris Group</t>
        </is>
      </c>
      <c r="D28" t="inlineStr">
        <is>
          <t>linkedin</t>
        </is>
      </c>
      <c r="E28" t="inlineStr"/>
      <c r="F28" t="inlineStr"/>
      <c r="G28" t="inlineStr"/>
      <c r="H28" t="inlineStr"/>
      <c r="I28" t="inlineStr">
        <is>
          <t>Integris Group is partnering with a large New York City hospital who has an immediate need to hire
 **(2\) Senior Snowflake Data Engineers** 
 for a full time, permanent position (Salary \+ Bonus).
 This is a
 **Hybrid position
 *(4 days Onsite, 1 Day Remote – no exceptions)***
 offering a competitive salary, annual bonus, 401(k), PTO, and top\-tier medical, dental, and vision benefits, along with additional excellent company perks.
**Job Title:** 
**2\-Senior Data Engineer's** 
 (last two spots left on the team).
**Location:** 
 New York, NY
**Position Type:** 
***Full\-Time, Hybrid (4 day's Onsite \| 1 day Remote)***
**About the Role:** 
 Our client is seeking 2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29">
      <c r="A29" t="inlineStr">
        <is>
          <t>li-4370949906</t>
        </is>
      </c>
      <c r="B29" t="inlineStr">
        <is>
          <t>Senior Data Engineer (Remote)</t>
        </is>
      </c>
      <c r="C29" t="inlineStr">
        <is>
          <t>ExecutivePlacements.com</t>
        </is>
      </c>
      <c r="D29" t="inlineStr">
        <is>
          <t>linkedin</t>
        </is>
      </c>
      <c r="E29" t="inlineStr"/>
      <c r="F29" t="inlineStr"/>
      <c r="G29" t="inlineStr">
        <is>
          <t>Texas, United States</t>
        </is>
      </c>
      <c r="H29" t="inlineStr"/>
      <c r="I29" t="inlineStr">
        <is>
          <t>**Description**
 :
 Parsons is looking for an amazingly talented
 **Senior Data Engineer** 
 to join our team! In this role you will get to help shape our modern data architecture and enabling scalable, self\-service analytics across the organization.
**What You'll Be Doing**
* Design and implement scalable, efficient data ingestion pipelines using ADF, Informatica, and parameterized notebooks to support bronze\-silver\-gold (medallion) architecture.
* Develop robust ETL/ELT workflows to ingest data from diverse sources (e.g., SQL Server, flat files, APIs) into Parquet/Delta formats and model them into semantic layers in Snowflake.
* Build and maintain incremental and CDC\-based pipelines to support near\-real\-time and daily batch processing.
* Apply best practices for Snowflake implementation, including performance tuning, cost optimization, and secure data sharing.
* Leverage dbt for data transformation and modeling, and implement GitHub\-based source control, branching strategies, and CI/CD pipelines for deployment automation.
* Ensure data quality, reliability, and observability through validation frameworks and self\-healing mechanisms.
* Collaborate with data analysts, data scientists, and business stakeholders to deliver clean, trusted, and accessible data.
* Mentor junior engineers and contribute to a culture of engineering excellence and continuous improvement.
**What Required Skills You'll Bring**
* Strong hands\-on experience with T\-SQL and Python.
* Experience with comprehensive data conversion projects is preferred (ERP systems including Oracle Cloud ERP and/or SAP S4/HANA)
* Experience with Relational Database systems
* Experience with both on\-premises / cloud ETL toolsets (preferably SSIS, ADF, Synapse, AWS)
* Familiar with multi\-dimensional and tabular models
* 5\+ years of experience in data engineering, data architecture, or data platform development.
* Proficiency in PySpark and SQL notebooks (e.g., Microsoft Fabric, Databricks, Synapse, or similar).
* Experience with Azure Data Factory and/or Informatica for building scalable ingestion pipelines.
* Deep understanding of lakehouse architecture and medallion design patterns.
* Experience with dbt, GitHub source control, branching strategies, and CI/CD pipelines.
* Familiarity with data ingestion from APIs, SQL Server, and flat files into Parquet/Delta formats.
* Strong problem\-solving skills and ability to work independently in a fast\-paced environment.
* US person
**What Desired Skills You'll Bring**
* Experience with data governance, security, and compliance (e.g., SOX, HIPAA).
* Snowflake, Azure Data Engineer, dbt, and/or Databricks certifications
* Exposure to real\-time data processing and streaming technologies (e.g., Kafka, Spark Streaming).
* Familiarity with data observability tools and automated testing frameworks for pipelines.
* Bachelor's or Masters degree in Computer Science, Information Systems, or a related field
**Security Clearance Requirement**
 NoneThis position is part of our Corporate team.For over 80 years, Parsons Corporation, has shaped the future of the defense, intelligence, and critical infrastructure markets. Our employees work in a close\-knit team environment to find new, innovative ways to deliver smart solutions that are used and valued by customers around the world. By combining unique technologies with deep domain expertise across cybersecurity, missile defense, space, connected infrastructure, transportation, smart cities, and more, we're providing tomorrow's solutions today.Salary Range: $100,900\.00 \- $176,600\.00We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lifestyle!This position will be posted for a minimum of 3 days and will continue to be posted for an average of 30 days until a qualified applicant is selected or the position has been cancelled.Parsons is an equal opportunity employer, and all qualified applicants will receive consideration for employment without regard to race, color, religion, sex, national origin, disability, veteran status or any other protected status.We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t>
        </is>
      </c>
    </row>
    <row r="30">
      <c r="A30" t="inlineStr">
        <is>
          <t>li-4370961595</t>
        </is>
      </c>
      <c r="B30" t="inlineStr">
        <is>
          <t>Senior Data Engineer</t>
        </is>
      </c>
      <c r="C30" t="inlineStr">
        <is>
          <t>bet365</t>
        </is>
      </c>
      <c r="D30" t="inlineStr">
        <is>
          <t>linkedin</t>
        </is>
      </c>
      <c r="E30" t="inlineStr"/>
      <c r="F30" t="inlineStr"/>
      <c r="G30" t="inlineStr">
        <is>
          <t>Denver, CO</t>
        </is>
      </c>
      <c r="H30" t="inlineStr"/>
      <c r="I30" t="inlineStr">
        <is>
          <t>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This is a unique opportunity to become the one of first pure technical hires for our US Data team in Denver, directly supporting the US Data Lead.
 In this pivotal role, you’ll set the standard and culture for the US Data function, shaping a pragmatic, results\-driven team where “getting things done” is not just encouraged but required.
 The environment is fast, agile, and quality\-focused—ideal for someone who thrives in startup or scale\-up settings where delivery and automation are paramount. You will collaborate closely with global colleagues, setting an example of partnership and technical excellence across borders.
 The listed salary for this position is $120,000\-$150,000 annually.
**Qualifications** 
* Proven experience in a startup or agile business environment, and the ability to work with speed and a focus on delivery.
* Experience setting technical direction, standards, and best practices for data engineering and analytics within a growing team.
* Ability to lead technical solution decisions—including product evaluations and proof\-of\-concept initiatives, and influencing others to follow.
* Strong background in educating and upskilling technical team members, as well as coaching and supporting junior colleagues.
* Track record of enabling business stakeholders through self\-service tools and fostering more data\-driven and agile business teams.
* Exceptional communication and collaboration skills—able to work efficiently with colleagues across time zones and cultures.
* Hands\-on expertise with Google BigQuery as both a data lake and data warehouse solution.
* Advanced SQL skills for data transformation and analysis.
* Practical experience with Kafka for real\-time data ingestion.
* Familiarity with leading data visualization tools such as Power BI and Looker.
* Experience leveraging AI tools and techniques—both to accelerate the building of data solutions and to provide innovative, AI\-driven insights and solutions to business teams.
**Additional Information** 
* Deliver robust, secure, and high\-quality data engineering and analytical solutions at speed, with a constant focus on data security.
* Champion technical excellence by setting, enforcing, and evolving technical standards within the US Data team.
* Determine and implement the best\-fit technical solutions and products, including evaluation, proof\-of\-concept development, and technical education for the team.
* Build and automate data pipelines and analytical processes, ensuring scalability, reliability, and security of data assets.
* Enable business teams with self\-service data tools, empowering them to make data\-driven decisions and become more agile.
* Foster a culture of collaboration and continuous improvement, both within the US team and globally.
* Coach and mentor less experienced team members, supporting their technical and professional development.
* Act as a key advocate and implementer of AI\-driven solutions, both to accelerate internal development and to deliver innovative analytics and insights for business teams.
 bet365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1">
      <c r="A31" t="inlineStr">
        <is>
          <t>li-4349031129</t>
        </is>
      </c>
      <c r="B31" t="inlineStr">
        <is>
          <t>Staff Analytics Engineer</t>
        </is>
      </c>
      <c r="C31" t="inlineStr">
        <is>
          <t>HighLevel</t>
        </is>
      </c>
      <c r="D31" t="inlineStr">
        <is>
          <t>linkedin</t>
        </is>
      </c>
      <c r="E31" t="inlineStr"/>
      <c r="F31" t="inlineStr"/>
      <c r="G31" t="inlineStr"/>
      <c r="H31" t="inlineStr"/>
      <c r="I31" t="inlineStr">
        <is>
          <t>**About HighLevel:**
 HighLevel is an AI powered, all\-in\-one white\-label sales \&amp; marketing platform that empowers agencies, entrepreneurs, and businesses to elevate their digital presence and drive growth. We are proud to support a global and growing community of over 2 million businesses, comprised of agencies, consultants, and businesses of all sizes and industries. HighLevel empowers users with all the tools needed to capture, nurture, and close new leads into repeat customers. As of mid 2025, HighLevel processes over 4 billion API hits and handles more than 2\.5 billion message events every day. Our platform manages over 470 terabytes of data distributed across five databases, operates with a network of over 250 microservices, and supports over 1 million hostnames.
**Our People**
 With over 1,500 team members across 15\+ countries, we operate in a global, remote\-first environment. We are building more than software; we are building a global community rooted in creativity, collaboration, and impact. We take pride in cultivating a culture where innovation thrives, ideas are celebrated, and people come first, no matter where they call home.
**Our Impact**
 As of mid 2025, our platform powers over 1\.5 billion messages, helps generate over 200 million leads, and facilitates over 20 million conversations for the more than 2 million businesses we serve each month. Behind those numbers are real people growing their companies, connecting with customers, and making their mark \- and we get to help make that happen.
**About the Role:**
 We’re looking for a Staff Analytics Engineer to lead the definition, modeling, and governance of our enterprise data layer, which serves as the technical foundation that supports internal KPIs and investor reporting. This role owns the end\-to\-end technical standards for how data is modeled, tested, documented, and exposed across the company, ensuring that every number reported internally or externally is built on a consistent, auditable foundation. You’ll work at the intersection of data modeling, software engineering, and architecture, shaping the technical systems and conventions that keep our data accurate, governed, and verifiable from raw inputs through the datasets that support audits and disclosures.
**Responsibilities:**
* Own the enterprise data model:
* Define and maintain canonical entities (Account, Customer, Location, Usage, Invoice, etc.) and their relationships across systems
* Drive alignment between product, analytics, finance, and marketing data domains
* Architect and maintain the dbt semantic layer:
* Build modular, tested, and versioned dbt models with rigorous standards for naming, documentation, and lineage
* Manage exposures to ensure all metrics and dashboards trace back to tested sources
* Govern KPI and metric definitions:
* Partner with Finance and BI to define and codify key company metrics (ARR, NRR, CAC payback, etc.) and enforce change control through versioned definitions
* Enforce data contracts and schema governance:
* Define and validate schemas, event structures, and data types for all inbound systems
* Implement CI/CD tests to block breaking changes and maintain cross\-system consistency
* Drive observability and data quality standards:
* Integrate dbt tests and freshness SLOs with the data catalog
* Implement automated monitoring and alerting for data breaks and policy violations
* Build the bridge between data and compliance:
* Collaborate with Legal, IT, and Internal Audit to ensure IPE (information produced by the entity) lineage, evidence retention, and SOX readiness
* Mentor and multiply:
* Set technical direction and review standards in close partnership with the broader data organization
* Define reusable macros, patterns, and documentation conventions that raise the bar for quality and reliability
* Partner cross\-functionally:
* Work closely with data engineering on ingestion and contracts, BI on dashboard alignment, and Finance on KPI integrity
* Influence how new systems and features are instrumented at the source to keep the data layer consistent
**Requirements:**
* 9\+ years in data engineering, analytics engineering, or related roles with deep experience modeling data in dbt, Snowflake, or similar modern stacks
* Proven ownership of an enterprise\-scale data model or semantic layer used across multiple business functions
* Advanced SQL and dbt skills; experience with CI/CD, testing frameworks, and Git\-based workflows
* Experience defining and enforcing data contracts, quality tests, and governance standards
* Familiarity with SOX controls, audit evidence, or IPE lineage (experience in a public or IPO\-bound company a plus)
* Strong communication skills with the ability to translate between engineering, finance, and compliance stakeholders
* Comfortable working in environments where precision, auditability, and trust in data are mission\-critical
**Success in this role looks like:**
* A single, versioned enterprise data model used across Finance, Product, and GTM
* Zero metric drift between dbt models and executive dashboards
* Auditable lineage and IPE coverage across every dataset used in external reporting
* Smooth adoption of modeling and governance standards by other data teams
 $182,000 \- $255,000 a year
**EEO Statement:**
 The company is an Equal Opportunity Employer. As an employer subject to affirmative action regulations, we invite you to voluntarily provide the following demographic information. This information is used solely for compliance with government recordkeeping, reporting, and other legal requirements. Providing this information is voluntary and refusal to do so will not affect your application status. This data will be kept separate from your application and will not be used in the hiring decision.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li-4346593834</t>
        </is>
      </c>
      <c r="B32" t="inlineStr">
        <is>
          <t>Senior Data Engineer</t>
        </is>
      </c>
      <c r="C32" t="inlineStr">
        <is>
          <t>Leidos</t>
        </is>
      </c>
      <c r="D32" t="inlineStr">
        <is>
          <t>linkedin</t>
        </is>
      </c>
      <c r="E32" t="inlineStr"/>
      <c r="F32" t="inlineStr"/>
      <c r="G32" t="inlineStr">
        <is>
          <t>Tampa, FL</t>
        </is>
      </c>
      <c r="H32" t="inlineStr"/>
      <c r="I32" t="inlineStr">
        <is>
          <t>**Description**
 Leidos has an immediate need for a highly skilled and versatile Data Engineer, Sr.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Sr.,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Master’s degree in Systems Engineering, Computer Science, Cybersecurity, Electrical Engineering, or a related technical field.
 Experience: 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3">
      <c r="A33" t="inlineStr">
        <is>
          <t>li-4370977223</t>
        </is>
      </c>
      <c r="B33" t="inlineStr">
        <is>
          <t>Data Platform Engineer</t>
        </is>
      </c>
      <c r="C33" t="inlineStr">
        <is>
          <t>Deloitte</t>
        </is>
      </c>
      <c r="D33" t="inlineStr">
        <is>
          <t>linkedin</t>
        </is>
      </c>
      <c r="E33" t="inlineStr"/>
      <c r="F33" t="inlineStr"/>
      <c r="G33" t="inlineStr">
        <is>
          <t>Tampa, FL</t>
        </is>
      </c>
      <c r="H33" t="inlineStr"/>
      <c r="I33"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4">
      <c r="A34" t="inlineStr">
        <is>
          <t>li-4370985142</t>
        </is>
      </c>
      <c r="B34" t="inlineStr">
        <is>
          <t>Data Platform Engineer</t>
        </is>
      </c>
      <c r="C34" t="inlineStr">
        <is>
          <t>Deloitte</t>
        </is>
      </c>
      <c r="D34" t="inlineStr">
        <is>
          <t>linkedin</t>
        </is>
      </c>
      <c r="E34" t="inlineStr"/>
      <c r="F34" t="inlineStr"/>
      <c r="G34" t="inlineStr">
        <is>
          <t>Atlanta, GA</t>
        </is>
      </c>
      <c r="H34" t="inlineStr"/>
      <c r="I34"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5">
      <c r="A35" t="inlineStr">
        <is>
          <t>li-4370972301</t>
        </is>
      </c>
      <c r="B35" t="inlineStr">
        <is>
          <t>Data Platform Engineer</t>
        </is>
      </c>
      <c r="C35" t="inlineStr">
        <is>
          <t>Deloitte</t>
        </is>
      </c>
      <c r="D35" t="inlineStr">
        <is>
          <t>linkedin</t>
        </is>
      </c>
      <c r="E35" t="inlineStr"/>
      <c r="F35" t="inlineStr"/>
      <c r="G35" t="inlineStr">
        <is>
          <t>Miami, FL</t>
        </is>
      </c>
      <c r="H35" t="inlineStr"/>
      <c r="I35"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6">
      <c r="A36" t="inlineStr">
        <is>
          <t>li-4370971326</t>
        </is>
      </c>
      <c r="B36" t="inlineStr">
        <is>
          <t>Data Platform Engineer</t>
        </is>
      </c>
      <c r="C36" t="inlineStr">
        <is>
          <t>Deloitte</t>
        </is>
      </c>
      <c r="D36" t="inlineStr">
        <is>
          <t>linkedin</t>
        </is>
      </c>
      <c r="E36" t="inlineStr"/>
      <c r="F36" t="inlineStr"/>
      <c r="G36" t="inlineStr"/>
      <c r="H36" t="inlineStr"/>
      <c r="I36"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7">
      <c r="A37" t="inlineStr">
        <is>
          <t>li-4370966398</t>
        </is>
      </c>
      <c r="B37" t="inlineStr">
        <is>
          <t>Data Platform Engineer</t>
        </is>
      </c>
      <c r="C37" t="inlineStr">
        <is>
          <t>Deloitte</t>
        </is>
      </c>
      <c r="D37" t="inlineStr">
        <is>
          <t>linkedin</t>
        </is>
      </c>
      <c r="E37" t="inlineStr"/>
      <c r="F37" t="inlineStr"/>
      <c r="G37" t="inlineStr">
        <is>
          <t>Charlotte, NC</t>
        </is>
      </c>
      <c r="H37" t="inlineStr"/>
      <c r="I37"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8">
      <c r="A38" t="inlineStr">
        <is>
          <t>li-4370979238</t>
        </is>
      </c>
      <c r="B38" t="inlineStr">
        <is>
          <t>Data Platform Engineer</t>
        </is>
      </c>
      <c r="C38" t="inlineStr">
        <is>
          <t>Deloitte</t>
        </is>
      </c>
      <c r="D38" t="inlineStr">
        <is>
          <t>linkedin</t>
        </is>
      </c>
      <c r="E38" t="inlineStr"/>
      <c r="F38" t="inlineStr"/>
      <c r="G38" t="inlineStr">
        <is>
          <t>San Jose, CA</t>
        </is>
      </c>
      <c r="H38" t="inlineStr"/>
      <c r="I38"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9">
      <c r="A39" t="inlineStr">
        <is>
          <t>li-4370984207</t>
        </is>
      </c>
      <c r="B39" t="inlineStr">
        <is>
          <t>Data Platform Engineer</t>
        </is>
      </c>
      <c r="C39" t="inlineStr">
        <is>
          <t>Deloitte</t>
        </is>
      </c>
      <c r="D39" t="inlineStr">
        <is>
          <t>linkedin</t>
        </is>
      </c>
      <c r="E39" t="inlineStr"/>
      <c r="F39" t="inlineStr"/>
      <c r="G39" t="inlineStr">
        <is>
          <t>Houston, TX</t>
        </is>
      </c>
      <c r="H39" t="inlineStr"/>
      <c r="I39"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0">
      <c r="A40" t="inlineStr">
        <is>
          <t>li-4370963779</t>
        </is>
      </c>
      <c r="B40" t="inlineStr">
        <is>
          <t>Data Platform Engineer</t>
        </is>
      </c>
      <c r="C40" t="inlineStr">
        <is>
          <t>Deloitte</t>
        </is>
      </c>
      <c r="D40" t="inlineStr">
        <is>
          <t>linkedin</t>
        </is>
      </c>
      <c r="E40" t="inlineStr"/>
      <c r="F40" t="inlineStr"/>
      <c r="G40" t="inlineStr">
        <is>
          <t>Dallas, TX</t>
        </is>
      </c>
      <c r="H40" t="inlineStr"/>
      <c r="I40"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1">
      <c r="A41" t="inlineStr">
        <is>
          <t>li-4370965544</t>
        </is>
      </c>
      <c r="B41" t="inlineStr">
        <is>
          <t>Data Platform Engineer</t>
        </is>
      </c>
      <c r="C41" t="inlineStr">
        <is>
          <t>Deloitte</t>
        </is>
      </c>
      <c r="D41" t="inlineStr">
        <is>
          <t>linkedin</t>
        </is>
      </c>
      <c r="E41" t="inlineStr"/>
      <c r="F41" t="inlineStr"/>
      <c r="G41" t="inlineStr">
        <is>
          <t>Denver, CO</t>
        </is>
      </c>
      <c r="H41" t="inlineStr"/>
      <c r="I41"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2">
      <c r="A42" t="inlineStr">
        <is>
          <t>li-4370972290</t>
        </is>
      </c>
      <c r="B42" t="inlineStr">
        <is>
          <t>Cyber Data Engineer</t>
        </is>
      </c>
      <c r="C42" t="inlineStr">
        <is>
          <t>Deloitte</t>
        </is>
      </c>
      <c r="D42" t="inlineStr">
        <is>
          <t>linkedin</t>
        </is>
      </c>
      <c r="E42" t="inlineStr"/>
      <c r="F42" t="inlineStr"/>
      <c r="G42" t="inlineStr">
        <is>
          <t>Los Angeles, CA</t>
        </is>
      </c>
      <c r="H42" t="inlineStr"/>
      <c r="I42"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Cyber Data Engineer designs, builds, and operates security data pipelines that move and transform telemetry across the cybersecurity stack, with a strong emphasis on Cribl (preferred) and related integrations. This role is critical to ensure security data is reliably collected, normalized, routed, and delivered to downstream platforms (e.g., Enterprise Log Manager (ELM) / Security Information and Event Management (SIEM), Endpoint Detection and Response (EDR)), enabling effective detection, response, and compliance reporting.
 As security analytics needs to expand, the Cyber Data Engineer partners with system owners and security stakeholders to onboard sources, improve data quality, and ensure logging and monitoring objectives are met across both cloud and on\-prem environments.
 Key Responsibilities:
* Engineer and maintain security data pipelines (Cribl and/or equivalent) for ingestion, parsing, enrichment, filtering, routing, and delivery to ELM/SIEM and related platforms.
* Integrate event feeds using common transport patterns (e.g., syslog) and validate end\-to\-end data flow, timing, completeness, and correctness.
* Implement data transformations and normalization to support analytics and detection use cases (e.g., consistent fields, time alignment, source attribution).
* Operate and troubleshoot pipeline services, including performance tuning, backlog/latency reduction, and resilience/high\-availability considerations.
* Collaborate with SIEM/ELM engineers, SOC (Security Operations Center) teams, and system owners to support onboarding, use\-case enablement, and ongoing data quality improvements.
* Support detection and incident response automation by ensuring required data elements are present, consistent, and delivered to the right destinations.
* Create and maintain documentation (architecture/data flow diagrams, pipeline configurations, onboarding guides, SOPs, and troubleshooting runbooks).
* Participate in change control processes: implementation planning, testing/validation, and post\-deployment verification.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 Ability to obtain Public Trust clearance.
* Ability to travel 25%, on average, based on the work you do and the clients and industries/sectors you serve
* Must be legally authorized to work in the United States without the need for employer sponsorship, now or at any time in the future
* 4\+ years of experience in at least five or more of the following:
+ Managing and engineering data pipelines (Cribl preferred; equivalent tools accepted).
+ Solid experience with SIEM ingestion, data transformation, and platform integration.
+ Hands\-on experience integrating event feeds with ELM/SIEM systems using syslog (and related patterns).
+ Proven ability to create and maintain pipeline and deployment documentation.
+ Knowledge of threat/incident detection automation concepts in ELM/SIEM contexts (e.g., ensuring telemetry supports correlation and alerting).
+ Working knowledge of Splunk and familiarity with CrowdStrike Falcon platform features.
+ Familiarity with both cloud and on\-premises data environments.
+ Strong problem\-solving skills, technical writing/documentation discipline, and effective cross\-team communication.
+ Experience with data governance for security telemetry (data quality checks, schemas/standards, retention considerations).
+ Scripting/automation experience to support pipeline operations and repeatable deployments.
+ Experience supporting high\-volume telemetry and multiple downstream destinations (security analytics, storage, compliance reporting).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3">
      <c r="A43" t="inlineStr">
        <is>
          <t>li-4370981244</t>
        </is>
      </c>
      <c r="B43" t="inlineStr">
        <is>
          <t>Data Platform Engineer</t>
        </is>
      </c>
      <c r="C43" t="inlineStr">
        <is>
          <t>Deloitte</t>
        </is>
      </c>
      <c r="D43" t="inlineStr">
        <is>
          <t>linkedin</t>
        </is>
      </c>
      <c r="E43" t="inlineStr"/>
      <c r="F43" t="inlineStr"/>
      <c r="G43" t="inlineStr">
        <is>
          <t>Cincinnati, OH</t>
        </is>
      </c>
      <c r="H43" t="inlineStr"/>
      <c r="I43"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4">
      <c r="A44" t="inlineStr">
        <is>
          <t>li-4342595277</t>
        </is>
      </c>
      <c r="B44" t="inlineStr">
        <is>
          <t>Lead Data Engineer, Health Data Platforms</t>
        </is>
      </c>
      <c r="C44" t="inlineStr">
        <is>
          <t>Guidehouse</t>
        </is>
      </c>
      <c r="D44" t="inlineStr">
        <is>
          <t>linkedin</t>
        </is>
      </c>
      <c r="E44" t="inlineStr"/>
      <c r="F44" t="inlineStr"/>
      <c r="G44" t="inlineStr">
        <is>
          <t>Bethesda, MD</t>
        </is>
      </c>
      <c r="H44" t="inlineStr"/>
      <c r="I44" t="inlineStr">
        <is>
          <t>**Job Family**
 Database Administration (Digital)
**Travel Required**
 None
**Clearance Required**
 Ability to Obtain Public Trust
**What You Will Do**
 We are searching for Lead Data Engineer, Health Data Platforms to support future opportunities. The person filling this role will build, scale, and maintain national\-scale data pipelines, integrations, and storage solutions that power laboratory, research, and healthcare operations. They will lead the modernization and harmonization of diverse clinical data, ensuring interoperability, data quality, and compliance across platforms. This position will be based in Bethesda, MD.
* Architect and modernize robust, disease\-agnostic data acquisition and ingestion pipelines for large\-scale, heterogeneous healthcare data (e.g., EHRs, claims, registries, geospatial data).
* Design, implement, and maintain ETL/ELT pipelines across cloud platforms (AWS, Azure, GCP).
* Design and maintain scalable, reliable, and flexible applications using TypeScript, NodeJS, Angular, and RESTful web services to support data workflows.
* Integrate data sources including ELN, LIMS, sample tracking software, web\-based portals, and REST APIs.
* Maintain and enhance data harmonization pipelines such as OMOP, improve interoperability among data models including OMOP, PCORNet, and FHIR, and ensure consistency and alignment for critical data types to support master data integration and harmonization.
* Implement and manage data storage solutions (data lakes, warehouses) utilizing the appropriate partitioning, security, and lifecycle policies.
* Champion data quality and governance standards through the development of sophisticated data quality frameworks, dashboards, and feedback loops to ensure transparency in data completeness, consistency, and quality for partners and researchers.
* Optimize pipeline performance, reliability, and cost by establishing monitoring and alerting functions.
* Innovate with advanced technologies: integrate new data sources (e.g., national mortality data, CMS), link datasets, and build processes for novel data types (geospatial, environmental).
* Collaborate with informatics, bioinformatics, and platform teams to define data models and SLAs.
* Provide technical leadership and mentorship
* Translate scientific needs into technical solutions in an agile, mission\-focused environment.
* Implement CI/CD for data workflows and infrastructure\-as\-code (e.g., Terraform, ARM, CloudFormation).
* Document data architectures, lineage, and standards.
**What You Will Need**
* Bachelor’s degree in Computer Science, Engineering, Data Engineering, Bioinformatics, or related field.
* A minimum of EIGHT (8\) years of hands\-on data engineering experience
* Deep, practical knowledge of healthcare data, common data models (OMOP, FHIR), and clinical terminologies (such as ICD, SNOMED, RxNorm).
* Solid experience with big data technologies (Apache Spark, Hadoop), containerization (Docker), and reproducible/scalable workflows.
* Hands\-on experience with cloud services and REST API integrations.
* Strong SQL, Python, and version control (Git) skills.
* Experience with privacy\-preserving record linkage (PPRL), federated data systems, and regulated environments (FISMA, HIPAA).
**What Would Be Nice To Have**
* Master’s degree is preferred
* Designing/deploying data solutions on cloud platforms (AWS, GCP, Azure).
* Proficiency with workflow management systems (Nextflow, Snakemake, Airflow).
* Experience with regulated environments (GxP, 21 CFR Part 11\) and data governance.
* Proficiency with modern data tools (e.g., Spark/Databricks, Airflow, dbt, Kafka) is a plus.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45">
      <c r="A45" t="inlineStr">
        <is>
          <t>li-4370971324</t>
        </is>
      </c>
      <c r="B45" t="inlineStr">
        <is>
          <t>Data Platform Engineer</t>
        </is>
      </c>
      <c r="C45" t="inlineStr">
        <is>
          <t>Deloitte</t>
        </is>
      </c>
      <c r="D45" t="inlineStr">
        <is>
          <t>linkedin</t>
        </is>
      </c>
      <c r="E45" t="inlineStr"/>
      <c r="F45" t="inlineStr"/>
      <c r="G45" t="inlineStr">
        <is>
          <t>Stamford, CT</t>
        </is>
      </c>
      <c r="H45" t="inlineStr"/>
      <c r="I45"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6">
      <c r="A46" t="inlineStr">
        <is>
          <t>li-4370964643</t>
        </is>
      </c>
      <c r="B46" t="inlineStr">
        <is>
          <t>Data Platform Engineer</t>
        </is>
      </c>
      <c r="C46" t="inlineStr">
        <is>
          <t>Deloitte</t>
        </is>
      </c>
      <c r="D46" t="inlineStr">
        <is>
          <t>linkedin</t>
        </is>
      </c>
      <c r="E46" t="inlineStr"/>
      <c r="F46" t="inlineStr"/>
      <c r="G46" t="inlineStr">
        <is>
          <t>Kansas City, MO</t>
        </is>
      </c>
      <c r="H46" t="inlineStr"/>
      <c r="I46"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7">
      <c r="A47" t="inlineStr">
        <is>
          <t>li-4370964662</t>
        </is>
      </c>
      <c r="B47" t="inlineStr">
        <is>
          <t>Cyber Data Engineer</t>
        </is>
      </c>
      <c r="C47" t="inlineStr">
        <is>
          <t>Deloitte</t>
        </is>
      </c>
      <c r="D47" t="inlineStr">
        <is>
          <t>linkedin</t>
        </is>
      </c>
      <c r="E47" t="inlineStr"/>
      <c r="F47" t="inlineStr"/>
      <c r="G47" t="inlineStr">
        <is>
          <t>Austin, TX</t>
        </is>
      </c>
      <c r="H47" t="inlineStr"/>
      <c r="I47"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Cyber Data Engineer designs, builds, and operates security data pipelines that move and transform telemetry across the cybersecurity stack, with a strong emphasis on Cribl (preferred) and related integrations. This role is critical to ensure security data is reliably collected, normalized, routed, and delivered to downstream platforms (e.g., Enterprise Log Manager (ELM) / Security Information and Event Management (SIEM), Endpoint Detection and Response (EDR)), enabling effective detection, response, and compliance reporting.
 As security analytics needs to expand, the Cyber Data Engineer partners with system owners and security stakeholders to onboard sources, improve data quality, and ensure logging and monitoring objectives are met across both cloud and on\-prem environments.
 Key Responsibilities:
* Engineer and maintain security data pipelines (Cribl and/or equivalent) for ingestion, parsing, enrichment, filtering, routing, and delivery to ELM/SIEM and related platforms.
* Integrate event feeds using common transport patterns (e.g., syslog) and validate end\-to\-end data flow, timing, completeness, and correctness.
* Implement data transformations and normalization to support analytics and detection use cases (e.g., consistent fields, time alignment, source attribution).
* Operate and troubleshoot pipeline services, including performance tuning, backlog/latency reduction, and resilience/high\-availability considerations.
* Collaborate with SIEM/ELM engineers, SOC (Security Operations Center) teams, and system owners to support onboarding, use\-case enablement, and ongoing data quality improvements.
* Support detection and incident response automation by ensuring required data elements are present, consistent, and delivered to the right destinations.
* Create and maintain documentation (architecture/data flow diagrams, pipeline configurations, onboarding guides, SOPs, and troubleshooting runbooks).
* Participate in change control processes: implementation planning, testing/validation, and post\-deployment verification.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 Ability to obtain Public Trust clearance.
* Ability to travel 25%, on average, based on the work you do and the clients and industries/sectors you serve
* Must be legally authorized to work in the United States without the need for employer sponsorship, now or at any time in the future
* 4\+ years of experience in at least five or more of the following:
+ Managing and engineering data pipelines (Cribl preferred; equivalent tools accepted).
+ Solid experience with SIEM ingestion, data transformation, and platform integration.
+ Hands\-on experience integrating event feeds with ELM/SIEM systems using syslog (and related patterns).
+ Proven ability to create and maintain pipeline and deployment documentation.
+ Knowledge of threat/incident detection automation concepts in ELM/SIEM contexts (e.g., ensuring telemetry supports correlation and alerting).
+ Working knowledge of Splunk and familiarity with CrowdStrike Falcon platform features.
+ Familiarity with both cloud and on\-premises data environments.
+ Strong problem\-solving skills, technical writing/documentation discipline, and effective cross\-team communication.
+ Experience with data governance for security telemetry (data quality checks, schemas/standards, retention considerations).
+ Scripting/automation experience to support pipeline operations and repeatable deployments.
+ Experience supporting high\-volume telemetry and multiple downstream destinations (security analytics, storage, compliance reporting).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8">
      <c r="A48" t="inlineStr">
        <is>
          <t>li-4365366130</t>
        </is>
      </c>
      <c r="B48" t="inlineStr">
        <is>
          <t>Front &amp; Middle Office Data Engineer - Alpha, AVP</t>
        </is>
      </c>
      <c r="C48" t="inlineStr">
        <is>
          <t>State Street</t>
        </is>
      </c>
      <c r="D48" t="inlineStr">
        <is>
          <t>linkedin</t>
        </is>
      </c>
      <c r="E48" t="inlineStr"/>
      <c r="F48" t="inlineStr"/>
      <c r="G48" t="inlineStr">
        <is>
          <t>Quincy, MA</t>
        </is>
      </c>
      <c r="H48" t="inlineStr"/>
      <c r="I48" t="inlineStr">
        <is>
          <t>**Who We Are Looking For**
 We are looking for an experienced individual to lead projects in design, implementation and represent Alpha’s requirements with the client reporting team. The incumbent will work with operations teams, technology teams and clients to deliver various projects.
 In this role you will lead the efforts to analyze business requirements and technical solutions to deliver high quality data solutions to our clients.
 This position will interface with data experts, data sourcing resources and assist in the validation of required data. The incumbent will serve as the primary subject matter expert across the Alpha organization and assist with development schedules, prioritization and requirements gathering with our client reporting project team.
 Ensure project activity is customer focused, result orientated and performance driven.
**Why this role is important to us**
 We gather data from multiple sources internally and externally (IBOR, ABOR, performance, market data vendors and client supplied data), and make that data available for consumption by our clients. Clients will have direct access to their data in ADP.
**What You Will Be Responsible For**
* Lead projects in design and implementation of data flow and data accuracy. Work with operations, clients, and technology to deliver various projects.
* Analyze technical solutions to business requirements and work with the business teams to identify requirements.
* Develop data, functional requirements, and estimates for deploying new capabilities.
* Participate in information delivery and business intelligence strategy sessions.
* Complete data analysis, profiling, and data mappings.
* Interface with data experts, data sourcing resources and assist in the data validation.
* Assist in the development the conceptual/logical data models with appropriate business contexts.
* Perform gap analysis on complex financial data.
* Ensure project activity is customer focused, results oriented, performance driven, and in compliance with all applicable internal and external requirements.
* Employ analytical, conceptual, and creative thinking skills to improve performance.
* Study, evaluate, and document current and future business processes while staying aligned with strategic goals.
* Support user training, documentation, and rollout
* Support overall project management and business strategy related to information delivery.
* Maintain effective working relationships with organizational team and clients.
**What We Value**
 These skills will help you succeed in this role.
* Ability to write SQL code for strong data analysis through queries, data profiling, and data validation exercises.
* Understands BI/reporting tool architecture, functions, and features.
* Demonstrated excellence in business writing, development of business process flow diagrams, making comparisons regarding current and future processes, and effective communication.
* Ability to articulate basic project methodology concepts using either SDLC or Agile
* Ability to analyze entity\-relationship diagrams and logical data models to validate design against requirements.
* Familiarity with financial reporting, business intelligence, and data warehousing principles
* Excellent oral and written communication skills for diverse audiences with excellent facilitation
**Education \&amp; Preferred Qualifications**
* Bachelor's degree in Business, Accounting, Finance, MIS, Information Technology, or related field of study
* 7\+ years’ experience data analysis or client reporting
**Salary Range**
 $80,000 \- $140,000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R\-780133</t>
        </is>
      </c>
    </row>
    <row r="49">
      <c r="A49" t="inlineStr">
        <is>
          <t>li-4370977229</t>
        </is>
      </c>
      <c r="B49" t="inlineStr">
        <is>
          <t>Cyber Data Engineer</t>
        </is>
      </c>
      <c r="C49" t="inlineStr">
        <is>
          <t>Deloitte</t>
        </is>
      </c>
      <c r="D49" t="inlineStr">
        <is>
          <t>linkedin</t>
        </is>
      </c>
      <c r="E49" t="inlineStr"/>
      <c r="F49" t="inlineStr"/>
      <c r="G49" t="inlineStr"/>
      <c r="H49" t="inlineStr"/>
      <c r="I49"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Cyber Data Engineer designs, builds, and operates security data pipelines that move and transform telemetry across the cybersecurity stack, with a strong emphasis on Cribl (preferred) and related integrations. This role is critical to ensure security data is reliably collected, normalized, routed, and delivered to downstream platforms (e.g., Enterprise Log Manager (ELM) / Security Information and Event Management (SIEM), Endpoint Detection and Response (EDR)), enabling effective detection, response, and compliance reporting.
 As security analytics needs to expand, the Cyber Data Engineer partners with system owners and security stakeholders to onboard sources, improve data quality, and ensure logging and monitoring objectives are met across both cloud and on\-prem environments.
 Key Responsibilities:
* Engineer and maintain security data pipelines (Cribl and/or equivalent) for ingestion, parsing, enrichment, filtering, routing, and delivery to ELM/SIEM and related platforms.
* Integrate event feeds using common transport patterns (e.g., syslog) and validate end\-to\-end data flow, timing, completeness, and correctness.
* Implement data transformations and normalization to support analytics and detection use cases (e.g., consistent fields, time alignment, source attribution).
* Operate and troubleshoot pipeline services, including performance tuning, backlog/latency reduction, and resilience/high\-availability considerations.
* Collaborate with SIEM/ELM engineers, SOC (Security Operations Center) teams, and system owners to support onboarding, use\-case enablement, and ongoing data quality improvements.
* Support detection and incident response automation by ensuring required data elements are present, consistent, and delivered to the right destinations.
* Create and maintain documentation (architecture/data flow diagrams, pipeline configurations, onboarding guides, SOPs, and troubleshooting runbooks).
* Participate in change control processes: implementation planning, testing/validation, and post\-deployment verification.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 Ability to obtain Public Trust clearance.
* Ability to travel 25%, on average, based on the work you do and the clients and industries/sectors you serve
* Must be legally authorized to work in the United States without the need for employer sponsorship, now or at any time in the future
* 4\+ years of experience in at least five or more of the following:
+ Managing and engineering data pipelines (Cribl preferred; equivalent tools accepted).
+ Solid experience with SIEM ingestion, data transformation, and platform integration.
+ Hands\-on experience integrating event feeds with ELM/SIEM systems using syslog (and related patterns).
+ Proven ability to create and maintain pipeline and deployment documentation.
+ Knowledge of threat/incident detection automation concepts in ELM/SIEM contexts (e.g., ensuring telemetry supports correlation and alerting).
+ Working knowledge of Splunk and familiarity with CrowdStrike Falcon platform features.
+ Familiarity with both cloud and on\-premises data environments.
+ Strong problem\-solving skills, technical writing/documentation discipline, and effective cross\-team communication.
+ Experience with data governance for security telemetry (data quality checks, schemas/standards, retention considerations).
+ Scripting/automation experience to support pipeline operations and repeatable deployments.
+ Experience supporting high\-volume telemetry and multiple downstream destinations (security analytics, storage, compliance reporting).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0">
      <c r="A50" t="inlineStr">
        <is>
          <t>li-4370985161</t>
        </is>
      </c>
      <c r="B50" t="inlineStr">
        <is>
          <t>Cyber Data Engineer</t>
        </is>
      </c>
      <c r="C50" t="inlineStr">
        <is>
          <t>Deloitte</t>
        </is>
      </c>
      <c r="D50" t="inlineStr">
        <is>
          <t>linkedin</t>
        </is>
      </c>
      <c r="E50" t="inlineStr"/>
      <c r="F50" t="inlineStr"/>
      <c r="G50" t="inlineStr">
        <is>
          <t>Seattle, WA</t>
        </is>
      </c>
      <c r="H50" t="inlineStr"/>
      <c r="I50"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Cyber Data Engineer designs, builds, and operates security data pipelines that move and transform telemetry across the cybersecurity stack, with a strong emphasis on Cribl (preferred) and related integrations. This role is critical to ensure security data is reliably collected, normalized, routed, and delivered to downstream platforms (e.g., Enterprise Log Manager (ELM) / Security Information and Event Management (SIEM), Endpoint Detection and Response (EDR)), enabling effective detection, response, and compliance reporting.
 As security analytics needs to expand, the Cyber Data Engineer partners with system owners and security stakeholders to onboard sources, improve data quality, and ensure logging and monitoring objectives are met across both cloud and on\-prem environments.
 Key Responsibilities:
* Engineer and maintain security data pipelines (Cribl and/or equivalent) for ingestion, parsing, enrichment, filtering, routing, and delivery to ELM/SIEM and related platforms.
* Integrate event feeds using common transport patterns (e.g., syslog) and validate end\-to\-end data flow, timing, completeness, and correctness.
* Implement data transformations and normalization to support analytics and detection use cases (e.g., consistent fields, time alignment, source attribution).
* Operate and troubleshoot pipeline services, including performance tuning, backlog/latency reduction, and resilience/high\-availability considerations.
* Collaborate with SIEM/ELM engineers, SOC (Security Operations Center) teams, and system owners to support onboarding, use\-case enablement, and ongoing data quality improvements.
* Support detection and incident response automation by ensuring required data elements are present, consistent, and delivered to the right destinations.
* Create and maintain documentation (architecture/data flow diagrams, pipeline configurations, onboarding guides, SOPs, and troubleshooting runbooks).
* Participate in change control processes: implementation planning, testing/validation, and post\-deployment verification.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 Ability to obtain Public Trust clearance.
* Ability to travel 25%, on average, based on the work you do and the clients and industries/sectors you serve
* Must be legally authorized to work in the United States without the need for employer sponsorship, now or at any time in the future
* 4\+ years of experience in at least five or more of the following:
+ Managing and engineering data pipelines (Cribl preferred; equivalent tools accepted).
+ Solid experience with SIEM ingestion, data transformation, and platform integration.
+ Hands\-on experience integrating event feeds with ELM/SIEM systems using syslog (and related patterns).
+ Proven ability to create and maintain pipeline and deployment documentation.
+ Knowledge of threat/incident detection automation concepts in ELM/SIEM contexts (e.g., ensuring telemetry supports correlation and alerting).
+ Working knowledge of Splunk and familiarity with CrowdStrike Falcon platform features.
+ Familiarity with both cloud and on\-premises data environments.
+ Strong problem\-solving skills, technical writing/documentation discipline, and effective cross\-team communication.
+ Experience with data governance for security telemetry (data quality checks, schemas/standards, retention considerations).
+ Scripting/automation experience to support pipeline operations and repeatable deployments.
+ Experience supporting high\-volume telemetry and multiple downstream destinations (security analytics, storage, compliance reporting).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1">
      <c r="A51" t="inlineStr">
        <is>
          <t>li-4370972295</t>
        </is>
      </c>
      <c r="B51" t="inlineStr">
        <is>
          <t>Cyber Data Engineer</t>
        </is>
      </c>
      <c r="C51" t="inlineStr">
        <is>
          <t>Deloitte</t>
        </is>
      </c>
      <c r="D51" t="inlineStr">
        <is>
          <t>linkedin</t>
        </is>
      </c>
      <c r="E51" t="inlineStr"/>
      <c r="F51" t="inlineStr"/>
      <c r="G51" t="inlineStr">
        <is>
          <t>Atlanta, GA</t>
        </is>
      </c>
      <c r="H51" t="inlineStr"/>
      <c r="I51"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Cyber Data Engineer designs, builds, and operates security data pipelines that move and transform telemetry across the cybersecurity stack, with a strong emphasis on Cribl (preferred) and related integrations. This role is critical to ensure security data is reliably collected, normalized, routed, and delivered to downstream platforms (e.g., Enterprise Log Manager (ELM) / Security Information and Event Management (SIEM), Endpoint Detection and Response (EDR)), enabling effective detection, response, and compliance reporting.
 As security analytics needs to expand, the Cyber Data Engineer partners with system owners and security stakeholders to onboard sources, improve data quality, and ensure logging and monitoring objectives are met across both cloud and on\-prem environments.
 Key Responsibilities:
* Engineer and maintain security data pipelines (Cribl and/or equivalent) for ingestion, parsing, enrichment, filtering, routing, and delivery to ELM/SIEM and related platforms.
* Integrate event feeds using common transport patterns (e.g., syslog) and validate end\-to\-end data flow, timing, completeness, and correctness.
* Implement data transformations and normalization to support analytics and detection use cases (e.g., consistent fields, time alignment, source attribution).
* Operate and troubleshoot pipeline services, including performance tuning, backlog/latency reduction, and resilience/high\-availability considerations.
* Collaborate with SIEM/ELM engineers, SOC (Security Operations Center) teams, and system owners to support onboarding, use\-case enablement, and ongoing data quality improvements.
* Support detection and incident response automation by ensuring required data elements are present, consistent, and delivered to the right destinations.
* Create and maintain documentation (architecture/data flow diagrams, pipeline configurations, onboarding guides, SOPs, and troubleshooting runbooks).
* Participate in change control processes: implementation planning, testing/validation, and post\-deployment verification.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 Ability to obtain Public Trust clearance.
* Ability to travel 25%, on average, based on the work you do and the clients and industries/sectors you serve
* Must be legally authorized to work in the United States without the need for employer sponsorship, now or at any time in the future
* 4\+ years of experience in at least five or more of the following:
+ Managing and engineering data pipelines (Cribl preferred; equivalent tools accepted).
+ Solid experience with SIEM ingestion, data transformation, and platform integration.
+ Hands\-on experience integrating event feeds with ELM/SIEM systems using syslog (and related patterns).
+ Proven ability to create and maintain pipeline and deployment documentation.
+ Knowledge of threat/incident detection automation concepts in ELM/SIEM contexts (e.g., ensuring telemetry supports correlation and alerting).
+ Working knowledge of Splunk and familiarity with CrowdStrike Falcon platform features.
+ Familiarity with both cloud and on\-premises data environments.
+ Strong problem\-solving skills, technical writing/documentation discipline, and effective cross\-team communication.
+ Experience with data governance for security telemetry (data quality checks, schemas/standards, retention considerations).
+ Scripting/automation experience to support pipeline operations and repeatable deployments.
+ Experience supporting high\-volume telemetry and multiple downstream destinations (security analytics, storage, compliance reporting).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2">
      <c r="A52" t="inlineStr">
        <is>
          <t>li-4309173769</t>
        </is>
      </c>
      <c r="B52" t="inlineStr">
        <is>
          <t>Associate Director, Data Engineering</t>
        </is>
      </c>
      <c r="C52" t="inlineStr">
        <is>
          <t>S&amp;P Global</t>
        </is>
      </c>
      <c r="D52" t="inlineStr">
        <is>
          <t>linkedin</t>
        </is>
      </c>
      <c r="E52" t="inlineStr"/>
      <c r="F52" t="inlineStr"/>
      <c r="G52" t="inlineStr">
        <is>
          <t>Princeton, NJ</t>
        </is>
      </c>
      <c r="H52" t="inlineStr"/>
      <c r="I52" t="inlineStr">
        <is>
          <t>**About The Role**
**Grade Level (for internal use):**
 12
**Job Description**
 S\&amp;P Dow Jones Indices is seeking a Sr. Lead Data Engineer with expertise in Databricks/AWS EMR and distributed big data processing technologies to be a key player in the implementation and support of data platforms for S\&amp;P Dow Jones Indices. This role requires a seasoned technologist who contributes to application development and maintenance. The candidate should actively evaluate new products and technologies to build solutions that streamline business operations. The candidate must be delivery\-focused with solid financial applications experience. The candidate will assist in day\-to\-day support and operations functions, design, development, and unit testing.
**Responsibilities And Impact**
* Lead the design and implementation of distributed data processing workloads using Python, including data access from relational databases and cloud storage technologies.
* Ensure performance, security, and reliability; coordinate with application teams to define database design.
* Collaborate with cross\-functional teams to support data\-driven initiatives.
* Mentor junior team members and promote best practices.
* Oversee maintenance and troubleshooting of distributed data processing systems.
* Drive innovation by evaluating and integrating new technologies.
* Produce system design documents and participate in technical walkthroughs.
* Perform application and system performance tuning and troubleshoot performance issues.
* Effectively interact with global customers, business users, and IT staff.
**Compensation/Benefits Information (US Applicants Only)**
 S\&amp;P Global states that the anticipated base salary range for this position is $127,000 \- $185,000\. The final base salary for this role will be based on the individual’s geographic location, experience level, skill set, training, licenses, and certifications.
 In addition to base compensation, this role is eligible for an annual incentive plan. This role is eligible to receive additional S\&amp;P Global benefits. For more information on the benefits that we provide to our employees, please click here.
**What We’re Looking For**
**Basic Required Qualifications:**
* Bachelor’s degree in Computer Science, Information Systems, Engineering, or equivalent work experience.
* 10\+ years of IT experience in application support or development.
* Design \&amp; build ingestion pipelines using ETL/ELT and schema\-on\-read in data lake technologies.
* Experience in designing transactional systems, data warehouses, data lakes, and data integrations within a big data ecosystem, particularly leveraging cloud technologies.
* Provide technical expertise in the design and implementation of data ingestion pipelines with modern AWS cloud and other technologies such as S3, Hive, Databricks, Scala, Python, and large\-scale data analytics tools.
* Strong experience in managing distributed data processing workloads, including configurations.
* Experience in working with multi\-threaded, high\-performance, low\-latency messaging systems.
* Experience in AWS cloud\-based technologies.
* Experience using system tools, source control systems, utilities, and third\-party products.
* Excellent communication skills, with strong verbal and writing proficiencies.
**Additional Preferred Qualifications**
* Proficiency in building data analytics solutions on AWS Cloud.
* Thorough understanding of replication strategies and implementation of high\-availability protocols for 99\.99% uptime.
* Experience with implementation of data governance and data lineage.
* Proficiency in implementing data models in SQL and NoSQL databases.
* Experience with financial applications such as Index/Benchmarks, Asset Management, Portfolio Investment modeling, or trading systems.
* Experience with microservice and serverless architecture implementation.
**About S\&amp;P Global Dow Jones Indices**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and the Dow Jones Industrial Average®.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
**Job ID:** 
 319885
**Posted On:** 
 2026\-01\-15
**Location:** 
 New York, New York, United States</t>
        </is>
      </c>
    </row>
    <row r="53">
      <c r="A53" t="inlineStr">
        <is>
          <t>li-4370924518</t>
        </is>
      </c>
      <c r="B53" t="inlineStr">
        <is>
          <t>Senior Software Engineer - Data Engineering - Moloco Commerce Media</t>
        </is>
      </c>
      <c r="C53" t="inlineStr">
        <is>
          <t>Moloco</t>
        </is>
      </c>
      <c r="D53" t="inlineStr">
        <is>
          <t>linkedin</t>
        </is>
      </c>
      <c r="E53" t="inlineStr"/>
      <c r="F53" t="inlineStr"/>
      <c r="G53" t="inlineStr">
        <is>
          <t>Menlo Park, CA</t>
        </is>
      </c>
      <c r="H53" t="inlineStr"/>
      <c r="I53"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You will be responsible for developing an ML\-based online advertising platform for the rapidly growing retail media industry.
* You will play a pivotal role designing, developing and optimizing the data infrastructure and pipelines to build robust and scalable solutions that power Moloco’s data\-driven products.
* You will mentor others on the team and have the opportunity to lead high impact projects.
**The Opportunity**
* Design and develop complex data pipelines and ETL processes for manipulating and managing big data.
* Improve cost effectiveness of data pipelines, storage, and databases, both independently and in collaboration with cross\-functional teams.
* Design and implement data quality and governance processes to ensure data accuracy, consistency, and compliance.
* Enhance system scalability, availability, and performance across Moloco Commerce Media’s data infrastructure.
* Develop internal tools to boost developer productivity and system efficiency.
* Participate in cross\-functional projects and initiatives, providing technical expertise and guidance.
* Collaborate with teams such as Infrastructure, Machine Learning, Data Science, Analytics, and Production to build the best ad platform.
* Tech lead a small team to contribute to high\-impact projects.
**How Do I Know if the Role is Right For Me?**
* Bring 6\+ years of software engineering experience using modern languages such as Java, C\#, Go, C\+\+, Python, and foundational SQL knowledge, with proficiency in SQL or NoSQL database technologies.
* Demonstrate experience with computer systems architecture, operating systems, or distributed systems.
* Possess extensive experience with cloud platforms (e.g., AWS, Azure, Google Cloud) or equivalent on\-premise systems.
* Apply strong programming fundamentals, testing practices, and knowledge of common algorithms and data structures.
* Exhibit system design and development skills, especially in large\-scale environments.
* Work with at least one of the following: data modeling, analytics, data management, or big data processing/MapReduce.
* Display strong analytical and troubleshooting skills in ambiguous or evolving environments.
* Maintain a growth mindset, staying updated on emerging technologies and industry trends, and sharing knowledge with others.
* Communicate and collaborate effectively across teams.
* Deep, hands\-on experience in ads infrastructure (bidding, pacing, budget optimization, or measurement) at large revenue scale a plus.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$184,000—$244,000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54">
      <c r="A54" t="inlineStr">
        <is>
          <t>li-4364365630</t>
        </is>
      </c>
      <c r="B54" t="inlineStr">
        <is>
          <t>Senior Data Engineer</t>
        </is>
      </c>
      <c r="C54" t="inlineStr">
        <is>
          <t>Xealth</t>
        </is>
      </c>
      <c r="D54" t="inlineStr">
        <is>
          <t>linkedin</t>
        </is>
      </c>
      <c r="E54" t="inlineStr"/>
      <c r="F54" t="inlineStr"/>
      <c r="G54" t="inlineStr">
        <is>
          <t>Seattle, WA</t>
        </is>
      </c>
      <c r="H54" t="inlineStr"/>
      <c r="I54" t="inlineStr">
        <is>
          <t>**Our Mission \&amp; Culture**
 At Xealth, we're revolutionizing healthcare by leveraging data and automation to empower care providers (building on EHRs such as Epic and Cerner) to seamlessly prescribe, deliver, and monitor digital health for patients. We are a detail\-oriented team, committed to maintaining the highest standards while moving with agility and impact.
 We are a highly skilled, collaborative, and passionate group, applying our expertise to improve health outcomes for millions. We believe in shared ownership and are looking for a team player who is a self\-starter and self\-driven to pioneer the next generation of intelligent, automated data insights.
 This role offers a unique opportunity to join a data engineering team to advance our capabilities with data processing pipelines and our analytics product offering. There is a strong preference for this person to sit in the Seattle office; however, we are open to candidates in other locations within the United States.
**What You'll Own And Deliver (Responsibilities)**
 As a core member of our data engineering team, you will design, build, and scale the services that power Xealth’s Analytics and Reporting Capabilities. You’ll apply solid computer science fundamentals to solve complex problems in distributed systems, data modeling, and data pipelines.
* Data Modeling: Execute expert\-level Data Modeling and Design, utilizing dimensional modeling and denormalization techniques specifically for analytic workloads.
* Data Ingestion: Ability to consume and process high\-volume bounded and unbounded data, build robust Change Data Capture (CDC) mechanisms, and gather data from API calls and webhooks.
* Pipeline Design \&amp; Orchestration: Design, build, and optimize high\-volume, real\-time Streaming Data Pipelines utilizing PySpark and Databricks environments.
* Scalability \&amp; Maintenance: Maintain and scale large Data Lake Pipelines, ensuring high performance and cost\-efficiency.
* Unit testing \&amp; Quality Assurance: Write comprehensive unit and integration tests for data pipelines to ensure code quality and production reliability.
* Cross\-Functional Collaboration: Partner with product managers and EHR specialists to translate clinical user behaviors into rich, analytical datasets, unlocking critical insights that drive evidence\-based improvements in healthcare processes.
* Technical Leadership: Contribute to code reviews, system design discussions, and technical decisions that raise the engineering bar across the team.
* Automation and AI in Development: Use AI\-assisted coding tools like GitHub Copilot to streamline development, increase quality, and accelerate delivery.
**The Expertise You'll Bring (Requirements)**
 We’re looking for a data engineer with strong computer science fundamentals. Someone who’s comfortable reasoning about systems, data, and code structure at scale, and who’s excited to apply those skills in healthcare.
**Core Technical Competencies**
* Data Engineering Expertise: 5\+ years of professional experience building production\-grade data pipelines and applications, with expert proficiency in Python, PySpark and SQL. Familiarity with JavaScript would be a plus. You must have solid hands\-on experience working with modern massively parallel data processing systems.
* CS Fundamentals: Deep understanding of algorithms and data structures, with a specific focus on distributed computing principles (concurrency, partitioning, shuffling) necessary for processing large\-scale datasets.
* Optimization \&amp; Troubleshooting: Proficient in diagnosing complex failures in distributed processing jobs (e.g., Spark executor errors, memory leaks, data skew) using logs, distributed tracing, and performance metrics.
* Modern SQL and Non\-SQL Database Design: Deep practical knowledge of open table formats, such as Delta Lake. Proficiency with common big data file formats, including Apache Parquet and Apache Avro.
* Infrastructure as Code (IaC): Experience implementing IaC principles and tools for the automated deployment and management of data pipelines.
* API \&amp; Integration: Hands\-on experience designing robust data ingestion frameworks via RESTful APIs and building event\-driven architectures for real\-time data flow.
* Cloud \&amp; Distributed Systems: Experience designing and scaling cloud\-native data platforms and orchestrating data workloads using AWS and Kubernetes.
**Highly Valued Experience (Nice To Have)**
* Security \&amp; Governance: Prior experience in regulated industry with high security requirements. A good working understanding of Data Security principles, particularly regarding Protected Health Information (PHI) and sensitive data governance.
* Real Time Stream Processing: Expertise building streaming data pipelines, leveraging stream processors such as Apache Kafka and Apache Flink
* Observability: Experience implementing and utilizing Data Observability tools and practices to monitor data quality, lineage, and pipeline health.
* Visualization: Experience building dashboards and visualizations to communicate data insights effectively
**About Xealth**
* Xealth created the leading digital health platform helping health systems deliver connected, personalized care at scale. Embedded in the EHR, it enables clinicians to prescribe, automate, and measure the impact of digital tools\-\-including apps, services, and wearable data\-\-within existing workflows. Now part of Samsung's connected care vision, Xealth enhances decision\-making, reduces friction, and supports enterprise\-wide digital health strategies. Trusted by more than 500 hospitals and 70\+ solution partners, Xealth provides a scalable foundation for delivering connected, personalized, and preventative care\-\-empowering health systems to drive outcomes, engagement, and operational efficiency while advancing digital transformation.
* Xealth has been named to the World's Best Digital Health Companies list by Newsweek, awarded gold in the Digital Health awards in 2024 and twice in 2023\. In 2023 Xealth was also listed as one of BuiltIn's Best Places to Work, and one of Fierce Healthcare's Fierce 15 of 2023\.
* We’re looking for a data engineer with strong computer science fundamentals — someone who’s comfortable reasoning about systems, data, and code structure at scale, and who’s excited to apply those skills in healthcare.
**Compensation \&amp; Benefits**
 Xealth offers a multi\-tiered approach when constructing a highly competitive compensation package. The compensation package would include a base salary, bonus, and a comprehensive suite of benefits. The base salary compensation range for this position is $155,000 \- $225,000, depending on geographic market.
 Paid parental leave.
 Comprehensive medical, dental, and vision policies. Xealth covers 100% of employee premiums. We also provide Employee Assistance Programs.
 Xealth provides your laptop and offers a home office stipend.
 Generous learning \&amp; development opportunities for you to grow your skills and career.
 401k Match: Xealth offers a dollar\-for\-dollar match up to 3%.
 Flexible time off \&amp; 10 standardized holidays.
 $500 yearly fitness stipend to spend on staying active.
*Xealth is committed to providing reasonable accommodations for qualified individuals with disabilities and disabled veterans in our job application procedures.*
* Please note \- you MUST be a U.S. Citizen or Permanent Resident to be hired\*</t>
        </is>
      </c>
    </row>
    <row r="55">
      <c r="A55" t="inlineStr">
        <is>
          <t>li-4370654851</t>
        </is>
      </c>
      <c r="B55" t="inlineStr">
        <is>
          <t>Analytics Engineer</t>
        </is>
      </c>
      <c r="C55" t="inlineStr">
        <is>
          <t>RemoteHunter</t>
        </is>
      </c>
      <c r="D55" t="inlineStr">
        <is>
          <t>linkedin</t>
        </is>
      </c>
      <c r="E55" t="inlineStr"/>
      <c r="F55" t="inlineStr"/>
      <c r="G55" t="inlineStr"/>
      <c r="H55" t="inlineStr"/>
      <c r="I55"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6">
      <c r="A56" t="inlineStr">
        <is>
          <t>li-4370679022</t>
        </is>
      </c>
      <c r="B56" t="inlineStr">
        <is>
          <t>Entry Level Data Engineer</t>
        </is>
      </c>
      <c r="C56" t="inlineStr">
        <is>
          <t>Revature</t>
        </is>
      </c>
      <c r="D56" t="inlineStr">
        <is>
          <t>linkedin</t>
        </is>
      </c>
      <c r="E56" t="inlineStr"/>
      <c r="F56" t="inlineStr"/>
      <c r="G56" t="inlineStr">
        <is>
          <t>Plano, TX</t>
        </is>
      </c>
      <c r="H56" t="inlineStr"/>
      <c r="I56" t="inlineStr">
        <is>
          <t>**About Revature:** 
 This is an excellent opportunity to launch your career in the tech industry. Revature has started more than
 **15,000 tech careers** 
 , providing comprehensive training to prepare new employees for client projects. No prior technical experience is required—we provide
 **employer\-paid training** 
 designed to help you succeed.
**About the Role:** 
 Data Engineers build and maintain the infrastructure that enables organizations to collect, store, and analyze data efficiently. As an Entry\-Level Data Engineer at Revature, you will gain:
**Benefits of Working as a Data Engineer** 
* **Strong Foundation in Data Infrastructure**
* Hands\-on experience with tools and systems that power data pipelines, cloud environments, and analytics platforms.
* **Exposure to Scalable Technologies**
* Learn and work with technologies such as
 **SQL, Python, Spark** 
 , and major cloud services (
 **AWS, Azure, Google Cloud Platform** 
 ).
* **Cross\-Functional Collaboration**
* Collaborate with data analysts, data scientists, engineers, and product teams.
* **Career Growth \&amp; Specialization**
* Build a pathway toward advanced roles in data engineering, analytics, cloud engineering, or machine learning.
**What We’re Looking For** 
* Bachelor's degree or higher
* Legally authorized to work in the U.S. without current or future sponsorship
* Strong desire to learn programming (no prior professional experience required)
* Natural problem\-solving ability with strong communication and interpersonal skills
**Benefits of Joining Revature as an Entry\-Level Data Engineer** 
* Start a tech career with
 **no prior experience required**
* Competitive salary
* Paid time off (PTO)
* 401(k)
* Mentorship programs
* Experience working with the
 **largest companies in the U.S.**
* Career acceleration:
* **72%** 
 of Revature alumni receive an additional promotion
* **92%** 
 see significant salary increases after launching their Revature tech career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57">
      <c r="A57" t="inlineStr">
        <is>
          <t>li-4370940805</t>
        </is>
      </c>
      <c r="B57" t="inlineStr">
        <is>
          <t>Sr Data Engineer, AWS Marketplace &amp; Partner Services</t>
        </is>
      </c>
      <c r="C57" t="inlineStr">
        <is>
          <t>Amazon Web Services (AWS)</t>
        </is>
      </c>
      <c r="D57" t="inlineStr">
        <is>
          <t>linkedin</t>
        </is>
      </c>
      <c r="E57" t="inlineStr"/>
      <c r="F57" t="inlineStr"/>
      <c r="G57" t="inlineStr">
        <is>
          <t>Seattle, WA</t>
        </is>
      </c>
      <c r="H57" t="inlineStr"/>
      <c r="I57" t="inlineStr">
        <is>
          <t>**Description**
 We're building the future of enterprise data systems \- creating a canonical data product that serves as the single source of truth for data while enabling next\-generation AI\-powered experiences.
 This isn't just moving and managing data; it's architecting coupled, intelligent systems that power both traditional analytics and agent capabilities at scale.
 You will lead key core components of our multi\-layered data architecture spanning raw ingestion through AI\-ready semantic layers, working with modern cloud technologies. The technical challenges are substantial: distributed systems design, near real\-time processing, complex transformations, data quality frameworks, and emerging AI architecture.
 We are looking for someone who combines exceptional data engineering fundamentals with deep belief in AI capabilities \- the ideal candidate is comfortable designing systems, delivering autonomously and thinking holistically about the future of data as a product. You will collaborate across data science, analytics, and software engineering teams with real influence on architectural decisions.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 Champion and apply agentic development practices in daily work \- leveraging agent\-based assistants and tools to improve code quality and pioneer innovative approaches to data engineering challenges.
* Own the evolution of our AI\-first data platform. You will be responsible for system designs, implementing scalable frameworks, mentoring builders, and evolving data governance systems that securely enable intelligent decision\-making
* Champion data as a product and collaborate with data scientists, analysts, software and product teams to understand requirements and architect data solutions that enable both traditional analytics and agentic capabilities.
* Design and evolve data quality frameworks and validation systems to maintain trust in our canonical datasets, including automated monitoring, anomaly detection, and remediation workflows
* Design, build, and maintain scalable data pipelines that ingest, transform, and deliver high\-quality datasets across our multi\-layered architecture \- from raw data landing through production ready data marts.
* Develop and optimize data transformations using SQL and Python to support both analytical workloads and AI\-ready semantic layers, ensuring data accuracy, consistency, and performance at scale.
**Basic Qualifications**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\- 154,600\.00 \- 209,100\.00 USD annually
**Company** 
 \- Amazon Web Services, Inc.
 Job ID: A3177453</t>
        </is>
      </c>
    </row>
    <row r="58">
      <c r="A58" t="inlineStr">
        <is>
          <t>li-4370680828</t>
        </is>
      </c>
      <c r="B58" t="inlineStr">
        <is>
          <t>Data Engineer</t>
        </is>
      </c>
      <c r="C58" t="inlineStr">
        <is>
          <t>AARATECH</t>
        </is>
      </c>
      <c r="D58" t="inlineStr">
        <is>
          <t>linkedin</t>
        </is>
      </c>
      <c r="E58" t="inlineStr"/>
      <c r="F58" t="inlineStr"/>
      <c r="G58" t="inlineStr"/>
      <c r="H58" t="inlineStr"/>
      <c r="I58"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59">
      <c r="A59" t="inlineStr">
        <is>
          <t>li-4363014110</t>
        </is>
      </c>
      <c r="B59" t="inlineStr">
        <is>
          <t>Data Engineer - Manufacturing</t>
        </is>
      </c>
      <c r="C59" t="inlineStr">
        <is>
          <t>ChatGPT Jobs</t>
        </is>
      </c>
      <c r="D59" t="inlineStr">
        <is>
          <t>linkedin</t>
        </is>
      </c>
      <c r="E59" t="inlineStr"/>
      <c r="F59" t="inlineStr"/>
      <c r="G59" t="inlineStr"/>
      <c r="H59" t="inlineStr"/>
      <c r="I59" t="inlineStr">
        <is>
          <t>**Job Description**
 Data Engineer \- Manufacturing
 Foundation EGI
 Remote Nationwide,
* Remote
* Full\-Time
**Job Description**
 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Key Responsibilities
*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t>
        </is>
      </c>
    </row>
    <row r="60">
      <c r="A60" t="inlineStr">
        <is>
          <t>li-4370639639</t>
        </is>
      </c>
      <c r="B60" t="inlineStr">
        <is>
          <t>Senior Data Engineer</t>
        </is>
      </c>
      <c r="C60" t="inlineStr">
        <is>
          <t>Orange Business</t>
        </is>
      </c>
      <c r="D60" t="inlineStr">
        <is>
          <t>linkedin</t>
        </is>
      </c>
      <c r="E60" t="inlineStr"/>
      <c r="F60" t="inlineStr"/>
      <c r="G60" t="inlineStr">
        <is>
          <t>Elkhart County, IN</t>
        </is>
      </c>
      <c r="H60" t="inlineStr"/>
      <c r="I60" t="inlineStr">
        <is>
          <t>**About Us**
 Orange Business is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As part of the Big Data B2B program, OBS set up a shared Big Data platform and a Data Lake for Use cases exploration and industrialization.
 We are looking for Lead Data Engineer with 8\-10 years of experience in building Data Pipelines with below KRA(S):
* Automate, Industrialize the build and development tasks.
* Lead discussion sessions with stakeholders.
* Participate in all areas of the data Engineering life\-cycle and lead the team in requirements gathering and data mapping, systems design, data ingestion development, preparing data mapping documentation, testing and deployment, post implementation support and monitoring.
* Resolve and troubleshoot problems and complex issues.
* Provide innovative solutions to complex business problems.
* Report to and work closely with project teams and Business Analysis team on project delivery status.
* Prepare progress update and status report.
* Provide operational support, ongoing maintenance and enhancement after implementation as part of Run Management Activities.
* Implementing Best Data Integration Practices.
**About You**
* Good understanding of Big Data Ecosystem with frameworks like HADOOP, SPARK.
* Good experience handling large volume data as well as both structured/unstructured data in Streaming and Batch modes.
* High Coding proficiency in at least one modern programming language: Python, Java or Scala .
* Hands on Experience on NiFi , Hive, SQL/HQL, spark sql Oozie.
* Good Understanding of Data Integration Patterns.
* Good understanding of KAFKA, Rabbit MQ.
* Good understanding of API concepts : REST and also microservices architecture
* Experience of Devops tooling: Jenkins, Maven, GitLab, SonarQube, Docker.
* Good Understanding of Devops Concepts and various technologies like Kubernetes, Dockers, Containers.
* Good understanding of ELK stack .
* Good Understanding of Monitoring tools like Prometheus, Grafanna etc.
* Good Understanding of Cloud architecture is must. Good to be professionally certified in any of the Hyperscalers preferably Azure
* Good Experience of AGILE methods (Scrum, Kanban)
* Good understanding of JIRA.
* Understanding of Data Modelling is value addition.
* Understanding of Open Digital Architecture and TMF principles is preferrable.
* Understanding of Tools Like DSS, Jupyter Notebook is preferrable.
**What We Offer**
* Passion for software development, using tools and methods.
* Acceptance for Agile / Devops approach.
* Appetite for working in multidisciplinary teams.
* Pedagogy and appetite for mutual support.
* Curiosity, acceptance for challenge and innovation.
* Ability to bring forward proposals and ideas.
* Pragmatism, autonomy, organizational skills.
**Only Your Skills Matter**
 Regardless of your age, gender identity, race, ethnic origin, religion/belief, sexual orientation, marital status, neuroatypia, disability, veteran status or appearance, we encourage diversity within our teams because it is a strength for the collective and a vector of innovation. Orange Group is a disabled\-friendly company and equal opportunity employer: don't hesitate to tell us about your specific needs.</t>
        </is>
      </c>
    </row>
    <row r="61">
      <c r="A61" t="inlineStr">
        <is>
          <t>li-4363053827</t>
        </is>
      </c>
      <c r="B61" t="inlineStr">
        <is>
          <t>Azure Data Engineer</t>
        </is>
      </c>
      <c r="C61" t="inlineStr">
        <is>
          <t>VySystems</t>
        </is>
      </c>
      <c r="D61" t="inlineStr">
        <is>
          <t>linkedin</t>
        </is>
      </c>
      <c r="E61" t="inlineStr"/>
      <c r="F61" t="inlineStr"/>
      <c r="G61" t="inlineStr">
        <is>
          <t>Los Angeles, CA</t>
        </is>
      </c>
      <c r="H61" t="inlineStr"/>
      <c r="I61" t="inlineStr">
        <is>
          <t>**Technical Skills:** 
* Strong expertise in Databricks (Delta Lake, Unity Catalog, Lakehouse Architecture, Table Triggers, Delta Live Pipelines, Databricks Runtime etc.)
* Proficiency in Azure Cloud Services.
* Solid Understanding of Spark and PySpark for big data processing.
* Experience in relational databases.
* Knowledge on Databricks Asset Bundles and GitLab.
 Preferred Experience:
* Familiarity with Databricks Runtimes and advanced configurations.
* Knowledge of streaming frameworks like Spark Streaming.
* Experience in developing real\-time data solutions.
 Certifications:
 Azure Data Engineer Associate or Databricks certified Data Engineer Associate certification. (Optional)
**Key Responsibilities:** 
1. Data Pipeline Development:
* Build and maintain scalable ETL/ELT pipelines using Databricks.
* Leverage PySpark/Spark and SQL to transform and process large datasets.
* Integrate data from multiple sources including Azure Blob Storage, ADLS and other relational/non\-relational systems.
1. Collaboration \&amp; Analysis:
* Work Closely with multiple teams to prepare data for dashboard and BI Tools.
* Collaborate with cross\-functional teams to understand business requirements and deliver tailored data solutions.
1. Performance \&amp; Optimization:
* Optimize Databricks workloads for cost efficiency and performance.
* Monitor and troubleshoot data pipelines to ensure reliability and accuracy.
1. Governance \&amp; Security:
* Implement and manage data security, access controls and governance standards using Unity Catalog.
* Ensure compliance with organizational and regulatory data policies.
1. Deployment:
* Leverage Databricks Asset Bundles for seamless deployment of Databricks jobs, notebooks and configurations across environments.
* Manage version control for Databricks artifacts and collaborate with team to maintain development best practices.</t>
        </is>
      </c>
    </row>
    <row r="62">
      <c r="A62" t="inlineStr">
        <is>
          <t>li-4353894751</t>
        </is>
      </c>
      <c r="B62" t="inlineStr">
        <is>
          <t>Data Engineer</t>
        </is>
      </c>
      <c r="C62" t="inlineStr">
        <is>
          <t>Anblicks</t>
        </is>
      </c>
      <c r="D62" t="inlineStr">
        <is>
          <t>linkedin</t>
        </is>
      </c>
      <c r="E62" t="inlineStr"/>
      <c r="F62" t="inlineStr"/>
      <c r="G62" t="inlineStr">
        <is>
          <t>Dallas, TX</t>
        </is>
      </c>
      <c r="H62" t="inlineStr"/>
      <c r="I62" t="inlineStr">
        <is>
          <t>**Responsibilities**
* Contribute to full development life cycle, including requirements analysis, functional design, technical design, programming, testing, documentation, implementation, and on\-going technical support.
* Contribute to projects/CR’s utilizing Ab\-Initio (ETL), Python, Oracle SQL/PLSQL, Snowflake and Cloud Technologies.
* Ability and willingness to learn newer tools and technologies in cloud\-based data analytics/Artificial intelligence arena and successfully deliver projects utilizing the same.
* Expected to provide sound understanding of application development concepts / principles and a basic knowledge of concepts and principles in other technology areas. Expected to Develop/Modify/Test/Migrate Reports.
* Expected to clearly articulate development and timeline dependencies. Improve team development related processes that accelerate delivery, drive innovation, lower costs, and improve quality.
**Required Skills**
* ETL: 4\+ years of Hands on experiencing in building data pipelines using Apache Spark.
* Big Data: Hands on experience of working on "Big Data" platforms such as Hadoop, Hive or Snowflake for data storage and processing.
* Data Warehousing \&amp; Database Management: Understanding of Data Warehousing concepts, Relational (Oracle, MSSQL, MySQL) and NoSQL (MongoDB, DynamoDB) database design
* Data Modeling \&amp; Design: Good exposure to data modeling techniques; design, optimization and maintenance of data models and data structures
* Languages: Proficient in one or more programming languages commonly used in data engineering such as Python, Java or Scala
* DevOps: Exposure to concepts and enablers \- CI/CD platforms, version control, automated quality control management.</t>
        </is>
      </c>
    </row>
    <row r="63">
      <c r="A63" t="inlineStr">
        <is>
          <t>li-4355130243</t>
        </is>
      </c>
      <c r="B63" t="inlineStr">
        <is>
          <t>Senior Data Engineer</t>
        </is>
      </c>
      <c r="C63" t="inlineStr">
        <is>
          <t>Encore Talent Solutions</t>
        </is>
      </c>
      <c r="D63" t="inlineStr">
        <is>
          <t>linkedin</t>
        </is>
      </c>
      <c r="E63" t="inlineStr"/>
      <c r="F63" t="inlineStr"/>
      <c r="G63" t="inlineStr">
        <is>
          <t>Cincinnati, OH</t>
        </is>
      </c>
      <c r="H63" t="inlineStr"/>
      <c r="I63" t="inlineStr">
        <is>
          <t>**About Encore Talent Solutions:**
 Encore Talent Solutions is a trusted professional services firm dedicated to helping organizations achieve their goals by providing exceptional talent solutions. We partner closely with our clients to understand their unique culture and operational needs, delivering proactive support during times of growth, transition, and change. Our mission is to connect top talent with meaningful opportunities to drive business success.
**Job Description**
 We’re hiring a Data Engineer to join our team. In this role, you’ll accelerate the migration of critical Cloud Pak for Data (R Shiny) dashboards to Streamlit in Snowflake—supporting credit risk and data science users across the clients domain.
 We’re looking for a hands on engineer who’s eager to move fast for users and has an interest in ML/AI pipelining. Ideal candidates have partnered with data science teams to support model development, reporting, or deployment—and want to grow in modern data tooling.
 You will collaborate with cross\-functional teams and stakeholders to deliver high\-quality solutions in a fast\-paced environment.
**Key Responsibilities**
* Migrate prioritized R Shiny dashboards to Streamlit in Snowflake and speed up delivery for risk/DS users.
* Build app patterns (state, caching, charts, tables/exports) and curate production ready Snowflake datasets.
* Collaborate with DS/ML engineers to align dashboards with SageMaker pipelines and model monitoring.
* Apply governance and performance best practices (secure views, RBAC/RLS, query tuning, warehouse sizing).
* Contribute to lightweight tests/CI/CD and operational telemetry.
**Required Qualifications:**
* Proficiency in: Streamlit, Snowflake, Python, R / R Shiny literacy, SQL
**Preferred Qualifications**
* Experience with: dbt, DB2, ETL / orchestration tools, AWS SageMaker, Snowpark / CI/CD (e.g., GitHub Actions)
**Work Environment \&amp; Location:**
* Location: Onsite in Cincinnati.
* Collaborative team environment with opportunities for professional growth.
*Encore Talent Solutions is an Equal Opportunity Employer. We respect and seek to empower each individual and support the diverse cultures, perspectives, skills, and experiences within our workforce.*</t>
        </is>
      </c>
    </row>
    <row r="64">
      <c r="A64" t="inlineStr">
        <is>
          <t>li-4346419384</t>
        </is>
      </c>
      <c r="B64" t="inlineStr">
        <is>
          <t>Senior Quantitative Data Engineer</t>
        </is>
      </c>
      <c r="C64" t="inlineStr">
        <is>
          <t>YipitData</t>
        </is>
      </c>
      <c r="D64" t="inlineStr">
        <is>
          <t>linkedin</t>
        </is>
      </c>
      <c r="E64" t="inlineStr"/>
      <c r="F64" t="inlineStr"/>
      <c r="G64" t="inlineStr"/>
      <c r="H64" t="inlineStr"/>
      <c r="I64"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 Ownership That Matters: You’ll lead high\-impact projects with real business outcomes
* Rapid Growth: We compress years of learning into months
* Merit Over Titles: Trust and responsibility are earned through execution, not tenure
* Velocity with Purpose: We move fast, support each other, and aim high—always with purpose and intention
 If your ambition is matched by your work ethic—and you're hungry for a place where growth, impact, and ownership are the norm—YipitData might be the opportunity you’ve been waiting for.
**About The Role**
 We are seeking a
 **Senior Quant Data Engineer** 
 to join our
 **Data Engineering** 
**team** 
 , supporting our initiative to build and deliver systematic, data\-driven products designed for quantitative investment firms.
 This is a high\-impact role at the intersection of
 **engineering, quantitative research, and data productization** 
 . You will report to the Head of Data Engineering and partner closely with our Quant Research and Product teams to design, build, and scale robust data pipelines that feed quantitative models and data products used by some of the world’s most sophisticated investors.
 The ideal candidate has deep experience with large\-scale data systems, quantitative data processing, and the rigor required to meet the expectations of institutional quant clients.
 This is a
 **senior, hands\-on engineering role** 
 with the opportunity to shape the foundation of YipitData’s quantitative product strategy.
**What You’ll Do:**
* Design, build, and operate scalable, efficient data pipelines that integrate and standardize internal and third\-party alternative/financial data into analysis\-ready formats to support systematic investment research.
* Partner with Quant Research, Data Infrastructure, Product, and Revenue to align pipelines, model/data requirements, and client SLAs.
* Architect PIT\-compliant, look\-ahead, and leakage\-free datasets for quant research/backtesting. Implement PIT\-aware “as\-of” version backfills and robust handling of late\-arriving data. Build data integrity checks for time\-series/panel datasets, including de\-duplication and outlier/anomaly detection.
* Develop robust data validation and monitoring systems to ensure accuracy, timeliness, and reproducibility of all delivered datasets.
* Implement and optimize data feeds for external delivery to quant clients (APIs, S3, real\-time streaming).
* Contribute to product discovery and R\&amp;D, helping define the data architecture and infrastructure strategy for the Quant initiative.
* Ensure compliance with and adherence to governance best practices (versioning, documentation, access controls).
**You Are Likely to Succeed If You Have:**
* 6\+ years of experience as a Data Engineer or Quantitative Data Engineer at a financial firm, data provider, or technology company.
* Strong communicator with experience working with both internal and external stakeholders.
* Proven track record building and maintaining large\-scale ETL pipelines using Python and distributed data technologies (e.g., Spark, Airflow, Snowflake, Databricks).
* Experience working with financial, alternative, or time\-series data used in quantitative investment workflows.
* Strong understanding of data modeling, schema design, and metadata management.
* Familiarity with cloud\-based data infrastructure (AWS preferred).
* Experience with data delivery systems such as S3 feeds, APIs, or data sharing platforms such as Snowflake Share or Delta Sharing.
* Deep curiosity about financial markets and a passion for data\-driven investing.
* Strong communication skills and a collaborative mindset, with the ability to translate between technical and research stakeholders.
* A passion for data reliability, reproducibility, and performance.
**What We Offer:**
**Our compensation package includes comprehensive benefits, perks, equity, and a competitive salary:**
* We care about your personal life, and we mean it. We offer flexible work hours, flexible vacation, a generous 401K match, parental leave, team events, wellness budget, learning reimbursement, and more!
* Your growth at YipitData is determined by your impact, not by tenure, unnecessary facetime, or office politics. Everyone at YipitData is empowered to learn, self\-improve, and master their skills in an environment focused on ownership, respect, and trust.
* The annual compensation for this position is anticipated to be $250,000 base salary. The final offer may be determined by a number of factors, including, but not limited to, the applicant's experience, knowledge, skills, and abilities, as well as internal team benchmarks. The compensation package also includes equity.
* This role may be performed fully remotely within the United States. If the remote work is performed outside of these offices, income may be subject to New York State tax withholding.
* Please note that for this position, we are NOT able to consider candidates who currently or in the future will require visa sponsorship.
*We are committed to equal employment opportunity regardless of race, color, ancestry, religion, sex, national origin, sexual orientation, age, marital status, disability, gender, gender identity or expression, or veteran status. We are proud to be an equal opportunity employer.*
*Job Applicant Privacy Notice*</t>
        </is>
      </c>
    </row>
    <row r="65">
      <c r="A65" t="inlineStr">
        <is>
          <t>li-4309486478</t>
        </is>
      </c>
      <c r="B65" t="inlineStr">
        <is>
          <t>Senior Data Engineer</t>
        </is>
      </c>
      <c r="C65" t="inlineStr">
        <is>
          <t>Adobe</t>
        </is>
      </c>
      <c r="D65" t="inlineStr">
        <is>
          <t>linkedin</t>
        </is>
      </c>
      <c r="E65" t="inlineStr"/>
      <c r="F65" t="inlineStr"/>
      <c r="G65" t="inlineStr">
        <is>
          <t>Lehi, UT</t>
        </is>
      </c>
      <c r="H65" t="inlineStr"/>
      <c r="I65"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Changing the world through digital experiences is what Adobe’s all about. We give everyone—from emerging artists to global brands—everything they need to design and deliver exceptional digital experiences. We’re passionate about empowering people to craft beautiful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realize that new ideas can come from everywhere in the organization, and we know the next big idea could be yours!
**The Opportunity**
 The Senior Data Engineer will have a significant impact on driving our organization’s digital evolution by collaborating with various teams at Adobe. You will collaborate closely with product, analytics, and engineering teams to build, construct, and enhance scalable data pipelines and analytic solutions that generate insights into product usage. This position is highly data engineering oriented, focusing on the collection, integration, and transformation of large and varied data sets from multiple platforms to support business intelligence, product development, and strategic decision\-making.
****What You'll Do****
 You will be responsible for developing and maintaining analytics infrastructure, including ETL pipelines and automated data quality tools. The ideal candidate will have a strong background in modern frameworks, cloud platforms, data technologies, SQL, Python, and visualization tools including Power BI or Tableau. In addition, you will apply strong communication skills and a customer\-focused attitude to deliver effective solutions.
 Your key tasks will be collaborating with multi\-functional teams to develop and refine adaptable data pipelines and analytical solutions. You will build connectors to a variety of API sources, enabling the integration of diverse data sources, and apply cloud\-based platforms to perform advanced analytics while upholding rigorous standards for data quality and security.
 Projects will require you to actively contribute to planning, solution design, and deployment of analytic tools that drive and support business goals. Your efforts will ensure that the data infrastructure efficiently serves the evolving needs of the organization.
****What You Need To Succeed****
* Bachelor’s Degree required, master’s Preferred in Computer Science or relevant experience
* 8\+ Years Experience with BS or 5\+ Years Experience with MS
* 5\+ Years Experience with Python or equivalent
* Experienced in developing data pipelines using Python, SQL, and Bash on Linux.
* Expertise working with Databricks, Spark SQL, Spark and DBFS systems.
* Proficient in orchestration tools like Airflow or Databricks Workflows.
* Experience deploying and managing services and applications on AWS and Azure Cloud platforms
* Application design and architecture with a drive for delivering data with high throughput and low latency
* Experience implementing and managing CI/CD pipelines using Jenkins or similar automation tools.
* Committed to finding solutions to challenges and enjoy creative problem solving
* Ability to solve problems collaboratively and build strong relationships
* Experience delivering quality process and outcomes
* Process orientated with strong attention to detail.
 Additional Consideration Given
* Experience with LLMs, vector databases, and embeddings.
* Exposure to graph databases, Elastic Stack, or real\-time streaming (Kafka, Kinesis).
* Proficiency in managing and orchestrating containers using Kubernetes.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66">
      <c r="A66" t="inlineStr">
        <is>
          <t>li-4346602287</t>
        </is>
      </c>
      <c r="B66" t="inlineStr">
        <is>
          <t>Data Engineer</t>
        </is>
      </c>
      <c r="C66" t="inlineStr">
        <is>
          <t>Leidos</t>
        </is>
      </c>
      <c r="D66" t="inlineStr">
        <is>
          <t>linkedin</t>
        </is>
      </c>
      <c r="E66" t="inlineStr"/>
      <c r="F66" t="inlineStr"/>
      <c r="G66" t="inlineStr">
        <is>
          <t>Tampa, FL</t>
        </is>
      </c>
      <c r="H66" t="inlineStr"/>
      <c r="I66" t="inlineStr">
        <is>
          <t>**Description**
 Leidos has an immediate need for a highly skilled and versatile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BS degree in Systems Engineering, Computer Science, Cybersecurity, Electrical Engineering, or a related technical field.
 Experience: 3\-10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67">
      <c r="A67" t="inlineStr">
        <is>
          <t>li-4349040085</t>
        </is>
      </c>
      <c r="B67" t="inlineStr">
        <is>
          <t>Staff Analytics Engineer</t>
        </is>
      </c>
      <c r="C67" t="inlineStr">
        <is>
          <t>Bamboo Health</t>
        </is>
      </c>
      <c r="D67" t="inlineStr">
        <is>
          <t>linkedin</t>
        </is>
      </c>
      <c r="E67" t="inlineStr"/>
      <c r="F67" t="inlineStr"/>
      <c r="G67" t="inlineStr"/>
      <c r="H67" t="inlineStr"/>
      <c r="I67" t="inlineStr">
        <is>
          <t>Bamboo Health is the leader in Real\-Time Care Intelligence™ solutions aimed at improving lives for everyone experiencing physical and behavioral health challenges. We are driven by our mission to empower clients to deliver seamless, high\-quality and cost\-effective care during pivotal moments to improve health outcomes. From coast to coast, Bamboo Health partners with all major retail pharmacy chains, 52 states and territories, 100% of the top 10 best hospitals, and more than half of the country’s largest health plans to improve more than 1 billion patient encounters annually. Join us in improving lives during pivotal care moments!
**Summary**
 Bamboo Health is seeking a Staff Analytics Engineer passionate about data and is enthusiastic about creating user\-facing data products. As a Staff Analytics Engineer, you will lead the design, development, and optimization of our analytics ecosystem. This position combines advanced data visualization, analytics enablement, and data engineering. You will work alongside the Visualization team, Data Engineering team, and internal stakeholders to develop reporting solutions powered by our unique data pipeline. Successful candidates will excel in creative problem\-solving, cross\-functional collaboration, and independent thinking on how to use data to address challenges faced by our customers. If you are a self\-motivated individual eager to improve healthcare delivery and excel in a team\-oriented setting, this is the role for you!
**What You’ll Do**
* Design, build, and optimize advanced Tableau dashboards, workbooks, and data products for high\-performance analytics.
* Define Tableau visualization standards, style guides, and reusable templates.
* Design, optimize, and manage data pipelines essential for supporting reporting solutions.
* Implement dashboard performance tuning, extract optimization, and best practices for Hyper.
* Work closely with Product, Engineering, Data Engineering, and Business teams to understand requirements and deliver scalable solutions.
* Conduct design reviews, code reviews, and architecture assessments to ensure high\-quality deliverables.
* Support a variety of business\-aligned projects to meet organizational objectives.
* Establish yourself as the go\-to technical expert on the reporting components of our product suite.
* Explore opportunities to enhance workflows through AI or automation tools (e.g., document summarization, task routing, or data parsing).
* Identify repetitive tasks and partner with team leads to implement scalable automation solutions.
**What Success Looks Like…**
****In 3 months…****
* Become familiar with our reporting offerings and key customer use cases.
* Gain a strong understanding of our data pipeline and architecture. Start building strong, collaborative relationships with your peers on the Analytics team.
* Identify at least one opportunity in your role to pilot or apply AI or automation (e.g., streamlining a task, summarizing data, generating content).
****In 6 months…****
* Expand your scope of influence to include other cross\-functional stakeholders, including—but not limited to—product, engineering, marketing, and other key business area functions.
* Develop new reporting pipelines and capabilities that align with user needs.
* Build strong, collaborative relationships with peers on the Analytics team.
****In 12 months…****
* Establish yourself as the technical expert on reporting components of our product suite.
* Collaborate across different business areas to deliver analytics that enhance decision\-making and provide greater value to the company.
* Provide insights and guidance on improving reporting and boosting efficiency.
**What You Need**
* 7\+ years of professional experience in Analytics Engineering, Data Engineering, and related roles.
* A bachelor's degree in a quantitative or technical field, such as mathematics, economics, computer science, or statistics, is required; an advanced degree is a plus.
* Expert\-level proficiency in Tableau (dashboard creation, data source optimization, calculations, performance tuning).
* Advanced SQL skills and hands\-on experience with Amazon Redshift (or similar MPP databases).
* Experience with ETL/ELT development and data transformation workflows.
* Experience with Python, dbt, or other ETL automation/orchestration tools.
* Experience working in cloud\-based data ecosystems, preferably with AWS.
* Strong analytical and problem\-solving skills, with sound judgment and creativity in designing solutions.
* Strong communication skills, with experience influencing technical and non\-technical stakeholders.
* Comfort using or learning AI\-supported tools (e.g., ChatGPT, CoPilot, or role\-specific tools) to improve daily workflows.
* A forward\-thinking, curious mindset with an openness to experimenting with new technologies.
* Proven ability to thrive in fast\-paced, high\-growth, and rapidly evolving environments.
* Ability to work effectively in a remote\-first environment, ensuring high\-quality virtual interactions with minimal distractions.
* The ability to travel periodically for work.
**What You Get**
* Join one of the most innovative healthcare technology companies in the country.
* Enjoy the freedom to create something with a highly supportive team.
* Learn from working at the highest levels and on the company's most strategic priorities, including from world\-class investors and advisors.
* Receive competitive compensation that includes health, dental, vision, and other benefits.
****Belonging at Bamboo****
****We Care. \#BambooHealthValuesCare****
 Every human being has the right to the best possible healthcare. Our Real\-Time Care Intelligence™ solutions enable healthcare professionals to see and treat every individual as a whole person by providing the right information, at the right time – regardless of physical, behavioral or social barriers.
 We’re a great place to work because we care. We continually seek to learn about our differences and ensure the unique perspectives and contributions of all employees are welcome, valued and celebrated.
 Our commitment to making a positive impact starts by recognizing and leveraging our differences, building inclusive teams and cultivating a sense of belonging.
*****Bamboo Health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To protect our applicants from fraudulent recruitment activity, we recommend that all applicants verify the validity of an interview and hiring process by visiting our website www.bamboohealth.com. All valid job postings will be listed on our careers page. Bamboo Health does not conduct interviews via text and will not request sensitive information such as banking details during the application process.</t>
        </is>
      </c>
    </row>
    <row r="68">
      <c r="A68" t="inlineStr">
        <is>
          <t>li-4370974288</t>
        </is>
      </c>
      <c r="B68" t="inlineStr">
        <is>
          <t>Data Platform Engineer</t>
        </is>
      </c>
      <c r="C68" t="inlineStr">
        <is>
          <t>Deloitte</t>
        </is>
      </c>
      <c r="D68" t="inlineStr">
        <is>
          <t>linkedin</t>
        </is>
      </c>
      <c r="E68" t="inlineStr"/>
      <c r="F68" t="inlineStr"/>
      <c r="G68" t="inlineStr">
        <is>
          <t>Los Angeles, CA</t>
        </is>
      </c>
      <c r="H68" t="inlineStr"/>
      <c r="I68"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The Data Platform Engineer is responsible for hands\-on administration and support of security data platforms (e.g., Splunk and security data lakes). This role ensures stable data flows, integration, and platform operations to maintain a resilient, scalable security analytics capability supporting monitoring, incident response, threat analysis, and compliance reporting.
**Key Responsibilities:**
* Administer and maintain enterprise security data platforms to ensure availability, performance, and reliability.
* Support event ingestion onboarding and sustainment using multiple methods (e.g., syslog, DBX, and Splunk Technical Add\-ons (TAs)).
* Install, upgrade, patch, and troubleshoot Enterprise Log Manager (ELM) and Security Information and Event Management (SIEM) components and supporting infrastructure.
* Support Splunk platform capabilities and apps as applicable (e.g., Splunk Enterprise Security (ES), User Behavior Analytics (UBA), and Splunk Core/Enterprise).
* Configure, tune, and maintain parsing and normalization so data aligns to the Splunk Common Information Model (CIM).
* Create and maintain custom TAs to standardize data onboarding and improve analytics outcomes.
* Perform routine monitoring, health checks, and maintenance; troubleshoot ingestion, parsing, and platform issues.
* Partner with security operations and engineering teams to optimize telemetry for detection, response, and operational/compliance reporting.
* Produce and maintain runbooks, SOPs, and technical documentation; contribute to continuous process improvement.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or equivalent relevant work experience.
* Ability to obtain Public Trust clearance
* Must be legally authorized to work in the United States without the need for employer sponsorship, now or at any time in the future
* Ability to travel 25%, on average, based on the work you do and the clients and industries/sectors you serve
* 4\+ years of experience supporting enterprise data platforms.
* 4 \+ years of hands\-on experience installing, updating, and maintaining ELM/SIEM solutions and supporting technologies, including:
+ Splunk (e.g., ES, UBA, Core/Enterprise)
+ Cribl (or comparable data pipeline tooling)
+ Red Hat (or similar Linux OS)
+ VMware environments
* Demonstrated experience configuring and maintaining event ingestion methods (e.g., syslog, DBX, TA software).
* Proven ability to create and maintain custom TAs to parse data into Splunk CIM format.
* Experience troubleshooting, monitoring, and performing routine maintenance of data systems.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9">
      <c r="A69" t="inlineStr">
        <is>
          <t>li-4363033621</t>
        </is>
      </c>
      <c r="B69" t="inlineStr">
        <is>
          <t>Senior Data Engineer</t>
        </is>
      </c>
      <c r="C69" t="inlineStr">
        <is>
          <t>Jobot</t>
        </is>
      </c>
      <c r="D69" t="inlineStr">
        <is>
          <t>linkedin</t>
        </is>
      </c>
      <c r="E69" t="inlineStr"/>
      <c r="F69" t="inlineStr"/>
      <c r="G69" t="inlineStr">
        <is>
          <t>San Francisco, CA</t>
        </is>
      </c>
      <c r="H69" t="inlineStr"/>
      <c r="I69" t="inlineStr">
        <is>
          <t>Want to learn more about this role and Jobot? Click our Jobot logo and follow
 our LinkedIn page!
 Job details:
**Join a World Class Team Operating at the Intersection of Technology, Data, and Digital Products**
 This Jobot Job is hosted by: Amanda Preston
 Are you a fit? Easy Apply now by clicking the "Easy Apply" button
 and sending us your resume.
 Salary: $155,000 \- $175,000 per year
**A bit about us:**
 Competitive salary and comprehensive benefits
 Long\-term stability with continued investment in technology and engineering
 High\-visibility work with real\-world impact
 A collaborative, engineering\-driven culture focused on quality and continuous improvement
**Why join us?**
 Work on data and machine learning platforms operating at significant scale
 Own and influence core systems that power critical business capabilities
 Collaborate with experienced engineers and data scientists in a highly technical environment
 Tackle complex engineering challenges with modern cloud and MLOps tooling
 Enjoy the stability of a mature organization combined with the opportunity to modernize and innovate
**Job Details**
 Senior Data Engineer
 Role Summary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bridge the gap between Data Science and Production Engineering, ensuring that datasets, machine learning models, and core services are deployed reliably, scalably, and securely in the cloud. This is a high\-impact position requiring deep expertise in data architecture, backend engineering, and the full machine learning lifecycle in production environments.
 Key Responsibilities
 Data Pipeline Design \&amp; Orchestration
 Design, build, and maintain robust data ingestion and transformation pipelines
 Leverage modern orchestration tools to ensure reliable, observable data flows supporting machine learning workloads
 Core Development
 Write clean, efficient, and well\-tested Python code for automation, infrastructure tooling, and service integration
 Develop shared libraries and glue services connecting cloud\-native components
 API \&amp; Service Deployment
 Design, develop, and deploy high\-performance Python APIs (FastAPI / Flask) to serve machine learning predictions and core application logic
 MLOps Pipeline Ownership
 Own end\-to\-end pipelines for continuous training, deployment, versioning, and monitoring of production ML models (e.g., recommendation or personalization systems)
 Infrastructure Management
 Architect and maintain scalable, fault\-tolerant infrastructure using Kubernetes (GKE) within Google Cloud Platform
 Ensure reliability, performance, and cost efficiency across environments
 Collaboration \&amp; Mentorship
 Partner closely with data scientists, software engineers, and platform teams
 Provide technical leadership and mentorship to junior engineers
 Qualifications
 Must\-Have (Engineering Excellence)
 5\+ years of professional experience in Data Engineering, Software Engineering, or Cloud Engineering
 Deep expertise in Python for application development, data processing, and automation
 Proven experience building and deploying production\-grade backend services and APIs (FastAPI, Flask, or Django)
 Strong SQL skills with experience designing and optimizing schemas for relational and analytical data stores (e.g., BigQuery, Cloud SQL)
 Hands\-on experience with data orchestration tools such as Dagster or Airflow
 Extensive experience designing and operating services within Google Cloud Platform (BigQuery, Pub/Sub, Vertex AI, Compute Engine)
 Expert\-level knowledge of Docker and Kubernetes, including Helm\-based deployments
 Nice\-to\-Have (DevOps \&amp; MLOps)
 Experience with Infrastructure as Code tools such as Terraform or Crossplane
 CI/CD experience using GitHub Actions or similar tooling
 Familiarity with observability stacks (Prometheus, Grafana, Cloud Logging)
 Understanding of cloud security principles and enterprise compliance requirements
 Direct experience supporting production MLOps workflows (model monitoring, drift detection, automated retraining)
 Interested in hearing more? Easy Apply now by clicking the "Easy Apply" button.
**Want to learn more about this role
 and Jobot?**
 Click our Jobot logo and follow our LinkedIn page!\\n</t>
        </is>
      </c>
    </row>
    <row r="70">
      <c r="A70" t="inlineStr">
        <is>
          <t>li-4363090137</t>
        </is>
      </c>
      <c r="B70" t="inlineStr">
        <is>
          <t>Senior Data Engineer</t>
        </is>
      </c>
      <c r="C70" t="inlineStr">
        <is>
          <t>Jobot</t>
        </is>
      </c>
      <c r="D70" t="inlineStr">
        <is>
          <t>linkedin</t>
        </is>
      </c>
      <c r="E70" t="inlineStr"/>
      <c r="F70" t="inlineStr"/>
      <c r="G70" t="inlineStr">
        <is>
          <t>Austin, TX</t>
        </is>
      </c>
      <c r="H70" t="inlineStr"/>
      <c r="I70" t="inlineStr">
        <is>
          <t>Want to learn more about this role and Jobot? Click our Jobot logo and follow
 our LinkedIn page!
 Job details:
**Join a World Class Team Operating at the Intersection of Technology, Data, and Digital Products**
 This Jobot Job is hosted by: Amanda Preston
 Are you a fit? Easy Apply now by clicking the "Easy Apply" button
 and sending us your resume.
 Salary: $155,000 \- $175,000 per year
**A bit about us:**
 Competitive salary and comprehensive benefits
 Long\-term stability with continued investment in technology and engineering
 High\-visibility work with real\-world impact
 A collaborative, engineering\-driven culture focused on quality and continuous improvement
**Why join us?**
 Work on data and machine learning platforms operating at significant scale
 Own and influence core systems that power critical business capabilities
 Collaborate with experienced engineers and data scientists in a highly technical environment
 Tackle complex engineering challenges with modern cloud and MLOps tooling
 Enjoy the stability of a mature organization combined with the opportunity to modernize and innovate
**Job Details**
 Senior Data Engineer
 Role Summary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bridge the gap between Data Science and Production Engineering, ensuring that datasets, machine learning models, and core services are deployed reliably, scalably, and securely in the cloud. This is a high\-impact position requiring deep expertise in data architecture, backend engineering, and the full machine learning lifecycle in production environments.
 Key Responsibilities
 Data Pipeline Design \&amp; Orchestration
 Design, build, and maintain robust data ingestion and transformation pipelines
 Leverage modern orchestration tools to ensure reliable, observable data flows supporting machine learning workloads
 Core Development
 Write clean, efficient, and well\-tested Python code for automation, infrastructure tooling, and service integration
 Develop shared libraries and glue services connecting cloud\-native components
 API \&amp; Service Deployment
 Design, develop, and deploy high\-performance Python APIs (FastAPI / Flask) to serve machine learning predictions and core application logic
 MLOps Pipeline Ownership
 Own end\-to\-end pipelines for continuous training, deployment, versioning, and monitoring of production ML models (e.g., recommendation or personalization systems)
 Infrastructure Management
 Architect and maintain scalable, fault\-tolerant infrastructure using Kubernetes (GKE) within Google Cloud Platform
 Ensure reliability, performance, and cost efficiency across environments
 Collaboration \&amp; Mentorship
 Partner closely with data scientists, software engineers, and platform teams
 Provide technical leadership and mentorship to junior engineers
 Qualifications
 Must\-Have (Engineering Excellence)
 5\+ years of professional experience in Data Engineering, Software Engineering, or Cloud Engineering
 Deep expertise in Python for application development, data processing, and automation
 Proven experience building and deploying production\-grade backend services and APIs (FastAPI, Flask, or Django)
 Strong SQL skills with experience designing and optimizing schemas for relational and analytical data stores (e.g., BigQuery, Cloud SQL)
 Hands\-on experience with data orchestration tools such as Dagster or Airflow
 Extensive experience designing and operating services within Google Cloud Platform (BigQuery, Pub/Sub, Vertex AI, Compute Engine)
 Expert\-level knowledge of Docker and Kubernetes, including Helm\-based deployments
 Nice\-to\-Have (DevOps \&amp; MLOps)
 Experience with Infrastructure as Code tools such as Terraform or Crossplane
 CI/CD experience using GitHub Actions or similar tooling
 Familiarity with observability stacks (Prometheus, Grafana, Cloud Logging)
 Understanding of cloud security principles and enterprise compliance requirements
 Direct experience supporting production MLOps workflows (model monitoring, drift detection, automated retraining)
 Interested in hearing more? Easy Apply now by clicking the "Easy Apply" button.
**Want to learn more about this role
 and Jobot?**
 Click our Jobot logo and follow our LinkedIn page!\\n</t>
        </is>
      </c>
    </row>
    <row r="71">
      <c r="A71" t="inlineStr">
        <is>
          <t>li-4370978249</t>
        </is>
      </c>
      <c r="B71" t="inlineStr">
        <is>
          <t>Cyber Data Engineer</t>
        </is>
      </c>
      <c r="C71" t="inlineStr">
        <is>
          <t>Deloitte</t>
        </is>
      </c>
      <c r="D71" t="inlineStr">
        <is>
          <t>linkedin</t>
        </is>
      </c>
      <c r="E71" t="inlineStr"/>
      <c r="F71" t="inlineStr"/>
      <c r="G71" t="inlineStr"/>
      <c r="H71" t="inlineStr"/>
      <c r="I71"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Recruiting for this role ends on May 31, 2026\.
**Work You'll Do**
 Cyber Data Engineer designs, builds, and operates security data pipelines that move and transform telemetry across the cybersecurity stack, with a strong emphasis on Cribl (preferred) and related integrations. This role is critical to ensure security data is reliably collected, normalized, routed, and delivered to downstream platforms (e.g., Enterprise Log Manager (ELM) / Security Information and Event Management (SIEM), Endpoint Detection and Response (EDR)), enabling effective detection, response, and compliance reporting.
 As security analytics needs to expand, the Cyber Data Engineer partners with system owners and security stakeholders to onboard sources, improve data quality, and ensure logging and monitoring objectives are met across both cloud and on\-prem environments.
 Key Responsibilities:
* Engineer and maintain security data pipelines (Cribl and/or equivalent) for ingestion, parsing, enrichment, filtering, routing, and delivery to ELM/SIEM and related platforms.
* Integrate event feeds using common transport patterns (e.g., syslog) and validate end\-to\-end data flow, timing, completeness, and correctness.
* Implement data transformations and normalization to support analytics and detection use cases (e.g., consistent fields, time alignment, source attribution).
* Operate and troubleshoot pipeline services, including performance tuning, backlog/latency reduction, and resilience/high\-availability considerations.
* Collaborate with SIEM/ELM engineers, SOC (Security Operations Center) teams, and system owners to support onboarding, use\-case enablement, and ongoing data quality improvements.
* Support detection and incident response automation by ensuring required data elements are present, consistent, and delivered to the right destinations.
* Create and maintain documentation (architecture/data flow diagrams, pipeline configurations, onboarding guides, SOPs, and troubleshooting runbooks).
* Participate in change control processes: implementation planning, testing/validation, and post\-deployment verification.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 Bachelor's degree
* Ability to obtain Public Trust clearance.
* Ability to travel 25%, on average, based on the work you do and the clients and industries/sectors you serve
* Must be legally authorized to work in the United States without the need for employer sponsorship, now or at any time in the future
* 4\+ years of experience in at least five or more of the following:
+ Managing and engineering data pipelines (Cribl preferred; equivalent tools accepted).
+ Solid experience with SIEM ingestion, data transformation, and platform integration.
+ Hands\-on experience integrating event feeds with ELM/SIEM systems using syslog (and related patterns).
+ Proven ability to create and maintain pipeline and deployment documentation.
+ Knowledge of threat/incident detection automation concepts in ELM/SIEM contexts (e.g., ensuring telemetry supports correlation and alerting).
+ Working knowledge of Splunk and familiarity with CrowdStrike Falcon platform features.
+ Familiarity with both cloud and on\-premises data environments.
+ Strong problem\-solving skills, technical writing/documentation discipline, and effective cross\-team communication.
+ Experience with data governance for security telemetry (data quality checks, schemas/standards, retention considerations).
+ Scripting/automation experience to support pipeline operations and repeatable deployments.
+ Experience supporting high\-volume telemetry and multiple downstream destinations (security analytics, storage, compliance reporting).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2">
      <c r="A72" t="inlineStr">
        <is>
          <t>li-4326392749</t>
        </is>
      </c>
      <c r="B72" t="inlineStr">
        <is>
          <t>Senior Software Engineer - Data Engineering</t>
        </is>
      </c>
      <c r="C72" t="inlineStr">
        <is>
          <t>Abnormal AI</t>
        </is>
      </c>
      <c r="D72" t="inlineStr">
        <is>
          <t>linkedin</t>
        </is>
      </c>
      <c r="E72" t="inlineStr"/>
      <c r="F72" t="inlineStr"/>
      <c r="G72" t="inlineStr"/>
      <c r="H72" t="inlineStr"/>
      <c r="I72" t="inlineStr">
        <is>
          <t>**About The Role**
 Abnormal AI is investing strongly in building and supporting our world\-class data pipelines that power our AI\-native security platform at massive scale. As the founding member of our Data Engineering function, you will establish the technical and operational foundation for data excellence across the company. Your work will enable Abnormal to continue its steep growth trajectory while delivering enterprise\-grade reliability and performance.
 You’ll own the end\-to\-end reliability of the business\-critical data pipelines that fuel our AI models, everything from detection analytics to behavioral baselining systems to the data infrastructure backing our threat intelligence capabilities. As we expand globally and onboard increasingly large enterprises, you’ll architect systems that scale gracefully while maintaining 99\.9% availability.
 This is a high\-visibility, cross\-functional role. Your work will directly accelerate Data Science innovation, improve product quality for customers, and inform GTM and financial decisions across the organization. You will serve as the connective tissue between our Data Platform team and our Data Guild’s analytical expertise.
**What You Will Do**
* Own mission\-critical pipeline reliability: Take end\-to\-end ownership of our production data pipelines processing billions of messages weekly, ensuring 99\.9% uptime for revenue\-critical pipelines that directly enable sales and customer\-facing AI products
* Build self\-healing pipelines: Design and implement automated monitoring, testing, and recovery systems for data pipelines that eliminate manual intervention and reduce MTTR from hours to minutes
* Accelerate development velocity: Deploy CI/CD pipelines and self\-service platforms that reduce deployment time from 3\-5 days to under 2 hours, enabling Data Scientists to safely deploy models without engineering bottlenecks
* Architect for scale: Optimize data pipelines handling exponential annual growth, implementing cost\-effective solutions that support regional expansion and compliance requirements (GDPR, FedRAMP, SOC2\)
* Bridge technical and business domains: Partner with Sales, Finance, and Product teams to ensure data infrastructure aligns with business needs, making critical trade\-off decisions when pipelines impact revenue
* Establish data engineering excellence: Define best practices for dbt, Airflow, Spark usage, PII anonymization, and cross\-divisional data sharing while mentoring embedded Data Guild team members on these.
* Enable AI and accessible data consumption: Design and maintain an accessible semantic layer that provides consistent, trustworthy definitions and abstractions, making it easy for stakeholders to consume data and incorporate AI\-driven insights into their workflows.
**Must Haves**
* 6\+ years of software engineering experience in backend, distributed systems, or data\-focused roles.
* Proven experience designing and running large\-scale, production\-grade data pipelines.
* Proficiency in our stack: Python, Spark/PySpark, Airflow, SQL, dbt, Databricks, Snowflake, AWS.
* Proven track record of driving pipeline reliability to 99%\+ uptime, including SLAs, observability tooling, and automated recovery patterns.
* Strong systems\-thinking skills with the ability to debug complex distributed systems, optimize for performance and cost, and make architectural decisions balancing short\-term needs with long\-term scalability.
* Demonstrated ownership mindset and ability to drive projects from conception to production independently, including on\-call responsibilities for critical systems.
* Experience collaborating with Data Science, Analytics, Product, Finance, Marketing, and Sales, along with the ability to communicate technical decisions clearly to non\-technical stakeholders and executives.
* Bachelor’s degree in Computer Science, Applied Sciences, Information Systems or other related quantitative fields.
**Nice to Have**
* Experience building or operating AI/ML data pipelines, including data readiness for training and evaluation.
* Background in high\-growth environments where data volume doubles annually, requiring frequent re\-architecture and optimization.
* Experience with compliance frameworks such as GDPR, SOC2, FedRAMP, plus familiarity with PII handling and anonymization.
* Knowledge of multi\-region data architectures, cellular/multi\-tenant systems, or related large\-scale distributed design patterns.
* Background in cybersecurity, threat detection, or email security.
* Experience building internal developer tools for data scientists and analysts.
* Track record of mentorship, tech leadership, and driving cross\-functional initiatives.
* Advanced degree in Computer Science or related fields.
**Why This Role Matters**
 This is a founding role where you'll establish data engineering excellence at Abnormal and build the foundation that powers our next phase of growth. You'll have the autonomy to make critical technical decisions, the visibility to see your direct impact on business outcomes, and the potential opportunity to build a team and platform from the ground up. As we scale to protect more of the world's largest enterprises, your work will ensure our data pipeline infrastructure matches the world\-class standard of our security products.
 At Abnormal AI, certain roles are eligible for a bonus, restricted stock units (RSUs), and benefits. Individual compensation packages are based on factors unique to each candidate, including their skills, experience, qualifications and other job\-related reasons.
 Base salary range:
 $176,000—$207,000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73">
      <c r="A73" t="inlineStr">
        <is>
          <t>li-4371044056</t>
        </is>
      </c>
      <c r="B73" t="inlineStr">
        <is>
          <t>Data Engineer</t>
        </is>
      </c>
      <c r="C73" t="inlineStr">
        <is>
          <t>The Value Maximizer</t>
        </is>
      </c>
      <c r="D73" t="inlineStr">
        <is>
          <t>linkedin</t>
        </is>
      </c>
      <c r="E73" t="inlineStr"/>
      <c r="F73" t="inlineStr"/>
      <c r="G73" t="inlineStr">
        <is>
          <t>Austin, TX</t>
        </is>
      </c>
      <c r="H73" t="inlineStr"/>
      <c r="I73"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74">
      <c r="A74" t="inlineStr">
        <is>
          <t>li-4371029978</t>
        </is>
      </c>
      <c r="B74" t="inlineStr">
        <is>
          <t>Data Engineer</t>
        </is>
      </c>
      <c r="C74" t="inlineStr">
        <is>
          <t>The Value Maximizer</t>
        </is>
      </c>
      <c r="D74" t="inlineStr">
        <is>
          <t>linkedin</t>
        </is>
      </c>
      <c r="E74" t="inlineStr"/>
      <c r="F74" t="inlineStr"/>
      <c r="G74" t="inlineStr">
        <is>
          <t>Florida, United States</t>
        </is>
      </c>
      <c r="H74" t="inlineStr"/>
      <c r="I74"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75">
      <c r="A75" t="inlineStr">
        <is>
          <t>li-4371039167</t>
        </is>
      </c>
      <c r="B75" t="inlineStr">
        <is>
          <t>Data Engineer</t>
        </is>
      </c>
      <c r="C75" t="inlineStr">
        <is>
          <t>The Value Maximizer</t>
        </is>
      </c>
      <c r="D75" t="inlineStr">
        <is>
          <t>linkedin</t>
        </is>
      </c>
      <c r="E75" t="inlineStr"/>
      <c r="F75" t="inlineStr"/>
      <c r="G75" t="inlineStr">
        <is>
          <t>New Jersey, United States</t>
        </is>
      </c>
      <c r="H75" t="inlineStr"/>
      <c r="I75"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76">
      <c r="A76" t="inlineStr">
        <is>
          <t>li-4371030279</t>
        </is>
      </c>
      <c r="B76" t="inlineStr">
        <is>
          <t>Data Engineer I/II</t>
        </is>
      </c>
      <c r="C76" t="inlineStr">
        <is>
          <t>BNSF Railway</t>
        </is>
      </c>
      <c r="D76" t="inlineStr">
        <is>
          <t>linkedin</t>
        </is>
      </c>
      <c r="E76" t="inlineStr"/>
      <c r="F76" t="inlineStr"/>
      <c r="G76" t="inlineStr"/>
      <c r="H76" t="inlineStr"/>
      <c r="I76" t="inlineStr">
        <is>
          <t>**About The Company**
 BNSF Railway is one of the largest freight railroads in the United States, operating across 28 western states and three Canadian provinces. Committed to safety, inclusion, and excellence, BNSF plays a vital role in transporting essential products and materials that support communities nationwide and globally. As a member of our team, you will contribute to the movement of goods that feed, clothe, supply, and power various regions, making a tangible impact on everyday life.
 BNSF \| Tech is the dedicated technology division focused on transforming and innovating freight rail logistics. Our mission is to make BNSF the preeminent freight and mobility company in North America through cutting\-edge technology solutions. We foster a culture of continuous improvement, collaboration, and innovation, encouraging employees to drive change and make meaningful contributions in a dynamic environment.
 We are dedicated to creating an inclusive workplace where all employees belong, have equal opportunities, and can reach their full potential. Join us in reshaping the future of freight rail and experience a fulfilling career where your skills and ideas truly matter.
**About The Role**
 The Data \&amp; AI Lead at BNSF \| Tech will be at the forefront of leveraging data engineering and artificial intelligence to revolutionize freight rail operations. This remote position within the United States offers an exciting opportunity to design and implement real\-time data streaming solutions, develop scalable data pipelines, and manage large\-scale data warehouses. The role involves collaborating with data scientists, analysts, and stakeholders to understand their data needs and deliver robust, reliable, and secure data solutions.
 The ideal candidate will have a strong background in data engineering, with expertise in streaming technologies, data warehousing, and cloud\-based ETL processes. You will lead efforts to optimize data workflows, troubleshoot issues, and ensure compliance with industry standards. The role also emphasizes continuous learning, staying current with industry trends, and writing well\-documented, efficient code. This position offers the chance to make a significant impact by transforming data assets into actionable insights that support business objectives and operational excellence.
 Travel requirements are up to 20%, with occasional visits to the corporate headquarters in Fort Worth, TX. The role provides a comprehensive benefits package, competitive salary, and opportunities for professional growth within a supportive and innovative environment.
**Qualifications**
* Authorized to work in the United States.
* Minimum of 2 years of experience in software engineering, data engineering, or related fields.
* Proficiency in programming languages such as Python, SQL, and Java.
* Strong understanding of data warehousing concepts, including dimensional modeling and star schema.
* Experience with ETL processes and cloud\-based solutions.
* Familiarity with database management systems (SQL, NoSQL) and modern lakehouse technologies (Apache Iceberg, Delta Lake, Apache Trino).
* Experience with data streaming technologies such as Apache Kafka, AWS Kinesis, Apache Flink, and Apache Spark.
* Excellent problem\-solving skills and attention to detail.
* Strong communication and collaboration skills.
* Ability to learn new technical concepts quickly and adapt to evolving technologies.
**Responsibilities**
* Design and implement real\-time data streaming solutions to process data efficiently.
* Develop and maintain robust data pipelines for both real\-time and batch processing, including data extraction, transformation, and loading (ETL).
* Create and manage large\-scale data warehouses to support business intelligence and analytics needs.
* Integrate data from diverse sources to develop certified datasets ensuring accuracy, consistency, and reliability.
* Collaborate with data scientists, analysts, and stakeholders to understand data requirements and deliver effective solutions.
* Optimize data workflows, monitor data pipelines, and troubleshoot issues to ensure high performance and scalability.
* Ensure data security and compliance with industry standards and regulations.
* Stay updated with industry trends and advancements in data engineering, data science, and machine learning.
* Write efficient, well\-documented code with comprehensive testing and validation.
* Lead the implementation of data engineering solutions into production environments, overseeing design, development, and monitoring.
**Benefits**
* Industry\-leading 401(k) plan and Railroad Retirement benefits.
* Comprehensive health care options for employees and dependents, including medical, dental, vision, and mental health services.
* Health savings accounts (HSA) with employer contributions, along with life and disability insurance.
* Family support programs including parental leave, pediatric and family building assistance, adoption, and surrogacy reimbursement.
* Access to discounts on travel, gym memberships, counseling, and wellness programs.
* Annual bonus and incentive compensation programs.
* Generous leave policies and paid time off.
* Resources and tools for professional development and career growth.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encourage individuals from all backgrounds to apply and look forward to welcoming talented professionals to our team.</t>
        </is>
      </c>
    </row>
    <row r="77">
      <c r="A77" t="inlineStr">
        <is>
          <t>li-4370706274</t>
        </is>
      </c>
      <c r="B77" t="inlineStr">
        <is>
          <t>Senior Data Engineer II</t>
        </is>
      </c>
      <c r="C77" t="inlineStr">
        <is>
          <t>BlinkRx</t>
        </is>
      </c>
      <c r="D77" t="inlineStr">
        <is>
          <t>linkedin</t>
        </is>
      </c>
      <c r="E77" t="inlineStr"/>
      <c r="F77" t="inlineStr"/>
      <c r="G77" t="inlineStr">
        <is>
          <t>New York, NY</t>
        </is>
      </c>
      <c r="H77" t="inlineStr"/>
      <c r="I77"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Blink Engineering strives to build trusted, highly observable, data\-driven
 **and AI\-enabled** 
 products that bring affordable, accessible healthcare to all Americans. Healthcare is one of the most complex systems most of us will ever work in, and
 **high\-quality, well\-governed data is foundational to both analytics and AI systems** 
 that make that complexity understandable, reliable, and scalable.
 We are seeking a Staff Data Engineer to own and drive the evolution of Blink’s data engineering function
 **with an AI\-first mindset** 
 . This role is responsible for shaping and executing a forward\-looking data strategy that ensures our data warehouse, pipelines, and analytics foundations are not only correct and reliable, but
 **designed to power machine learning, AI\-driven insights, and intelligent automation at scale** 
 .
 As a Staff engineer, you are a technical leader and force multiplier—deeply hands\-on while setting standards, direction, and best practices that scale across teams. You will operate with a high degree of autonomy, proactively identifying risks and opportunities, and influencing how Blink builds, uses, and trusts its data
 **as a strategic asset for both human and AI decision\-making** 
 .
  What You Will Do
 * Own the technical direction for Blink’s data engineering architecture, balancing immediate business needs with long\-term scalability, reliability, maintainability,
 **and AI readiness**
* Design, build, and evolve core data pipelines, models, and warehouses that support analytics, reporting, operational decision\-making,
 **and AI/ML use cases**
* Proactively assess production data warehouse trends and operational issues, identifying systemic problems and driving durable short\- and long\-term solutions that improve
 **data quality, freshness, and usability for AI systems**
* Define and enforce standards for data modeling, data quality, observability, and performance across the data ecosystem,
 **with an emphasis on producing trusted inputs for machine learning and AI**
* Lead the design and refactoring of large enterprise data warehouses and associated ETLs, simplifying architecture through automation, improved patterns,
 **and AI\-friendly data abstractions**
* Serve as a technical authority in peer code reviews and architecture reviews, setting a high bar for clean, correct, maintainable,
 **and AI\-compatible** 
 data systems
* Partner closely with analytics, product, and engineering teams to translate ambiguous business needs into scalable data solutions,
 **including data products that enable AI\-powered features**
* Identify opportunities to increase leverage through shared frameworks, tooling, reusable data assets,
 **and data products that accelerate AI development**
* Mentor and guide other data engineers, raising the overall technical maturity and effectiveness of the team
 **in building data systems that safely support AI**
  Technical Skills
 * 8\+ years of experience in data or software engineering, including ownership of production\-grade data systems
* Strong foundation in data engineering principles, including dimensional modeling, incremental data ingestion, and distributed data processing,
 **with an understanding of how these choices impact AI and ML workflows**
* Extensive experience building and maintaining robust, scalable ETL pipelines using SQL, Python, Databricks, Spark, and DBT
* Advanced SQL skills, including writing and optimizing complex queries across large and diverse datasets
* Experience designing, operating, and maintaining columnar data warehouses with a focus on reliability, performance,
 **and suitability for advanced analytics and AI**
* Hands\-on experience with batch and streaming data systems, including Airflow, Databricks / Spark, and relational databases such as Postgres
* Experience integrating data platforms with business intelligence tools (e.g., Tableau, QuickSight)
 **and supporting downstream AI and ML consumption**
* Familiarity with modern infrastructure and DevOps practices, including infrastructure as code (Terraform), containerization, and orchestration (Docker, Kubernetes)
* Demonstrated ability to continuously improve data systems through automation, simplification, and thoughtful architectural change,
 **especially in service of scalable AI\-driven capabilities**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78">
      <c r="A78" t="inlineStr">
        <is>
          <t>li-4371018897</t>
        </is>
      </c>
      <c r="B78" t="inlineStr">
        <is>
          <t>Senior Data Engineer</t>
        </is>
      </c>
      <c r="C78" t="inlineStr">
        <is>
          <t>Elder Research</t>
        </is>
      </c>
      <c r="D78" t="inlineStr">
        <is>
          <t>linkedin</t>
        </is>
      </c>
      <c r="E78" t="inlineStr"/>
      <c r="F78" t="inlineStr"/>
      <c r="G78" t="inlineStr">
        <is>
          <t>Arlington, VA</t>
        </is>
      </c>
      <c r="H78" t="inlineStr"/>
      <c r="I78" t="inlineStr">
        <is>
          <t>**General Information**
**Requisition \# 657**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Engineer. The Senior Data Engineer will lead the design, construction, and optimization of scalable data pipelines and services that support advanced analytics and machine learning solutions. This role focuses on data quality, performance, and interoperability within modern cloud environments, advancing strategic initiatives such as Sentinel\-driven product safety analytics. The engineer will deliver secure, efficient, and reproducible data workflows that enable predictive modeling, real\-time monitoring, and actionable insights.
**Responsibilities Include But Are Not Limited To** 
* Data Pipeline Engineering \&amp; Cloud Integration
+ Design, develop, and optimize production\-grade ETL workflows using Python and Microsoft\-based frameworks to ingest, transform, and validate large\-scale structured and unstructured data.
+ Implement schema enforcement, data validation, and quality checks to maintain integrity across diverse sources, while optimizing pipelines for performance, scalability, and fault tolerance using cloud\-native and open\-source patterns.
+ Architect and manage Azure\-based data solutions, including Data Lake Storage, Azure SQL, and Python\-accessible cloud storage, ensuring secure API and service integration.
+ Design and deploy workflow orchestration with Azure Data Factory or Foundry for scheduling, monitoring, and automation.
* Advanced Technical Development \&amp; Services
+ Build Python\-based data services using Pandas, PyTorch, and other open\-source frameworks for high\-performance processing.
+ Develop API endpoints and microservices to enable interoperability with analytics and ML platforms
+ Implement logging, monitoring, and performance tuning to ensure robust operational reliability.
* Collaboration, Governance \&amp; Agile Delivery
+ Partner with data scientists, analysts, and cloud architects to deliver clean, reliable data for predictive modeling and real\-time dashboards.
+ Apply data governance best practices to ensure compliance, reproducibility, and auditability across workflows.
+ Contribute to Agile team processes, driving iterative improvements, collaborative problem\-solving, and continuous enhancement of data delivery.
**Minimum Qualifications** 
* Experience \&amp; Core Skills
+ 5\+ years developing and deploying advanced statistical and machine learning models or supporting data pipelines for such models.
+ Proficient in Python (Pandas required; scikit\-learn, NumPy, PyTorch, TensorFlow, and related libraries preferred) and strong SQL skills for integrating relational data.
+ Hands\-on experience in cloud environments (Azure); Microsoft Data Engineer certification advantageous.
* Technical Expertise \&amp; Implementation
+ Build production\-grade data pipelines and ETL workflows using Python and Microsoft technologies, including Azure Data Lake Storage and Azure SQL.
+ Ensure data validation, schema enforcement, and quality assurance, while developing APIs within the Microsoft ecosystem.
+ Optimize performance, implement logging and monitoring, and deploy Python\-based data services at scale.
+ Design and manage workflow orchestration with Azure Data Factory to automate, monitor, and streamline data operations.
**Preferred Qualifications**
* Master’s, Ph.D., or equivalent professional experience in Data Science, Computer Science, Statistics, Engineering, or a related field.
* Familiarity with data engineering patterns for building scalable, secure systems in regulated environments.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79">
      <c r="A79" t="inlineStr">
        <is>
          <t>li-4370677929</t>
        </is>
      </c>
      <c r="B79" t="inlineStr">
        <is>
          <t>Data Engineer</t>
        </is>
      </c>
      <c r="C79" t="inlineStr">
        <is>
          <t>AARATECH</t>
        </is>
      </c>
      <c r="D79" t="inlineStr">
        <is>
          <t>linkedin</t>
        </is>
      </c>
      <c r="E79" t="inlineStr"/>
      <c r="F79" t="inlineStr"/>
      <c r="G79" t="inlineStr"/>
      <c r="H79" t="inlineStr"/>
      <c r="I79"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80">
      <c r="A80" t="inlineStr">
        <is>
          <t>li-4369430275</t>
        </is>
      </c>
      <c r="B80" t="inlineStr">
        <is>
          <t>Senior Data Engineer</t>
        </is>
      </c>
      <c r="C80" t="inlineStr">
        <is>
          <t>Arena Club</t>
        </is>
      </c>
      <c r="D80" t="inlineStr">
        <is>
          <t>linkedin</t>
        </is>
      </c>
      <c r="E80" t="inlineStr"/>
      <c r="F80" t="inlineStr"/>
      <c r="G80" t="inlineStr">
        <is>
          <t>Los Angeles, CA</t>
        </is>
      </c>
      <c r="H80" t="inlineStr"/>
      <c r="I80" t="inlineStr">
        <is>
          <t>**About Arena Club**
 At Arena Club, we’re igniting a collectibles revolution. Backed by legendary 5× World Series Champion Derek Jeter and trailblazer Brian Lee, we’ve launched the first\-ever digital card show—a dynamic marketplace where innovation, transparency, and pure excitement drive everything we do. Our cutting\-edge platform offers unparalleled grading, authentication, secure vaulting, and digital pack openings (Slab Packs ®), giving collectors the power to curate unique online showrooms and redefine their collecting experience.
**About The Role**
 We are seeking a Senior Data Engineer to help strengthen Arena Club’s strategic decision\-making, enhance operational performance, and integrate data across the company to unlock deeper insights into customer behavior and market performance.
 As a key individual contributor, you’ll focus on building and maintaining reliable data pipelines, improving data quality, and ensuring data is well\-instrumented, accessible, and structured to support meaningful analysis. You will work with existing tools and systems, including Mixpanel and AWS\-based data infrastructure, partnering closely with engineering and business teams across product, operations, and the marketplace.
 This is a hands\-on role for someone who enjoys owning execution, operating in evolving data environments, and incrementally improving how data is collected, processed, and used to drive better business decisions.
**What You Will Do**
* Design, build, and maintain scalable ETL pipelines using Python, Spark, AWS, and SQL
* Build and manage data pipelines in an AWS environment, including Redshift
* Ingest and transform transactional, customer, marketing, and user interaction data
* Support both batch and real\-time data processing and streaming use cases
* Ensure data accuracy, reliability, and consistency across data pipelines
* Improve data instrumentation and event tracking in partnership with engineering teams
* Support product and business analytics through well\-structured, analytics\-ready datasets
* Own and maintain Mixpanel data workflows, including validation and dashboard support
* Partner with stakeholders to translate data needs into scalable engineering solutions
* Balance ad hoc requests with long\-term data reliability and maintainability
**Qualifications**
* Bachelor’s or Master’s degree in Computer Science, Engineering, Business Analytics or a related field
* 5\+ years of experience in data engineering or analytics engineering roles
* Strong proficiency in Python and SQL
* Hands\-on experience with Spark and ETL pipeline development
* Experience working in AWS\-based data environments, including Redshift
* Experience supporting both batch and real\-time or streaming data pipelines
* Ability to work independently and deliver production\-ready data solutions
**The Arena Club Standard**
 Life at Arena Club isn’t for the faint of heart — and that’s by design. We’re building products and experiences the collectibles world has never seen. This is a proving ground. It demands your best every single day, because anything less means you’re falling behind.
 From day one, you’re in the game. Trusted to deliver, expected to own outcomes, and driven to raise the bar higher than you thought possible. We don’t just execute — we innovate, compete, and win together. That’s how real breakthroughs happen.
 If you want routine or predictability, you won’t find it here. But if you’re ambitious, relentless, and hungry to prove yourself on a team built to dominate — step into the arena. You’ll discover growth and reward here, unlike anywhere else.</t>
        </is>
      </c>
    </row>
    <row r="81">
      <c r="A81" t="inlineStr">
        <is>
          <t>li-4371029251</t>
        </is>
      </c>
      <c r="B81" t="inlineStr">
        <is>
          <t>Data Engineer</t>
        </is>
      </c>
      <c r="C81" t="inlineStr">
        <is>
          <t>Capri Holdings Limited</t>
        </is>
      </c>
      <c r="D81" t="inlineStr">
        <is>
          <t>linkedin</t>
        </is>
      </c>
      <c r="E81" t="inlineStr"/>
      <c r="F81" t="inlineStr"/>
      <c r="G81" t="inlineStr">
        <is>
          <t>East Rutherford, NJ</t>
        </is>
      </c>
      <c r="H81" t="inlineStr"/>
      <c r="I81" t="inlineStr">
        <is>
          <t>**Who You Are:** 
 The Data Engineer is a key member of the Global Data Platforms Team reporting to the Director of IT Data Operations. The Data Engineer will be responsible for building data delivery services that support critical operational and analytical applications for our internal business operations, customers and partners. This individual will play a key role in developing and executing on the Capri data \&amp; analytics strategy.
**What You’ll Do:** 
* Prepare, clean, and format analytical datasets for processing and analysis
* Build and maintain custom ETL/ELT pipelines
* Become an expert in our datasets, their strengths and weaknesses, and write code to pull and verify data
* Conduct database feature engineering to support ongoing quantitative research
* Work with developers to create and deploy systems for anomaly detection.
* Interface with data scientists, software developers, and other analytics operations staff as needed
* Serve as a point\-of\-contact for questions about data structures, definitions, and quality
* Work directly with Product and Systems Owners to deliver data products in a collaborative environment
* Design department\-wide principles and workflow for data quality management
* Ensure Business Partner satisfaction with effective and timely delivery
**You’ll Need to Have:** 
* B.S. Computer Science/Engineering/Technology or Statistics/Mathematics or equivalent work experience
* 3\+ years of experience working in Data Engineering
* 3\+ years of experience developing in SQL
* 3\+ years of experience with data profiling and data pipeline development
* Experience using tools such as Talend, Amazon Glue, and Airflow
* Experience with Python and R
* Knowledge of Snowflake
* Experience with AWS
* Experience working with large data sets
* Knowledge of data modeling principles
* Excellent communication skills, including both oral and written
* Excellent active listening and critical thinking skills
* Ability to multi\-task, exercise excellent time management, and meet multiple deadlines
**We’d Love to See:** 
* Experience in the retail industry
**Capri Perks:** 
* Generous Paid Time Off \&amp; Holiday Calendar
* Summer Fridays
* Internal Mobility Across Brands
* Cross\-brand Discount
* Exclusive Employee Sales
* Fav 5 Cards (MK Discount for friends and family)
* 401k Match
* Paid Parental Leave
* Thrive Wellness Program
* Commuter Benefits
* Gym Discounts
***The Company is an equal employment opportunity employer. The Company’s policy is not to unlawfully discriminate against any applicant or employee on the basis of race, color, sex, sexual orientation, gender identity, religion, national origin, age, military status, disability, genetic information or any other consideration made unlawful by applicable federal, state, or local laws. The Company also prohibits harassment of applicants and employees based on any of these protected categories.***
***At Capri Holdings Limited, we are committed to providing a fair and accessible recruitment process. If you require a reasonable accommodation for the interview or application process, please contact our Talent Acquisition team at* 
 CapriTalentAcquisition@CapriHoldings.com.** 
***In compliance with certain Pay Transparency laws, employers are required to disclose a salary range. The salary for this position will vary based on role requirements, skill set and years of experience.***
**About Us:** 
 CAPRI HOLDINGS is a global fashion luxury group consisting of iconic, founder\-led brands Jimmy Choo and Michael Kors. Our commitment to glamorous style and craftsmanship is at the heart of each brand, as we design innovative products across the full spectrum of fashion luxury categories. The unique DNA and heritage of each brand, combined with the diversity and passion of our people, and our dedication to clients and communities, define our success.</t>
        </is>
      </c>
    </row>
    <row r="82">
      <c r="A82" t="inlineStr">
        <is>
          <t>li-4371032214</t>
        </is>
      </c>
      <c r="B82" t="inlineStr">
        <is>
          <t>Data Engineer</t>
        </is>
      </c>
      <c r="C82" t="inlineStr">
        <is>
          <t>Northwestern Medicine</t>
        </is>
      </c>
      <c r="D82" t="inlineStr">
        <is>
          <t>linkedin</t>
        </is>
      </c>
      <c r="E82" t="inlineStr"/>
      <c r="F82" t="inlineStr"/>
      <c r="G82" t="inlineStr"/>
      <c r="H82" t="inlineStr"/>
      <c r="I82" t="inlineStr">
        <is>
          <t>**About The Company**
 Northwestern Medicine is a leading healthcare organization committed to delivering world\-class medical care, pioneering research, and innovative healthcare solutions. Powered by a community of dedicated professionals, Northwestern Medicine collaborates with Northwestern University Feinberg School of Medicine to advance medical science and improve patient outcomes. The organization values diversity, equity, and inclusion, fostering a culture of service and continuous learning. With a focus on leveraging cutting\-edge technology and clinical excellence, Northwestern Medicine strives to transform healthcare delivery and shape the future of medicine.
**About The Role**
 The Data Engineer at Northwestern Medicine plays a vital role in supporting the organization’s data infrastructure and analytics capabilities. This position is responsible for designing, developing, and maintaining data warehouse solutions that facilitate data integration, analysis, and reporting across various departments. The Data Engineer will serve as a subject matter expert in data architecture, working closely with business stakeholders, IT teams, and analytics professionals to deliver scalable and efficient data solutions. The role requires a strong understanding of relational databases, ETL processes, and data visualization tools, with a focus on transforming raw data into actionable insights that drive strategic decision\-making. This position offers a unique opportunity to contribute to healthcare innovation by enabling data\-driven approaches that improve patient care and operational efficiency.
**Qualifications**
* Bachelor’s degree in Computer Science, Information Technology, or related field, or equivalent work experience
* Minimum of five years of experience in data querying, analysis, and modeling/architecture
* Proficiency in SQL, including creating complex queries and stored procedures
* Experience with data warehousing models and design fundamentals (e.g., Kimball methodology)
* Hands\-on experience developing and maintaining ETL/data pipelines using tools such as Microsoft SSIS or Azure Data Factory
* Knowledge of OLAP or Tabular cube software
* Experience with data visualization and reporting tools such as Power BI, Tableau, Crystal Reports, or SSRS
* Proficiency in Python, with 1\-2 years of advanced work developing data solutions
* Familiarity with Agile development methodologies
* Strong understanding of relational database principles and advanced SQL skills
* Experience working with healthcare data, ideally Epic Clarity, is preferred
* Additional experience with statistical analysis tools like R or Python is a plus
**Responsibilities**
* Design, develop, and maintain data warehouse solutions to support organizational analytics needs
* Ingest, integrate, and curate data from multiple sources to create comprehensive datasets for analysis
* Collaborate with architecture teams to ensure data models align with organizational standards and best practices
* Develop and optimize ETL processes for data extraction, transformation, and loading
* Apply advanced SQL skills to create complex queries, stored procedures, and data manipulations
* Evaluate data quality, perform data profiling, and interpret results to ensure accuracy and reliability
* Document programming changes, system modifications, and data architecture designs
* Partner with business users to gather requirements and recommend analytical solutions that meet their needs
* Lead and own analytics projects, ensuring timely delivery and exceeding customer expectations
* Mentor team members on analytic tools, data modeling, and best practices
* Stay updated on emerging technologies and trends in data engineering and analytics
* Support multi\-departmental initiatives, providing technical expertise and collaborative solutions
* Provide training and support organization\-wide on analytics tools and data solutions
**Benefits**
* $10,000 Tuition Reimbursement per year ($5,700 part\-time)
* $10,000 Student Loan Repayment ($5,000 part\-time)
* $1,000 Professional Development allowance annually ($500 part\-time)
* $250 Wellbeing Fund per year ($125 part\-time)
* Matching 401(k) retirement plan
* Comprehensive medical, dental, and vision coverage
* Life insurance benefits
* Annual salary increases and incentive bonuses
* Paid time off and holiday pay
* Remote work options available in Illinois, Wisconsin, Indiana, Missouri, Iowa, and Ohio
 Equal Opportunity
 Northwestern Medicine is an equal opportunity employer and values diversity in the workplace. We do not discriminate on the basis of age, sex, race, color, religion, national origin, gender identity, veteran status, disability, sexual orientation, or any other protected characteristic. We are committed to creating an inclusive environment where all employees can thrive and contribute to our mission of delivering exceptional healthcare.</t>
        </is>
      </c>
    </row>
    <row r="83">
      <c r="A83" t="inlineStr">
        <is>
          <t>li-4370680842</t>
        </is>
      </c>
      <c r="B83" t="inlineStr">
        <is>
          <t>Data Engineer</t>
        </is>
      </c>
      <c r="C83" t="inlineStr">
        <is>
          <t>AARATECH</t>
        </is>
      </c>
      <c r="D83" t="inlineStr">
        <is>
          <t>linkedin</t>
        </is>
      </c>
      <c r="E83" t="inlineStr"/>
      <c r="F83" t="inlineStr"/>
      <c r="G83" t="inlineStr"/>
      <c r="H83" t="inlineStr"/>
      <c r="I8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84">
      <c r="A84" t="inlineStr">
        <is>
          <t>li-4370678862</t>
        </is>
      </c>
      <c r="B84" t="inlineStr">
        <is>
          <t>Data Engineer</t>
        </is>
      </c>
      <c r="C84" t="inlineStr">
        <is>
          <t>AARATECH</t>
        </is>
      </c>
      <c r="D84" t="inlineStr">
        <is>
          <t>linkedin</t>
        </is>
      </c>
      <c r="E84" t="inlineStr"/>
      <c r="F84" t="inlineStr"/>
      <c r="G84" t="inlineStr"/>
      <c r="H84" t="inlineStr"/>
      <c r="I8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85">
      <c r="A85" t="inlineStr">
        <is>
          <t>li-4342665187</t>
        </is>
      </c>
      <c r="B85" t="inlineStr">
        <is>
          <t>Data Engineer</t>
        </is>
      </c>
      <c r="C85" t="inlineStr">
        <is>
          <t>AssetMark</t>
        </is>
      </c>
      <c r="D85" t="inlineStr">
        <is>
          <t>linkedin</t>
        </is>
      </c>
      <c r="E85" t="inlineStr"/>
      <c r="F85" t="inlineStr"/>
      <c r="G85" t="inlineStr">
        <is>
          <t>Charlotte, NC</t>
        </is>
      </c>
      <c r="H85" t="inlineStr"/>
      <c r="I85" t="inlineStr">
        <is>
          <t>**Job Description:**
 The Data Engineer will be a key technical leader responsible for the architecture, development, and optimization of mission\-critical data pipelines that power AssetMark's platform. This role requires an experienced individual who can ensure data reliability and scalability across our
 **Azure and Snowflake** 
 data stack, while proactively integrating
 **Generative AI (GenAI)** 
 techniques into our engineering workflows and data products. The ideal candidate will transform raw data into governed, high\-quality assets, mentor junior team members, and drive the adoption of modern data observability practices.
**Key Responsibilities:**
**Data Architecture \&amp; Engineering Leadership (70%)**
* Platform Development: Design, build, and optimize highly scalable and fault\-tolerant ELT/ETL pipelines using Python, SQL, and dbt to integrate complex financial datasets from diverse sources into Snowflake (hosted on Azure).
* Cloud \&amp; Infrastructure: Own the data infrastructure on Azure, including leveraging services like Azure Data Factory and Azure Synapse, with expertise in setting up and managing data flows into Snowflake.
* Data Modeling: Lead the design and implementation of dimensional, Kimball/ Inmon, and/or Data Vault models within the data warehouse to support advanced analytics and reporting.
* Performance Optimization: Conduct performance tuning for complex SQL queries and data pipelines within Snowflake to ensure low latency and cost\-efficient compute usage.
* Code Quality \&amp; CI/CD: Champion software engineering best practices, including robust unit/integration testing, automated data validation, and maintaining resilient CI/CD pipelines (e.g., using Azure DevOps or GitHub Actions).
**Data Quality, Observability, and Governance (20%)**
* Data Reliability: Implement advanced data quality frameworks and observability solutions (e.g., Monte Carlo) to automatically monitor data freshness, volume, distribution, and schema health, proactively preventing data downtime.
* Data Lineage: Establish and maintain comprehensive data lineage documentation and tooling to provide transparency and ensure compliance across the data transformation layer.
* Security \&amp; Compliance: Ensure all data assets and pipelines adhere to strict financial industry compliance, governance, and security standards (RBAC, encryption, PII masking).
**Innovation \&amp; Mentorship (10%)**
* GenAI Integration: Proactively evaluate and pilot Generative AI techniques (e.g., leveraging LLMs via tools like GitHub Copilot or open\-source frameworks) to accelerate internal development processes, generate boilerplate code, and enhance documentation.
* Mentorship: Act as a technical mentor for junior data engineers, guiding them on best practices in Python, Snowflake, data modeling, and cloud architecture.
* Stakeholder Collaboration: Partner with Data Scientists, Product Managers, and Business Analysts to translate high\-level business requirements into precise, scalable technical solutions.
**Required Qualifications**
* Cloud Expertise: Proven hands\-on experience building and deploying data solutions on Microsoft Azure.
* Data Warehouse: Deep expertise with Snowflake architecture, optimization, and advanced SQL features.
* Programming: Strong proficiency in Python for data manipulation, scripting, and pipeline automation.
* Modeling: Solid experience with data modeling techniques (Dimensional, 3NF, or Data Vault) and developing complex ETL/ELT workflows.
* Data Ops: Experience with modern data transformation tools like dbt (Data Build Tool) and orchestration tools (e.g., Azure Data Factory, Airflow).
* Experience working in the financial services or wealth management domain.
* Prior exposure to Data Observability platforms (e.g., Monte Carlo, Collibra).
* Familiarity with Generative AI (GenAI) concepts or hands\-on use of LLM coding assistants (e.g., Copilot) to improve engineering efficiency.
* Experience with real\-time or streaming data technologies (e.g., Kafka, Azure Event Hubs).
* Proficiency with Infrastructure as Code (IaC) tools like Terraform.
**Education \&amp; Experience:**
* Experience: 3 \- 7 years of professional experience in a Data Engineering, Software Engineering, or similar role.
*Compensation: The Base Salary range for this position is between $126,000\-$140,000\.*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We are AssetMark, a company on the move, shaping the future of financial services. Growth is in our DNA. Every day, we combine technology, insight, and collaboration to create new possibilities for advisors, for our people and for our investors. At AssetMark your ideas matter; they’re heard, valued, and drive meaningful change. Join a team that sets new standards and creates space for you to thrive and do your best work.
**Our Mission**
 Our mission is simple: to help our 10,500\+ financial advisors make a meaningful difference in their clients’ lives. We do this by combining powerful technology, holistic support, and expert consulting to help advisors run stronger, more efficient businesses. Backed by a comprehensive suite of investment solutions and a trust company that boasts of $150B\+ AUM, our platform empowers advisors to deliver exceptional service and an outstanding client experience.
**Our Values**
 Heart. Client Success. Integrity. Respect. Excellence. Our values are how we show up every day.
**We believe in:**
* Leading with Heart, in truly making a difference in the lives of others: teammates, clients, investors and communities.
* Obsessing over Client Success, bringing a relentless focus on what matters to clients that sets us apart and creates loyal, lasting relationships.
* Unyielding Integrity, doing what’s right, always. Even when it’s hard.
* Collective Respect, in being authentic, inclusive and valuing all voices while winning together.
* Operating with Excellence, in learning fast, continuously improving, innovating and collaborating to find new and better solutions.
 These values shape our culture, guide our decisions, and define what it means to be part of the AssetMark family.
**Our Culture \&amp; Benefits**
 Our culture brings our mission and values to life. Here, we do what’s right, embrace diverse ideas, and innovate together. We also offer a wide range of benefits to support you and your family—because thriving at work starts with thriving in life.
* Flex Time or Paid Time Off and Sick Time Off
* 401K – 6% Employer Match
* Medical, Dental, Vision – HDHP or PPO
* HSA – Employer contribution (HDHP only)
* Volunteer Time Off
* Career Development / Recognition
* Fitness Reimbursement
* Hybrid Work Schedule
 As an Equal Opportunity Employer, AssetMark is committed to building a diverse and inclusive workplace where everyone feels valued.</t>
        </is>
      </c>
    </row>
    <row r="86">
      <c r="A86" t="inlineStr">
        <is>
          <t>li-4369100673</t>
        </is>
      </c>
      <c r="B86" t="inlineStr">
        <is>
          <t>Data Engineer-NYC</t>
        </is>
      </c>
      <c r="C86" t="inlineStr">
        <is>
          <t>Acuity Analytics</t>
        </is>
      </c>
      <c r="D86" t="inlineStr">
        <is>
          <t>linkedin</t>
        </is>
      </c>
      <c r="E86" t="inlineStr"/>
      <c r="F86" t="inlineStr"/>
      <c r="G86" t="inlineStr"/>
      <c r="H86" t="inlineStr"/>
      <c r="I86" t="inlineStr">
        <is>
          <t>Acuity is seeking
 **Data Engineers** 
 to join the
 **Data Onboarding Engineering team** 
 . This role is focused on building and operating robust, scalable data pipelines that ingest and process
 **30\+ TB of data daily** 
 , primarily using
 **Python on Google Cloud Platform (GCP)** 
 .
 The engineer will collaborate closely with business partners, researchers, and trading teams to onboard high\-value datasets that directly power systematic trading and research workflows.
 Bachelor’s degree in a technical field
 Minimum
 **3 years of full‑time experience** 
 as a Data Engineer or in a similar role
 Strong experience in developing end‑to‑end data workflows with solid operational understanding of data processing, storage, data quality, and data management
 At least
 **3 years of hands‑on experience** 
 in building ETL pipelines
**3\+ years of Python programming experience**</t>
        </is>
      </c>
    </row>
    <row r="87">
      <c r="A87" t="inlineStr">
        <is>
          <t>li-4370688425</t>
        </is>
      </c>
      <c r="B87" t="inlineStr">
        <is>
          <t>Data Engineer</t>
        </is>
      </c>
      <c r="C87" t="inlineStr">
        <is>
          <t>AARATECH</t>
        </is>
      </c>
      <c r="D87" t="inlineStr">
        <is>
          <t>linkedin</t>
        </is>
      </c>
      <c r="E87" t="inlineStr"/>
      <c r="F87" t="inlineStr"/>
      <c r="G87" t="inlineStr"/>
      <c r="H87" t="inlineStr"/>
      <c r="I87"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88">
      <c r="A88" t="inlineStr">
        <is>
          <t>li-4371030621</t>
        </is>
      </c>
      <c r="B88" t="inlineStr">
        <is>
          <t>Data Engineer</t>
        </is>
      </c>
      <c r="C88" t="inlineStr">
        <is>
          <t>Pinnacle Consulting &amp; Recruitment</t>
        </is>
      </c>
      <c r="D88" t="inlineStr">
        <is>
          <t>linkedin</t>
        </is>
      </c>
      <c r="E88" t="inlineStr"/>
      <c r="F88" t="inlineStr"/>
      <c r="G88" t="inlineStr">
        <is>
          <t>Ann Arbor, MI</t>
        </is>
      </c>
      <c r="H88" t="inlineStr"/>
      <c r="I88" t="inlineStr">
        <is>
          <t>**Overview** 
 We are seeking a Data Engineer to own and evolve a high\-value, analytically complex data and reporting environment. While overall data volumes are modest, the data itself is intricate, highly interdependent, and central to actuarial and analytical decision\-making. This role focuses on building reliable data pipelines, improving analytical workflows, and modernizing reporting approaches—without forcing simplistic dashboard paradigms where they don’t fit.
**Key Responsibilities** 
* Design, build, and maintain reliable data pipelines supporting actuarial and analytical reporting
* Manage and improve nightly data export and transformation processes
* Partner closely with actuarial, finance, and analytical stakeholders to understand complex data relationships and reporting needs
* Develop and support analytical models using Power Query, Excel, and DAX
* Improve data structures to enable deep matrix and multi\-dimensional analysis rather than surface\-level KPIs
* Evaluate and guide the transition away from SQL Server Reporting Services toward more flexible analytical tooling
* Contribute to a future\-state reporting strategy, including thoughtful use of Power BI where appropriate
* Ensure data accuracy, consistency, and traceability across reporting outputs
**Technical Requirements** 
* Strong experience with SQL and relational data modeling
* Hands\-on experience building and maintaining ETL or ELT workflows, including scheduled/nightly processes
* Advanced experience with Excel, Power Query, and DAX for complex analytical models
* Ability to work with highly complex, business\-critical datasets where correctness matters more than scale
* Strong data validation, reconciliation, and documentation practices
**Nice to Have** 
* Experience with Power BI, particularly for complex analytical or matrix\-style reporting
* Exposure to actuarial, financial, or risk\-based data domains
* Experience in modernizing or replacing legacy reporting platforms such as SQL Server Reporting Services
* Familiarity with cloud\-based data platforms and data orchestration tools</t>
        </is>
      </c>
    </row>
    <row r="89">
      <c r="A89" t="inlineStr">
        <is>
          <t>li-4363130112</t>
        </is>
      </c>
      <c r="B89" t="inlineStr">
        <is>
          <t>Sr. Data Platform Engineer I (6366)</t>
        </is>
      </c>
      <c r="C89" t="inlineStr">
        <is>
          <t>MetroStar</t>
        </is>
      </c>
      <c r="D89" t="inlineStr">
        <is>
          <t>linkedin</t>
        </is>
      </c>
      <c r="E89" t="inlineStr"/>
      <c r="F89" t="inlineStr"/>
      <c r="G89" t="inlineStr">
        <is>
          <t>Washington, DC</t>
        </is>
      </c>
      <c r="H89" t="inlineStr"/>
      <c r="I89" t="inlineStr">
        <is>
          <t>As a
 **Sr. Data Platform Engineer I,** 
 you’ll work as part of a collaborative and high\-performing team providing your expertise to deliver technical solutions within the highest levels of the federal government by providing PostgreSQL expertise supporting highly visible, mission\-critical applications; taking deep technical ownership of database platforms; executing disciplined operational practices; and maintaining database stability, performance, and security under constant operational demand.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administer, and optimize PostgreSQL and Microsoft SQL Server databases in on\-premises and cloud environments.
* Manage Kubernetes clusters and support containerized database and application operations.
* Administer CI/CD pipelines and automation supporting database and application delivery.
* Perform database performance tuning, backups, replication, and recovery.
* Enforce access controls, auditing, governance, and retention policies.
* Manage schemas, indexes, stored procedures, and permissions.
* Develop SQL queries and reporting logic; support Power BI reporting needs.
* Participate in Agile ceremonies and collaborative delivery activities.
* Support production operations with urgency and operational discipline.
* Communicate technical risks, issues, and recommendations clearly to stakeholders.
* Build and maintain strong customer trust through technical expertise, responsiveness, and reliability.
**What you’ll need to succeed:** 
* Active Top Secret with SCI eligibility security clearance.
* Bachelor’s degree in Computer Science, or related field, is preferred; relevant experience may substitute.
* Certification meeting DoD 8140 (e.g., Security\+ or GSEC, or higher).
* Certification for database platform (e.g., DP\-300, Oracle OCP, or equivalent).
* 5\+ years of experience as a database administrator or engineer.
* Experience designing, implementing, managing, and tuning PostgreSQL databases in enterprise environments.
* Experience ensuring database performance, availability, and reliability, including capacity planning and performance tuning.
* Experience implementing and managing database security controls, including access management and auditing.
* Experience performing database backups, recovery, and restore operations, including support for high\-availability configurations.
* Experience with distributed PostgreSQL solutions (e.g., pgEdge or similar).
* Ability to contribute immediately with minimal ramp\-up in a mission\-critical operational environment.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90">
      <c r="A90" t="inlineStr">
        <is>
          <t>li-4354905215</t>
        </is>
      </c>
      <c r="B90" t="inlineStr">
        <is>
          <t>Senior Data Engineer</t>
        </is>
      </c>
      <c r="C90" t="inlineStr">
        <is>
          <t>MDpanel</t>
        </is>
      </c>
      <c r="D90" t="inlineStr">
        <is>
          <t>linkedin</t>
        </is>
      </c>
      <c r="E90" t="inlineStr"/>
      <c r="F90" t="inlineStr"/>
      <c r="G90" t="inlineStr"/>
      <c r="H90" t="inlineStr"/>
      <c r="I90" t="inlineStr">
        <is>
          <t>**Our Mission:** 
 MDpanel is one of the largest providers of expert medical opinions in the United States. We are committed to being the most coveted partner for physicians, carriers, attorneys, and patients by connecting those in need of medical opinions with the most qualified and highly regarded medical professionals in the U.S. MDpanel allows our member healthcare professional partners to maximize their time and produce unparalleled revenue opportunities. In return, our carrier and attorney clients receive timely, complete, thorough, and easy\-to\-understand opinions to support the medical legal inquiry. MDpanel is revolutionizing the medical opinion space by creating the first true marketplace to connect those in need of medical opinions to those capable of providing them. Unlike traditional, services\-based models, we are devoted to our healthcare professionals and are relentless about removing the burden of administration, securing exam volume, preparing for, and supporting physical examinations, backend processing, report submissions, and billing. And, at the heart of MDpanel, is our team committed to delivering an unparalleled experience for all stakeholders. We think big, start small, and move fast. Our culture is built on supporting each other with accountability, transparency, and passion for our mission.
**Position Summary:** 
 As a Senior Data Engineer, you will play a pivotal role in creating the data pipelines and infrastructure that will power MDpanel’s decision making and research. You will work on a small and talented team of engineers to deliver products and insights that help doctors do their job more efficiently and effectively. Your services will power our data analytics, machine learning models, and the data insights we deliver to our doctors and customers throughout our products.
**Primary Responsibilities:** 
* Work with our data teams to ensure data is flowing accurately through data creation to our presentation layers.
* Improve our Data Engineering stack through containerization, data modeling, developing our ETL pipelines, and more.
* Use your expertise in data modeling to design, build and maintain our analytics data warehouse that provides clean, accurate, and robust data sets to be leveraged for reporting, analytics, and machine learning initiatives.
* Work with stakeholders and translate their needs and expectations into action items and deliverables.
* Participate in our on\-call rotation.
* Be a good teammate.
**Minimum Qualifications:** 
* Strong SQL and Python skills.
* Experience with different databases and warehouses.
* Experience developing reliable data pipelines and products from conception to delivery.
* 4\+ years of industry experience in a data engineering role.
* Self\-starter, comfortable with ambiguity, experience initiating and driving projects with minimal oversight and guidance.
**Why Should You Work With Us:** 
* MDpanel was founded as a remote\-work company. Our team works around the country and fully supports a positive remote\-work culture.
* We are building a world\-class engineering team. Your coworkers come from companies like Google, Microsoft, and successful VC backed startups.
* You will have a large impact in a growing field. There are big problems to be solved that will move the needle for the entire company.
* We've got the basics covered \- competitive compensation, benefits, 401k, bonuses.
* The applicable salary range for this position is $150,000 \- $190,000 depending on a variety of factors such as relevant experience.
**Additional Information:** 
 The salary range for this position is provided as an estimate based on current market conditions and company benchmarks. Actual compensation may vary depending on factors such as experience, qualifications, skills, location, and internal equity.
 *Please note that we are unable to provide sponsorship assistance currently* 
 . All applicants must have a valid work authorization for the country in which they are applying.
 Please note that this compensation range is subject to change at any time and may not be applicable to all candidates. We are committed to ensuring fair and equitable pay practices and encourage applicants to discuss any questions or concerns regarding compensation during the interview process.
 MDpanel is an Equal Opportunity Employer. We are committed to creating a diverse and inclusive workplace where all associates feel valued, respected, and supported. We do not discriminate based on race, color, religion, sex (including pregnancy, gender identity, and sexual orientation), national origin, age, disability, genetic information, veteran status, or any other legally protected characteristic.</t>
        </is>
      </c>
    </row>
    <row r="91">
      <c r="A91" t="inlineStr">
        <is>
          <t>li-4363091688</t>
        </is>
      </c>
      <c r="B91" t="inlineStr">
        <is>
          <t>Data Engineer</t>
        </is>
      </c>
      <c r="C91" t="inlineStr">
        <is>
          <t>Confidential</t>
        </is>
      </c>
      <c r="D91" t="inlineStr">
        <is>
          <t>linkedin</t>
        </is>
      </c>
      <c r="E91" t="inlineStr"/>
      <c r="F91" t="inlineStr"/>
      <c r="G91" t="inlineStr"/>
      <c r="H91" t="inlineStr"/>
      <c r="I91" t="inlineStr">
        <is>
          <t>**About the Role** 
 We are seeking a tech\-forward, business\-oriented Data Engineer who thrives in a consultative, end\-user\-focused environment. This role goes beyond traditional data engineering — you will act as a trusted technology partner to the business, proactively identifying opportunities to automate processes, improve data workflows, and enable teams through modern tools and AI\-driven solutions.
 The ideal candidate combines strong technical fundamentals with a positive mindset, engaging stakeholders early, translating business needs into practical solutions, and collaborating closely with leadership to determine when to leverage existing platforms versus pursuing new tools or R\&amp;D initiatives.
**Key Responsibilities** 
*Business \&amp; Stakeholder Engagement* 
* Act as a consultative partner to business stakeholders, proactively soliciting requirements and identifying opportunities where technology can enable efficiency and insight
* Develop a strong understanding of Private Equity investment workflows, fund operations, and related regulatory and investor obligations
* Collaborate closely with the Director to prioritize requests and align solutions with strategic goals
* Demonstrate solutions, clearly articulating value, tradeoffs, and implementation approaches
*Data Engineering \&amp; Automation* 
* Design, build, and maintain data solutions that automate recurring business processes
* Develop and optimize solutions using Azure SQL, Power Query, and related data tools
* Support reporting and analytics initiatives through clean, reliable, and well\-structured data pipelines
* Partner with vendors or internal teams to implement automation platforms such as Power Automate, Monday.com, Workato, and Power BI
*AI Enablement \&amp; Innovation* 
* Experiment with AI tools such as ChatGPT and Microsoft Copilot to identify practical, scalable use cases
* Assess feasibility, limitations, and risks of AI\-driven solutions, escalating mature ideas to specialized tools or applications when appropriate
* Promote responsible, compliant, and business\-aligned use of AI across workflows
**Required Qualifications** 
* 5\+ years of experience in data engineering, automation, or business\-facing technical roles
* Strong experience with relational databases (e.g., Azure SQL) and data transformation tools
* Hands\-on experience with business process automation platforms (Power Automate, Workato, Monday.com, or similar)
* Proven ability to translate business requirements into technical solutions
* Comfort working directly with senior stakeholders in a consultative capacity
* Strong communication skills with the ability to explain technical concepts to non\-technical audiences
**Preferred Qualifications** 
* Experience supporting Private Equity, asset management, or financial services environments
* Familiarity with regulatory and investor reporting considerations
* Experience supporting or enabling Power BI reporting
* Exposure to AI/ML tools in an enterprise or operational context
**Compensation** 
 Base Salary Range: $130,000 – $140,000 USD
 Salary is dependent on experience, skills, and overall fit.</t>
        </is>
      </c>
    </row>
    <row r="92">
      <c r="A92" t="inlineStr">
        <is>
          <t>li-4370677955</t>
        </is>
      </c>
      <c r="B92" t="inlineStr">
        <is>
          <t>Azure Data Engineer</t>
        </is>
      </c>
      <c r="C92" t="inlineStr">
        <is>
          <t>Precision Technologies</t>
        </is>
      </c>
      <c r="D92" t="inlineStr">
        <is>
          <t>linkedin</t>
        </is>
      </c>
      <c r="E92" t="inlineStr"/>
      <c r="F92" t="inlineStr"/>
      <c r="G92" t="inlineStr"/>
      <c r="H92" t="inlineStr"/>
      <c r="I92" t="inlineStr">
        <is>
          <t>💼
 **Senior / Lead Data Engineer** 
**Location:** 
 Multiple Client Locations across the USA (Open to Relocation)
**Experience:** 
 8\+ Years
**Employment Type:** 
 Full\-time and w2 Contract with client. No C2C
**About the Role** 
 We’re looking for an experienced
 **Senior or Lead Data Engineer** 
 to join our client projects across diverse domains \- finance, healthcare, retail, and cloud\-based ecosystems. This role involves designing, building, and optimizing large\-scale data processing systems, ensuring data availability and integrity across platforms.
**Key Responsibilities:** 
* Architect, build, and maintain scalable
 **data pipelines** 
 and
 **ETL processes** 
 using modern tools and cloud technologies
* Develop and deploy
 **data ingestion frameworks** 
 for structured and unstructured data sources.
* Work closely with
 **data scientists, analysts, and DevOps teams** 
 to design efficient data models and ensure seamless integrations.
* Optimize performance of large\-scale
 **data lakes and warehouses** 
 .
* Implement
 **data governance, lineage, and quality frameworks** 
 .
* Lead and mentor junior data engineers and ensure best practices in data engineering.
**Required Skills:** 
* 8\+ years of hands\-on experience in
 **data engineering, ETL development, and pipeline automation** 
 .
* Strong expertise in at least one cloud platform \-
 **AWS, Azure, or GCP** 
 .
* Hands\-on with
 **Spark, PySpark, Databricks, Kafka, Snowflake, Airflow, SQL, and Python** 
 .
* Experience with
 **data warehousing** 
 (Redshift, BigQuery, Synapse, etc.) and
 **streaming technologies** 
 .
* Solid understanding of
 **data modeling, orchestration, and performance tuning** 
 .
* Excellent communication skills and ability to work in collaborative, cross\-functional teams.
**Nice to Have:** 
* Experience in
 **data modernization or migration projects** 
 .
* Familiarity with
 **CI/CD pipelines** 
 and
 **containerization** 
 (Docker/Kubernetes).
 📩
 **Interested candidates can apply directly or share resumes at** 
**raviteja.d@precisiontechcorp.com** 
 Let’s build the future of data together!</t>
        </is>
      </c>
    </row>
    <row r="93">
      <c r="A93" t="inlineStr">
        <is>
          <t>li-4370992551</t>
        </is>
      </c>
      <c r="B93" t="inlineStr">
        <is>
          <t>Senior Data Engineer</t>
        </is>
      </c>
      <c r="C93" t="inlineStr">
        <is>
          <t>GraceMark Solutions</t>
        </is>
      </c>
      <c r="D93" t="inlineStr">
        <is>
          <t>linkedin</t>
        </is>
      </c>
      <c r="E93" t="inlineStr"/>
      <c r="F93" t="inlineStr"/>
      <c r="G93" t="inlineStr">
        <is>
          <t>Lansing, MI</t>
        </is>
      </c>
      <c r="H93" t="inlineStr"/>
      <c r="I93" t="inlineStr">
        <is>
          <t>🚀 Senior Data Engineer / Technical Lead – Hybrid (Lansing, MI)
 💡 Looking for your next big challenge? This role offers the chance to lead complex data engineering projects that directly impact public health technology.
 🔑 Highlights:
 • $55/hour, 1\-year contract
 • Hybrid schedule: 2 days onsite per week (local candidates only, within 60 miles of Lansing)
 • Lead technical development, mentor engineers, and ensure system stability \+ data integrity
 🛠️ Must\-Have Skills:
 • 12\+ yrs complex database development
 • 8\+ yrs Databricks, Elasticsearch, Kibana, Python/Scala, Oracle
 • 5\+ yrs ETL, AWS, data warehousing, Agile/TDD, CMMI practices
 • Bonus: CI/CD pipelines with Azure DevOps, EHR/HL7 experience
 🌟 Impact:
 Your expertise will keep critical systems running smoothly, ensuring accurate data processing and reporting that supports public health initiatives.</t>
        </is>
      </c>
    </row>
    <row r="94">
      <c r="A94" t="inlineStr">
        <is>
          <t>li-4354100015</t>
        </is>
      </c>
      <c r="B94" t="inlineStr">
        <is>
          <t>FMA SQL Data Engineer</t>
        </is>
      </c>
      <c r="C94" t="inlineStr">
        <is>
          <t>Nokia</t>
        </is>
      </c>
      <c r="D94" t="inlineStr">
        <is>
          <t>linkedin</t>
        </is>
      </c>
      <c r="E94" t="inlineStr"/>
      <c r="F94" t="inlineStr"/>
      <c r="G94" t="inlineStr">
        <is>
          <t>Allentown, PA</t>
        </is>
      </c>
      <c r="H94" t="inlineStr"/>
      <c r="I94" t="inlineStr">
        <is>
          <t>**Job Description**
**Job Family Description**
 As an Electrical FMA Data Engineer at Nokia in Allentown, PA, you will work in a collaborative, fast\-paced environment where innovation is at the forefront. You will be part of a dynamic cross\-functional team, engaging with manufacturing, development, field service, reliability, and software engineers to tackle complex optical line card failures. Your expertise will lead to impactful design improvements and enhanced product reliability. We prioritize employee development through mentoring and offer opportunities for process improvement initiatives. In addition to competitive compensation, we provide relocation support and sponsorship, along with benefits such as health insurance, retirement plans, and professional growth opportunities to ensure a fulfilling work\-life balance. Join us to make a tangible impact on the networking solutions industry.
**How You Will Contribute And What You Will Learn**
 Your responsibilities
* Query large data sets from SQL database.
* Aptitude to work with a large body of data, perform statistical analysis, and comfortable presenting data and proposals to technical audiences.
* Interact with hardware design, test, controls, reliability, and manufacturing to define failure root causes and failure trends.
* Drive improvements in product quality during pilot ramp and identify opportunities to increase product volumes and reduce costs during production.
**Key Skills And Experience**
 Must\-Have:
* BS in Engineering, Computer Science, Math, Physics, or equivalent technical degree
* Experience in SQL server
* Strong analytical and critical thinking skills
* Statistical analysis experience
* Excellent oral and written communication skills
 Nice\-To\-Have:
* Experience in an Opto/Optical environment
* Electrical Circuits, C\#, Python
* Proficiency in database queries and statistical analysis</t>
        </is>
      </c>
    </row>
    <row r="95">
      <c r="A95" t="inlineStr">
        <is>
          <t>li-4370919914</t>
        </is>
      </c>
      <c r="B95" t="inlineStr">
        <is>
          <t>Data Engineer II (Epic)</t>
        </is>
      </c>
      <c r="C95" t="inlineStr">
        <is>
          <t>Children's Wisconsin</t>
        </is>
      </c>
      <c r="D95" t="inlineStr">
        <is>
          <t>linkedin</t>
        </is>
      </c>
      <c r="E95" t="inlineStr"/>
      <c r="F95" t="inlineStr"/>
      <c r="G95" t="inlineStr">
        <is>
          <t>Milwaukee, WI</t>
        </is>
      </c>
      <c r="H95" t="inlineStr"/>
      <c r="I95" t="inlineStr">
        <is>
          <t>*At Children’s Wisconsin, we believe kids deserve the best.*
*Children’s Wisconsin is a nationally recognized health system dedicated solely to the health and well\-being of children. We provide primary care, specialty care, urgent care, emergency care, community health services, foster and adoption services, child and family counseling, child advocacy services and family resource centers. Our reputation draws patients and families from around the country.*
*We offer a wide variety of rewarding career opportunities and are seeking individuals dedicated to helping us achieve our vision of the healthiest kids in the country. If you want to work for an organization that makes a difference for children and families, and encourages you to be at your best every day, please apply today.*
***Please follow this link for a closer look at what it’s like to work at Children’s Wisconsin:***
 https://www.instagram.com/lifeatcw/
 Children’s Wisconsin is seeking a Data Engineer II to support our Data Warehousing and Business Intelligence initiatives. In this role, you’ll design, develop, and maintain enterprise ETL solutions that power insights across the organization. This is an opportunity to work with modern data tools, collaborate across teams, and apply your expertise in a mission\-driven healthcare environment where data truly matters.
 What you will do:
 The Data Engineer II designs, develops and maintains key components of Children's Extract, Transformation and Load routines using Microsoft SQL Server, SSIS, Microsoft Fabric, stored procedures and other available tools. Identified as an application expert and primary contact in SSIS or similar ETL tool. Performs work that is complex and cross functional in nature. This role is a key contributor to the organization's Data Warehousing and Business Intelligence programs. Performs development, testing, changes to code and/or routines utilizing defined frameworks and development standards.
 What you will need:
* Bachelor's degree in or equivalent experience in IT or healthcare related field of study required.
* Certifications related to work area of focus, or Apprenticeship diploma preferred. 3 years of experience preferred. Master's degree in related field preferred.
* Epic experience preferred
* Knowledge of healthcare delivery systems preferred.
* Demonstrated strong analytical skills. Exhibits the aptitude in the following Competencies: Action Oriented, Manages Complexity, Collaborates and Optimizes Work Processes.
* Demonstrated experience designing and developing data quality, master data management or similar solutions. Strong critical thinking, problem solving and attentiveness to detail.
 Children's Wisconsin is an equal opportunity / affirmative action employer. We are committed to creating a diverse and inclusive environment for all employees. We treat everyone with dignity, respect, and fairness. We do not discriminate against any person on the basis of race, color, religion, sex, gender, gender identity and/or expression, sexual orientation, national origin, age, disability, veteran status, or any other status or condition protected by the law.
**Certifications/Licenses:**</t>
        </is>
      </c>
    </row>
    <row r="96">
      <c r="A96" t="inlineStr">
        <is>
          <t>li-4370710278</t>
        </is>
      </c>
      <c r="B96" t="inlineStr">
        <is>
          <t>Senior Data Engineer</t>
        </is>
      </c>
      <c r="C96" t="inlineStr">
        <is>
          <t>Lorven Technologies Inc.</t>
        </is>
      </c>
      <c r="D96" t="inlineStr">
        <is>
          <t>linkedin</t>
        </is>
      </c>
      <c r="E96" t="inlineStr"/>
      <c r="F96" t="inlineStr"/>
      <c r="G96" t="inlineStr">
        <is>
          <t>Boston, MA</t>
        </is>
      </c>
      <c r="H96" t="inlineStr"/>
      <c r="I96" t="inlineStr">
        <is>
          <t>**Role: Senior Data Engineer** 
**Location: Brighton, MA 02135 – 4 days onsite** 
**Interview process: Video Call \&amp; 3 rounds of Interview** 
**Full Time Role** 
**Need experience on AWS \+ (Redshift or Snowflake)** 
**Job description:** 
 You'll build scalable data pipelines to power insurance analytics. Preference for candidates with insurance domain expertise.
**Some of your key responsibilities include:** 
1. At least 8 to 10 years of overall IT experience. 5\+ years of relevant experience in design and development complete end\-end to design of enterprise\-wide big data solution.
2. Experience in designing \&amp; developing a big data solution using Spark, Scala, AWS Glue, Lambda is a must.
3. Strong Application development experience in Java/Scala/Python.
4. Strong Database SQL experience, preferably Redshift or Snowflake.
5. Acts as a Technical Leader and mentor to the team.
6. Experience in Insurance or Investment Management functions is highly preferred.
7. Advise on architectural decisions and design.
8. Participate in design workshops.
9. Create integration and application technical design documentation.
10. Conduct peer\-reviews of functional design documentation
11. Provide guidance on intended solution and best practices during development, configuration, and testing phases.
12. Complete development, configuration, and unit testing of high complexity areas
13. Perform code reviews and ensure standards are applied to each solution component.
14. Resolve complex defects during testing phases.
15. Provide guidance to developers in resolving defects.
16. Support and execute performance testing.
17. Provides guidance on infrastructure and environment setup.
18. Production Support: Assist in troubleshooting production environment and tuning environments.
19. Ensures best practices are followed from a technical perspective during all phases of the project.
**As a Senior Data Engineer, you will be responsible for:** 
1. Developing our application \- by delivering new features according to the business requirements, ensuring their high quality and timely delivery. We expect you to develop maintainable, well\-documented solutions, with an eye toward standardization, reusability, simplicity, performance, robustness, and other attributes of enterprise\-strength solutions.
2. Contributing to the application design \- creating Proofs of Concepts or prototypes when needed, contributing to technical design of applications, helping to choose the right tech stack, choosing, and applying system integration patterns, contributing to DB \&amp; data model design.
3. Helping to define application requirements \- using your technical expertise to work with business analysts, business representatives and other stakeholders to define requirements.
4. Thorough validation of the developed system – by utilizing advanced techniques and comprehensive testing approach (e.g. negative testing, testing boundary conditions, etc.), and working with the business stakeholders to support UAT testing.
5. Supporting our business stakeholders with your technical expertise \- replying to inquiries, investigating, and resolving encountered issues, addressing production incidents, and maintaining a helpful, “high\-touch” approach to working with our business users.
6. Following and improving Agile practices \- participating in Scrum Development team, encouraging others to follow the rules of Agile development, continuously improving our development methodology.</t>
        </is>
      </c>
    </row>
    <row r="97">
      <c r="A97" t="inlineStr">
        <is>
          <t>li-4366943636</t>
        </is>
      </c>
      <c r="B97" t="inlineStr">
        <is>
          <t>Data Platform Engineer</t>
        </is>
      </c>
      <c r="C97" t="inlineStr">
        <is>
          <t>Kestra Financial</t>
        </is>
      </c>
      <c r="D97" t="inlineStr">
        <is>
          <t>linkedin</t>
        </is>
      </c>
      <c r="E97" t="inlineStr"/>
      <c r="F97" t="inlineStr"/>
      <c r="G97" t="inlineStr">
        <is>
          <t>Tempe, AZ</t>
        </is>
      </c>
      <c r="H97" t="inlineStr"/>
      <c r="I97" t="inlineStr">
        <is>
          <t>Kestra Holdings offers industry\-leading wealth management platforms for independent wealth management professionals nationwide. Kestra is dedicated to empowering independent financial professionals—including traditional and hybrid RIAs—to grow their businesses and deliver exceptional client service. We combine advanced business management technology with personalized consulting to provide unmatched scale, efficiency, and support. Our advisor\-focused culture is built on innovation and advocacy, enabling advisors to offer comprehensive securities and investment advisory solutions to their clients.
**Kestra does not provide immigration sponsorship, including H** 
**‑1B visa sponsorship or PERM** 
**‑based employment authorization. Candidates must be legally authorized to work in the United States without the need for current or future employer\-sponsored immigration support.**
**Lead with Purpose. Partner with Impact.**
 We are seeking a seasoned Databricks Data Engineer with expertise in Azure cloud services and the Databricks Lakehouse platform. The role involves designing and optimizing large\-scale data pipelines, modernizing cloud\-based data ecosystems, and enabling secure, governed data solutions. Strong skills in SQL, Python, PySpark, ETL/ELT frameworks, and experience with Delta Lake, Unity Catalog, and CI/CD automation are essential.
**What you’ll Do:**
* Design, build, and optimize large\-scale data pipelines on the Databricks Lakehouse platform, ensuring reliability, scalability, and governance.
* Modernize the Azure\-based data ecosystem, contributing to cloud architecture, distributed data engineering, data modeling, security, and CI/CD automation.
* Utilize Apache Airflow and similar tools for orchestration and workflow automation.
* Work with financial or regulated datasets, applying strong compliance and governance practices.
* Develop and optimize ETL/ELT pipelines using Python, PySpark, Spark SQL, and Databricks notebooks.
* Design and optimize Delta Lake data models for reliability, performance, and scalability.
* Implement and manage Unity Catalog for RBAC, lineage, governance, and secure data sharing.
* Build reusable frameworks using Databricks Workflows, Repos, and Delta Live Tables.
* Create scalable ingestion pipelines for APIs, databases, files, streaming sources, and MDM systems.
* Automate API ingestion and workflows using Python and REST APIs.
* Support data governance, lineage, cataloging, and metadata initiatives.
* Enable downstream consumption for BI, data science, and application workloads.
* Write optimized SQL/T\-SQL queries, stored procedures, and curated datasets for reporting.
* Automate deployments, DevOps workflows, testing pipelines, and workspace configuration.
**What You Bring:**
* 8\+ years of experience designing and developing scalable data pipelines in modern data warehousing environments, with full ownership of end\-to\-end delivery.
* Expertise in data engineering and data warehousing, consistently delivering enterprise\-grade solutions.
* Proven ability to lead and coordinate data initiatives across cross\-functional and matrixed organizations.
* Advanced proficiency in SQL, Python, and ETL/ELT frameworks, including performance tuning and optimization.
* Hands\-on experience with Azure, Snowflake, and Databricks, and integration with enterprise systems.
**Internal Application Policy:**
 Internal applicants must be in good standing and have a minimum of 1 year of service with Kestra. Internal applicants must also have a minimum of 1 year service in current role unless approved by EVP.
**Benefits to support you:**
* Competitive pay and benefits with a large employer (over 1600 employees nationwide)
* 401(k), health insurance, and a competitive benefits package
* Work in a supportive, collaborative environment committed to professional excellence
* Help clients navigate meaningful financial decisions with confidence
* Opportunities for training, development, and long\-term growth within the firm
* Tuition reimbursement for qualified expenses
**Kestra Values:**
 Our Mission is Powering Financial Independence, enabling the growth and success of investing clients and the advisors who serve them. We do that by living our values: Serve, Make it Happen, and One team.
**Explore Life at Kestra**
 Kestra Holdings Website: https://www.kestrafinancial.com/
 Careers Portal: https://jobs.dayforcehcm.com/en\-US/kestra/KESTRACAREERSITE
 LinkedIn: https://www.linkedin.com/company/kestra\-financial
**Apply Today**
 Lead with purpose. Apply now and help shape the future of Kestra.
**Disclosure** 
 By applying to a job at Kestra Financial, Inc., you are agreeing to the following statements:
* You acknowledge that if hired, Kestra Financial, Inc. may, obtain and use background information concerning your credit, character, general reputation, personal characteristics, work habits, performance and experience for evaluation for your potential employment.
* It is the policy of Kestra Financial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Kestra Financial prohibits any such discrimination or harassment.</t>
        </is>
      </c>
    </row>
    <row r="98">
      <c r="A98" t="inlineStr">
        <is>
          <t>li-4370541784</t>
        </is>
      </c>
      <c r="B98" t="inlineStr">
        <is>
          <t>Lead Data Engineer - Data Platform Engineering (Hybrid)</t>
        </is>
      </c>
      <c r="C98" t="inlineStr">
        <is>
          <t>Northwell Health</t>
        </is>
      </c>
      <c r="D98" t="inlineStr">
        <is>
          <t>linkedin</t>
        </is>
      </c>
      <c r="E98" t="inlineStr"/>
      <c r="F98" t="inlineStr"/>
      <c r="G98" t="inlineStr">
        <is>
          <t>Melville, NY</t>
        </is>
      </c>
      <c r="H98" t="inlineStr"/>
      <c r="I98" t="inlineStr">
        <is>
          <t>174891
**Job Description**
 We're looking for a hands\-on Lead Data Engineer to architect and build the data pipelines and infrastructure that power our analytics, ML, and business intelligence capabilities. You'll design greenfield data solutions while modernizing our existing systems to create a scalable, reliable, and performant data platform.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This is a unique opportunity to own critical data infrastructure from the ground up. You'll spend your time building robust ETL/ELT pipelines, optimizing data models, building reusable and extensible frameworks, and mentoring the team all while solving complex challenges around data ingestion, transformation, and orchestration at scale.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Extensive Google Cloud Platform (GCP) experience
* Previous experience as a Data Platform Engineer/ Data Engineer/ Analytics Engineer for a large organization
* Experience in/ with Python (FastAPI, Pandas, Polars, etc.)
* Experience with infrastructure as code, specifically Terraform
* Extensive experience with Airflow, DBT, and/ or Dataform
* Experience with OpenLineage, OpenMetadata and data contracts
* Extensive experience with BigQuery, CloudSQL, Pub/ Sub, Dataflow, Cloud Storage, etc.
* Experience with the Cloud Healthcare API/ FHIR/ HL7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99">
      <c r="A99" t="inlineStr">
        <is>
          <t>li-4329683257</t>
        </is>
      </c>
      <c r="B99" t="inlineStr">
        <is>
          <t>Data Engineer</t>
        </is>
      </c>
      <c r="C99" t="inlineStr">
        <is>
          <t>Leidos</t>
        </is>
      </c>
      <c r="D99" t="inlineStr">
        <is>
          <t>linkedin</t>
        </is>
      </c>
      <c r="E99" t="inlineStr"/>
      <c r="F99" t="inlineStr"/>
      <c r="G99" t="inlineStr">
        <is>
          <t>Tampa, FL</t>
        </is>
      </c>
      <c r="H99" t="inlineStr"/>
      <c r="I99" t="inlineStr">
        <is>
          <t>**Description**
 Leidos has an immediate need for a highly skilled and versatile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BS degree in Systems Engineering, Computer Science, Cybersecurity, Electrical Engineering, or a related technical field.
 Experience: 3\-10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100">
      <c r="A100" t="inlineStr">
        <is>
          <t>li-4371015925</t>
        </is>
      </c>
      <c r="B100" t="inlineStr">
        <is>
          <t>Operations Data Engineer</t>
        </is>
      </c>
      <c r="C100" t="inlineStr">
        <is>
          <t>Intuitive</t>
        </is>
      </c>
      <c r="D100" t="inlineStr">
        <is>
          <t>linkedin</t>
        </is>
      </c>
      <c r="E100" t="inlineStr"/>
      <c r="F100" t="inlineStr"/>
      <c r="G100" t="inlineStr">
        <is>
          <t>Blacksburg, VA</t>
        </is>
      </c>
      <c r="H100" t="inlineStr"/>
      <c r="I100"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**Primary Function of Position**
 The Operations Data Engineer plays a critical role in transforming how manufacturing teams see and understand their operations by building and operating data pipelines, models, and visualizations that deliver real‑time line visibility to manufacturing performance and associated key performance indicators (KPIs). This role partners with Manufacturing Engineering, Automation Equipment and Test (AET) Engineering, Operations, Industrial Engineering, Quality, and IT/Data teams to architect reliable data flows from MES/ERP and equipment sources, transform raw signals into trusted semantic models, and surface insights via dashboards and alerts that drive business efficiencies and support continuous improvement (throughput, yield, cost, rework, OEE).
 The ideal candidate thrives at the intersection of data engineering and operations. They enjoy understanding how complex manufacturing systems work, uncovering hidden patterns in data, and turning raw information into intuitive analytics that drive action on the floor. This role is perfect for someone who is energized by solving meaningful problems, partnering closely with cross‑functional teams, and owning the full lifecycle of data—from source to insight.
**Essential Job Duties**
* Develop, maintain, and enhance data pipelines that power manufacturing operations with high reliability and performance, balancing latency, reliability, and cost
* Build new integrations to close data gaps, ensuring end‑to‑end visibility across production lines, equipment, and MES/ERP systems
* Build dynamic, user‑friendly dashboards that provide clear, actionable insights for both leadership and shop‑floor teams
* Ensure data quality and KPI accuracy by identifying and resolving discrepancies between source systems and analytics outputs
* Implement proactive monitoring, data validation, and automated quality checks to deliver trusted, high‑availability datasets
* Serve as the analytics point of contact for Operations and Manufacturing Engineering \- prioritize requirements, publish release notes, and host enablement sessions with line leaders and supervisors
* Work with data teams across the organization to ensure the right data is available to answer questions and monitor operations
* Communicate technical findings in a clear, compelling way that resonates with both technical and non‑technical audiences
**Qualifications**
**Required Skills and Experience**
* Minimum 2 years of experience in a professional role involving data (e.g. data engineering, data science, data visualizations)
* Minimum 1 year of programming or scripting experience (e.g. Python, C\+\+, Java, Bash, PowerShell)
* Minimum 1 year of hands‑on experience using SQL
* Excellent communication (written and verbal), presentation and documentation skills
* Strong organization and time‑management skills, with the ability to manage multiple priorities in a dynamic environment
* Ability to distill complex information into clear insights that support operational improvements
**Required Education And Training**
* Bachelor's degree in Business, Economics, Statistics, Engineering, Physics, or other quantitative field
**Working Conditions**
* None
**Preferred Skills And Experience**
* Minimum 2 years of hands\-on experience building, operating, or supporting Operations data pipelines or analytics systems
* Experience with Snowflake SQL
* Experience in a manufacturing environment with understanding of MRP systems and factory workflows
* Proficiency with visualization and analytics tools such as Tableau, Smartsheet, or Posit
* Familiarity with statistical process control (SPC)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$150,100 \- $215,900
**Base Salary Range Region 2:** 
 $127,600 \- $183,500
**Shift:** 
 Day
**Workplace Type:** 
 Onsite \- This job is fully onsite.</t>
        </is>
      </c>
    </row>
    <row r="101">
      <c r="A101" t="inlineStr">
        <is>
          <t>li-4370696539</t>
        </is>
      </c>
      <c r="B101" t="inlineStr">
        <is>
          <t>Palantir Foundry Data Engineer</t>
        </is>
      </c>
      <c r="C101" t="inlineStr">
        <is>
          <t>Voto Consulting LLC</t>
        </is>
      </c>
      <c r="D101" t="inlineStr">
        <is>
          <t>linkedin</t>
        </is>
      </c>
      <c r="E101" t="inlineStr"/>
      <c r="F101" t="inlineStr"/>
      <c r="G101" t="inlineStr">
        <is>
          <t>Jersey City, NJ</t>
        </is>
      </c>
      <c r="H101" t="inlineStr"/>
      <c r="I101" t="inlineStr">
        <is>
          <t>**Title :\-** 
 Palantir Foundry Data Engineer
**Location :\-** 
 Jersey City, New Jersey (04 Days On\-Site)
**Target Start Date / Urgency to Fill Role :\-** 
 As early as possible
 **.** 
**Candidate Preference:** 
 Local candidates preferred as interview is F2F.
**Must Have:** 
**Palantir, Python, PySpark** 
**Job Description:** 
* We are seeking a seasoned
 **Data Engineer** 
 with
 **3\-10 years of experience** 
 in
 **data engineering** 
 ,
 **AWS** 
 ,
 **microservices architecture** 
 , and
 **AI/ML frameworks** 
 , along with hands\-on expertise or certification in
 **Palantir Foundry** 
 .
* The ideal candidate will work on designing scalable data solutions, building robust pipelines, and integrating machine learning models into data workflows.
**Key Requirements:** 
* **03\-10 years** 
 of hands\-on experience in
 **data engineering** 
 with a focus on
 **ETL workflows** 
 ,
 **data pipelines** 
 , and cloud computing.
* Strong experience with
 **AWS services** 
 for data processing and storage (e.g., S3, Glue, Athena, Lambda, Redshift).
* Proficiency in programming languages such as
 **Python** 
 ,
 **PySpark**
* Deep understanding of
 **microservices architecture** 
 and
 **distributed systems** 
 .
* Familiarity with
 **AI/ML tools and frameworks** 
 (e.g., TensorFlow, PyTorch) and their integration into data pipelines.
* Experience with big data technologies like
 **Apache Spark** 
 ,
 **Kafka** 
 , and
 **Snowflake** 
 .
* Strong problem\-solving and performance optimization skills.
* Exposure to
 **modern DevOps practices** 
 , including CI/CD pipelines and container orchestration tools like
 **Docker** 
 and
 **Kubernetes** 
 .
* Experience working in agile environments delivering complex data engineering solutions.
* Proven expertise or certification in
 **Palantir Foundry** 
 is highly preferred.</t>
        </is>
      </c>
    </row>
    <row r="102">
      <c r="A102" t="inlineStr">
        <is>
          <t>li-4322794419</t>
        </is>
      </c>
      <c r="B102" t="inlineStr">
        <is>
          <t>Finance Data Engineer</t>
        </is>
      </c>
      <c r="C102" t="inlineStr">
        <is>
          <t>Adobe</t>
        </is>
      </c>
      <c r="D102" t="inlineStr">
        <is>
          <t>linkedin</t>
        </is>
      </c>
      <c r="E102" t="inlineStr"/>
      <c r="F102" t="inlineStr"/>
      <c r="G102" t="inlineStr">
        <is>
          <t>San Jose, CA</t>
        </is>
      </c>
      <c r="H102" t="inlineStr"/>
      <c r="I10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Challenge:**
 We are a dynamic detailed oriented finance data engineering team seeking a collaborative partner to help drive further excellence in the world of finance. We strive to delight our clients with the best data while ensuring cohesive solutions.
 The Financial Data Engineer performs a wide range of job duties applying technical know\-how and develop an analytics product that will generate insights into financial indicators and customer journey! Maintains a very hands\-on focus for technology matters combined with an affinity for solving complex technical and business issues, enabling tools for self\-service financial analyst community and delivering projects on time with very high quality!
**Who you are:**
* You work independently, prioritize individual workload, solve and remedy problems under pressing deadlines
* You exercise good judgment and a pragmatic approach to delivering solutions that optimizes architecture activities across company needs, business constraints and varying technological realities
* Document and demonstrate solutions by developing design documentation, code comments, presentations and code execution.
* You are customer service oriented
**Responsibilities:**
* Provide the creation of useful models to communicate current state, future state, and gap definitions in support of decision\-making processes.
* Consult in the refinement of existing models, adding new ideas to make the result more flexible and more tightly linked to current and expected requirements
* Participates in project conceptual modeling, discovery processes, technical design/reviews, and project meetings in order to provide appropriate guidance that influences toward positive business outcomes.
**Qualifications:**
* 7\+ years’ experience with strong Python, SQL/PLSQL skills and technologies like Azure Databricks with enterprise data warehousing experience.
* Strong data modeling and performance optimization skills.
* Ability to design, develop, and migrate data analytics solutions by sourcing data from SAP HANA, SQL Server and other databases.
* Experience working with analytics reporting for sales, bookings, finance, and subscription business areas.
* Ability to design, develop, and test ETL solutions, including modeling data warehouse metadata and automating data loading processes.
* Experience with Airflow or other ETL tools is a plus.
* Experience with BI technologies like Tableau and PowerBI is a plus.
* Experience monitoring, solving and tuning services/applications and operational expertise such as good problem solving skills, understanding of systems capacity, bottlenecks, and basics of memory, CPU, OS, storage, and networks.
* Bachelor’s degree or equivalent experience in computer science, Information Science, Information Technology or Engineering or a related Field
 Our compensation reflects the cost of labor across several  U.S. geographic markets, and we pay differently based on those defined markets. The U.S. pay range for this position is $112,400 \-\- $226,550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$156,500 \- $226,550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03">
      <c r="A103" t="inlineStr">
        <is>
          <t>li-4362266488</t>
        </is>
      </c>
      <c r="B103" t="inlineStr">
        <is>
          <t>Senior Data Engineer</t>
        </is>
      </c>
      <c r="C103" t="inlineStr">
        <is>
          <t>ZenPoint Solutions LLC</t>
        </is>
      </c>
      <c r="D103" t="inlineStr">
        <is>
          <t>linkedin</t>
        </is>
      </c>
      <c r="E103" t="inlineStr"/>
      <c r="F103" t="inlineStr"/>
      <c r="G103" t="inlineStr">
        <is>
          <t>Washington, DC</t>
        </is>
      </c>
      <c r="H103" t="inlineStr"/>
      <c r="I103" t="inlineStr">
        <is>
          <t>**Description:** 
 ZenPoint Solutions LLC (
 **“ZenPoint Solutions”** 
 ) is a rapidly expanding Information Technology (IT) services company in the federal sector. We foster a thriving, ambitious work environment that prioritizes employee well\-being and a positive company culture. We invite you to join our team and help us shape a dynamic future as we deliver innovative solutions to address the nation's most critical IT missions.
**Clearance Requirement:** 
 Candidates must hold and maintain an active Top Secret clearance
**Work Location:** 
 Washington, D.C.
**Work Schedule (Onsite):** 
 Five (5\) days a week, onsite at the customer’s facility
**Position Overview:** 
 ZenPoint Solutions is seeking a skilled
 **Senior Data Engineer** 
 to support the maintenance, optimization, and effective use of the Private Sector Portal (PSP) across the enterprise. Responsibilities include managing and auditing PSP data, supporting HQ and field users, and coordinating technical requirements with relationship management teams and contractors. The position designs, implements, and automates enterprise\-level ETL and data analysis pipelines, aggregating data from multiple sources to ensure timely, accurate delivery. The role also focuses on improving system efficiency through automation and emerging technologies, while developing clear technical documentation and providing reliable customer support. Strong independence, collaboration, and a results\-driven mindset are essential for success in this position.
**Responsibilities:** 
* Design, implement, automate, and maintain Enterprise level of scalable Extract, Transform and Load (ETL) data ingestion and data analysis pipelines.
* Build robust data processing, enriching and analysis pipelines that aggregate and normalize large datasets across diverse sources, including sources from web services.
* Automate and optimize database and data workflows for best performance and efficiency.
* Identify and propose emerging technologies, automation, or alternative solutions to efficiently provide better support for developers and application stakeholders.
* Develop and maintain documentation, inline comments, confluence, and stand\-alone documents, wherever necessary for the readability of the software design and code.
* Ability to focus on producing results efficiently.
* Ability to work independently and coordinate with team members.
**Required Qualifications:** 
* **Candidate must be a United States Citizen and present proof of Citizenship, if selected**
* Bachelor’s degree
* Minimum 10 years of relevant experience.
* Experience with designing, implementing, and maintaining big data processing, normalizing, and enriching pipelines in language such as Python, pySpark, or Spark.
* Experience with architecting, designing, and building modern medallion ETL processes for data lake, data warehouse or lakehouse.
* Experience with implementing automated data pipelines with Continuous Integration/Continuous Delivery (CI/CD).
* Experience with dataframe processing with filtering conditions.
* Experience with organizing data version history to optimize processing and retrieving performance.
* Experience with data indexing for robust searching and querying.
* Knowledge of PostgreSQL.
* Knowledge of automating data pipeline and workflow on Apache Niagra Files (NiFi) or Databricks for ease of maintenance.
* Strong verbal and written communication skills to effectively collaborate and integrate with enterprise partners and customers.
* Excellent at troubleshooting, debugging, and researching.
* Focus and have the desire to learn.
***No recruitment agencies, please.***
**Company Benefits:** 
 We take care of your well\-being here at ZenPoint Solutions! Our comprehensive benefits package includes health, dental, and vision insurance to keep you and your family healthy. We also offer group and voluntary life insurance for financial security, and short\-term and long\-term disability insurance to provide peace of mind in case of unexpected illness or injury. You'll have the option to contribute to a 401(k)\-retirement plan with company matching contributions to save for the future. We also offer flexible spending accounts to help manage medical and dependent care costs on a pre\-tax basis. On top of that, you'll enjoy a generous paid leave policy, including federal holidays, to maintain a healthy work\-life balance. To help you grow in your career, we offer professional development opportunities and a tuition assistance program.
**Commitment to Equality:** 
 At ZenPoint Solutions, we value diverse perspectives and are committed to providing equal employment opportunities. We welcome applications from all qualified individuals, regardless of race, color, religion, sex, sexual orientation, gender identity, national origin, disability, veteran status, or any other status protected under applicable federal, state, or local laws.</t>
        </is>
      </c>
    </row>
    <row r="104">
      <c r="A104" t="inlineStr">
        <is>
          <t>li-4329680701</t>
        </is>
      </c>
      <c r="B104" t="inlineStr">
        <is>
          <t>Senior Data Engineer</t>
        </is>
      </c>
      <c r="C104" t="inlineStr">
        <is>
          <t>The Swift Group, LLC</t>
        </is>
      </c>
      <c r="D104" t="inlineStr">
        <is>
          <t>linkedin</t>
        </is>
      </c>
      <c r="E104" t="inlineStr"/>
      <c r="F104" t="inlineStr"/>
      <c r="G104" t="inlineStr">
        <is>
          <t>Herndon, VA</t>
        </is>
      </c>
      <c r="H104" t="inlineStr"/>
      <c r="I104"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a looking for a Subject Matter Expert
 **Data Engineer** 
 to join our dynamic team in Herndon, VA to designing data models, building data warehouses and data lakes, automating data pipelines and working with datasets of all sizes.
**Responsibilities**
* Optimize overall data/information flow by reducing redundancy and enabling accessibility within security boundaries.
* Apply data extraction, transformation and loading (ETL) techniques to connect large data sets from a variety of sources
* Create data collection frameworks for structured and unstructured data
* Create cyber and operational analytic tools for consumers that assist them in building and optimizing downstream products inclusive of constructing dataset procedures that can help with data mining, modeling, and production
* Use and develop standards, tools, processes and governance for capturing, modeling, storing, and delivering data for the enterprise
**Requirements**
* Bachelor’s or Master’s degree
* At least 15 years of relevant experience
* Experience integrating diverse data streams
* Experience with data transfer tools (Ex: NiFi, Cribl, etc.)
* Experience establishing data standards and acting as custodian of IT and service delivery data sets and streams
* Experience in analyzing complex networks and systems
* Experience in analyzing log data from various network components and operating systems
* Knowledge of complex environments involving shared networks and multiple security enclaves
* Ability to manage and troubleshoot data feeds
* Splunk familiarization
* Python experience
* US citizenship and an active TS/SCI with Polygraph security clearance required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05">
      <c r="A105" t="inlineStr">
        <is>
          <t>li-4364820686</t>
        </is>
      </c>
      <c r="B105" t="inlineStr">
        <is>
          <t>Intermediate Data Analytics Engineer - Commerce Ordering</t>
        </is>
      </c>
      <c r="C105" t="inlineStr">
        <is>
          <t>Publix Super Markets</t>
        </is>
      </c>
      <c r="D105" t="inlineStr">
        <is>
          <t>linkedin</t>
        </is>
      </c>
      <c r="E105" t="inlineStr"/>
      <c r="F105" t="inlineStr"/>
      <c r="G105" t="inlineStr">
        <is>
          <t>Lakeland, FL</t>
        </is>
      </c>
      <c r="H105" t="inlineStr"/>
      <c r="I105" t="inlineStr">
        <is>
          <t>**Description**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level—internships through technical leadership. Join a company consistently ranked among Fortune’s “100 Best Companies to Work For” and help us build more than great subs—build the future of technology at Publix.
 Become a part of the Commerce \- Ordering team! As an Intermediate Data Analytics Engineer, you will support both data analytical insight generation and hands on data engineering work. This role blends business focused data analysis with data transformation, modeling, and pipeline development to ensure high quality, analytics ready datasets. The ideal candidate should be equally comfortable writing advanced SQL, building dashboards, and working directly with data pipelines and warehouse structures.Location: Hybrid (Lakeland, FL) Work Model:
 Enjoy the best of both worlds—collaborate in person and innovate remotely.
 Why Join Us?
* Hybrid Flexibility : Work remotely when you need focus time and join us onsite for high\-impact collaboration and brainstorming sessions. (Remove if fully remote)
* Operational Efficiency : Ensure technology solutions support efficient workflows and enable automation to improve operational effectiveness.
* Cutting\-Edge AI Projects : Drive innovation in AI platforms, integrating advanced tools and frameworks to solve complex business challenges. (Remove if role is not involved in AI efforts)
* Empowered Culture : We value autonomy, creativity, and continuous learning—your ideas shape the future of technology in our organization.
 Your impact
* Analyze large, structured datasets from SQL Server, Snowflake, Application Insights, and COSMOS to identify trends, patterns, and anomalies. Translating business questions into analytical approaches and measurable KPIs. Perform ad hoc and recurring analyses to support leadership and business needs.
* Design, build, and maintain scalable batch and near real time data pipelines using Azure Databricks Ingesting data from multiple sources including databases like SQL Server, Azure SQL, Snowflake, Application Insights, and COSMOS.
* Design, build, and maintain dashboards and reports in tools like Excel using advanced formulas and pivots, Power BI using DAX, measures, visuals, drill downs.
* Automate data refresh processes to ensure timely and accurate data availability for business users.
* Collaborate with stakeholders to understand business needs and analytical requirements. Present findings and recommendations to stakeholders and leadership.
**Required Qualifications**
* Bachelor’s degree in management information systems, Computer Science, Business, or other analytical disciplines or equivalent experience
* 3\+ years of Strong SQL skills with the ability to write and optimize complex queries across SQL Server and Snowflake. Comfortable sourcing from Azure Cosmos DB, Azure Application Insights (Kusto/Azure Data Explorer queries), and Azure storage.
* 3\+ years of experience with Excel, Power BI for data analysis and visualization.
* 3\+ years of Hands\-on experience with Azure Databricks building production pipelines and transformations.
* 3\+ years of Proficiency in Python for data manipulation and transformation.
* 3\+ years of experience in application design, development, and delivery in an enterprise environment
* Familiarity with data modeling concepts and integrating data from diverse sources.
**Preferred Qualifications**
* 5\+ years of experience in application design, development, and delivery in an enterprise environment
* 5\+ years of experience developing large\-scale data manipulation processes.
* 4\+ years of experience utilizing Databricks for Python
* 5\+ years of experience working with relational databases.
* 5\+ years of experience implementing large scale enterprise applications.
* 5\+ years of experience in analyzing complex, enterprise business problems or processes and translating business requirements into technology solutions that factor in system performance, usability, quality, cross\-system interdependencies, scalability, and total cost of ownership.
* Experience in implementing enterprise applications using platform services like azure App service, COSMOS, Azure SQL, event hubs, Microservices, Snowflake DB, application insights, etc.
* Experience with Azure DevOps for managing project tasks, managing code repositories, and creating YAML pipelines for CI/CD builds and deployments.
* Experience with C\# and/or Angular development
* Relevant Certifications in Data Analysis/Engineering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https://jobs\-beta.publix.com/benefits/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
 For this position, Publix does not and will not file a petition or application with the USCIS or Department of State on behalf of any noncitizen for any immigration\-related benefit to work and/or to continue to work in the United States, e.g., an H\-1B or TN petition or permanent residence.</t>
        </is>
      </c>
    </row>
    <row r="106">
      <c r="A106" t="inlineStr">
        <is>
          <t>li-4370672444</t>
        </is>
      </c>
      <c r="B106" t="inlineStr">
        <is>
          <t>Data Engineer 3- Onsite 4X Days per Week in NY</t>
        </is>
      </c>
      <c r="C106" t="inlineStr">
        <is>
          <t>Comcast</t>
        </is>
      </c>
      <c r="D106" t="inlineStr">
        <is>
          <t>linkedin</t>
        </is>
      </c>
      <c r="E106" t="inlineStr"/>
      <c r="F106" t="inlineStr"/>
      <c r="G106" t="inlineStr">
        <is>
          <t>New York, United States</t>
        </is>
      </c>
      <c r="H106" t="inlineStr"/>
      <c r="I106" t="inlineStr">
        <is>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Responsible for designing, building and overseeing the deployment and operation of technology architecture, solutions and software to capture, manage, store and utilize structured and unstructured data from internal and external sources. Establishes and builds processes and structures based on business and technical requirements to channel data from multiple inputs, route appropriately and store using any combination of distributed (cloud) structures, local databases, and other applicable storage forms as required. Develops technical tools and programming that leverage artificial intelligence, machine learning and big\-data techniques to cleanse, organize and transform data and to maintain, defend and update data structures and integrity on an automated basis. Creates and establishes design standards and assurance processes for software, systems and applications development to ensure compatibility and operability of data connections, flows and storage requirements. Reviews internal and external business and product requirements for data operations and activity and suggests changes and upgrades to systems and storage to accommodate ongoing needs. Work with data modelers/analysts to understand the business problems they are trying to solve then create or augment data assets to feed their analysis. Has in\-depth experience, knowledge and skills in own discipline. Usually determines own work priorities. Acts as resource for colleagues with less experience.
**Job Description**
 Core Responsibilities
 Develops data structures and pipelines aligned to established standards and guidelines to organize, collect, standardize and transform data that helps generate insights and address reporting needs.
 Focuses on ensuring data quality during ingest, processing as well as final load to the target tables.
 Creates standard ingestion frameworks for structured and unstructured data as well as checking and reporting on the quality of the data being processed.
 Creates standard methods for end users / downstream applications to consume data including but not limited to database views, extracts and Application Programming Interfaces.
 Develops and maintains information systems (e.g., data warehouses, data lakes) including data access Application Programming Interfaces.
 Participates in the implementation of solutions via data architecture, data engineering, or data manipulation on both on\-prem platforms like Kubernetes and Teradata as well as Cloud platforms like Databricks.
 Determines the appropriate storage platform across different on\-prem (minIO and Teradata) and Cloud (AWS S3, Redshift) depending on the privacy, access and sensitivity requirements.
 Understands the data lineage from source to the final semantic layer along with the transformation rules applied to enable faster troubleshooting and impact analysis during changes.
 Collaborates with technology and platform management partners to optimize data sourcing and processing rules to ensure appropriate data quality as well as process optimization.
 Creates and establishes design standards and assurance processes for software, systems and applications development to ensure compatibility and operability of data connections, flows and storage requirements. Reviews internal and external business and product requirements for data operations and activity and suggests changes and upgrades to systems and storage to accommodate ongoing needs.
 Develops strategies for data acquisition, archive recovery, and database implementation.
 Manages data migrations/conversions and troubleshooting data processing issues.
 Understands the data sensitivity, customer data privacy rules and regulations and applies them consistently in all Information Lifecycle Management activities.
 Identifies and reacts to system notification and log to ensure quality standards for databases and applications. Solves abstract problems beyond single development language or situation by reusing data file and flags already set.
 Solves critical issues and shares knowledge such as trends, aggregate, quantity volume regarding specific data sources.
 Consistent exercise of independent judgment and discretion in matters of significance.
 Regular, consistent and punctual attendance. Must be able to work nights and weekends, variable schedule(s) as necessary.
**Other Duties And Responsibilities As Assigned.**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Support a culture of inclusion in how you work and lead.
 Do what's right for each other, our customers, investors and our communities.
 Disclaimer:This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DataOps; Data Management; Go Programming Language
**Salary**
 Primary Location Pay Range: $118,449\.51 \- $177,674\.27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07">
      <c r="A107" t="inlineStr">
        <is>
          <t>li-4361898690</t>
        </is>
      </c>
      <c r="B107" t="inlineStr">
        <is>
          <t>Senior Marketing Analytics Engineer -  Paid Media</t>
        </is>
      </c>
      <c r="C107" t="inlineStr">
        <is>
          <t>Generac</t>
        </is>
      </c>
      <c r="D107" t="inlineStr">
        <is>
          <t>linkedin</t>
        </is>
      </c>
      <c r="E107" t="inlineStr"/>
      <c r="F107" t="inlineStr"/>
      <c r="G107" t="inlineStr">
        <is>
          <t>Pewaukee, WI</t>
        </is>
      </c>
      <c r="H107" t="inlineStr"/>
      <c r="I107" t="inlineStr">
        <is>
          <t>We are seeking an experienced and analytical Senior Marketing Analytics Engineer \- Paid Media to own and drive analytics initiatives related to media performance measurement, marketing attribution, and advanced reporting. The ideal candidate will collaborate across teams to deliver data\-driven insights and solutions, supporting strategic goals and enhancing business outcomes.
**Major Responsibilities**
 Analytics Leadership:
* Manage analytics workstreams focused on media performance measurement and marketing attribution.
* Conduct ad hoc and deep\-dive analyses aligned with team priorities.
**Collaboration**
* Partner with data engineering teams to design and build marketing infrastructure that addresses both business and analytical needs.
* Work cross\-functionally to analyze the impact of experimentation on marketing metrics.
**Reporting Development**
* Design and optimize reporting frameworks, ensuring timely and accurate delivery across the organization.
* Create and maintain dashboards to monitor strategic KPIs.
**Data Integration**
* Collaborate with various teams to consolidate data from multiple sources into unified repositories.
* Support integration of sales, operations, and consumer data to enable comprehensive analysis.
**Performance Metrics**
* Develop and refine performance metrics to measure and enhance business outcomes.
* Implement dashboards and reports to support strategic decision\-making.
**Process Improvement**
* Lead initiatives to enhance reporting processes and automation.
* Identify and implement workflow improvements to deliver actionable insights.
**Advanced Analytics**
* Develop and present benchmark reports using advanced analytics techniques.
* Create and deploy predictive models
**Education**
**Minimum Job Requirements**
* Bachelor’s degree in data science, Computer Science, Statistics, or a related field is required
**Experience**
* Minimum 7 years of experience in data analytics or marketing analytics, with a proven track record in business intelligence and performance reporting.
* Hands\-on experience with marketing measurement tools such as multi\-touch attribution, media mix modeling, incrementality testing, matched market testing, and A/B testing.
**Technical Skills**
* Advanced proficiency in Power BI and Excel for dashboard creation and data visualization.
* Strong expertise in SQL and familiarity with R or Python.
* Solid knowledge of data modeling and integration techniques.
**Analytical Skills**
* Ability to analyze large, complex datasets to identify trends and deliver actionable insights.
* Strong understanding of business metrics and forecasting techniques.
**Soft Skills**
* Proven ability to collaborate effectively within a team and with cross\-functional stakeholders.
* Exceptional attention to detail with a commitment to accuracy and timeliness.
*Generac is committed to fair and equitable compensation practices. The salary range for this role is 95,000 \- 120,000\.
 **This compensation will ultimately be in line with the location in which the position is filled.** 
 Final compensation for this role will be determined by various factors such as a candidate’s relevant work experience, skills, certifications and geographic location. This role is eligible for variable compensation including short term and long\-term incentives. This position includes a comprehensive benefit package that includes medical, dental and vision plans; life, long\-term disability, flexible spending and health savings accounts, accrued paid time off, paid Holidays and 401(k) retirement benefits.*
*The application period for the job is estimated to be 5 days from the job posting date. However, this timeline may be shortened or extended depending on business needs and the availability of qualified candidates.*</t>
        </is>
      </c>
    </row>
    <row r="108">
      <c r="A108" t="inlineStr">
        <is>
          <t>li-4356560332</t>
        </is>
      </c>
      <c r="B108" t="inlineStr">
        <is>
          <t>Senior Data Engineer with Credit Risk - Synechron Inc.</t>
        </is>
      </c>
      <c r="C108" t="inlineStr">
        <is>
          <t>Jobs via eFinancialCareers</t>
        </is>
      </c>
      <c r="D108" t="inlineStr">
        <is>
          <t>linkedin</t>
        </is>
      </c>
      <c r="E108" t="inlineStr"/>
      <c r="F108" t="inlineStr"/>
      <c r="G108" t="inlineStr">
        <is>
          <t>New York, NY</t>
        </is>
      </c>
      <c r="H108" t="inlineStr"/>
      <c r="I108"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skilled and experienced Senior Data Engineer to join our dynamic Team.
 Additional Information\*
 The base salary for this position will vary based on geography and other factors. In accordance with law, the base salary for this role if filled within New York, NY is $140k \- $155k/year \&amp; benefits (see below).
**The Role**
**Responsibilities:**
* Understand technical specifications.
* Business requirements discussion with business analyst and business users.
* Python/SQL Server/Snowflake/Databricks application development and system design.
* Develop and maintain data models and schemas to support data integration and analysis.
* Implement data quality and validation checks to ensure accuracy and consistency of data.
* Execution of UT and SIT with business analysts to ensure of high\-quality testing.
* Support for UAT with business users.
* Production support and maintenance of application platform.
**Requirements:**
* Around 12\+ years IT industry experience.
* Strong communication skills.
* Agile methodology and SDLC processes.
* Design and Architecture experience.
* Experience working in global delivery model (onshore/offshore/nearshore).
* Strong problem\-solving and analytical skills.
* Self\-starter, collaborative team player and works with minimal guidance.
* Mandatory (Strong): Python, SQL server and relational database concepts, Azure Databricks, Snowflake, Scheduler (Autosys/Control\-M), ETL, CI/CD.
* Plus: PySpark, Financial systems/capital markets/credit risk/regulatory application development experience.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109">
      <c r="A109" t="inlineStr">
        <is>
          <t>li-4371067363</t>
        </is>
      </c>
      <c r="B109" t="inlineStr">
        <is>
          <t>Data Engineer</t>
        </is>
      </c>
      <c r="C109" t="inlineStr">
        <is>
          <t>InterWorks</t>
        </is>
      </c>
      <c r="D109" t="inlineStr">
        <is>
          <t>linkedin</t>
        </is>
      </c>
      <c r="E109">
        <f>HYPERLINK("https://www.linkedin.com/jobs/view/4371067363", "https://www.linkedin.com/jobs/view/4371067363")</f>
        <v/>
      </c>
      <c r="F109" t="inlineStr"/>
      <c r="G109" t="inlineStr">
        <is>
          <t>Tulsa, OK</t>
        </is>
      </c>
      <c r="H109" t="inlineStr"/>
      <c r="I109" t="inlineStr">
        <is>
          <t>Are you someone who naturally connects business needs, data, and technology and enjoys guiding others through complex decisions? Do you like partnering with clients, asking the right questions, and designing data solutions that support long\-term success rather than one\-off wins?
 InterWorks is seeking a Data Engineering Consultant to work closely with clients as they navigate modern data platform decisions. This role blends hands\-on data engineering with consulting, discovery, and client advisory work. You’ll help organizations move from fragmented, messy data environments to scalable, reliable data platforms that enable analytics, AI, and confident decision\-making.
 In this role, you’ll collaborate with internal teams and client stakeholders to design and deliver thoughtful, sustainable solutions. Our Data Engineering Consultants don’t just implement pipelines, they help clients understand tradeoffs, shape technical direction, and build foundations that grow with the business.
**Location Preferences:** 
 We’d love for you to join us from one of our offices in Oklahoma City, Tulsa, or Stillwater, OK. Remote work in the Raleigh–Durham, NC area may be possible depending on the situation. Let’s chat!
**Salary Range:** 
 $90,000–$150,000 depending on experience and qualifications
**What You’ll Do**
* Lead and participate in discovery conversations to understand client goals, constraints, and current\-state data environments
* Guide clients through data platform, architecture, and tooling decisions, clearly explaining options and tradeoffs
* Design and deliver technical roadmaps that support scalable data and analytics platform adoption
* Apply strong data modeling and engineering best practices to support analytics, reporting, AI, and machine learning use cases
* Stay current on modern data engineering trends, cloud platforms, and emerging technologies
* Design and build modern, reliable data pipelines and ETL/ELT frameworks
* Architect cloud\-native data infrastructure with a focus on scalability, maintainability, and data quality
* Integrate and unify data from diverse sources including SQL databases, APIs, spreadsheets, and cloud storage
* Own technical direction for client engagements, balancing best practices with real\-world constraints
* Collaborate closely with analysts, consultants, and client stakeholders to translate business needs into technical solutions
* Deliver billable consulting services, including hands\-on engineering work and client advisory engagements
 What You’ll Need
* 5\+ years of professional experience in data engineering, technical consulting, or a related field
* Strong SQL skills and experience working with relational databases and cloud data warehouses
* Hands\-on experience with ETL/ELT workflows and data transformation frameworks
* Solid understanding of data modeling best practices and data quality principles
* Experience working in client\-facing or consulting\-style environments
* Ability to translate complex technical concepts into clear, actionable guidance for non\-technical audiences
* Working knowledge of cloud platforms and modern data engineering architectures
* Familiarity with DevOps concepts, CI/CD pipelines, and version control
* Comfort navigating ambiguity and evolving requirements in a consultative environment
* Strong problem\-solving skills and a client\-centered mindset
 What We’d Like You to Have
* Experience with cloud platforms such as AWS, Azure, or GCP
* Familiarity with tools like Snowflake, Databricks, dbt, Fivetran, Matillion, or similar technologies
* Working knowledge of Python or scripting for automation
* Exposure to analytics, BI, or downstream data consumption use cases
* Interest in AI and emerging technologies shaping the future of data engineering
* Background in software engineering, systems integration, or analytics consulting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110">
      <c r="A110" t="inlineStr">
        <is>
          <t>li-4371065405</t>
        </is>
      </c>
      <c r="B110" t="inlineStr">
        <is>
          <t>Data Engineer</t>
        </is>
      </c>
      <c r="C110" t="inlineStr">
        <is>
          <t>InterWorks</t>
        </is>
      </c>
      <c r="D110" t="inlineStr">
        <is>
          <t>linkedin</t>
        </is>
      </c>
      <c r="E110">
        <f>HYPERLINK("https://www.linkedin.com/jobs/view/4371065405", "https://www.linkedin.com/jobs/view/4371065405")</f>
        <v/>
      </c>
      <c r="F110" t="inlineStr"/>
      <c r="G110" t="inlineStr">
        <is>
          <t>Raleigh, NC</t>
        </is>
      </c>
      <c r="H110" t="inlineStr"/>
      <c r="I110" t="inlineStr">
        <is>
          <t>Are you someone who naturally connects business needs, data, and technology and enjoys guiding others through complex decisions? Do you like partnering with clients, asking the right questions, and designing data solutions that support long\-term success rather than one\-off wins?
 InterWorks is seeking a Data Engineering Consultant to work closely with clients as they navigate modern data platform decisions. This role blends hands\-on data engineering with consulting, discovery, and client advisory work. You’ll help organizations move from fragmented, messy data environments to scalable, reliable data platforms that enable analytics, AI, and confident decision\-making.
 In this role, you’ll collaborate with internal teams and client stakeholders to design and deliver thoughtful, sustainable solutions. Our Data Engineering Consultants don’t just implement pipelines, they help clients understand tradeoffs, shape technical direction, and build foundations that grow with the business.
**Location Preferences:** 
 We’d love for you to join us from one of our offices in Oklahoma City, Tulsa, or Stillwater, OK. Remote work in the Raleigh–Durham, NC area may be possible depending on the situation. Let’s chat!
**Salary Range:** 
 $90,000–$150,000 depending on experience and qualifications
**What You’ll Do**
* Lead and participate in discovery conversations to understand client goals, constraints, and current\-state data environments
* Guide clients through data platform, architecture, and tooling decisions, clearly explaining options and tradeoffs
* Design and deliver technical roadmaps that support scalable data and analytics platform adoption
* Apply strong data modeling and engineering best practices to support analytics, reporting, AI, and machine learning use cases
* Stay current on modern data engineering trends, cloud platforms, and emerging technologies
* Design and build modern, reliable data pipelines and ETL/ELT frameworks
* Architect cloud\-native data infrastructure with a focus on scalability, maintainability, and data quality
* Integrate and unify data from diverse sources including SQL databases, APIs, spreadsheets, and cloud storage
* Own technical direction for client engagements, balancing best practices with real\-world constraints
* Collaborate closely with analysts, consultants, and client stakeholders to translate business needs into technical solutions
* Deliver billable consulting services, including hands\-on engineering work and client advisory engagements
 What You’ll Need
* 5\+ years of professional experience in data engineering, technical consulting, or a related field
* Strong SQL skills and experience working with relational databases and cloud data warehouses
* Hands\-on experience with ETL/ELT workflows and data transformation frameworks
* Solid understanding of data modeling best practices and data quality principles
* Experience working in client\-facing or consulting\-style environments
* Ability to translate complex technical concepts into clear, actionable guidance for non\-technical audiences
* Working knowledge of cloud platforms and modern data engineering architectures
* Familiarity with DevOps concepts, CI/CD pipelines, and version control
* Comfort navigating ambiguity and evolving requirements in a consultative environment
* Strong problem\-solving skills and a client\-centered mindset
 What We’d Like You to Have
* Experience with cloud platforms such as AWS, Azure, or GCP
* Familiarity with tools like Snowflake, Databricks, dbt, Fivetran, Matillion, or similar technologies
* Working knowledge of Python or scripting for automation
* Exposure to analytics, BI, or downstream data consumption use cases
* Interest in AI and emerging technologies shaping the future of data engineering
* Background in software engineering, systems integration, or analytics consulting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111">
      <c r="A111" t="inlineStr">
        <is>
          <t>li-4371064549</t>
        </is>
      </c>
      <c r="B111" t="inlineStr">
        <is>
          <t>Data Engineer</t>
        </is>
      </c>
      <c r="C111" t="inlineStr">
        <is>
          <t>InterWorks</t>
        </is>
      </c>
      <c r="D111" t="inlineStr">
        <is>
          <t>linkedin</t>
        </is>
      </c>
      <c r="E111">
        <f>HYPERLINK("https://www.linkedin.com/jobs/view/4371064549", "https://www.linkedin.com/jobs/view/4371064549")</f>
        <v/>
      </c>
      <c r="F111" t="inlineStr"/>
      <c r="G111" t="inlineStr">
        <is>
          <t>Durham, NC</t>
        </is>
      </c>
      <c r="H111" t="inlineStr"/>
      <c r="I111" t="inlineStr">
        <is>
          <t>Are you someone who naturally connects business needs, data, and technology and enjoys guiding others through complex decisions? Do you like partnering with clients, asking the right questions, and designing data solutions that support long\-term success rather than one\-off wins?
 InterWorks is seeking a Data Engineering Consultant to work closely with clients as they navigate modern data platform decisions. This role blends hands\-on data engineering with consulting, discovery, and client advisory work. You’ll help organizations move from fragmented, messy data environments to scalable, reliable data platforms that enable analytics, AI, and confident decision\-making.
 In this role, you’ll collaborate with internal teams and client stakeholders to design and deliver thoughtful, sustainable solutions. Our Data Engineering Consultants don’t just implement pipelines, they help clients understand tradeoffs, shape technical direction, and build foundations that grow with the business.
**Location Preferences:** 
 We’d love for you to join us from one of our offices in Oklahoma City, Tulsa, or Stillwater, OK. Remote work in the Raleigh–Durham, NC area may be possible depending on the situation. Let’s chat!
**Salary Range:** 
 $90,000–$150,000 depending on experience and qualifications
**What You’ll Do**
* Lead and participate in discovery conversations to understand client goals, constraints, and current\-state data environments
* Guide clients through data platform, architecture, and tooling decisions, clearly explaining options and tradeoffs
* Design and deliver technical roadmaps that support scalable data and analytics platform adoption
* Apply strong data modeling and engineering best practices to support analytics, reporting, AI, and machine learning use cases
* Stay current on modern data engineering trends, cloud platforms, and emerging technologies
* Design and build modern, reliable data pipelines and ETL/ELT frameworks
* Architect cloud\-native data infrastructure with a focus on scalability, maintainability, and data quality
* Integrate and unify data from diverse sources including SQL databases, APIs, spreadsheets, and cloud storage
* Own technical direction for client engagements, balancing best practices with real\-world constraints
* Collaborate closely with analysts, consultants, and client stakeholders to translate business needs into technical solutions
* Deliver billable consulting services, including hands\-on engineering work and client advisory engagements
 What You’ll Need
* 5\+ years of professional experience in data engineering, technical consulting, or a related field
* Strong SQL skills and experience working with relational databases and cloud data warehouses
* Hands\-on experience with ETL/ELT workflows and data transformation frameworks
* Solid understanding of data modeling best practices and data quality principles
* Experience working in client\-facing or consulting\-style environments
* Ability to translate complex technical concepts into clear, actionable guidance for non\-technical audiences
* Working knowledge of cloud platforms and modern data engineering architectures
* Familiarity with DevOps concepts, CI/CD pipelines, and version control
* Comfort navigating ambiguity and evolving requirements in a consultative environment
* Strong problem\-solving skills and a client\-centered mindset
 What We’d Like You to Have
* Experience with cloud platforms such as AWS, Azure, or GCP
* Familiarity with tools like Snowflake, Databricks, dbt, Fivetran, Matillion, or similar technologies
* Working knowledge of Python or scripting for automation
* Exposure to analytics, BI, or downstream data consumption use cases
* Interest in AI and emerging technologies shaping the future of data engineering
* Background in software engineering, systems integration, or analytics consulting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112">
      <c r="A112" t="inlineStr">
        <is>
          <t>li-4371081127</t>
        </is>
      </c>
      <c r="B112" t="inlineStr">
        <is>
          <t>Data Engineer</t>
        </is>
      </c>
      <c r="C112" t="inlineStr">
        <is>
          <t>InterWorks</t>
        </is>
      </c>
      <c r="D112" t="inlineStr">
        <is>
          <t>linkedin</t>
        </is>
      </c>
      <c r="E112">
        <f>HYPERLINK("https://www.linkedin.com/jobs/view/4371081127", "https://www.linkedin.com/jobs/view/4371081127")</f>
        <v/>
      </c>
      <c r="F112" t="inlineStr"/>
      <c r="G112" t="inlineStr">
        <is>
          <t>Oklahoma City, OK</t>
        </is>
      </c>
      <c r="H112" t="inlineStr"/>
      <c r="I112" t="inlineStr">
        <is>
          <t>Are you someone who naturally connects business needs, data, and technology and enjoys guiding others through complex decisions? Do you like partnering with clients, asking the right questions, and designing data solutions that support long\-term success rather than one\-off wins?
 InterWorks is seeking a Data Engineering Consultant to work closely with clients as they navigate modern data platform decisions. This role blends hands\-on data engineering with consulting, discovery, and client advisory work. You’ll help organizations move from fragmented, messy data environments to scalable, reliable data platforms that enable analytics, AI, and confident decision\-making.
 In this role, you’ll collaborate with internal teams and client stakeholders to design and deliver thoughtful, sustainable solutions. Our Data Engineering Consultants don’t just implement pipelines, they help clients understand tradeoffs, shape technical direction, and build foundations that grow with the business.
**Location Preferences:** 
 We’d love for you to join us from one of our offices in Oklahoma City, Tulsa, or Stillwater, OK. Remote work in the Raleigh–Durham, NC area may be possible depending on the situation. Let’s chat!
**Salary Range:** 
 $90,000–$150,000 depending on experience and qualifications
**What You’ll Do**
* Lead and participate in discovery conversations to understand client goals, constraints, and current\-state data environments
* Guide clients through data platform, architecture, and tooling decisions, clearly explaining options and tradeoffs
* Design and deliver technical roadmaps that support scalable data and analytics platform adoption
* Apply strong data modeling and engineering best practices to support analytics, reporting, AI, and machine learning use cases
* Stay current on modern data engineering trends, cloud platforms, and emerging technologies
* Design and build modern, reliable data pipelines and ETL/ELT frameworks
* Architect cloud\-native data infrastructure with a focus on scalability, maintainability, and data quality
* Integrate and unify data from diverse sources including SQL databases, APIs, spreadsheets, and cloud storage
* Own technical direction for client engagements, balancing best practices with real\-world constraints
* Collaborate closely with analysts, consultants, and client stakeholders to translate business needs into technical solutions
* Deliver billable consulting services, including hands\-on engineering work and client advisory engagements
 What You’ll Need
* 5\+ years of professional experience in data engineering, technical consulting, or a related field
* Strong SQL skills and experience working with relational databases and cloud data warehouses
* Hands\-on experience with ETL/ELT workflows and data transformation frameworks
* Solid understanding of data modeling best practices and data quality principles
* Experience working in client\-facing or consulting\-style environments
* Ability to translate complex technical concepts into clear, actionable guidance for non\-technical audiences
* Working knowledge of cloud platforms and modern data engineering architectures
* Familiarity with DevOps concepts, CI/CD pipelines, and version control
* Comfort navigating ambiguity and evolving requirements in a consultative environment
* Strong problem\-solving skills and a client\-centered mindset
 What We’d Like You to Have
* Experience with cloud platforms such as AWS, Azure, or GCP
* Familiarity with tools like Snowflake, Databricks, dbt, Fivetran, Matillion, or similar technologies
* Working knowledge of Python or scripting for automation
* Exposure to analytics, BI, or downstream data consumption use cases
* Interest in AI and emerging technologies shaping the future of data engineering
* Background in software engineering, systems integration, or analytics consulting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113">
      <c r="A113" t="inlineStr">
        <is>
          <t>li-4371044056</t>
        </is>
      </c>
      <c r="B113" t="inlineStr">
        <is>
          <t>Data Engineer</t>
        </is>
      </c>
      <c r="C113" t="inlineStr">
        <is>
          <t>The Value Maximizer</t>
        </is>
      </c>
      <c r="D113" t="inlineStr">
        <is>
          <t>linkedin</t>
        </is>
      </c>
      <c r="E113">
        <f>HYPERLINK("https://www.linkedin.com/jobs/view/4371044056", "https://www.linkedin.com/jobs/view/4371044056")</f>
        <v/>
      </c>
      <c r="F113" t="inlineStr"/>
      <c r="G113" t="inlineStr">
        <is>
          <t>Austin, TX</t>
        </is>
      </c>
      <c r="H113" t="inlineStr"/>
      <c r="I113"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14">
      <c r="A114" t="inlineStr">
        <is>
          <t>li-4371070212</t>
        </is>
      </c>
      <c r="B114" t="inlineStr">
        <is>
          <t>Data Engineer</t>
        </is>
      </c>
      <c r="C114" t="inlineStr">
        <is>
          <t>The Value Maximizer</t>
        </is>
      </c>
      <c r="D114" t="inlineStr">
        <is>
          <t>linkedin</t>
        </is>
      </c>
      <c r="E114">
        <f>HYPERLINK("https://www.linkedin.com/jobs/view/4371070212", "https://www.linkedin.com/jobs/view/4371070212")</f>
        <v/>
      </c>
      <c r="F114" t="inlineStr"/>
      <c r="G114" t="inlineStr">
        <is>
          <t>Austin, TX</t>
        </is>
      </c>
      <c r="H114" t="inlineStr"/>
      <c r="I114"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15">
      <c r="A115" t="inlineStr">
        <is>
          <t>li-4371075301</t>
        </is>
      </c>
      <c r="B115" t="inlineStr">
        <is>
          <t>Senior Data Engineer - Data Platform and Analytics</t>
        </is>
      </c>
      <c r="C115" t="inlineStr">
        <is>
          <t>Worldly</t>
        </is>
      </c>
      <c r="D115" t="inlineStr">
        <is>
          <t>linkedin</t>
        </is>
      </c>
      <c r="E115">
        <f>HYPERLINK("https://www.linkedin.com/jobs/view/4371075301", "https://www.linkedin.com/jobs/view/4371075301")</f>
        <v/>
      </c>
      <c r="F115" t="inlineStr"/>
      <c r="G115" t="inlineStr">
        <is>
          <t>Concord, CA</t>
        </is>
      </c>
      <c r="H115" t="inlineStr"/>
      <c r="I115" t="inlineStr">
        <is>
          <t>*Location: Remote \- US*
**About Worldly**
 Worldly is the world’s most comprehensive impact intelligence platform — delivering real data to businesses on impacts within their supply chain. Worldly is trusted by 40,000 global brands, retailers, and manufacturers to provide the single source of ESG intelligence they need to accelerate business and industry transformation.
 Through strategic and meaningful customer relationships, Worldly provides key insights into supplier performance, product impact, trends analysis, and compliance. When a company wants to change how business is done, we enable that systemic shift.
 Backed by a dedicated global team of individuals aligned by values, Worldly proudly operates as a public benefit corporation with backing from mission\-aligned investors. Want to learn more? Read our story.
**About The Opportunity**
 Worldly is hiring a hands\-on data engineer with a passion for sustainability to join our dynamic team. You will take on a primary role in building, operating, maintaining, and evolving the systems that support our internal analytics and power our customer\-facing analytics platforms.
 In this role:
* You will collaborate with stakeholders across the organization to design and implement scalable, cloud\-based data solutions, integrating generative AI to drive innovation.
* You will work closely with cross\-functional stakeholders (finance, product, marketing, customer support, tech, data science) to enable trusted data products for internal decision making and external\-facing tools.
* You will have a leading role in the development of a data lake resource to complement our existing data warehouse, enabling greater flexibility in analytics and reporting.
* You will work with AWS services, automation tools, machine learning, and generative AI to enhance efficiency, stability, security, and performance.
 This role is expected to drive outcomes in day\-to\-day execution and operational stability, while partnering with senior engineering leadership on longer\-range architecture direction.
**What You'll Do**
**SQL \+ Postgres Data Warehouse**
* Operate and evolve our Postgres data warehouse: schema design, performance tuning, indexing, access controls, and so on.
* Build analytics\-ready datasets supporting sustainability measurement, supply\-chain insights, and business metrics.
**Semantic Layer Deployment**
* Deploy and maintain multiple instances of Cube.dev semantic layers with standardized configuration, CI/CD workflows, and governance practices (including documentation of processes, configurations, and troubleshooting).
* Establish clear and consistent metric definitions and versioning across dashboards and analytics surfaces.
**GenAI/NLP Enablement**
* Support integration and deployment of genAI\-enabled workflows, especially NLP\-based use cases (classification, extraction, normalization, embeddings/similarity).
* Ensure that our data infrastructure is “AI\-ready”.
**Graph Data Enablement**
* In collaboration with data scientists, research and develop practical transition plans for evolving selected relational/warehouse data structures into a graph\-based knowledgebase (for use with the Neo4j framework), including candidate use cases, data modeling approach, migration sequencing, and operational considerations (performance, governance, lineage, and security).
**DBT Pipelines and Automation**
* Maintain and stabilize existing DBT pipelines that underpin reporting and analytics, including automation for incremental processing/scheduling, data quality monitoring, and performance tuning.
* Lead operational support and modernization planning: rapid triage and root\-cause resolution for pipeline issues, and evaluation/prototyping of next\-generation transformation approaches with clear, low\-risk transition plans in partnership with analytics and engineering stakeholders.
**AWS Data Pipelines**
* Build ingestion and ETL processes using S3, Glue, Lambda, and AppFlow.
* Integrate data from third\-party systems and APIs (e.g., Zendesk, HubSpot, NetSuite, other platform data) with strong auditability and operational resilience.
**We'd Like to See**
* 5\+ years of professional experience in data engineering, analytics engineering, or data platform engineering.
* Advanced SQL expertise and strong experience with relational databases, especially Postgres.
* Strong Python development skills applied to data pipelines, automation, and operational tooling.
* Strong Git\-based development practices (branching, PRs, code review).
* Demonstrated experience developing and supporting DBT transformations and operational workflows.
* Hands\-on experience building AWS ingestion/ETL workflows using services such as S3, IAM, Glue, Lambda, CloudFormation (or other IaC), and AppFlow.
* Practical DevOps experience: CI/CD pipelines, Git/GitHub workflows, and containerization fundamentals (Docker).
* Experience with analytics data modeling and metric definition practices.
* Experience implementing automated monitoring/alerting and data quality controls for pipelines and critical datasets.
* Experience operating production data systems (including data quality tests, regression checks, validation frameworks, incident triage, root\-cause analysis, runbooks, reliability improvements).
* Experience working closely with analytics teams and cross\-functional stakeholders; familiarity with Jira/Confluence and Agile delivery.
* Familiarity with data security practices (PII protection, encryption controls, access management).
**It Helps If You Have**
* Experience with semantic layers (Cube.dev preferred),
* Familiarity with genAI/NLP enablement,
* Exposure to graph databases (knowledge graphs) and related concepts (Neo4j preferred).
**What We Can Offer You**
* Medical, Dental, and Vision Insurance are offered through multiple PPO options. Worldly covers 90% employee premium and 60% spouse/dependent premium.
* Company\-sponsored 401k with up to 4% match for US employees.
* Incentive Stock Options.
* 100% Parental Paid Leave.
* Unlimited PTO.
* 12 paid company holidays.
**Life at Worldly**
 Our team is motivated to transform the way products are made. By helping our customers succeed in a new era of sustainable production, we can build technology that makes a difference on a planetary level.
 Our team represents over 15 countries and brings unique experiences from technology to farming to the table. Surround yourself with kind, enthusiastic, and dedicated people who put collaboration and growth at the center of our shared goals.
***Benefits and Perks***
* Earn a competitive salary and performance\-based bonuses. Get healthcare, retirement matching, and equity for US employees.
* Use the office stipend to get the supplies you need—combat Zoom fatigue with no\-meeting Fridays.
* Flexible time off. Take the time you need to recharge. Our culture encourages team members to explore and rest to be their best selves.
* We're remote, not lonely. Join the culture committee, coffee chats, or a variety of other interest groups.
**Travel Notice**
 Roles at Worldly may require occasional travel to support business needs, including but not limited to team collaboration, customer engagement, or company events.
**Equity Statement**
 We believe reflecting the diversity of those we strive to serve is essential. True innovation happens when everyone has room at the table, including the tools, resources, and opportunity to excel. We’re dedicated to building a culturally and experientially diverse team that leads and works with empathy and respect.
**Compensation Overview**
 Annual Base Rate (USD): $135,000 \- $165,000
 10% Annual Bonus
 Incentive Stock Option Package
 Work\-From\-Home Stipends
* Final compensation figures will be determined based on a wide variety of factors, including experience and location. These factors will be evaluated and considered by Worldly throughout the entirety of this process.
 Compensation Range: $135K \- $165K</t>
        </is>
      </c>
    </row>
    <row r="116">
      <c r="A116" t="inlineStr">
        <is>
          <t>li-4371029978</t>
        </is>
      </c>
      <c r="B116" t="inlineStr">
        <is>
          <t>Data Engineer</t>
        </is>
      </c>
      <c r="C116" t="inlineStr">
        <is>
          <t>The Value Maximizer</t>
        </is>
      </c>
      <c r="D116" t="inlineStr">
        <is>
          <t>linkedin</t>
        </is>
      </c>
      <c r="E116">
        <f>HYPERLINK("https://www.linkedin.com/jobs/view/4371029978", "https://www.linkedin.com/jobs/view/4371029978")</f>
        <v/>
      </c>
      <c r="F116" t="inlineStr"/>
      <c r="G116" t="inlineStr">
        <is>
          <t>Florida, United States</t>
        </is>
      </c>
      <c r="H116" t="inlineStr"/>
      <c r="I116"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17">
      <c r="A117" t="inlineStr">
        <is>
          <t>li-4371057992</t>
        </is>
      </c>
      <c r="B117" t="inlineStr">
        <is>
          <t>Data Engineer</t>
        </is>
      </c>
      <c r="C117" t="inlineStr">
        <is>
          <t>The Value Maximizer</t>
        </is>
      </c>
      <c r="D117" t="inlineStr">
        <is>
          <t>linkedin</t>
        </is>
      </c>
      <c r="E117">
        <f>HYPERLINK("https://www.linkedin.com/jobs/view/4371057992", "https://www.linkedin.com/jobs/view/4371057992")</f>
        <v/>
      </c>
      <c r="F117" t="inlineStr"/>
      <c r="G117" t="inlineStr">
        <is>
          <t>Florida, United States</t>
        </is>
      </c>
      <c r="H117" t="inlineStr"/>
      <c r="I117"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18">
      <c r="A118" t="inlineStr">
        <is>
          <t>li-4371039167</t>
        </is>
      </c>
      <c r="B118" t="inlineStr">
        <is>
          <t>Data Engineer</t>
        </is>
      </c>
      <c r="C118" t="inlineStr">
        <is>
          <t>The Value Maximizer</t>
        </is>
      </c>
      <c r="D118" t="inlineStr">
        <is>
          <t>linkedin</t>
        </is>
      </c>
      <c r="E118">
        <f>HYPERLINK("https://www.linkedin.com/jobs/view/4371039167", "https://www.linkedin.com/jobs/view/4371039167")</f>
        <v/>
      </c>
      <c r="F118" t="inlineStr"/>
      <c r="G118" t="inlineStr">
        <is>
          <t>New Jersey, United States</t>
        </is>
      </c>
      <c r="H118" t="inlineStr"/>
      <c r="I118"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19">
      <c r="A119" t="inlineStr">
        <is>
          <t>li-4371030279</t>
        </is>
      </c>
      <c r="B119" t="inlineStr">
        <is>
          <t>Data Engineer I/II</t>
        </is>
      </c>
      <c r="C119" t="inlineStr">
        <is>
          <t>BNSF Railway</t>
        </is>
      </c>
      <c r="D119" t="inlineStr">
        <is>
          <t>linkedin</t>
        </is>
      </c>
      <c r="E119">
        <f>HYPERLINK("https://www.linkedin.com/jobs/view/4371030279", "https://www.linkedin.com/jobs/view/4371030279")</f>
        <v/>
      </c>
      <c r="F119" t="inlineStr"/>
      <c r="G119" t="inlineStr"/>
      <c r="H119" t="inlineStr"/>
      <c r="I119" t="inlineStr">
        <is>
          <t>**About The Company**
 BNSF Railway is one of the largest freight railroads in the United States, operating across 28 western states and three Canadian provinces. Committed to safety, inclusion, and excellence, BNSF plays a vital role in transporting essential products and materials that support communities nationwide and globally. As a member of our team, you will contribute to the movement of goods that feed, clothe, supply, and power various regions, making a tangible impact on everyday life.
 BNSF \| Tech is the dedicated technology division focused on transforming and innovating freight rail logistics. Our mission is to make BNSF the preeminent freight and mobility company in North America through cutting\-edge technology solutions. We foster a culture of continuous improvement, collaboration, and innovation, encouraging employees to drive change and make meaningful contributions in a dynamic environment.
 We are dedicated to creating an inclusive workplace where all employees belong, have equal opportunities, and can reach their full potential. Join us in reshaping the future of freight rail and experience a fulfilling career where your skills and ideas truly matter.
**About The Role**
 The Data \&amp; AI Lead at BNSF \| Tech will be at the forefront of leveraging data engineering and artificial intelligence to revolutionize freight rail operations. This remote position within the United States offers an exciting opportunity to design and implement real\-time data streaming solutions, develop scalable data pipelines, and manage large\-scale data warehouses. The role involves collaborating with data scientists, analysts, and stakeholders to understand their data needs and deliver robust, reliable, and secure data solutions.
 The ideal candidate will have a strong background in data engineering, with expertise in streaming technologies, data warehousing, and cloud\-based ETL processes. You will lead efforts to optimize data workflows, troubleshoot issues, and ensure compliance with industry standards. The role also emphasizes continuous learning, staying current with industry trends, and writing well\-documented, efficient code. This position offers the chance to make a significant impact by transforming data assets into actionable insights that support business objectives and operational excellence.
 Travel requirements are up to 20%, with occasional visits to the corporate headquarters in Fort Worth, TX. The role provides a comprehensive benefits package, competitive salary, and opportunities for professional growth within a supportive and innovative environment.
**Qualifications**
* Authorized to work in the United States.
* Minimum of 2 years of experience in software engineering, data engineering, or related fields.
* Proficiency in programming languages such as Python, SQL, and Java.
* Strong understanding of data warehousing concepts, including dimensional modeling and star schema.
* Experience with ETL processes and cloud\-based solutions.
* Familiarity with database management systems (SQL, NoSQL) and modern lakehouse technologies (Apache Iceberg, Delta Lake, Apache Trino).
* Experience with data streaming technologies such as Apache Kafka, AWS Kinesis, Apache Flink, and Apache Spark.
* Excellent problem\-solving skills and attention to detail.
* Strong communication and collaboration skills.
* Ability to learn new technical concepts quickly and adapt to evolving technologies.
**Responsibilities**
* Design and implement real\-time data streaming solutions to process data efficiently.
* Develop and maintain robust data pipelines for both real\-time and batch processing, including data extraction, transformation, and loading (ETL).
* Create and manage large\-scale data warehouses to support business intelligence and analytics needs.
* Integrate data from diverse sources to develop certified datasets ensuring accuracy, consistency, and reliability.
* Collaborate with data scientists, analysts, and stakeholders to understand data requirements and deliver effective solutions.
* Optimize data workflows, monitor data pipelines, and troubleshoot issues to ensure high performance and scalability.
* Ensure data security and compliance with industry standards and regulations.
* Stay updated with industry trends and advancements in data engineering, data science, and machine learning.
* Write efficient, well\-documented code with comprehensive testing and validation.
* Lead the implementation of data engineering solutions into production environments, overseeing design, development, and monitoring.
**Benefits**
* Industry\-leading 401(k) plan and Railroad Retirement benefits.
* Comprehensive health care options for employees and dependents, including medical, dental, vision, and mental health services.
* Health savings accounts (HSA) with employer contributions, along with life and disability insurance.
* Family support programs including parental leave, pediatric and family building assistance, adoption, and surrogacy reimbursement.
* Access to discounts on travel, gym memberships, counseling, and wellness programs.
* Annual bonus and incentive compensation programs.
* Generous leave policies and paid time off.
* Resources and tools for professional development and career growth.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encourage individuals from all backgrounds to apply and look forward to welcoming talented professionals to our team.</t>
        </is>
      </c>
    </row>
    <row r="120">
      <c r="A120" t="inlineStr">
        <is>
          <t>li-4370706274</t>
        </is>
      </c>
      <c r="B120" t="inlineStr">
        <is>
          <t>Senior Data Engineer II</t>
        </is>
      </c>
      <c r="C120" t="inlineStr">
        <is>
          <t>BlinkRx</t>
        </is>
      </c>
      <c r="D120" t="inlineStr">
        <is>
          <t>linkedin</t>
        </is>
      </c>
      <c r="E120">
        <f>HYPERLINK("https://www.linkedin.com/jobs/view/4370706274", "https://www.linkedin.com/jobs/view/4370706274")</f>
        <v/>
      </c>
      <c r="F120" t="inlineStr"/>
      <c r="G120" t="inlineStr">
        <is>
          <t>New York, NY</t>
        </is>
      </c>
      <c r="H120" t="inlineStr"/>
      <c r="I120"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Blink Engineering strives to build trusted, highly observable, data\-driven
 **and AI\-enabled** 
 products that bring affordable, accessible healthcare to all Americans. Healthcare is one of the most complex systems most of us will ever work in, and
 **high\-quality, well\-governed data is foundational to both analytics and AI systems** 
 that make that complexity understandable, reliable, and scalable.
 We are seeking a Staff Data Engineer to own and drive the evolution of Blink’s data engineering function
 **with an AI\-first mindset** 
 . This role is responsible for shaping and executing a forward\-looking data strategy that ensures our data warehouse, pipelines, and analytics foundations are not only correct and reliable, but
 **designed to power machine learning, AI\-driven insights, and intelligent automation at scale** 
 .
 As a Staff engineer, you are a technical leader and force multiplier—deeply hands\-on while setting standards, direction, and best practices that scale across teams. You will operate with a high degree of autonomy, proactively identifying risks and opportunities, and influencing how Blink builds, uses, and trusts its data
 **as a strategic asset for both human and AI decision\-making** 
 .
  What You Will Do
 * Own the technical direction for Blink’s data engineering architecture, balancing immediate business needs with long\-term scalability, reliability, maintainability,
 **and AI readiness**
* Design, build, and evolve core data pipelines, models, and warehouses that support analytics, reporting, operational decision\-making,
 **and AI/ML use cases**
* Proactively assess production data warehouse trends and operational issues, identifying systemic problems and driving durable short\- and long\-term solutions that improve
 **data quality, freshness, and usability for AI systems**
* Define and enforce standards for data modeling, data quality, observability, and performance across the data ecosystem,
 **with an emphasis on producing trusted inputs for machine learning and AI**
* Lead the design and refactoring of large enterprise data warehouses and associated ETLs, simplifying architecture through automation, improved patterns,
 **and AI\-friendly data abstractions**
* Serve as a technical authority in peer code reviews and architecture reviews, setting a high bar for clean, correct, maintainable,
 **and AI\-compatible** 
 data systems
* Partner closely with analytics, product, and engineering teams to translate ambiguous business needs into scalable data solutions,
 **including data products that enable AI\-powered features**
* Identify opportunities to increase leverage through shared frameworks, tooling, reusable data assets,
 **and data products that accelerate AI development**
* Mentor and guide other data engineers, raising the overall technical maturity and effectiveness of the team
 **in building data systems that safely support AI**
  Technical Skills
 * 8\+ years of experience in data or software engineering, including ownership of production\-grade data systems
* Strong foundation in data engineering principles, including dimensional modeling, incremental data ingestion, and distributed data processing,
 **with an understanding of how these choices impact AI and ML workflows**
* Extensive experience building and maintaining robust, scalable ETL pipelines using SQL, Python, Databricks, Spark, and DBT
* Advanced SQL skills, including writing and optimizing complex queries across large and diverse datasets
* Experience designing, operating, and maintaining columnar data warehouses with a focus on reliability, performance,
 **and suitability for advanced analytics and AI**
* Hands\-on experience with batch and streaming data systems, including Airflow, Databricks / Spark, and relational databases such as Postgres
* Experience integrating data platforms with business intelligence tools (e.g., Tableau, QuickSight)
 **and supporting downstream AI and ML consumption**
* Familiarity with modern infrastructure and DevOps practices, including infrastructure as code (Terraform), containerization, and orchestration (Docker, Kubernetes)
* Demonstrated ability to continuously improve data systems through automation, simplification, and thoughtful architectural change,
 **especially in service of scalable AI\-driven capabilities**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121">
      <c r="A121" t="inlineStr">
        <is>
          <t>li-4371052578</t>
        </is>
      </c>
      <c r="B121" t="inlineStr">
        <is>
          <t>Associate Data Engineer</t>
        </is>
      </c>
      <c r="C121" t="inlineStr">
        <is>
          <t>Brightside Health</t>
        </is>
      </c>
      <c r="D121" t="inlineStr">
        <is>
          <t>linkedin</t>
        </is>
      </c>
      <c r="E121">
        <f>HYPERLINK("https://www.linkedin.com/jobs/view/4371052578", "https://www.linkedin.com/jobs/view/4371052578")</f>
        <v/>
      </c>
      <c r="F121">
        <f>HYPERLINK("https://ats.rippling.com/brightside-health-jobs/jobs/8cfe0046-07e7-465b-bfd3-aba16d365729?jobSite=LinkedIn&amp;urlHash=ehZR", "https://ats.rippling.com/brightside-health-jobs/jobs/8cfe0046-07e7-465b-bfd3-aba16d365729?jobSite=LinkedIn&amp;urlHash=ehZR")</f>
        <v/>
      </c>
      <c r="G121" t="inlineStr"/>
      <c r="H121" t="inlineStr"/>
      <c r="I121" t="inlineStr">
        <is>
          <t>Brightside Health delivers life\-saving virtual mental healthcare to everyone who needs it. We are powered by proprietary AI, purpose\-built technology, a world\-class clinician network, and a care model that rivals the best of in\-person treatment. When combined with precision psychiatry and leading\-edge therapeutic techniques, we’re able to improve outcomes for those with mild\-to\-severe clinical depression, anxiety, and other mood disorders. Our innovative approach has earned recognition from leading publications such as Healthline, Fortune, and Forbes, naming us 'Most Comprehensive,' and 'Best Online Therapy for Anxiety and Depression.'
 We take an action\-oriented, purposeful approach with everything we do and seek out team members who value collaboration and thoughtful prioritization. As a result, our organization is looking for the brightest and most innovative talent in the industry. We can promise you that, as a member of the Brightside team, you’ll have the opportunity to collaborate alongside smart and driven people while growing your professional skills.
 We are looking for an Associate Data Engineer to contribute to our Data Platform, reporting directly to the Senior Director, Platform Services. In this role, you will be responsible for supporting the entire Data Lifecycle (DLC) using dbt, BigQuery, Airflow, and Terraform. You will partner closely with the Data Analytics and Data Science teams to ensure scalable, efficient, and reliable data infrastructure. Ultimately, this role will focus on building reliable transformations using Python and SQL, and optimizing our data platform infrastructure to support business insights and decision\-making.
*****What you’ll be doing an Associate Data Engineer*****
* Build and maintain data pipelines using dbt and Airflow
* Collaborate with analysts and stakeholders to support data\-driven decision\-making
* Build Automated data testing with good test coverage to ensure data quality
* Optimize BigQuery performance for scalability and efficiency
* Participate in on\-call rotations for troubleshooting and triaging outages/errors
* Support Data science and Data Analyst by curation required data
**Requirements**
* Strong SQL and data modeling expertise
* Experience in dbt development and deployment
* Knowledge in Data science is a plus
* Proficiency in Python programming
* Hands\-on experience with Airflow pipeline orchestration
* Infrastructure as Code (IaC) knowledge with Terraform
* Cloud experience (GCP preferred, but other public cloud platforms are acceptable)
**Benefits**
* A competitive salary
* Fully paid for comprehensive health care (medical, dental, vision)
* Pet Insurance
* Life Insurance \&amp; Short / Long Term Disability
* 401k Plan
* Unlimited PTO and sick leave
* Parental Leave
* Work remotely and whatever schedule works best for you
* Additional memberships and perks
 Final offer amounts are determined by multiple factors including geographic location as well as candidate experience and expertise. If you have questions on compensation bands, please ask your recruiter.
 Brightside Health is committed to equal employment opportunities for all team members. Every decision we make regarding employment is solely based on merit, competence, and performance. We are committed to building a team that represents a variety of backgrounds, perspectives, and skills. We realize the full promise of diversity and want you to bring your whole self to work every single day.
 Research shows that underrepresented groups typically apply only if they meet 100% of the criteria listed. At Brightside, we are dedicated to fair play and encourage women, people of color, and LGBTQ\+ job seekers to apply for positions even if they don’t check every box for the role.</t>
        </is>
      </c>
    </row>
    <row r="122">
      <c r="A122" t="inlineStr">
        <is>
          <t>li-4371018897</t>
        </is>
      </c>
      <c r="B122" t="inlineStr">
        <is>
          <t>Senior Data Engineer</t>
        </is>
      </c>
      <c r="C122" t="inlineStr">
        <is>
          <t>Elder Research</t>
        </is>
      </c>
      <c r="D122" t="inlineStr">
        <is>
          <t>linkedin</t>
        </is>
      </c>
      <c r="E122">
        <f>HYPERLINK("https://www.linkedin.com/jobs/view/4371018897", "https://www.linkedin.com/jobs/view/4371018897")</f>
        <v/>
      </c>
      <c r="F122" t="inlineStr"/>
      <c r="G122" t="inlineStr">
        <is>
          <t>Arlington, VA</t>
        </is>
      </c>
      <c r="H122" t="inlineStr"/>
      <c r="I122" t="inlineStr">
        <is>
          <t>**General Information**
**Requisition \# 657**
**Locations** 
 USA\-VA\-Arlington
**Posting Date** 
 02/10/2025
**Security Clearance Required** 
 \- Public Trust
**Remote Type** 
 Hybrid
**Time Type** 
 Full time
**Description \&amp; Requirements**
 Elder Research Inc., a wholly owned subsidiary of MANTECH international Corporation seeks a motivated, career and customer\-oriented Senior Data Engineer. The Senior Data Engineer will lead the design, construction, and optimization of scalable data pipelines and services that support advanced analytics and machine learning solutions. This role focuses on data quality, performance, and interoperability within modern cloud environments, advancing strategic initiatives such as Sentinel\-driven product safety analytics. The engineer will deliver secure, efficient, and reproducible data workflows that enable predictive modeling, real\-time monitoring, and actionable insights.
**Responsibilities Include But Are Not Limited To** 
* Data Pipeline Engineering \&amp; Cloud Integration
+ Design, develop, and optimize production\-grade ETL workflows using Python and Microsoft\-based frameworks to ingest, transform, and validate large\-scale structured and unstructured data.
+ Implement schema enforcement, data validation, and quality checks to maintain integrity across diverse sources, while optimizing pipelines for performance, scalability, and fault tolerance using cloud\-native and open\-source patterns.
+ Architect and manage Azure\-based data solutions, including Data Lake Storage, Azure SQL, and Python\-accessible cloud storage, ensuring secure API and service integration.
+ Design and deploy workflow orchestration with Azure Data Factory or Foundry for scheduling, monitoring, and automation.
* Advanced Technical Development \&amp; Services
+ Build Python\-based data services using Pandas, PyTorch, and other open\-source frameworks for high\-performance processing.
+ Develop API endpoints and microservices to enable interoperability with analytics and ML platforms
+ Implement logging, monitoring, and performance tuning to ensure robust operational reliability.
* Collaboration, Governance \&amp; Agile Delivery
+ Partner with data scientists, analysts, and cloud architects to deliver clean, reliable data for predictive modeling and real\-time dashboards.
+ Apply data governance best practices to ensure compliance, reproducibility, and auditability across workflows.
+ Contribute to Agile team processes, driving iterative improvements, collaborative problem\-solving, and continuous enhancement of data delivery.
**Minimum Qualifications** 
* Experience \&amp; Core Skills
+ 5\+ years developing and deploying advanced statistical and machine learning models or supporting data pipelines for such models.
+ Proficient in Python (Pandas required; scikit\-learn, NumPy, PyTorch, TensorFlow, and related libraries preferred) and strong SQL skills for integrating relational data.
+ Hands\-on experience in cloud environments (Azure); Microsoft Data Engineer certification advantageous.
* Technical Expertise \&amp; Implementation
+ Build production\-grade data pipelines and ETL workflows using Python and Microsoft technologies, including Azure Data Lake Storage and Azure SQL.
+ Ensure data validation, schema enforcement, and quality assurance, while developing APIs within the Microsoft ecosystem.
+ Optimize performance, implement logging and monitoring, and deploy Python\-based data services at scale.
+ Design and manage workflow orchestration with Azure Data Factory to automate, monitor, and streamline data operations.
**Preferred Qualifications**
* Master’s, Ph.D., or equivalent professional experience in Data Science, Computer Science, Statistics, Engineering, or a related field.
* Familiarity with data engineering patterns for building scalable, secure systems in regulated environments.
**Clearance Requirements**
* Current Public Trust Desired
* Must be a US Citizen and be able to obtain and maintain a Public Trust clearance prior to starting this position.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123">
      <c r="A123" t="inlineStr">
        <is>
          <t>li-4342625452</t>
        </is>
      </c>
      <c r="B123" t="inlineStr">
        <is>
          <t>Data Engineer</t>
        </is>
      </c>
      <c r="C123" t="inlineStr">
        <is>
          <t>AssetMark</t>
        </is>
      </c>
      <c r="D123" t="inlineStr">
        <is>
          <t>linkedin</t>
        </is>
      </c>
      <c r="E123">
        <f>HYPERLINK("https://www.linkedin.com/jobs/view/4342625452", "https://www.linkedin.com/jobs/view/4342625452")</f>
        <v/>
      </c>
      <c r="F123">
        <f>HYPERLINK("https://assetmark.wd5.myworkdayjobs.com/AssetMark_Careers/job/Charlotte-NC/Analytics-Engineer_Req-003564?source=LinkedIn&amp;urlHash=OXO4", "https://assetmark.wd5.myworkdayjobs.com/AssetMark_Careers/job/Charlotte-NC/Analytics-Engineer_Req-003564?source=LinkedIn&amp;urlHash=OXO4")</f>
        <v/>
      </c>
      <c r="G123" t="inlineStr">
        <is>
          <t>Charlotte, NC</t>
        </is>
      </c>
      <c r="H123" t="inlineStr"/>
      <c r="I123" t="inlineStr">
        <is>
          <t>**Job Description:**
 AssetMark is a leading strategic provider of innovative investment and consulting solutions serving independent financial advisors. We provide investment, relationship, and practice management solutions that advisors use in helping clients achieve wealth, independence, and purpose.
**The Job/What You'll Do:**
 The Data Engineer will serve as a critical bridge between data engineering and data analysis, specializing in transforming raw, governed data into reliable, accessible, and high\-quality data products for business intelligence (BI) and reporting. This individual will own the entire modeling layer of the data warehouse, driving consistency, speed, and accuracy for our analytics consumers. This role requires strong SQL and data modeling expertise, along with a firm grasp of software engineering best practices.
**We can consider candidates for this position who are able to accommodate a hybrid work schedule and are close to our Charlotte, NC office.**
**Responsibilities:**
**Data Modeling \&amp; Transformation (60%)**
* Modeling \&amp; Architecture: Design, develop, and maintain analytical data models (e.g., Star Schemas, Dimensional Models) in Snowflake to support business reporting, BI tools (e.g., Power BI), and strategic decision\-making.
* Transformation Logic (dbt): Own the entire dbt (Data Build Tool) lifecycle. Write, test, and deploy complex transformation logic in modular SQL, ensuring efficiency, reusability, and adherence to established coding standards.
* Data Curation: Collaborate with data engineers to transition raw data feeds (Bronze/Silver layers) into clean, certified, and aggregated datasets (Gold layer), making them the canonical source of truth for business metrics.
* Performance Tuning: Optimize SQL queries and dbt models for performance and efficiency within the Snowflake environment, managing compute usage and costs.
**Quality, Governance \&amp; Automation (30%)**
* Testing \&amp; Validation: Implement rigorous data quality testing using dbt tests and other validation frameworks to ensure data accuracy, completeness, and freshness before publishing to business users.
* Data Lineage \&amp; Documentation: Proactively generate and maintain comprehensive documentation, data dictionaries, and data lineage tracking for all production data models, promoting data literacy and trust across the organization.
* CI/CD Integration: Integrate dbt workflows into the existing CI/CD pipelines (e.g., Azure DevOps) to automate testing and deployment processes, ensuring continuous delivery and model reliability.
* Metric Consistency: Partner with business stakeholders and data analysts to define and govern consistent metric definitions and KPIs.
**Collaboration \&amp; Mentorship (10%)**
* Business Partnership: Serve as the technical expert for data analysts and business users, helping them understand data availability, querying techniques, and the structure of published data models.
* Data Engineering Collaboration: Work closely with Data Engineers to communicate data schema requirements and provide feedback on the ingestion and pipeline process.
**Knowledge, Skills \&amp; Abilities:**
* Technical Stack: Expert proficiency in Advanced SQL for complex query writing and optimization.
* Modeling Expertise: Strong experience implementing Dimensional Modeling (Kimball) concepts.
* Tooling: Proven hands\-on experience using dbt (Data Build Tool) in a production environment.
* Data Warehouse: Experience working with a modern cloud data warehouse like Snowflake (Azure knowledge is a plus).
* Programming: Foundational scripting ability in Python (for automation, utility scripts, or advanced dbt logic).
* Experience with BI tools (Power BI, Tableau) from a data preparation/modeling standpoint.
* Familiarity with data governance practices and concepts like semantic layers.
* Experience in the Financial Services or Wealth Management domain.
* Knowledge of software engineering practices (Git flow, code reviews).
**Education \&amp; Experience:**
* Experience: 3\+ years of professional experience as an Analytics Engineer, BI Engineer, or Data Analyst focused on data modeling and transformation.
*Compensation: The Base Salary range for this position is between $126,000\-$140,000\.*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We are AssetMark, a company on the move, shaping the future of financial services. Growth is in our DNA. Every day, we combine technology, insight, and collaboration to create new possibilities for advisors, for our people and for our investors. At AssetMark your ideas matter; they’re heard, valued, and drive meaningful change. Join a team that sets new standards and creates space for you to thrive and do your best work.
**Our Mission**
 Our mission is simple: to help our 10,500\+ financial advisors make a meaningful difference in their clients’ lives. We do this by combining powerful technology, holistic support, and expert consulting to help advisors run stronger, more efficient businesses. Backed by a comprehensive suite of investment solutions and a trust company that boasts of $150B\+ AUM, our platform empowers advisors to deliver exceptional service and an outstanding client experience.
**Our Values**
 Heart. Client Success. Integrity. Respect. Excellence. Our values are how we show up every day.
**We believe in:**
* Leading with Heart, in truly making a difference in the lives of others: teammates, clients, investors and communities.
* Obsessing over Client Success, bringing a relentless focus on what matters to clients that sets us apart and creates loyal, lasting relationships.
* Unyielding Integrity, doing what’s right, always. Even when it’s hard.
* Collective Respect, in being authentic, inclusive and valuing all voices while winning together.
* Operating with Excellence, in learning fast, continuously improving, innovating and collaborating to find new and better solutions.
 These values shape our culture, guide our decisions, and define what it means to be part of the AssetMark family.
**Our Culture \&amp; Benefits**
 Our culture brings our mission and values to life. Here, we do what’s right, embrace diverse ideas, and innovate together. We also offer a wide range of benefits to support you and your family—because thriving at work starts with thriving in life.
* Flex Time or Paid Time Off and Sick Time Off
* 401K – 6% Employer Match
* Medical, Dental, Vision – HDHP or PPO
* HSA – Employer contribution (HDHP only)
* Volunteer Time Off
* Career Development / Recognition
* Fitness Reimbursement
* Hybrid Work Schedule
 As an Equal Opportunity Employer, AssetMark is committed to building a diverse and inclusive workplace where everyone feels valued.</t>
        </is>
      </c>
    </row>
    <row r="124">
      <c r="A124" t="inlineStr">
        <is>
          <t>li-4371046967</t>
        </is>
      </c>
      <c r="B124" t="inlineStr">
        <is>
          <t>Data Engineer</t>
        </is>
      </c>
      <c r="C124" t="inlineStr">
        <is>
          <t>Keller Postman LLC</t>
        </is>
      </c>
      <c r="D124" t="inlineStr">
        <is>
          <t>linkedin</t>
        </is>
      </c>
      <c r="E124">
        <f>HYPERLINK("https://www.linkedin.com/jobs/view/4371046967", "https://www.linkedin.com/jobs/view/4371046967")</f>
        <v/>
      </c>
      <c r="F124" t="inlineStr"/>
      <c r="G124" t="inlineStr">
        <is>
          <t>Chicago, IL</t>
        </is>
      </c>
      <c r="H124" t="inlineStr"/>
      <c r="I124" t="inlineStr">
        <is>
          <t>Keller Postman represents a broad array of clients in class and mass actions, individual arbitrations, and multidistrict litigation matters at the trial and appellate levels in federal and state courts. Serving hundreds of thousands of clients in litigation and arbitration, we have prosecuted high\-profile mass tort, antitrust, privacy, product liability, employment, and consumer\-rights cases. Our firm also acts as plaintiffs' counsel in high\-stakes public\-enforcement actions. Our mission is to achieve exceptional results for our clients, drive innovation in the practice of law, and pursue unparalleled excellence in everything we do.
**Purpose:** 
 The Data Engineer will play a critical role in our organization, focusing on the design, construction, installation, testing, and maintenance of highly scalable data management systems. This role requires hands\-on expertise using
 **Snowflake** 
 ,
 **Azure Cloud services** 
 , and
 **Sigma** 
 to design, develop, and maintain scalable data pipelines and analytics solutions. The ideal candidate will have strong experience in cloud\-based data architectures, modern ETL/ELT practices and technical expertise to support and improve current data systems and processes, as well as the ability to work collaboratively with cross\-functional teams.
 This is a remote position, but the ideal candidate will be on Central Standard Time or willing to work regular Central Standard Business hours; being located in the Chicago area is a plus. The compensation for this position is $130,000 to $150,000 per year, depending on experience, plus a year\-end discretionary bonus and benefits.
**Essential Functions:**
* Develop, construct, test, and maintain data architectures, including databases and large\-scale processing systems.
* Design, build, and optimize data pipelines and ETL/ELT processes leveraging Snowflake and Azure Services.
* Develop and maintain Snowflake data warehouses, ensuring efficient data modeling, partitioning, and performance tuning.
* Implement data flow processes that automate and streamline data collection, processing, and analysis.
* Ensure data governance, quality, and security best practices across all data platforms.
* Collaborate with analytics and business teams to improve data models that feed business intelligence tools, increasing data accessibility and fostering data\-driven decisionmaking across the organization.
* Identify, design, and implement internal process improvements: automating manual processes, optimizing data delivery, re\-designing infrastructure for greater scalability, etc.
* Provide operational support for existing data infrastructure and develop new solutions as needed.
* Monitor, troubleshoot, and optimize system performance in Azure and Snowflake environments.
* Support CI/CD pipelines and automation for data workflows and deployments.
* Keep current with industry trends and innovations in data engineering and propose changes to the existing landscape.
**Knowledge, Skills, Abilities:**
* Proficient in Snowflake, Databricks, or similar tools and experience in data warehousing.
* Skilled in SQL, ETL design, and data modeling.
* Proficiency in SQL (complex queries, stored procedures, optimization) and familiarity with Python for data engineering tasks.
* Experience with Salesforce data integration is a plus.
* Strong analytical skills with the ability to collect, organize, analyze, and disseminate significant amounts of information with attention to detail and accuracy.
* Strong knowledge of ETL/ELT patterns, orchestration, and workflow automation.
* Familiarity with Sigma Computing for reporting, data visualization, and business user self\-service analytics.
* Understanding of data governance, security, and compliance frameworks (e.g., GDPR, HIPAA).
* Experience with streaming data technologies (Kafka, Event Hubs, or similar).
* Exposure to DevOps practices and Infrastructure as Code (e.g., Terraform, ARM templates).
* Adept at queries, report writing, and presenting findings.
* Excellent problem\-solving and troubleshooting skills.
* Ability to work in a fast\-paced environment and manage multiple projects simultaneously.
* Strong communication skills, capable of conveying complex data issues to non\-technical team members.
**Education/Experience:**
* Bachelor's degree in Computer Science, Engineering, Information Technology, or a related field.
* A minimum of 5 years of experience in a data engineering role.
* Experience working with Azure cloud services and data warehousing technologies.
* Relevant certifications in Azure or other cloud technologies are beneficial.
**Language Ability:**
* Must be able to read, write, and speak fluent English
 Keller Postman is an Equal Opportunity Employer. For California Applicants, please find our CRPA information here.</t>
        </is>
      </c>
    </row>
    <row r="125">
      <c r="A125" t="inlineStr">
        <is>
          <t>li-4371063234</t>
        </is>
      </c>
      <c r="B125" t="inlineStr">
        <is>
          <t>Data Engineer</t>
        </is>
      </c>
      <c r="C125" t="inlineStr">
        <is>
          <t>fairlife, LLC</t>
        </is>
      </c>
      <c r="D125" t="inlineStr">
        <is>
          <t>linkedin</t>
        </is>
      </c>
      <c r="E125">
        <f>HYPERLINK("https://www.linkedin.com/jobs/view/4371063234", "https://www.linkedin.com/jobs/view/4371063234")</f>
        <v/>
      </c>
      <c r="F125">
        <f>HYPERLINK("https://grnh.se/t8dy40437us?source=LinkedIn&amp;urlHash=aWqt", "https://grnh.se/t8dy40437us?source=LinkedIn&amp;urlHash=aWqt")</f>
        <v/>
      </c>
      <c r="G125" t="inlineStr">
        <is>
          <t>Chicago, IL</t>
        </is>
      </c>
      <c r="H125" t="inlineStr"/>
      <c r="I125" t="inlineStr">
        <is>
          <t>fairlife, LLC is a Chicago\-based nutrition company that creates great\-tasting, nutrition\-rich and dairy products to nourish consumers.
 With over $3B in annual retail sales, fairlife's portfolio of delicious, lactose\-free, real dairy products includes:
 **fairlife® ultra\-filtered milk** 
 ;
 **Core Power®** 
 High Protein Shakes, a sports nutrition drink to support post\-workout recovery;
 **fairlife® nutrition plan™** 
 , a nutrition shake to support the journey to better health.
 A wholly owned subsidiary of The Coca\-Cola company, fairlife, LLC has been recognized by both Fast Company and Nielsen for its industry leading innovation.
 To learn more about fairlife and its complete line of products, please visit fairlife.com.
**job purpose** 
 : The Data Engineer will play a key role in delivering fairlife's ambition of building a best\-in\-class Decision Intelligence (DI) ecosystem. This role will support the digital transformation of our enterprise and manufacturing operations, translating technical requirements into targeted solutions that fit into fairlife's broader data framework, roadmap and architecture. This role will also support AI engineering initiatives that drive operational excellence and automated decision\-making across the organization.
**responsibilities:**
* Design, implement, and operationalize pipelines to support the data lifecycle of our factory IoT and enterprise use cases
* Support the development and delivery of function\-specific data models in Microsoft Fabric that enable a self\-service analytics culture across the enterprise
* Support development and maintenance of resources supporting our factory IoT streaming pipeline, mainly in our Ignition and Azure environments
* Partner with manufacturing \&amp; enterprise stakeholders to ensure data validity \&amp; adoption
* Champion data engineering best practices within the Fabric analytics layer, including Spark optimization, compute trade\-offs, and efficient API and file integrations
* Work closely with 3rd party data architects and internal data team to develop a deep understanding of our existing data ecosystem
* Provide training and support the technical development of fellow team members
**skills/qualifications required:**
* Bachelor's degree in data/computer science, an engineering discipline, or related
* Internship or work experience on an enterprise data team
* Proficiency in SQL
* Proficiency in Kusto query language (KQL)
* Proficiency in at least one object\-oriented language (Python, Java, C\#, etc.)
* Experience with Git or other source control
* Experience with telemetry or time\-series data sources
* Experience with any cloud framework (Azure, AWS, GCP, etc.)
* Familiar with data streaming/integration tools (message brokers, REST APIs, GraphQL, etc.)
* Detailed oriented self\-starter, with a growth mindset and a passion for data
* Ability to handle ambiguity and work in a fast paced, entrepreneurial environment
**position location:** 
 Chicago, IL
**reports to** 
 : Director, Data Engineering
**travel requirements:** 
 10\-20%
**exempt/nonexempt:** 
 Exempt
* Base pay offered may vary depending on geography, job\-related knowledge, skills, and experience. A full range of medical, financial, and/or other benefits, dependent on the position, is offered.
 Base pay range:
 $85,000—$105,000 USD
*fairlife, LLC is an equal opportunity employer. We do not discriminate on the basis of* 
*race, color, religion, age, sex, national origin, disability status, genetics, protected veteran status, sexual orientation, gender identity or expression, or any other characteristic protected by federal, state or local laws. All qualified applicants and employees will be given equal opportunity. Selection decisions are based on job\-related factors.*
*In addition to its nondiscrimination commitment, the Company will also provide reasonable accommodation of qualified individuals with known disabilities unless doing so would impose an undue hardship on the Company. If you have a disability and would like to request accommodation in order to apply for a position with us, please email* 
*careers@fairlife.com* 
 .
***For Recruitment Agencies***
*At fairlife, we manage the majority of our hiring internally through our dedicated Talent Acquisition team, which is actively engaged in direct candidate sourcing. Most of our roles are filled through applications submitted via our careers site or through direct outreach by our team.*
*As our recruitment is primarily handled in\-house, we work only occasionally with external agencies, and only those on our existing, pre\-approved vendor list. At this time, we are not reviewing or expanding that list.*
***Unsolicited resumes or submissions from external agencies not authorized by our Talent Acquisition team will be considered direct candidate applications. As such, fairlife will not assume responsibility for any placement fees associated with these submissions.***</t>
        </is>
      </c>
    </row>
    <row r="126">
      <c r="A126" t="inlineStr">
        <is>
          <t>li-4370677929</t>
        </is>
      </c>
      <c r="B126" t="inlineStr">
        <is>
          <t>Data Engineer</t>
        </is>
      </c>
      <c r="C126" t="inlineStr">
        <is>
          <t>AARATECH</t>
        </is>
      </c>
      <c r="D126" t="inlineStr">
        <is>
          <t>linkedin</t>
        </is>
      </c>
      <c r="E126">
        <f>HYPERLINK("https://www.linkedin.com/jobs/view/4370677929", "https://www.linkedin.com/jobs/view/4370677929")</f>
        <v/>
      </c>
      <c r="F126" t="inlineStr"/>
      <c r="G126" t="inlineStr"/>
      <c r="H126" t="inlineStr"/>
      <c r="I126"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27">
      <c r="A127" t="inlineStr">
        <is>
          <t>li-4371050624</t>
        </is>
      </c>
      <c r="B127" t="inlineStr">
        <is>
          <t>Analytics Engineer, Lifecycle Efficiency</t>
        </is>
      </c>
      <c r="C127" t="inlineStr">
        <is>
          <t>Instacart</t>
        </is>
      </c>
      <c r="D127" t="inlineStr">
        <is>
          <t>linkedin</t>
        </is>
      </c>
      <c r="E127">
        <f>HYPERLINK("https://www.linkedin.com/jobs/view/4371050624", "https://www.linkedin.com/jobs/view/4371050624")</f>
        <v/>
      </c>
      <c r="F127" t="inlineStr"/>
      <c r="G127" t="inlineStr"/>
      <c r="H127" t="inlineStr"/>
      <c r="I12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Lifecycle Efficiency team sits within Data Science \&amp; Analytics and partners closely with Incentives Marketing to power how we invest, measure, and optimize customer growth. We’re looking for an Analytics Engineer to build and own the data models, pipelines, and semantic layers that enable clear, trusted measurement of a marketing portfolio with approximately millions in annual spend.
 In this role, you will shape the data foundation for incentives, promotions, and lifecycle communications across our marketplace. You’ll collaborate daily with Data Engineering, Product, Marketing, and Engineering to define source\-of\-truth datasets, standardize KPI definitions, and enable self\-serve analytics at scale. Your work will unlock faster decision\-making, measurable ROI, and smarter experimentation.
 You’ll join a focused team of 5 that values collaboration, clear thinking, and rolling up our sleeves to solve complex problems. If you thrive in a fast\-paced environment, enjoy building reliable datasets from messy real\-world signals, and want to drive visible impact across a high\-ownership domain, we’d love to hear from you.
**About The Job**
* Design, build, and maintain robust, production\-grade data models (e.g., in dbt) that power incentives, promotions, and lifecycle analytics, including standardized fact/dimension tables and a consistent metrics layer.
* Partner with Data Engineering to model source data from multiple systems (e.g., marketing platforms, event streams, transactional data) and implement efficient, auditable ELT patterns in a modern cloud warehouse.
* Define and operationalize KPI and metric definitions for marketing efficiency and ROI; enable self\-serve analytics in BI tools by implementing clean, documented semantic models and LookML (or equivalent).
* Set and enforce data quality standards with automated testing, lineage, documentation, and monitoring to ensure stakeholders can trust dashboards and analyses used to manage millions in annual spend.
* Collaborate with Product, Marketing, and Engineering to scope requirements, prioritize a roadmap, and deliver high\-impact datasets for experimentation, attribution, cohorting, and lifecycle performance reporting.
* Continuously improve performance, reliability, and cost efficiency of pipelines and queries; drive best practices in version control, code review, and CI/CD for analytics engineering.
**About You**
 Minimum Qualifications
* 4\+ years of experience in analytics engineering, data engineering, or BI development building production data models in a modern cloud data stack.
* Advanced SQL proficiency (e.g., complex joins, window functions, query optimization) with a track record of performance tuning in Snowflake, BigQuery, or Redshift.
* 2\+ years implementing and maintaining dbt projects (models, tests, macros, documentation) in production with Git\-based workflows.
* Hands\-on experience orchestrating ELT/ETL pipelines with Airflow, Dagster, or similar, including scheduling, dependency management, and alerting.
* Experience building semantic layers and BI models (e.g., Looker/LookML, Semantic Layer, or equivalent) to enable reliable self\-serve analytics.
* Demonstrated use of automated data quality testing and data observability (e.g., dbt tests, Great Expectations, or similar) and ownership of documentation and lineage.
* Bachelor’s degree in Computer Science, Engineering, Mathematics, Statistics, or a related field, or equivalent practical experience.
* Proven success partnering cross\-functionally with Product, Marketing, and Engineering to translate ambiguous requirements into scalable datasets and clear deliverables.
**Preferred Qualifications**
* Experience supporting growth or marketing teams, including incentives, promotions, lifecycle/CRM, attribution, or incrementality measurement.
* Proficiency in Python for data transformation, orchestration tasks, or analytics utilities within the ELT workflow.
* Experience with experimentation data (e.g., assignment, guardrails, lift) and building datasets to support A/B tests and causal inference workflows.
* Familiarity with data governance and cataloging (e.g., DataHub, Amundsen) and warehouse cost/performance optimization best practices.
* Background in consumer technology, marketplaces, or e\-commerce operating at scale with complex event and transactional data.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$165,000—$174,000 USD
 WA
 $158,000—$166,500 USD
 OR, DE, ME, MA, MD, NH, RI, VT, DC, PA, VA, CO, TX, IL, HI
 $151,000—$159,500 USD
 All other states
 $138,000—$145,500 USD</t>
        </is>
      </c>
    </row>
    <row r="128">
      <c r="A128" t="inlineStr">
        <is>
          <t>li-4369100673</t>
        </is>
      </c>
      <c r="B128" t="inlineStr">
        <is>
          <t>Data Engineer-NYC</t>
        </is>
      </c>
      <c r="C128" t="inlineStr">
        <is>
          <t>Acuity Analytics</t>
        </is>
      </c>
      <c r="D128" t="inlineStr">
        <is>
          <t>linkedin</t>
        </is>
      </c>
      <c r="E128">
        <f>HYPERLINK("https://www.linkedin.com/jobs/view/4369100673", "https://www.linkedin.com/jobs/view/4369100673")</f>
        <v/>
      </c>
      <c r="F128" t="inlineStr"/>
      <c r="G128" t="inlineStr"/>
      <c r="H128" t="inlineStr"/>
      <c r="I128" t="inlineStr">
        <is>
          <t>Acuity is seeking
 **Data Engineers** 
 to join the
 **Data Onboarding Engineering team** 
 . This role is focused on building and operating robust, scalable data pipelines that ingest and process
 **30\+ TB of data daily** 
 , primarily using
 **Python on Google Cloud Platform (GCP)** 
 .
 The engineer will collaborate closely with business partners, researchers, and trading teams to onboard high\-value datasets that directly power systematic trading and research workflows.
 Bachelor’s degree in a technical field
 Minimum
 **3 years of full‑time experience** 
 as a Data Engineer or in a similar role
 Strong experience in developing end‑to‑end data workflows with solid operational understanding of data processing, storage, data quality, and data management
 At least
 **3 years of hands‑on experience** 
 in building ETL pipelines
**3\+ years of Python programming experience**</t>
        </is>
      </c>
    </row>
    <row r="129">
      <c r="A129" t="inlineStr">
        <is>
          <t>li-4371087150</t>
        </is>
      </c>
      <c r="B129" t="inlineStr">
        <is>
          <t>Data Engineer</t>
        </is>
      </c>
      <c r="C129" t="inlineStr">
        <is>
          <t>Laveer Engineering</t>
        </is>
      </c>
      <c r="D129" t="inlineStr">
        <is>
          <t>linkedin</t>
        </is>
      </c>
      <c r="E129">
        <f>HYPERLINK("https://www.linkedin.com/jobs/view/4371087150", "https://www.linkedin.com/jobs/view/4371087150")</f>
        <v/>
      </c>
      <c r="F129">
        <f>HYPERLINK("https://careers.westinghousenuclear.com/job/Cranberry-Township-Data-Engineer-NC/1363696900/&amp;urlHash=eBw-", "https://careers.westinghousenuclear.com/job/Cranberry-Township-Data-Engineer-NC/1363696900/&amp;urlHash=eBw-")</f>
        <v/>
      </c>
      <c r="G129" t="inlineStr">
        <is>
          <t>Cranberry Township, PA</t>
        </is>
      </c>
      <c r="H129" t="inlineStr"/>
      <c r="I129" t="inlineStr">
        <is>
          <t>Requisition Number: 30466
 Company: Westinghouse Electric Co
 Location:
 Cranberry Township, US
 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Senior Data Engineer, you will have responsibility for the maintenance, improvement, cleaning, transforming, and movement of data related to Westinghouse's digital solutions. Daily interactions with data scientists and partners expect you to understand and aid in the implementation of database requirements and ensure database and data pipeline health. The Senior Data Engineer will also support Data Engineer leaders to maintain standards and collaborate with IT for database administration.
 You will report to the Director of Digital Technology and Capabilities and be located at in Cranberry, PA. This is a hybrid role.
**Key Responsibilities**
 Implement data schemas, stored procedures, data pipelines, and data visualization artifacts
 Maintain services for ingestion, transformation, and loading of data from several data sources and small to large datasets
 Develop scalable data pipelines and API integrations to support increases in data volume and complexity
 Implement processes to monitor data quality, ensuring production data is always accurate and available for partners and business processes that depend on it
 Prepare and deliver reports to leadership on data quality and recommendations for continuous improvement
 Implement changes to data architecture and transform data to prepare for use by the data scientists and development teams
 Support Data Engineer leadership to create standards based on industry best practices for ETL solutions, data storage, data ingestion, and data pipelines
 Collaborate with IT for database administration
**Qualifications**
 Familiarity with several data storage and management services such as relational databases, non\-relational database, Data Lake 2\.0
 Experience with cloud platforms (Azure preferred) and big data technologies like Hadoop
 Understanding of software development lifecycles
 Familiar with best practices and IT operations for database administration
 Experience with Agile Software Development methodologies
 Process\-oriented with great documentation skills
**Education**
 B.S. in Computer Science, Information Systems, or equivalent
 3\+ years of experience developing data schemas, stored procedures, data pipelines, and data visualization
 Microsoft Certified: Azure Data Engineer Associate
 We are committed to transparency and equity in all of our people practices. The base salary range for this position, which is dependent upon experience, qualifications and skills, is estimated to be $85,200 to $106,500 per year.
**Why Westinghouse?**
**Benefits**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Westinghouse is an Equal Opportunity Employer including Veterans and Individuals with Disabilities
**Get connected with Westinghouse on social media:** 
**Twitter** 
**\|** 
**Facebook** 
**\|** 
**LinkedIn** 
**\|** 
**YouTube**
 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
**Job Segment:** 
 DBA, Nuclear Engineering, Cloud, Database, Computer Science, Technology, Engineering</t>
        </is>
      </c>
    </row>
    <row r="130">
      <c r="A130" t="inlineStr">
        <is>
          <t>li-4363121221</t>
        </is>
      </c>
      <c r="B130" t="inlineStr">
        <is>
          <t>Data Engineer</t>
        </is>
      </c>
      <c r="C130" t="inlineStr">
        <is>
          <t>Akkodis</t>
        </is>
      </c>
      <c r="D130" t="inlineStr">
        <is>
          <t>linkedin</t>
        </is>
      </c>
      <c r="E130">
        <f>HYPERLINK("https://www.linkedin.com/jobs/view/4363121221", "https://www.linkedin.com/jobs/view/4363121221")</f>
        <v/>
      </c>
      <c r="F130" t="inlineStr"/>
      <c r="G130" t="inlineStr"/>
      <c r="H130" t="inlineStr"/>
      <c r="I130" t="inlineStr">
        <is>
          <t>Akkodis is Data Engineer for a contract position with a client NYC (3 days/Week Onsite)
**Salary Range:** 
 $150K \-160K /Annum on Fulltime plus benefits, the rate may be negotiable based on experience, education, geographic location, and other factors
**Job Title:** 
 Data Engineer
**Location Details:** 
 NYC (3 days/Week Onsite)
**Type:** 
 Direct Hire
**Job description:** 
 As a Data Engineer, you will work with a variety of data sets to design, prototype, and deploy analytical models, applications, and data visualizations for both internal users and customers. You will leverage your data engineering skills to transform raw data into analytical and statistical models, deriving meaningful insights and presenting business recommendations based on your results. You will collaborate with cross\-functional teams, such as products, technology, operations and risk, to streamline data pipelines and to create automated solutions. You will use innovative technologies, including open\-source software, AI and machine\-learning libraries, and cloud\-native analytics, to build scalable data platforms that automate and enhance the delivery of our new payment services.
**Required Qualifications:** 
* Bachelor’s degree or the equivalent in a scientific or quantitative discipline, such as Mathematics, Engineering, Computer Science, Economics, or Physical Sciences
* 5\+ years of experience or equivalent in the data engineering/science field as a programmer, analyst, engineer or scientist.
* Hands\-on development experience using programming languages, ideally Python, with statistical and data visualization libraries, such as pandas and matplotlib.
* Experience with data structures, algorithms and database query languages, such as SQL.
* Familiarity using git code repositories and interactive editors, such as Jupyter notebooks, Sublime or VS Code.
* Familiarity with cloud services for data management and analysis, such as AWS Glue
* Experience managing a variety of large\-scale data sets on Linux, Windows or MacOS.
* Excellent writing and presentation skills
**Desired Qualifications:** 
* Infrastructure as code using Terraform. Building and managing cloud infrastructure primarily AWS, writing reusable Terraform modules and collaborating with DevOps and development teams to support scalable, secure and automated deployments. Understanding of cloud services, version control (Git) and CI/CD practices is essential.
* Any graduate\-level coursework or degree in a scientific or quantitative discipline, with original research work using statistical methods, analytic models, or quantitative techniques.
* Experience with machine learning concepts, algorithms, and tools, such as Amazon SageMaker
* Experience building data visualizations with business intelligence tools, such as AWS QuickSight or Tableau
* Experience developing Web applications with Java, Typescript and/or front\-end UI frameworks, such as React, ideally leveraging real\-time streaming events from Kafka or Amazon Kinesis
* An enthusiasm to learn and to teach others
**Essential functions and responsibilities:** 
 As a member of the Innovation and Strategy team, you'll work with other technology teams, such as Enterprise Architecture and Application Development, as well as with Product Management and other business teams, to develop and execute the firm’s data strategy.
 As a data engineer, you will leverage cloud\-based services and other analytic tools to prototype and build applications and data visualizations that other employees, managers and customers will rely on to make more informed business decisions
**Benefits include but are not limited to:** 
* Medical/Dental/Vision
* 401K
* PTO/Paid Holidays
***To read our Candidate Privacy Information Statement, which explains how we will use your information, please visit
 https://www.akkodis.com/en/privacy\-policy
 .***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131">
      <c r="A131" t="inlineStr">
        <is>
          <t>li-4371052971</t>
        </is>
      </c>
      <c r="B131" t="inlineStr">
        <is>
          <t>DATA ENGINEER</t>
        </is>
      </c>
      <c r="C131" t="inlineStr">
        <is>
          <t>Cacique Foods, LLC.</t>
        </is>
      </c>
      <c r="D131" t="inlineStr">
        <is>
          <t>linkedin</t>
        </is>
      </c>
      <c r="E131">
        <f>HYPERLINK("https://www.linkedin.com/jobs/view/4371052971", "https://www.linkedin.com/jobs/view/4371052971")</f>
        <v/>
      </c>
      <c r="F131" t="inlineStr"/>
      <c r="G131" t="inlineStr">
        <is>
          <t>Irving, TX</t>
        </is>
      </c>
      <c r="H131" t="inlineStr"/>
      <c r="I131" t="inlineStr">
        <is>
          <t>**SUMMARY:** 
 We are seeking a highly skilled Data Engineer with deep expertise in the Microsoft data ecosystem and experience working within CPG, production, supply chain, and ERP\-driven environments. The ideal candidate will possess strong data modeling abilities, business process understanding, and technical acumen to design scalable data solutions while also maintaining and improving existing data infrastructure. This role supports analytical modernization, AI readiness, and enterprise reporting through high\-quality engineering practices.
**KEY RESPONSIBILITIES:** 
* Build and support data integration processes and orchestrations to ingest diverse data from external systems including Rest APIs, Oracle, SAP, ADF, Dataverse, SQL Server, Snowflake, SFTP / FTP.
* Build and support high‑performance, scalable data pipelines within Azure Synapse Analytics for end‑to‑end data processing.
* Build and support Azure Data Factory, Azure Databricks, Synapse Analytics, and Microsoft Fabric ETLs to deliver secure, efficient cloud‑native data solutions for Ad\-hoc and Enterprise reporting.
* Build and support scalable transformation processes using Spark (Scala or PySpark) and SQL to manage large‑scale data within a Lakehouse framework.
* Build and support robust, scalable data models and storage solutions for an Enterprise Data Warehouse using Synapse tables and Lakehouse patterns in Azure SQL Server.
* Build and support Power BI semantic models and dashboards, leveraging advanced DAX to deliver actionable business insights.
* Prepare structured, high\-quality datasets that fuel AI, machine learning, and predictive analytics initiatives.
* Collaborate with data scientists and architects to productionize and operationalize models.
* Monitor, troubleshoot, and tune Synapse pipelines, compute, and storage environments to ensure enterprise‑level reliability and speed.
* Apply expert‑level T‑SQL and PL/SQL for sophisticated data modeling and complex query optimization across the Azure ecosystem.
* Implement Azure governance and security best practices using Azure Monitor, Key Vault, Managed Identities, and Role\-Based Access Control (RBAC).
* Work closely with business stakeholders across manufacturing, logistics, procurement, demand planning, and finance to understand real\-world workflows.
* Translate business requirements into detailed technical specifications and scalable data solutions.
* Document data flows, data dictionaries, lineage, and governance processes.
**QUALIFICATIONS \&amp; EDUCATION:** 
* Hands‑on experience across core Azure data services including Synapse Analytics, Azure Data Factory, Azure Databricks, ADLS Gen2, and Azure SQL.
* Strong proficiency in enterprise data integration using connectors for REST APIs, Oracle, SAP, Dataverse, SQL Server, Snowflake, and SFTP/FTP
* Expertise in Spark development using Scala or PySpark for large‑scale transformations within Lakehouse and distributed compute environments.
* Experience with T‑SQL and PL/SQL for complex modeling, query optimization, and ELT/ETL development
* Dimensional data objects including star schema, snowflake schema, and semantic layer structures for enterprise analytics.
* Solid understanding of Azure security, governance, and DevOps practices
* Proficiency with Power BI and semantic modeling including dataset design, DAX, tabular models, and enterprise reporting best practices
 **.**
* Experience with D365 Finance \&amp; Operations a plus.
* Azure Data Engineer Associate certification (DP 203\) a plus.
* Experience in CPG, manufacturing, or food production environments a plus.
* Familiarity with Microsoft Fabric and modern Lakehouse architectures a plus.</t>
        </is>
      </c>
    </row>
    <row r="132">
      <c r="A132" t="inlineStr">
        <is>
          <t>li-4370688425</t>
        </is>
      </c>
      <c r="B132" t="inlineStr">
        <is>
          <t>Data Engineer</t>
        </is>
      </c>
      <c r="C132" t="inlineStr">
        <is>
          <t>AARATECH</t>
        </is>
      </c>
      <c r="D132" t="inlineStr">
        <is>
          <t>linkedin</t>
        </is>
      </c>
      <c r="E132">
        <f>HYPERLINK("https://www.linkedin.com/jobs/view/4370688425", "https://www.linkedin.com/jobs/view/4370688425")</f>
        <v/>
      </c>
      <c r="F132" t="inlineStr"/>
      <c r="G132" t="inlineStr"/>
      <c r="H132" t="inlineStr"/>
      <c r="I132"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33">
      <c r="A133" t="inlineStr">
        <is>
          <t>li-4371038826</t>
        </is>
      </c>
      <c r="B133" t="inlineStr">
        <is>
          <t>Data Platform Engineer</t>
        </is>
      </c>
      <c r="C133" t="inlineStr">
        <is>
          <t>Monogram Health</t>
        </is>
      </c>
      <c r="D133" t="inlineStr">
        <is>
          <t>linkedin</t>
        </is>
      </c>
      <c r="E133">
        <f>HYPERLINK("https://www.linkedin.com/jobs/view/4371038826", "https://www.linkedin.com/jobs/view/4371038826")</f>
        <v/>
      </c>
      <c r="F133">
        <f>HYPERLINK("https://www.adzuna.com/details/5462613172?v=79EE805CC38B3F9F4CDA7BD9D190B16CB12CABCD&amp;r=21237611&amp;ccd=06de8a3901e2a5791b7a691edda64254&amp;frd=b061b0d8e1f0e0166451bd67b463c402&amp;utm_source=linkedin7&amp;utm_medium=organic&amp;chnlid=1931&amp;title=Data%20Platform%20Engineer&amp;a=e&amp;urlHash=Wvyl", "https://www.adzuna.com/details/5462613172?v=79EE805CC38B3F9F4CDA7BD9D190B16CB12CABCD&amp;r=21237611&amp;ccd=06de8a3901e2a5791b7a691edda64254&amp;frd=b061b0d8e1f0e0166451bd67b463c402&amp;utm_source=linkedin7&amp;utm_medium=organic&amp;chnlid=1931&amp;title=Data%20Platform%20Engineer&amp;a=e&amp;urlHash=Wvyl")</f>
        <v/>
      </c>
      <c r="G133" t="inlineStr">
        <is>
          <t>Brentwood, TN</t>
        </is>
      </c>
      <c r="H133" t="inlineStr"/>
      <c r="I133" t="inlineStr">
        <is>
          <t>**Position:
 *Data Platform Engineer***
 The Data Engineering team is seeking a highly skilled and experienced Data Platform Engineer with expertise in Data Engineering, Database Modeling, and modern Cloud Data Platforms. The Data Platform Engineer designs, builds, and maintains scalable and secure data infrastructure, tools, and pipelines to support data analytics, machine learning, and business intelligence initiatives. They will also work closely with other teams, such as data analysts, data scientists, and software developers, to provide them with the data they need to perform their job functions.
**Responsibilities**
* Design and implement robust, scalable, and efficient data models and pipelines across cloud\-based platforms.
* Develop, optimize, and maintain ETL/ELT pipelines using Azure Data Factory and Databricks.
* Build and orchestrate Databricks Notebooks and Jobs using PySpark, Spark SQL, or Scala Spark.
* Develop and manage data models, data warehousing solutions, and data integration architectures in Azure.
* Implement Azure Functions, Azure WebApps, and Application Insights to support microservices and monitor distributed systems.
* Configure and manage Databricks clusters, including autoscaling, Photon acceleration, and job orchestration.
* Collaborate with cross\-functional teams to support data\-driven decision\-making and analytics use cases.
* Ensure data quality, governance, and security across the data lifecycle.
* Collaborate with product managers by estimating technical tasks and deliverables.
* Uphold the mission and values of Monogram Health in all aspects of your role and activities.
**Position Requirements**
* A bachelor's degree in computer science, data science, software engineering or related field.
* Minimum of five (5\) years in designing and hands\-on development in cloud\-based analytics solutions, which includes a minimum of three (3\) years’ hands on work with big data frameworks and tools, such as Apache Kafka and Spark.
* Expert level knowledge of Python or other scripting languages required.
* Proficiency in SQL and other data query languages.
* Understanding of data modeling and schema design principles
* Ability to work with large datasets and perform data analysis
* Designing and building data integration pipelines using API’s and Streaming ingestion methods is desirable.
* Familiarity with DevOps practices, including automation, CI/CD, and infrastructure as code (IaC).
* Thorough understanding of Azure Cloud Infrastructure offerings.
* Demonstrated problem\-solving and troubleshooting skills.
* Team player with demonstrated written and communication skills.
**Benefits**
* Comprehensive Benefits \- Medical, dental, and vision insurance, employee assistance program, employer\-paid and voluntary life insurance, disability insurance, plus health and flexible spending accounts
* Financial \&amp; Retirement Support – Competitive compensation, 401k with employer match, and financial wellness resources
* Time Off \&amp; Leave – Paid holidays, flexible vacation time/PSSL, and paid parental leave
* Wellness \&amp; Growth – Work life assistance resources, physical wellness perks, mental health support, employee referral program, and BenefitHub for employee discounts
 Monogram Health is a leading multispecialty provider of in\-home, evidence\-based care for the most complex of patients who have multiple chronic conditions. Monogram health takes a comprehensive and personalized approach to a person’s health, treating not only a disease, but all of the chronic conditions that are present \- such as diabetes, hypertension, chronic kidney disease, heart failure, depression, COPD, and other metabolic disorders.
 Monogram Health employs a robust clinical team, leveraging specialists across multiple disciplines including nephrology, cardiology, endocrinology, pulmonology, behavioral health, and palliative care to diagnose and treat health issues; review and prescribe medication; provide guidance, education, and counselling on a patient’s healthcare options; as well as assist with daily needs such as access to food, eating healthy, transportation, financial assistance, and more. Monogram Health is available 24 hours a day, 7 days a week, and on holidays, to support and treat patients in their home.
 Monogram Health’s personalized and innovative treatment model is proven to dramatically improve patient outcomes and quality of life while reducing medical costs across the health care continuum.</t>
        </is>
      </c>
    </row>
    <row r="134">
      <c r="A134" t="inlineStr">
        <is>
          <t>li-4371058868</t>
        </is>
      </c>
      <c r="B134" t="inlineStr">
        <is>
          <t>Staff Data Platform &amp; Analytics Engineer</t>
        </is>
      </c>
      <c r="C134" t="inlineStr">
        <is>
          <t>PROCEPT BioRobotics</t>
        </is>
      </c>
      <c r="D134" t="inlineStr">
        <is>
          <t>linkedin</t>
        </is>
      </c>
      <c r="E134">
        <f>HYPERLINK("https://www.linkedin.com/jobs/view/4371058868", "https://www.linkedin.com/jobs/view/4371058868")</f>
        <v/>
      </c>
      <c r="F134" t="inlineStr"/>
      <c r="G134" t="inlineStr">
        <is>
          <t>San Jose, CA</t>
        </is>
      </c>
      <c r="H134" t="inlineStr"/>
      <c r="I134" t="inlineStr">
        <is>
          <t>**Company Overview** 
 Embark on an enriching journey with PROCEPT BioRobotics, where our vision, mission, and values guide everything we do as a company. At PROCEPT, we put the patient first in everything we do and are committed to revolutionizing treatment for benign prostatic hyperplasia (BPH, otherwise known as prostate gland enlargement) through innovation in surgical robotics. As our company succeeds and grows, we improve the quality of life of patients, provide more effective treatment options for surgeons, uphold the trust of our shareholders. That starts with a commitment to our People with a focus on creating an evolving landscape for your career, brimming with transformative opportunities that provide continuous career growth opportunities.
**The Opportunity That Awaits You:** 
 We are seeking an experienced and dynamic
 **Staff Data Platform \&amp; Analytics Engineer** 
 to build cloud data and analytics platform at PROCEPT BioRobotics. This is a critical role that will enhance and expand data platform and analytics for the organization.
 Reporting directly to the director of software engineering, this experienced individual will propose the enhancement to the current data architecture and pipelines and lead the implementations of the solutions. The successful candidate will work closely with engineering, product and corporate IT teams to deliver the solutions to accelerate the insight (fleet reliability, site utilization, product telemetry).
**What Your Day\-To\-Day Will Involve:** 
* Design and enhance the architecture for cloud platform, data pipelines, ETL workflows, including Snowflake integrations, event\-driven streaming using EventBridge, and schema management
* Collaborate with cross functional teams to build robust workflows to deploy the software packages and collect large volume data to/from deployed devices in both production and QA environments
* Lead the development of data analytics platform to accelerate the insights of fleet reliability, site utilization
* Define the technical direction for scalability, security, observability and maintenance of our products and data platforms
* Enhance the dataflow and integration with data observability platforms
* Take concepts and create prototypes and propose best usability, workflow, and features
**The Qualifications We Need You to Possess** 
* Bachelors/Masters degree in Computer Science or a related field
* 8 or more years of experience of Analytics Engineer / Data Engineer
* 8 or more years of experience with database management, including SQL and NoSQL databases
* 8 or more years of experience with Snowflake performance tuning, dbt best practices, dimensional modeling/star schemas
* 8 or more years of experience working with ETL on AWS
* 8 or more years of experience working with data quality, lineage/catalog , and SLA design
* 8 or more years of experience of Python
**PHYSICAL DEMANDS \&amp; WORK ENVIRONMENT** 
* The physical demands described here are representative of those that must be met by an employee to successfully perform the essential functions of this job. Reasonable accommodations may be made to enable individuals with disabilities to perform the essential functions.
* To perform this duty the employee must have the ability to sit or stand at and operate a computer terminal and walk or travel safely within the facility. The employee may occasionally lift and/or move up to 15 pounds.
* While performing the duties of this job, the employee regularly works in an office environment.
**For US Based Candidates Only** 
 For this role, the anticipated base pay range is $192,000\-$230,000 a year.
**Understanding PROCEPT's Culture** 
 At
 **PROCEPT** 
 , we believe every person matters. Every employee, every patient, every caregiver. Because we are here to create a revolution, and we believe in doing that by innovating everywhere with pathological optimism. We believe in being humble and highly engaged in the work we do, while also working together seamlessly for a common goal. At Procept, curiosity, ingenuity and conviction in the power technology will transform the lives of our patients and providers.
 And this doesn’t happen by accident. It starts with our live induction program that serves as an incubator for cross\-functional team building, an immersion in Procept’s history, jam\-packed interactive sessions with executive leadership and a crash\-course in the mission and purpose of what we do. It continues with our one\-of\-a\-kind management program designed to build the best managers in the industry, where our people managers across functions come together to exchange ideas and grow, as both managers and learners, in an environment that challenges, supports and broadens.
 We are fueled by the opportunity to give people their lives back. And we believe that it begins with YOU! At Procept, we push beyond just finding a work/life balance, we strive to find a work/life blend, a professional world that you are honored and impassioned to belong to, one that you can proudly share with your family, friends, and acquaintances.
 An opportunity at PROCEPT BioRobotics won’t just be about finding a job. It will be an opportunity for you to join a community devoted to making a difference in this world!
**BENEFITS OF WORKING AT PROCEPT!** 
**PROCEPT’s** 
 health and wellness benefits for employees are second to none in the industry. As an organization, one of our top priorities is to maintain the health and wellbeing of our employees and their families. We offer a comprehensive benefits package that includes full medical coverage, wellness programs, on\-site gym, a 401(k) plan with employer match, short\-term and long\-term disability coverage, basic life insurance, wellbeing benefits, flexible or paid time off, paid parental leave, paid holidays, and many more!
**EQUAL EMPLOYMENT OPPORTUNITY STATEMENT** 
 PROCEPT BioRobotics is an equal opportunity employer that is committed to diversity and inclusion in the workplace. We prohibit discrimination and harassment of any kind on the basis of race, color, national origin, religion, gender, gender identity, sexual orientation, disability, genetic information, pregnancy, age, or any other protected status set forth in federal, state, or local laws. This policy applies to all employment practices within our organization.
**PAY RANGE TRANSPARENCY** 
 Procept is committed to fair and equitable compensation practices. The pay range(s) for this role represents a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Procept utilizes the full width of the range. The total compensation package for this position may also include eligibility for annual performance bonus, equity, and the benefits listed above.
**WORK ENVIRONMENT** 
 We’ll provide you training for, and ask you to maintain trained status for, and comply with, all relevant aspects of the PROCEPT BioRobotics Quality Management System to ensure product and support regulatory compliance. We would also ask you to understand and adhere to the PROCEPT BioRobotics Quality \&amp; EHS policies.
**PROCEPT BioRobotics – Applicant Privacy Notice
 When you submit an application on this site, PROCEPT BioRobotics collects the personal information you provide. This may include your name, email address, phone number, résumé or CV, LinkedIn profile, and any optional demographic information you choose to share, such as gender or ethnicity. We use this information to review your application and assess your suitability for the role.
 To learn more about how we handle personal information, including your rights under applicable privacy regulations, please read our full Privacy Notice at:
**\[**
**Privacy Policy**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also includes a 15% annual bonus and RSUs at offer!**</t>
        </is>
      </c>
    </row>
    <row r="135">
      <c r="A135" t="inlineStr">
        <is>
          <t>li-4362258957</t>
        </is>
      </c>
      <c r="B135" t="inlineStr">
        <is>
          <t>Data Engineer</t>
        </is>
      </c>
      <c r="C135" t="inlineStr">
        <is>
          <t>Charles Schwab</t>
        </is>
      </c>
      <c r="D135" t="inlineStr">
        <is>
          <t>linkedin</t>
        </is>
      </c>
      <c r="E135">
        <f>HYPERLINK("https://www.linkedin.com/jobs/view/4362258957", "https://www.linkedin.com/jobs/view/4362258957")</f>
        <v/>
      </c>
      <c r="F135" t="inlineStr"/>
      <c r="G135" t="inlineStr">
        <is>
          <t>Austin, TX</t>
        </is>
      </c>
      <c r="H135" t="inlineStr"/>
      <c r="I135"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We’re looking for a
 **Data Engineer** 
 who is excited to use their technical strengths to help influence the future of how clients manage their money. In this role, you’ll join a collaborative technology team within Schwab Technology Services, building reliable data products that support critical decisions across the business. You’ll work in an environment shaped by trust, respect, and a shared purpose — where your contributions fuel both client impact and your own career growth.
 You’ll partner closely with talented engineers, analysts, and business stakeholders, leveraging modern cloud technologies to design and deliver high‑quality data solutions. If you thrive in a supportive culture that values learning, fresh thinking, and the opportunity to “own your tomorrow,” this is a role where you can truly make a difference.
**Key Responsibilities**
* Creation and maintenance of enterprise data assets, reporting, and data analytics that support business leaders in decision‑making, regulatory reporting, and continuous process improvement.
* Work closely with business and other stakeholders to understand needs and ensure accurate implementation.
* Perform ETL design, development, data management, and data analysis.
* Create data models, conduct performance tuning, develop load plans, and ensure deliverables meet both functional and non‑functional requirements.
* Provide guidance and technical oversight to junior engineers and vendor contractors.
* Collaborate with onshore and offshore teams to ensure timely delivery of high‑quality data engineering solutions.
* Ensure system alignment to architecture policies and best practices; follow process methodologies during system development.
* Identify opportunities for system reuse and simplification.
 What you have
**Required Qualifications**
* Bachelor’s degree in Computer Science, Information Technology, or related field, or equivalent practical experience.
* 5\+ years of experience in development, support, and maintenance of ETL and database applications.
* 2\+ years of hands‑on experience with GCP (GCS, BigQuery, Dataproc).
* 2\+ years of hands‑on experience with IDMC (Informatica Intelligent Data Management Cloud).
* 2\+ years of experience with Control‑M.
* Strong SQL knowledge and shell scripting skills.
* Working knowledge of Agile methodologies.
* Familiarity with SCM/DevOps tools such as Git, GitHub, GitLab, Bitbucket, and Bamboo.
* Strong critical‑thinking and problem‑solving skills with the ability to analyze and understand data.
**Preferred Qualifications**
* Experience in the financial services industry.
* Ability to interpret trends and metrics to drive actionable insights.
* Python scripting experience.
* Strong oral, written, and interpersonal communication skills.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36">
      <c r="A136" t="inlineStr">
        <is>
          <t>li-4346383370</t>
        </is>
      </c>
      <c r="B136" t="inlineStr">
        <is>
          <t>Senior Data Engineer</t>
        </is>
      </c>
      <c r="C136" t="inlineStr">
        <is>
          <t>Afresh</t>
        </is>
      </c>
      <c r="D136" t="inlineStr">
        <is>
          <t>linkedin</t>
        </is>
      </c>
      <c r="E136">
        <f>HYPERLINK("https://www.linkedin.com/jobs/view/4346383370", "https://www.linkedin.com/jobs/view/4346383370")</f>
        <v/>
      </c>
      <c r="F136" t="inlineStr"/>
      <c r="G136" t="inlineStr"/>
      <c r="H136" t="inlineStr"/>
      <c r="I136"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As a Senior Data Engineer, you’ll play a key role in scaling and improving how we integrate and process customer data. You will design and implement ETLs that reliably process large volumes of customer\-provided data and build tools/improve the platform to make customer integrations faster, more accurate, and more scalable. You’ll also contribute to the development of new features that support our expanding product lines. Your work will have a direct and visible impact on our ability to onboard customers more easily and quickly and power our machine learning grocery solution.
**What You’ll Do** 
* Build tools and frameworks that streamline customer integrations, enabling faster onboarding and better handling of customer data.
* Create robust ETLs in PySpark and DBT to process billions of records from customer datasets, ensuring data is accurate, reliable, and ready for downstream use.
* Investigate and implement new technologies into the data platform, focusing on practical solutions that address current pain points and anticipate future needs.
* Collaborate with product, engineering, and go\-to\-market teams to design and deliver data solutions for new products and features.
* Identify and implement optimizations to improve ETL runtime and data processing scalability, reducing the time and effort required for integrations.
* Solve real\-world data quality challenges by working directly with messy, incomplete, or inconsistent customer data to extract the signal we need.
* Support team members by mentoring engineers, leading technical discussions, and providing clear, actionable feedback.
**What Makes You a Great Fit** 
 We encourage all highly\-qualified candidates to apply, even if they don’t meet every listed qualification.
* Significant experience designing and maintaining ETLs that process large\-scale datasets.
* Proficiency with Python, PySpark, SQL, and experience working on platforms/tools like Databricks, Snowflake, or DBT.
* Strong problem\-solving skills and the ability to work with ambiguous or incomplete requirements to deliver concrete, impactful solutions.
* A focus on practical outcomes—you're skilled at balancing technical rigor with the need to get things done.
* Experience working directly with complex, unclean datasets and finding innovative ways to process and analyze them.
* A knack for identifying areas where tooling or automation can simplify workflows and reduce manual effort.
* Excellent communication skills—you’re able to explain your ideas clearly to both technical and non\-technical audiences.
* Proven leadership in technical projects, with a willingness to mentor and help others grow.
**Why Work Here** 
* Join a mission\-driven company reducing millions of pounds of food waste in grocery stores per year.
* Work on challenging, real\-world problems that have a direct impact on our customers.
* Be part of a collaborative, supportive team where your ideas are valued and acted on.
* Use cutting\-edge tools and platforms to solve meaningful data challenges.
 We’re looking for someone who thrives on tackling complex data problems and takes pride in building systems that work seamlessly at scale. If that sounds like you, we’d love to hear from you!
**This position is open to United States and Ontario, Canada. This position is not eligible for employer sponsorship.** 
**Salary Range in USD:** 
 $162,000 \- $198,000
**Salary Range in CAD:** 
 $142,000 \- $170,000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137">
      <c r="A137" t="inlineStr">
        <is>
          <t>li-4363130112</t>
        </is>
      </c>
      <c r="B137" t="inlineStr">
        <is>
          <t>Sr. Data Platform Engineer I (6366)</t>
        </is>
      </c>
      <c r="C137" t="inlineStr">
        <is>
          <t>MetroStar</t>
        </is>
      </c>
      <c r="D137" t="inlineStr">
        <is>
          <t>linkedin</t>
        </is>
      </c>
      <c r="E137">
        <f>HYPERLINK("https://www.linkedin.com/jobs/view/4363130112", "https://www.linkedin.com/jobs/view/4363130112")</f>
        <v/>
      </c>
      <c r="F137" t="inlineStr"/>
      <c r="G137" t="inlineStr">
        <is>
          <t>Washington, DC</t>
        </is>
      </c>
      <c r="H137" t="inlineStr"/>
      <c r="I137" t="inlineStr">
        <is>
          <t>As a
 **Sr. Data Platform Engineer I,** 
 you’ll work as part of a collaborative and high\-performing team providing your expertise to deliver technical solutions within the highest levels of the federal government by providing PostgreSQL expertise supporting highly visible, mission\-critical applications; taking deep technical ownership of database platforms; executing disciplined operational practices; and maintaining database stability, performance, and security under constant operational demand.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administer, and optimize PostgreSQL and Microsoft SQL Server databases in on\-premises and cloud environments.
* Manage Kubernetes clusters and support containerized database and application operations.
* Administer CI/CD pipelines and automation supporting database and application delivery.
* Perform database performance tuning, backups, replication, and recovery.
* Enforce access controls, auditing, governance, and retention policies.
* Manage schemas, indexes, stored procedures, and permissions.
* Develop SQL queries and reporting logic; support Power BI reporting needs.
* Participate in Agile ceremonies and collaborative delivery activities.
* Support production operations with urgency and operational discipline.
* Communicate technical risks, issues, and recommendations clearly to stakeholders.
* Build and maintain strong customer trust through technical expertise, responsiveness, and reliability.
**What you’ll need to succeed:** 
* Active Top Secret with SCI eligibility security clearance.
* Bachelor’s degree in Computer Science, or related field, is preferred; relevant experience may substitute.
* Certification meeting DoD 8140 (e.g., Security\+ or GSEC, or higher).
* Certification for database platform (e.g., DP\-300, Oracle OCP, or equivalent).
* 5\+ years of experience as a database administrator or engineer.
* Experience designing, implementing, managing, and tuning PostgreSQL databases in enterprise environments.
* Experience ensuring database performance, availability, and reliability, including capacity planning and performance tuning.
* Experience implementing and managing database security controls, including access management and auditing.
* Experience performing database backups, recovery, and restore operations, including support for high\-availability configurations.
* Experience with distributed PostgreSQL solutions (e.g., pgEdge or similar).
* Ability to contribute immediately with minimal ramp\-up in a mission\-critical operational environment.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38">
      <c r="A138" t="inlineStr">
        <is>
          <t>li-4370723779</t>
        </is>
      </c>
      <c r="B138" t="inlineStr">
        <is>
          <t>SENIOR DATA ENGINEER - HYBRID/REMOTE OPTIONS</t>
        </is>
      </c>
      <c r="C138" t="inlineStr">
        <is>
          <t>Independence Health System</t>
        </is>
      </c>
      <c r="D138" t="inlineStr">
        <is>
          <t>linkedin</t>
        </is>
      </c>
      <c r="E138">
        <f>HYPERLINK("https://www.linkedin.com/jobs/view/4370723779", "https://www.linkedin.com/jobs/view/4370723779")</f>
        <v/>
      </c>
      <c r="F138" t="inlineStr"/>
      <c r="G138" t="inlineStr">
        <is>
          <t>Greensburg, PA</t>
        </is>
      </c>
      <c r="H138" t="inlineStr"/>
      <c r="I138" t="inlineStr">
        <is>
          <t>Job Details
**Description**
**Job Summary/Overall Object** 
 i
 **ves**
 The Senior Business Intelligence Engineer designs, develops, and troubleshoots business, clinical, and population management databases and analytic tools. They demonstrate an expert understanding of designing and maintaining data models. By using various data extraction methods across multiple data sources, the Senior Engineer will be responsible for compiling application\-ready data models for analytic deliveries.
****Essential Job Functions****
* Develops the standard to maintain the enterprise data strategy for the analytics team.
* Investigates data quality and integrity issues and derives solutions to ensure accuracy and consistency across the organization.
* Designs, creates, tests, and deploys data pipelines (ETL, ELT, streaming) and data models.
* Demonstrates advanced knowledge of structured, semi\-structured, and unstructured data.
* Builds and maintains the data infrastructure that powers business intelligence tools.
* Develops and maintains data integrations with on\-premises and cloud\-hosted technologies such as APIs and ODBC connections.
* Ensures data observability, availability, and scalability for analytic solutions.
* Minimizes data downtimes.
* Maintains working knowledge of source system databases.
* Implements data security and access management protocols for safeguard storage and analytic assets.
* Actively participates in data governance standards.
* Other duties as assigned.
**Competency and Experience \[Knowledge, Skills and Abilities]**
****Required Qualifications/Experience****
* Bachelor’s Degree or higher level of education in Data Sciences, Mathematics, Statistics, Biostatistics, Healthcare Management or Business.
* Four (4\) – six (6\) years of experience in data analysis, data visualization, reporting or analytics.
* Strong leadership ability, good organizational skills, independent and critical thinking skills, sound judgment, and knowledge of legal aspects and liability data analytics.
* Strong ability to communicate complex and/or controversial topics and concepts to a wide and diverse audience.
****Preferred Qualifications/Experience****
* Master’s Degree in Data Sciences, Mathematics, Statistics, Biostatistics, Healthcare Management or Business preferred.
* Six (6\+) years’ experience in data aggregation or reporting setting.
* Experience in Healthcare setting.
**License, Certification \&amp; Clearances**
* Act 34\-PA Criminal Record Check from the PA State Police system
**Position Type/Expected Hours of Work**
* Incumbent will be scheduled based on operational need (rotate shifts, standby, on\-call, etc.).
* Travel may be expected locally between System locations.
**Equal Employment Opportunity**
 Independence Health and its affiliated companies are Equal Opportunity Employers. It is their policy to prohibit discrimination of any type and to afford equal employment opportunities to employees and applicants without regard to race, color, religion, sex, sexual orientation, national origin, age, marital status, disability, veteran status, or genetic information, or any other classification protected by law. Independence Health and its affiliated companies will comply with all applicable laws and regulations.
**Disclaimer**
 This job description is not designed to contain a comprehensive listing of all activities, duties or responsibilities that are required of the employee. Moreover, duties, responsibilities and activities may change or new ones may be assigned at any time with or without notice.
**Work Environment**
**When lift requirement is in excess of 50\#,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Extreme Cold
 X
 Heights
 X
 Confined Spaces
 X
 Extreme Noise(\&gt;85dB)
 X
 Mechanical Hazards
 X
 Use of Vibrating Tools
 X
 Operates Vehicle
 X
 Operates Heavy Equipment
 X
 Use of Lifting/Transfer Devices
 X
 Rotates All Shifts
 X
 8 Hours Shifts
 X
 X
 10\-12 Hours Shifts
 X
 On\-Call
 X
 Overtime(\+8/hrs/shift; 40/hr/wk)
 X
 X
 Travel Between Sites
 X
 Direct Patient Care
 X
 Respirator Protective Equipment
 X
 Eye Protection
 X
 Head Protection (hard hat)
 X
 Hearing Protection
 X
 Hand Protection
 X
 Feet, Toe Protection
 X
 Body Protection
 X
 Latex Exposure
 X
 X
 Solvent Exposure
 X
 Paint (direct use) Exposure
 X
 Dust (sanding) Exposure
 X
 Ethylene Oxide Exposure
 X
 Cytotoxic (Chemo) Exposure
 X
 Blood/Body Fluid Exposure
 X
 Chemicals (direct use) Exposure
 X
 Mist Exposure
 X
 Wax Stripper (direct use)
 X
 Non\-Ionizing Radiation Exposure
 X
 Ionizing Radiation Exposure
 X
 Laser Exposure
 X
**Physical Demand**
**When lift requirement is in excess of 50\#,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Bending (Stooping)
 X
 X
 Sitting
 X
 X
 Walking
 X
 X
 Climbing Stairs
 X
 X
 Climbing Ladders
 X
 Standing
 X
 X
 Kneeling
 X
 Squatting (Crouching)
 X
 Twisting/Turning
 X
 Keyboard/Computer Operation
 X
 X
 Gross Grasp
 X
 X
 Fine Finger Manipulation
 X
 X
 Hand/Arm Coordination
 X
 X
 Pushing/Pulling(lbs. of force)
 X
 \&lt;10\#
 Carry
 X
 \&lt;10\#
 Transfer/Push/Pull Patients
 X
 Seeing Near w/Acuity
 X
 X
 Feeling (Sensation)
 X
 Color Vision
 X
 Hearing Clearly
 X
 X
 Pulling/Pushing Objects Overhead
 Reaching Above Shoulder Level
 Reaching Forward
 X
 X
 Lifting Floor to Knuckle
 X
 \&lt;10\#
 Lifting Seat Pan to Knuckle
 X
 \&lt;10\#
 Lifting Knuckle to Shoulder
 X
 Lifting Shoulder to Overhead
 X
 When lift requirement is in excess of 50\#, lift assistance (2 person) and/or transfer device is required.</t>
        </is>
      </c>
    </row>
    <row r="139">
      <c r="A139" t="inlineStr">
        <is>
          <t>li-4371086084</t>
        </is>
      </c>
      <c r="B139" t="inlineStr">
        <is>
          <t>Data Engineer/Analyst (Navy/DoD)</t>
        </is>
      </c>
      <c r="C139" t="inlineStr">
        <is>
          <t>THOR Solutions, LLC</t>
        </is>
      </c>
      <c r="D139" t="inlineStr">
        <is>
          <t>linkedin</t>
        </is>
      </c>
      <c r="E139">
        <f>HYPERLINK("https://www.linkedin.com/jobs/view/4371086084", "https://www.linkedin.com/jobs/view/4371086084")</f>
        <v/>
      </c>
      <c r="F139" t="inlineStr"/>
      <c r="G139" t="inlineStr">
        <is>
          <t>San Diego, CA</t>
        </is>
      </c>
      <c r="H139" t="inlineStr"/>
      <c r="I139" t="inlineStr">
        <is>
          <t>**THOR Solutions** 
 is actively seeking a
 **mid\-level Data Engineer/Analyst** 
 to support the U.S. Navy’s Readiness and Effectiveness Measuring (
 **REM** 
 ) program at the Surface and Mine Warfighting Development Center (SMWDC) in
 **San Diego, CA** 
 .
 The US Navy’s REM program is composed of both Ship Anti\-Submarine Warfare (ASW) Readiness and Effectiveness Measuring (
 **SHAREM** 
 ) and Mine Warfare Readiness and Effectiveness Measuring (
 **MIREM** 
 ). These programs assess the readiness and effectiveness of sensors, systems, weapons, and countermeasures employed by individual and groups of platforms to meet specified objectives in tactically and operationally relevant environments. The Data Engineer/Analyst will support this effort by collecting and cleaning exercise data, and by using existing and new data analysis systems and tools.
 An ideal candidate will have prior experience working with data analysis (Python, SQL) in a U.S. Navy environment, as well as familiarity with/certifications to maintain FLANKSPEED IL6 AZURE Privileged Access.
**Typical Responsibilities**
* Maintain and update databases to allow for the rapid reconstruction and analysis of events and exercises.
* Respond to approved data requests to extract relevant data in a presentable manner and provide meaningful analysis.
* Work with exercise technical subject matter experts to improve data collection and analysis methods and processes.
* Maintain and administer the Navy Ship Tracking Reporting and Analysis Tool (NSTRAT) system.
* Troubleshoot issues with NSTRAT and other tools/systems.
* Conduct software engineering and testing functions to develop data analysis tools and event reconstruction.
* Perform database entry, management, and monitors automated back\-up.
* Perform database query analysis.
**Location:** 
 Full time onsite (no remote or hybrid) at Surface and Mine Warfighting Development Center (SMWDC) on Naval Base San Diego (NBSD) in San Diego, CA.
**Travel Requirements:** 
 Up to 10% travel is anticipated.
**Typical Physical Activity** 
 : Primarily desk/computer work in an office environment. May involve: repetitive motion. Limited visits to waterfront/shipboard environments. May involve: repetitive motion, traversing shipboard environments (e.g., confined spaces, ladders, hatches), speaking or vision.
**Typical Pay Range:** 
 The anticipated pay range for this position in the identified location(s) is $85,000 \- $95,000/year. Actual compensation offered will be based upon individual factors including education, qualifications, and experience.
**Existing SECRET Security Clearance Required** 
 : This position requires an existing active or interim Secret security clearance prior to hire. Only U.S. citizens are eligible for a security clearance; therefore, only current U.S. citizens will be considered for this position. An otherwise strongly qualified candidate with highly relevant experience but no current security clearance may be considered, but a security clearance must be obtained prior to hire.
**Required Knowledge, Skills, and Abilities:**
* Existing full or interim DoD SECRET security clearance.
* High school diploma/GED equivalent.
* Five (5\) years of recent, relevant professional experience in data analytics, scripting data analysis products, or a related role in program, operations, or analytics fields.
* Strong proficiency with common data tools/systems including Python and Microsoft SQL.
* Proficient with common productivity software, including the Microsoft Office suite.
* Excellent communication and organizational skills.
**Additional Preferred Knowledge, Skills, And Abilities**
* Hold and maintain certifications/training to maintain FLANKSPEED IL6 AZURE Privileged Access:
+ AZURE Administrator Associate AZ\-104 certification,
+ AND ONE of the following certifications, to qualify as an Information Assurance Technician (IAT) Level II under DOD 8750:
- CompTIA Security\+ (Sec\+)
- Systems Security Certified Practitioner (SSCP)
- GIAC Security Essentials (GSEC)
- GIAC Global Industry Cyber Security Professional (GICSP)
- Cisco Certified Network Associate Security (CCNA\-Security)
* Bachelors degree in a relevant technical or business discipline.
* Some or all experience gained in a US Navy/DoD environment is highly preferred, as well as experience/familiarity with:
+ Working with Navy Flankspeed.
+ Working with Microsoft Azure cloud services.
+ Navy exercise data collection or REM.
+ Managing Navy computer networks.
**Benefit Offerings:** 
 Along with competitive pay, THOR offers a comprehensive benefits package including:
* Paid Time Off (accrued)
* Paid Holidays
* 401(k) with employer match and traditional/Roth options
* Medical Insurance (3 plan options) \+ TRICARE Supplemental Coverage
* Dental Insurance (2 plan options)
* Vision Insurance Plan
* Healthcare and Dependent Care Flexible Spending Accounts
* Commuter/Transit Benefits
* Basic Life/AD\&amp;D, Short\-Term and Long\-Term Disability Insurance
* Supplemental Life Insurance
* Pet Benefits
* Legal Resources
* ID Theft Benefits
* Employee Assistant Plan and Work\-Life Program
* Voluntary Leave Transfer Program
* Tuition Reimbursement Program
* Employee Referral Program
 Please be aware that many of our positions require the ability to obtain a security clearance. Security clearances may only be granted to U.S. citizens.
 Founded in 2009,
 **THOR Solutions, LLC** 
 (THOR) is a rapidly growing Center for Veteran’s Excellence (CVE) verified Service\-Disabled Veteran\-Owned Small Business (SDVOSB) providing mission critical support across the Department of Defense, Department of Homeland Security, federal civilian agencies and commercial maritime industry, worldwide. THOR provides innovative and tailored expertise in multidisciplinary engineering, project and program management, business and financial management, technical support, integrated logistics support, training support, fleet support, corporate operations support, assessments and studies. THOR is privileged to deliver service solutions to the nation’s most complex military, public sector and industry challenges.
**THOR is proud to be an Equal Opportunity Employer, including veterans and individuals with disabilities** 
 . THOR considers all qualified applicants for employment without regard to legally protected characteristics. This policy applies to all terms and conditions of employment.
 If you are an individual with a disability and would like to request a reasonable accommodation as part the employment selection process, please contact us at recruiting@thorsolutions.us or (571\) 215\-0077\.</t>
        </is>
      </c>
    </row>
    <row r="140">
      <c r="A140" t="inlineStr">
        <is>
          <t>li-4371050646</t>
        </is>
      </c>
      <c r="B140" t="inlineStr">
        <is>
          <t>Sr AI/Data Platform Engineer</t>
        </is>
      </c>
      <c r="C140" t="inlineStr">
        <is>
          <t>IDR, Inc.</t>
        </is>
      </c>
      <c r="D140" t="inlineStr">
        <is>
          <t>linkedin</t>
        </is>
      </c>
      <c r="E140">
        <f>HYPERLINK("https://www.linkedin.com/jobs/view/4371050646", "https://www.linkedin.com/jobs/view/4371050646")</f>
        <v/>
      </c>
      <c r="F140" t="inlineStr"/>
      <c r="G140" t="inlineStr">
        <is>
          <t>Seattle, WA</t>
        </is>
      </c>
      <c r="H140" t="inlineStr"/>
      <c r="I140" t="inlineStr">
        <is>
          <t>IDR is seeking a Sr AI/Data Platform Engineer to join one of our top clients for an opportunity in Seattle, WA. This role involves designing and developing AI\-powered applications and scalable data services within a leading technology environment. The position primarily focuses on leveraging cloud\-native architectures and enterprise metadata platforms to enhance data discovery, search, and analytics capabilities.
**Position Overview for the Sr AI/Data Platform Engineer:** 
* Design and develop AI\-driven applications utilizing AWS services such as Bedrock and SageMaker.
* Architect and implement secure, high\-performance data access layers and APIs with AWS tools including Lambda, API Gateway, and containers.
* Build scalable, secure service layers to expose Redshift\-based data lakes and enterprise metadata systems.
* Lead innovative AI initiatives like natural language interfaces, intelligent search, and automated data classification.
* Collaborate with Data Engineering teams to ensure seamless integration and optimization of data platforms.
**Requirements for the Sr AI/Data Platform Engineer:** 
* Strong proficiency in Python and modern API development (REST and GraphQL).
* Hands\-on experience with AWS Bedrock, SageMaker, and cloud\-native application architectures.
* Deep experience building high\-performance, scalable services using AWS (Lambda, API Gateway, containers).
* Solid background in MLOps practices, including model deployment, monitoring, and lifecycle management.
* Experience integrating machine learning frameworks, large language models (LLMs), and vector search technologies.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141">
      <c r="A141" t="inlineStr">
        <is>
          <t>li-4371061038</t>
        </is>
      </c>
      <c r="B141" t="inlineStr">
        <is>
          <t>Principal Data Engineer</t>
        </is>
      </c>
      <c r="C141" t="inlineStr">
        <is>
          <t>Enzo Tech Group</t>
        </is>
      </c>
      <c r="D141" t="inlineStr">
        <is>
          <t>linkedin</t>
        </is>
      </c>
      <c r="E141">
        <f>HYPERLINK("https://www.linkedin.com/jobs/view/4371061038", "https://www.linkedin.com/jobs/view/4371061038")</f>
        <v/>
      </c>
      <c r="F141" t="inlineStr"/>
      <c r="G141" t="inlineStr">
        <is>
          <t>Wisconsin, United States</t>
        </is>
      </c>
      <c r="H141" t="inlineStr"/>
      <c r="I141" t="inlineStr">
        <is>
          <t>**Job Title** 
 : Principal Data Engineer
**Location:** 
 Wisconsin
**Hybrid:** 
 2/3 Days on\-site (Flexible)
**Salary** 
 : Up to $190,000 Base Salary
 We're partnering with a Fortune 500 Manufacturing company looking to hire a Principal Data Engineer to bring senior technical leadership, architectural clarity, and hands\-on impact to a growing analytics environment.
 You’ll act as the technical anchor for a junior\-heavy team, setting standards, mentoring engineers, and influencing the future direction of the data platform. This is a high\-visibility role with long\-term growth into broader technical leadership.
 What you’ll do
* Own data and analytics architecture
* Build and support data pipelines (not an ivory\-tower role)
* Design and guide Azure\-based data infrastructure
* Mentor engineers and establish best practices
* Shape the future\-state data platform and strategy
 Tech environment
* Azure, Databricks (Or equivalent cloud)
* Snowflake, DBT (nice to have)
* Legacy ERP / DB2 / IBM iSeries experience is a plus (nice to have)
 \*Must have a US Citizenship, no sponsorship available\*
 If this sounds like it matches your experience, please apply below and we'll get in touch !</t>
        </is>
      </c>
    </row>
    <row r="142">
      <c r="A142" t="inlineStr">
        <is>
          <t>li-4359370141</t>
        </is>
      </c>
      <c r="B142" t="inlineStr">
        <is>
          <t>Data Engineer</t>
        </is>
      </c>
      <c r="C142" t="inlineStr">
        <is>
          <t>DCS Corp</t>
        </is>
      </c>
      <c r="D142" t="inlineStr">
        <is>
          <t>linkedin</t>
        </is>
      </c>
      <c r="E142">
        <f>HYPERLINK("https://www.linkedin.com/jobs/view/4359370141", "https://www.linkedin.com/jobs/view/4359370141")</f>
        <v/>
      </c>
      <c r="F142" t="inlineStr"/>
      <c r="G142" t="inlineStr">
        <is>
          <t>Ridgecrest, CA</t>
        </is>
      </c>
      <c r="H142" t="inlineStr"/>
      <c r="I142" t="inlineStr">
        <is>
          <t>Salary Range: $71,307 \- $85,100
 Perform and provide leadership in the design, development, implementation, integration, testing, deployment, operation, optimization, administration, troubleshooting and/or maintenance of airborne and ground data systems; these systems include (but are not limited to) data and video collection, recording, telemetry, and both real\-time and post\-event processing of airborne data/video.
**Essential Job Functions**
 Conduct Research, Design, Fabrication and Integration of Airborne, Telemetry and Ground based Data and Video Collection Systems, Post\-Event Debrief and Analysis Ground Stations.
 Generate documentation, drawings and training related to the operation, maintenance, of the aforementioned data systems in accordance with Task Team Operating Procedures.
 Provide training and technical support for the aforementioned data systems to other team members (both engineers and technicians.
 Function as liaison to other stakeholder entities as appropriate.
 Provide summaries of activities in the Monthly Progress / Status Report.
 Interface with all levels of NAVAIR / NAWCWD organizations and stakeholder entities as required to accomplish assigned tasks.
 Participate in meetings with contractor and government personnel to resolve scheduling, planning, maintenance, and other technical issues.
 Actively contribute to organizational process improvement activities and task team internal reviews.
 Initiates own professional development and maintains an up\-to\-date understanding of all technical project requirements and organizational processes as defined in applicable documentation.
 Additional duties as assigned.
**Required Skills**
 Due to the sensitivity of customer related requirements, U.S. Citizenship is required.
 Must have one of the following: Bachelors with 2\+ years of experience, Masters with 1\+ years of experience. Preferred degree concentration Electrical Engineering or a related discipline.
 Must be able to be granted a Secret security clearance and maintain one for the duration of employment.
 Experience in the design, development, management, and administration of information systems related to airborne data acquisition, recording and telemetry.
 Possess teachability, team\-orientation, sound character, resilience, a solutions\-focused attitude, and tenacity in execution.
 Ability to perform, manage, and prioritize multiple related tasks in a highly dynamic and time\-sensitive environment.
 Possession of excellent English oral and written communication skills.
 Possession of excellent English oral and written communication skills.
**Desired Skills**
 Practical knowledge of system administration, systems security, information assurance, network and computer operation support. This includes intimate familiarity with DoD\-approved operating systems, network connectivity (both copper and fiber), and data warehousing/mining (including Storage Area Networks, Network Attached Storage and/or RAID technologies).
 Direct experience with post\-event data processing and storage performed at NAWCWD China Lakes Range Control Center (RCC) Range Data Systems; training or experience with airborne and ground instrumentation systems, video and data recording/telemetry, MIL\-STD\-1553, and related data\-bus and digital recorders.
 Ability and desire to work in a group environment.
 Diverse engineering work background (multiple disciplines or multiple technologies).
 Active security clearance, Secret or higher.
 Familiarity with modern military systems, both foreign and domestic, especially sensors technology.</t>
        </is>
      </c>
    </row>
    <row r="143">
      <c r="A143" t="inlineStr">
        <is>
          <t>li-4371038377</t>
        </is>
      </c>
      <c r="B143" t="inlineStr">
        <is>
          <t>Azure Data Engineer</t>
        </is>
      </c>
      <c r="C143" t="inlineStr">
        <is>
          <t>Freudenberg Sealing Technologies</t>
        </is>
      </c>
      <c r="D143" t="inlineStr">
        <is>
          <t>linkedin</t>
        </is>
      </c>
      <c r="E143">
        <f>HYPERLINK("https://www.linkedin.com/jobs/view/4371038377", "https://www.linkedin.com/jobs/view/4371038377")</f>
        <v/>
      </c>
      <c r="F143" t="inlineStr"/>
      <c r="G143" t="inlineStr">
        <is>
          <t>Plymouth, MI</t>
        </is>
      </c>
      <c r="H143" t="inlineStr"/>
      <c r="I1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Save for retirement with the company's help.
**Health Insurance:** 
 Rely on comprehensive services whenever you need it.
**Sustainability \&amp; Social Commitment:** 
 We support social and sustainable projects and encourage employee involvement.
**Vacation:** 
 We offer time off to refresh and recharge.
**Paid Holidays:** 
 With paid\-time off, local holidays are all the way more relaxing.
 Plymouth, MI
 On\-Site
 Freudenberg\-NOK General Partnership
**Azure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row>
    <row r="144">
      <c r="A144" t="inlineStr">
        <is>
          <t>li-4371070635</t>
        </is>
      </c>
      <c r="B144" t="inlineStr">
        <is>
          <t>Lead Data Engineer- AI/ML</t>
        </is>
      </c>
      <c r="C144" t="inlineStr">
        <is>
          <t>Diligente Technologies</t>
        </is>
      </c>
      <c r="D144" t="inlineStr">
        <is>
          <t>linkedin</t>
        </is>
      </c>
      <c r="E144">
        <f>HYPERLINK("https://www.linkedin.com/jobs/view/4371070635", "https://www.linkedin.com/jobs/view/4371070635")</f>
        <v/>
      </c>
      <c r="F144" t="inlineStr"/>
      <c r="G144" t="inlineStr">
        <is>
          <t>Palo Alto, CA</t>
        </is>
      </c>
      <c r="H144" t="inlineStr"/>
      <c r="I144" t="inlineStr">
        <is>
          <t>**Role: Lead Data Engineer** 
**Employment Type: Full time** 
**City: Palo Alto** 
**State: California** 
**Also open to contract to hire** 
**Hybrid role** 
**Description:** 
**A Brief Overview** 
 The Data Engineer will be part of a team building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Chief Data Scientist, this role will be responsible for maintaining compute frameworks, analysis tooling, and/or model implementations used or created by the team. The individual will design, implement, and support data processing software and infrastructure.
**What you will do** 
* Build end\-to\-end data pipelines and infrastructure for ML models used by the Data Science team and others at SHC.
* Understand the requirements of data processing and analysis pipelines and make appropriate technical design and interface decisions. Elucidating these requirements will require training, developing, and validating researcher\-built or vendor provided machine learning algorithms on hospital data as well as working with other members of the data science team.
* Understand data flows among the SHC applications and use this knowledge to make recommendations and design decisions for languages, tools, and platforms used in software and data projects.
* Troubleshoot and debug environment and infrastructure problems found in production and non\-production environments for projects by the Data Science Team.
* Work with other groups at SHC and the Technology and Digital Solutions (TDS) group to ensure servers and system maintenance based on updates, system requirements, data usage, and security requirements
**Education Qualifications** 
* Bachelor’s or Master’s degree in Computer Science, Engineering, or related, or equivalent working experience
* Bachelor’s or Master’s degree in Computer Science, Engineering, or related, or equivalent working experience
**Experience Qualifications** 
* 2\+ years’ experience in building data infrastructure for analytics teams, including ability to write code in SQL, R, or Python for processing large datasets in distributed cloud environments
* Experience with cloud deployment strategies and CI/CD
* Experience building and working with data infrastructure in a SaaS environment
**Preferred Knowledge, Skills and Abilities** 
* Knowledge of multiple programming languages, commitment to choosing languages based on project\-specific requirements, and willingness to learn new programming languages as necessary.
* Knowledge of resource management and automation approaches such as workflow runners.
* Collaborative mentality and excitement for iterative design working closely with the Data Science team.</t>
        </is>
      </c>
    </row>
    <row r="145">
      <c r="A145" t="inlineStr">
        <is>
          <t>li-4370919914</t>
        </is>
      </c>
      <c r="B145" t="inlineStr">
        <is>
          <t>Data Engineer II (Epic)</t>
        </is>
      </c>
      <c r="C145" t="inlineStr">
        <is>
          <t>Children's Wisconsin</t>
        </is>
      </c>
      <c r="D145" t="inlineStr">
        <is>
          <t>linkedin</t>
        </is>
      </c>
      <c r="E145">
        <f>HYPERLINK("https://www.linkedin.com/jobs/view/4370919914", "https://www.linkedin.com/jobs/view/4370919914")</f>
        <v/>
      </c>
      <c r="F145" t="inlineStr"/>
      <c r="G145" t="inlineStr">
        <is>
          <t>Milwaukee, WI</t>
        </is>
      </c>
      <c r="H145" t="inlineStr"/>
      <c r="I145" t="inlineStr">
        <is>
          <t>*At Children’s Wisconsin, we believe kids deserve the best.*
*Children’s Wisconsin is a nationally recognized health system dedicated solely to the health and well\-being of children. We provide primary care, specialty care, urgent care, emergency care, community health services, foster and adoption services, child and family counseling, child advocacy services and family resource centers. Our reputation draws patients and families from around the country.*
*We offer a wide variety of rewarding career opportunities and are seeking individuals dedicated to helping us achieve our vision of the healthiest kids in the country. If you want to work for an organization that makes a difference for children and families, and encourages you to be at your best every day, please apply today.*
***Please follow this link for a closer look at what it’s like to work at Children’s Wisconsin:***
 https://www.instagram.com/lifeatcw/
 Children’s Wisconsin is seeking a Data Engineer II to support our Data Warehousing and Business Intelligence initiatives. In this role, you’ll design, develop, and maintain enterprise ETL solutions that power insights across the organization. This is an opportunity to work with modern data tools, collaborate across teams, and apply your expertise in a mission\-driven healthcare environment where data truly matters.
 What you will do:
 The Data Engineer II designs, develops and maintains key components of Children's Extract, Transformation and Load routines using Microsoft SQL Server, SSIS, Microsoft Fabric, stored procedures and other available tools. Identified as an application expert and primary contact in SSIS or similar ETL tool. Performs work that is complex and cross functional in nature. This role is a key contributor to the organization's Data Warehousing and Business Intelligence programs. Performs development, testing, changes to code and/or routines utilizing defined frameworks and development standards.
 What you will need:
* Bachelor's degree in or equivalent experience in IT or healthcare related field of study required.
* Certifications related to work area of focus, or Apprenticeship diploma preferred. 3 years of experience preferred. Master's degree in related field preferred.
* Epic experience preferred
* Knowledge of healthcare delivery systems preferred.
* Demonstrated strong analytical skills. Exhibits the aptitude in the following Competencies: Action Oriented, Manages Complexity, Collaborates and Optimizes Work Processes.
* Demonstrated experience designing and developing data quality, master data management or similar solutions. Strong critical thinking, problem solving and attentiveness to detail.
 Children's Wisconsin is an equal opportunity / affirmative action employer. We are committed to creating a diverse and inclusive environment for all employees. We treat everyone with dignity, respect, and fairness. We do not discriminate against any person on the basis of race, color, religion, sex, gender, gender identity and/or expression, sexual orientation, national origin, age, disability, veteran status, or any other status or condition protected by the law.
**Certifications/Licenses:**</t>
        </is>
      </c>
    </row>
    <row r="146">
      <c r="A146" t="inlineStr">
        <is>
          <t>li-4370739026</t>
        </is>
      </c>
      <c r="B146" t="inlineStr">
        <is>
          <t>Senior Data Engineer</t>
        </is>
      </c>
      <c r="C146" t="inlineStr">
        <is>
          <t>Ghost</t>
        </is>
      </c>
      <c r="D146" t="inlineStr">
        <is>
          <t>linkedin</t>
        </is>
      </c>
      <c r="E146">
        <f>HYPERLINK("https://www.linkedin.com/jobs/view/4370739026", "https://www.linkedin.com/jobs/view/4370739026")</f>
        <v/>
      </c>
      <c r="F146" t="inlineStr"/>
      <c r="G146" t="inlineStr"/>
      <c r="H146" t="inlineStr"/>
      <c r="I146" t="inlineStr">
        <is>
          <t>**Company Overview** 
 Ghost is an AI\-native inventory distribution platform and operating system for modern retail trade. We partner with the world’s best brands to help them understand the true value of their inventory and route it to the right destinations globally. Ghost gives brands precise control over where and how their inventory is sold. Backed by top venture firms including L Catterton, Cathay Innovation, Union Square Ventures, Equal Ventures, and Eniac. Ghost has offices in Los Angeles and New York.
**About the Role** 
 We are looking for a Senior Data Engineer to join our team and play a pivotal role in delivering high\-quality data solutions. Our data landscape has grown organically and needs consolidation, standardization, and strategic redesign. You’ll be leading a comprehensive overhaul of our data infrastructure, working on critical business reporting, complex data integration, data warehousing, and data modeling projects.
 You are a creative, problem solver who works directly with stakeholders to leverage your expertise in reporting, data warehousing, ETL/ELT development, cloud\-based data platforms, and technical solutioning. You will aggregate our data from different sources to create dashboards that will support business strategy and growth.
**Key Responsibilities:** 
* Audit existing data infrastructure and create a roadmap for consolidation and modernization
* Pair with business stakeholders to derive reporting requirements
* Design and implement data integration strategies and develop efficient data pipelines to synchronize dispersed data sources
* Work with large and complex datasets, including structuring, cleaning, and transforming data
* Develop and optimize ETL/ELT processes to transform, clean, and structure large and complex datasets
* Collaborate with cross\-functional product teams to understand business requirements and develop data\-driven solutions
* Lead the design and implementation of scalable data models to support analytics and reporting needs
* Drive the adoption of best practices in data engineering, data governance, and data quality to ensure the integrity and reliability of our data
* Manage projects and initiatives, applying Agile methodologies to ensure timely and successful delivery of data engineering solutions
* Architect and build data warehousing solutions to ensure efficient storage and retrieval of data
* Stay updated with the latest trends and advancements in data engineering technologies, tools, and techniques, and assess their potential for enhancing our data infrastructure and capabilities
**Qualifications:** 
* Bachelor's or Master's degree in computer science, engineering, or a related field.
* Experience with being an early data engineer within a fast\-moving and dynamic startup environment
* 5\+ years of experience in data engineering, including hands\-on experience with data warehousing, ETL/ELT development, and cloud\-based data platforms.
* Solid expertise in SQL (e.g., PostgreSQL), relational databases, and NoSQL databases.
* Experience with cloud platforms (AWS) and their data services (e.g., Snowflake, Redshift).
* Proven track record of delivering high\-quality data solutions, with a focus on scalability and performance.
* Excellent project management skills with experience in Agile methodologies.
* Strong problem\-solving abilities and attention to detail.
* Excellent communication and interpersonal skills, with the ability to effectively collaborate with cross\-functional teams and stakeholders
 This role is based in Los Angeles. Our total compensation for this position can range from
 **$150,000 \- $180,000\.** 
 The actual amounts may vary based on factors such as experience, knowledge, skills, and abilities related to the position.
**Benefits we offer:** 
* Medical, Vision, and Dental with some plans covered at 100%
* Competitive compensation and equity structure
* 401K
* Unlimited PTO
 Ghost is an equal opportunity employer and values diversity in the workplace. We are committed to fostering an inclusive and innovative environment where all employees can thrive. We do not discriminate based on race, color, religion, sex, sexual orientation, gender identity, national origin, disability, veteran status, genetic information, or any other protected characteristic under applicable laws.</t>
        </is>
      </c>
    </row>
    <row r="147">
      <c r="A147" t="inlineStr">
        <is>
          <t>li-4370710278</t>
        </is>
      </c>
      <c r="B147" t="inlineStr">
        <is>
          <t>Senior Data Engineer</t>
        </is>
      </c>
      <c r="C147" t="inlineStr">
        <is>
          <t>Lorven Technologies Inc.</t>
        </is>
      </c>
      <c r="D147" t="inlineStr">
        <is>
          <t>linkedin</t>
        </is>
      </c>
      <c r="E147">
        <f>HYPERLINK("https://www.linkedin.com/jobs/view/4370710278", "https://www.linkedin.com/jobs/view/4370710278")</f>
        <v/>
      </c>
      <c r="F147" t="inlineStr"/>
      <c r="G147" t="inlineStr">
        <is>
          <t>Boston, MA</t>
        </is>
      </c>
      <c r="H147" t="inlineStr"/>
      <c r="I147" t="inlineStr">
        <is>
          <t>**Role: Senior Data Engineer** 
**Location: Brighton, MA 02135 – 4 days onsite** 
**Interview process: Video Call \&amp; 3 rounds of Interview** 
**Full Time Role** 
**Need experience on AWS \+ (Redshift or Snowflake)** 
**Job description:** 
 You'll build scalable data pipelines to power insurance analytics. Preference for candidates with insurance domain expertise.
**Some of your key responsibilities include:** 
1. At least 8 to 10 years of overall IT experience. 5\+ years of relevant experience in design and development complete end\-end to design of enterprise\-wide big data solution.
2. Experience in designing \&amp; developing a big data solution using Spark, Scala, AWS Glue, Lambda is a must.
3. Strong Application development experience in Java/Scala/Python.
4. Strong Database SQL experience, preferably Redshift or Snowflake.
5. Acts as a Technical Leader and mentor to the team.
6. Experience in Insurance or Investment Management functions is highly preferred.
7. Advise on architectural decisions and design.
8. Participate in design workshops.
9. Create integration and application technical design documentation.
10. Conduct peer\-reviews of functional design documentation
11. Provide guidance on intended solution and best practices during development, configuration, and testing phases.
12. Complete development, configuration, and unit testing of high complexity areas
13. Perform code reviews and ensure standards are applied to each solution component.
14. Resolve complex defects during testing phases.
15. Provide guidance to developers in resolving defects.
16. Support and execute performance testing.
17. Provides guidance on infrastructure and environment setup.
18. Production Support: Assist in troubleshooting production environment and tuning environments.
19. Ensures best practices are followed from a technical perspective during all phases of the project.
**As a Senior Data Engineer, you will be responsible for:** 
1. Developing our application \- by delivering new features according to the business requirements, ensuring their high quality and timely delivery. We expect you to develop maintainable, well\-documented solutions, with an eye toward standardization, reusability, simplicity, performance, robustness, and other attributes of enterprise\-strength solutions.
2. Contributing to the application design \- creating Proofs of Concepts or prototypes when needed, contributing to technical design of applications, helping to choose the right tech stack, choosing, and applying system integration patterns, contributing to DB \&amp; data model design.
3. Helping to define application requirements \- using your technical expertise to work with business analysts, business representatives and other stakeholders to define requirements.
4. Thorough validation of the developed system – by utilizing advanced techniques and comprehensive testing approach (e.g. negative testing, testing boundary conditions, etc.), and working with the business stakeholders to support UAT testing.
5. Supporting our business stakeholders with your technical expertise \- replying to inquiries, investigating, and resolving encountered issues, addressing production incidents, and maintaining a helpful, “high\-touch” approach to working with our business users.
6. Following and improving Agile practices \- participating in Scrum Development team, encouraging others to follow the rules of Agile development, continuously improving our development methodology.</t>
        </is>
      </c>
    </row>
    <row r="148">
      <c r="A148" t="inlineStr">
        <is>
          <t>li-4329683257</t>
        </is>
      </c>
      <c r="B148" t="inlineStr">
        <is>
          <t>Data Engineer</t>
        </is>
      </c>
      <c r="C148" t="inlineStr">
        <is>
          <t>Leidos</t>
        </is>
      </c>
      <c r="D148" t="inlineStr">
        <is>
          <t>linkedin</t>
        </is>
      </c>
      <c r="E148">
        <f>HYPERLINK("https://www.linkedin.com/jobs/view/4329683257", "https://www.linkedin.com/jobs/view/4329683257")</f>
        <v/>
      </c>
      <c r="F148" t="inlineStr"/>
      <c r="G148" t="inlineStr">
        <is>
          <t>Tampa, FL</t>
        </is>
      </c>
      <c r="H148" t="inlineStr"/>
      <c r="I148" t="inlineStr">
        <is>
          <t>**Description**
 Leidos has an immediate need for a highly skilled and versatile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BS degree in Systems Engineering, Computer Science, Cybersecurity, Electrical Engineering, or a related technical field.
 Experience: 3\-10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149">
      <c r="A149" t="inlineStr">
        <is>
          <t>li-4370721081</t>
        </is>
      </c>
      <c r="B149" t="inlineStr">
        <is>
          <t>Senior Cloud Data Platform Engineer</t>
        </is>
      </c>
      <c r="C149" t="inlineStr">
        <is>
          <t>Shoreline AI</t>
        </is>
      </c>
      <c r="D149" t="inlineStr">
        <is>
          <t>linkedin</t>
        </is>
      </c>
      <c r="E149">
        <f>HYPERLINK("https://www.linkedin.com/jobs/view/4370721081", "https://www.linkedin.com/jobs/view/4370721081")</f>
        <v/>
      </c>
      <c r="F149" t="inlineStr"/>
      <c r="G149" t="inlineStr"/>
      <c r="H149" t="inlineStr"/>
      <c r="I149" t="inlineStr">
        <is>
          <t>**About Shoreline AI:** 
 Shoreline AI is an Industrial AI/IoT startup providing a cloud\-native, subscription based SAAS solution to optimize asset performance and operational efficiency for industrial powertrains that drive critical operations in Oil \&amp; Gas, Manufacturing, and other industries. Shoreline’s product is already deployed at very large enterprise customers that are seeing significant benefits in their operations by avoiding expensive and unplanned downtime, and improving safety of their sites.
 Shoreline platform includes an industrial wireless sensor that is easily installed in minutes and captures vibration data along with additional environmental data through its built\-in sensors and external ports. The data is captured throughout the data and uploaded to the Shoreline cloud platform that provides AI/ML driven insights to customers along with powerful data visualization tools for human experts.
 Shoreline AI has its headquarters in Campbell, California. For more information, please visit
 https://shorelineai.us/
 .
**About the Role:** 
 We are looking for a Senior Cloud Data Platform Engineer/Architect to play a critical role in building and maintaining the data infrastructure and platform that powers Shoreline AI’s product. The role is based in our US headquarters in our Campbell office in the San Jose/San Francisco Bay Area.
**Responsibilities:** 
* Design, implement and maintain a scalable and secure data lake to handle both structured and semi\-structured data, implement flexible data governance, and provide secure access to Data Scientists and Software Developers.
* Design and Build the “Data API” on top of the Data Lake Platform to provide easy programmatic access to Developers to the available Data for processing, analytics, and visualization.
* Create data pipelines to ingest, clean, and transform data from multiple sources.
* Develop a strategy for easy creation and deployment of containerized applications.
* Develop and maintain internal tools and frameworks for data ingestion using Python and SQL.
* Monitor data pipelines and cloud infrastructure for availability, low latency, and data correctness.
* Collaborate cross\-functionally to define data models, contracts, schemas, access, and retention policies.
* Embrace software development and deployment best\-practices including continuous integration/continuous deployment (CI/CD), employing Infrastructure\-as\-Code (IaC), automated testing, etc.
* Learn and adapt to new cloud technologies and development best practices
* Maintain a strong customer\-first attitude, and ensure that all technical solutions focus on providing customer delight.
* Participate in architecture, design and code reviews and maintain a high\-standard of quality, testing, documentation, and compliance with security standards.
**Required Skills and Qualifications** 
* 3\+ years of experience in architecting, designing, developing, and implementing cloud solutions on AWS platforms
* Platform\-builder mindset through experience defining and building APIs and tools to help other developers be productive
* Demonstrated ability to work with AI based coding tools (e.g., Cursor, Claude Code, Gemini CLI) to accelerate learning, defining architectures and project plans, implementing code and tests
* Deep understanding of SQL and modern data lake architectures (e.g., using Parquet, Iceberg, or Delta Lake)
* Experience working with real\-time or batch data ingestion at scale, and designing fault\-tolerant ETL/ELT pipelines
* Familiarity with event\-driven architectures and messaging systems like Kafka or Kinesis
* Hands\-on experience with AWS services including but not limited to: S3, Lambda, API Gateway, Glue, Kinesis, Athena, and RDS
* Excellent collaboration and communication skills and ability to work with remote teams</t>
        </is>
      </c>
    </row>
    <row r="150">
      <c r="A150" t="inlineStr">
        <is>
          <t>li-4371076987</t>
        </is>
      </c>
      <c r="B150" t="inlineStr">
        <is>
          <t>Data Analytics Engineer Level 5 - R10222195</t>
        </is>
      </c>
      <c r="C150" t="inlineStr">
        <is>
          <t>Northrop Grumman</t>
        </is>
      </c>
      <c r="D150" t="inlineStr">
        <is>
          <t>linkedin</t>
        </is>
      </c>
      <c r="E150">
        <f>HYPERLINK("https://www.linkedin.com/jobs/view/4371076987", "https://www.linkedin.com/jobs/view/4371076987")</f>
        <v/>
      </c>
      <c r="F150" t="inlineStr"/>
      <c r="G150" t="inlineStr">
        <is>
          <t>Sunnyvale, CA</t>
        </is>
      </c>
      <c r="H150" t="inlineStr"/>
      <c r="I150"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Northrop Grumman Mission Systems is seeking a
 **Data Analytics Engineer Level 5** 
 to support the development and ongoing support of world\-class US Navy machinery (turbines, generators, motors, and other system components based out of
 **Sunnyvale, CA** 
 . In this role, you will leverage data to drive decision\-making within engineering, and production processes. Your work will involve analyzing complex data sets, developing insights to improve manufacturing efficiency and quality, and collaborating with cross\-functional teams to enhance production and design capabilities. If you are passionate about using data to improve manufacturing processes and enhance engineering outcomes, join our team and contribute to critical national defense projects.
**What You’ll Get To Do**
* Use classical analysis techniques to establish an understanding of machinery acoustic performance and resolve issues.
* Develop a variety of component and system level predictive / simulation models.
* Perform modal, vibration, modal, direct frequency response, and sound transmission analyses to predict performance and resolve issues.
* Gather data from tests, and analyze the results.
* Correlate model predictions to test data to validate the approach / model.
* Work closely with cross\-function internal and customer teams.
* Prepare technical reports and presentations summarizing findings and recommendations for internal and external stakeholders.
**Basic Qualifications For Data Analytics Engineer Level 5**
* Bachelor’s Degree in STEM (Science, Technology, Engineering or Math) discipline with 12 years relevant work experience; or Master’s Degree in STEM (Science, Technology, Engineering or Math) discipline with 10 years relevant work experience; or Ph.D in STEM (Science, Technology, Engineering or Math) with 7 years of relevant work experience.
* Experience with simulation software tools: Hypermesh, Nastran, Abaqus, MATLAB (or similar)
* Must be a US citizen.
* Ability to obtain and maintain a Secret Clearance.
**Preferred Qualifications**
* Experience in developing system\-level finite element models.
* Experience in performing a classical and finite element analysis solution types.
* Experience collecting and analyzing large data sets.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51">
      <c r="A151" t="inlineStr">
        <is>
          <t>li-4322794419</t>
        </is>
      </c>
      <c r="B151" t="inlineStr">
        <is>
          <t>Finance Data Engineer</t>
        </is>
      </c>
      <c r="C151" t="inlineStr">
        <is>
          <t>Adobe</t>
        </is>
      </c>
      <c r="D151" t="inlineStr">
        <is>
          <t>linkedin</t>
        </is>
      </c>
      <c r="E151">
        <f>HYPERLINK("https://www.linkedin.com/jobs/view/4322794419", "https://www.linkedin.com/jobs/view/4322794419")</f>
        <v/>
      </c>
      <c r="F151" t="inlineStr"/>
      <c r="G151" t="inlineStr">
        <is>
          <t>San Jose, CA</t>
        </is>
      </c>
      <c r="H151" t="inlineStr"/>
      <c r="I15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Challenge:**
 We are a dynamic detailed oriented finance data engineering team seeking a collaborative partner to help drive further excellence in the world of finance. We strive to delight our clients with the best data while ensuring cohesive solutions.
 The Financial Data Engineer performs a wide range of job duties applying technical know\-how and develop an analytics product that will generate insights into financial indicators and customer journey! Maintains a very hands\-on focus for technology matters combined with an affinity for solving complex technical and business issues, enabling tools for self\-service financial analyst community and delivering projects on time with very high quality!
**Who you are:**
* You work independently, prioritize individual workload, solve and remedy problems under pressing deadlines
* You exercise good judgment and a pragmatic approach to delivering solutions that optimizes architecture activities across company needs, business constraints and varying technological realities
* Document and demonstrate solutions by developing design documentation, code comments, presentations and code execution.
* You are customer service oriented
**Responsibilities:**
* Provide the creation of useful models to communicate current state, future state, and gap definitions in support of decision\-making processes.
* Consult in the refinement of existing models, adding new ideas to make the result more flexible and more tightly linked to current and expected requirements
* Participates in project conceptual modeling, discovery processes, technical design/reviews, and project meetings in order to provide appropriate guidance that influences toward positive business outcomes.
**Qualifications:**
* 7\+ years’ experience with strong Python, SQL/PLSQL skills and technologies like Azure Databricks with enterprise data warehousing experience.
* Strong data modeling and performance optimization skills.
* Ability to design, develop, and migrate data analytics solutions by sourcing data from SAP HANA, SQL Server and other databases.
* Experience working with analytics reporting for sales, bookings, finance, and subscription business areas.
* Ability to design, develop, and test ETL solutions, including modeling data warehouse metadata and automating data loading processes.
* Experience with Airflow or other ETL tools is a plus.
* Experience with BI technologies like Tableau and PowerBI is a plus.
* Experience monitoring, solving and tuning services/applications and operational expertise such as good problem solving skills, understanding of systems capacity, bottlenecks, and basics of memory, CPU, OS, storage, and networks.
* Bachelor’s degree or equivalent experience in computer science, Information Science, Information Technology or Engineering or a related Field
 Our compensation reflects the cost of labor across several  U.S. geographic markets, and we pay differently based on those defined markets. The U.S. pay range for this position is $112,400 \-\- $226,550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$156,500 \- $226,550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52">
      <c r="A152" t="inlineStr">
        <is>
          <t>li-4371039625</t>
        </is>
      </c>
      <c r="B152" t="inlineStr">
        <is>
          <t>Sr. Data Engineer</t>
        </is>
      </c>
      <c r="C152" t="inlineStr">
        <is>
          <t>BambooHR</t>
        </is>
      </c>
      <c r="D152" t="inlineStr">
        <is>
          <t>linkedin</t>
        </is>
      </c>
      <c r="E152">
        <f>HYPERLINK("https://www.linkedin.com/jobs/view/4371039625", "https://www.linkedin.com/jobs/view/4371039625")</f>
        <v/>
      </c>
      <c r="F152" t="inlineStr"/>
      <c r="G152" t="inlineStr">
        <is>
          <t>Draper, UT</t>
        </is>
      </c>
      <c r="H152" t="inlineStr"/>
      <c r="I152" t="inlineStr">
        <is>
          <t>*Please Note: This is a Utah\-based hybrid position which will require some regular in\-office days each week. Additionally, employment with BambooHR is contingent on passing both a background and credit check.*
**Essential Job Duties**
 As a Senior Data Platform Engineer, we'll rely on your expertise across multiple disciplines to develop, deploy and support data systems, data pipelines, data lakes, and lakehouses. Your ability to automate, performance tune, and scale the data platform will be key to your success.
 You will:
* Collaborate with stakeholders to make effective use of core data assets
* Development and maintenance of data integrations written in Python
* Load both streaming and batched data in Spark with Pyspark and lakehouse libraries
* Engineer lakehouse models to support defined data patterns and use cases
* Build unit, integration, quality, and performance tests
* Participate in peer code reviews, code approvals, and pull requests
* Monitor, operate, and optimize data integrations, pipelines, and distributed applications
* Documentation of data pipelines, cloud infrastructure, and standard operating procedures
* Work within an IT managed AWS account and VPC to stand up and maintain data platform development, staging, and production environments
* Express data platform cloud infrastructure, services, and configuration as code
* Automate continuous upgrades and testing of data platform infrastructure and services
* Help ensure appropriate data privacy and security
* Identify, recommend, and implement opportunities for improvement in efficiency, resilience, scale, security, and performance
**What You Need to Get the Job Done**
* Python development abilities, skills, and experience
* Expert level SQL coding abilities and experience
* Ability to quickly learn new development frameworks
* Ability to develop, scale, and tune Spark and PySpark applications
* Understanding of data lake, lakehouse, and data warehouse systems, and related technologies
* Knowledge and understanding of data formats, data patterns, models, and methodologies
* Ability to work with cloud infrastructure including resource scaling, S3, RDS, IAM, security groups, AMIs, cloudwatch, cloudtrail, and secrets manager
* Experience with CI/CD in a data engineering environment
* Experience managing access controls in a data engineering environment
* Git\-based team coding workflows
 Beyond the technical skills, we're looking for individuals who are:
* Clear communicators with team members and stakeholders
* Analytical and perceptive of patterns
* Creative in coding
* Detail\-oriented and persistent
* Productive in a dynamic setting
 If you love to learn, you'll be in good company. You'll likely have a Bachelor's degree in computer science, information systems, or equivalent working experience.
**What You'll Love About Us**
* A Great Company Culture that has been recognized by multiple organizations like Inc, and Salt Lake Tribune
* Comprehensive health, life, and disability insurance
* Generous leave policies that include 4 weeks of vacation, 12 company holidays, parental leave, and volunteer time off so you can enjoy quality of life
* 401k plans with up to 6% company match
* $2000 Paid\-Paid Vacation bonus
* EAP through Headspace
* Check out all our benefits that benefit you
**About Us**
 At BambooHR, we're building something different: we're building a people intelligence platform that transforms HR and sets people free to do great work! We're a proven market leader driving innovation while building lasting success through thoughtful, sustainable growth. Here, you'll find a place that champions growth: both professional and personal, both individual and collective.
 We invest in potential, giving you the space to stretch your capabilities and turn good ideas into reality while providing the safety net of a supportive, values\-driven culture. Our approach combines meaningful work with meaningful lives, offering competitive benefits, professional development, and the flexibility to thrive both in and outside the office.
 What sets us apart isn't just what we do, but how we do it: with openness, integrity, and a shared commitment to doing the right thing. Join us in creating HR software that makes work better for everyone, while we make work better for you.
***BambooHR is committed to the full inclusion of all qualified individuals and will ensure that persons with disabilities are provided reasonable accommodations throughout the hiring process. If you would like to request accommodations, please let your recruiter know.***
***BambooHR is An Equal Opportunity Employer\-\-M/F/D/V***
***Because our team members are trusted to handle sensitive information, we require all candidates that receive and accept employment offers to complete a background check before being hired.***
***For information on California Privacy Policy, click here.***
****Our process utilizes AI as an assistant to efficiently process and analyze candidate data. Recruiters and hiring managers maintain full oversight and accountability, ensuring that all final selection and rejection decisions are human\-made and based solely on objective job qualifications. Please see our General Privacy Notice and California Privacy Notice for more details.****
***See our AI Guidelines for Candidates for details on how BambooHR uses AI in recruiting, how we expect candidates to use AI, and what is not allowed.***</t>
        </is>
      </c>
    </row>
    <row r="153">
      <c r="A153" t="inlineStr">
        <is>
          <t>li-4370711501</t>
        </is>
      </c>
      <c r="B153" t="inlineStr">
        <is>
          <t>Data Engineer</t>
        </is>
      </c>
      <c r="C153" t="inlineStr">
        <is>
          <t>Zachary Piper Solutions</t>
        </is>
      </c>
      <c r="D153" t="inlineStr">
        <is>
          <t>linkedin</t>
        </is>
      </c>
      <c r="E153">
        <f>HYPERLINK("https://www.linkedin.com/jobs/view/4370711501", "https://www.linkedin.com/jobs/view/4370711501")</f>
        <v/>
      </c>
      <c r="F153" t="inlineStr"/>
      <c r="G153" t="inlineStr">
        <is>
          <t>McLean, VA</t>
        </is>
      </c>
      <c r="H153" t="inlineStr"/>
      <c r="I153" t="inlineStr">
        <is>
          <t>**Zachary Piper Solutions** 
 is currently seeking Data Engineers on our Professional Services team in McLean, VA.
 Are you a skilled Data Engineer seeking an opportunity to make a real impact? Look no further! Zachary Piper Solutions is actively seeking engineers for our McLean, VA office.
**Location:** 
 McLean, VA
**The impact you will have:**
* Deliver a wide range of high‑value technical projects, including designing and building reference architectures, developing how‑to guides, and operationalizing customer use cases.
* Partner with Engagement Managers to scope professional services work based on customer needs and desired outcomes.
* Guide strategic customers through transformational big data initiatives and third‑party migrations, including end‑to‑end design, build, and deployment of advanced data and AI applications.
* Provide architectural guidance and hands‑on implementation support to ensure successful evaluation and adoption of Zachary Piper Solutions.
* Serve as an escalation point for complex operational issues during customer engagements.
* Collaborate closely with Zachary Piper Solutions technical teams, Project Managers, Architects, and customer stakeholders to ensure all technical components are delivered effectively.
* Work with Engineering and Customer Support to share product feedback, resolve engagement‑specific issues, and improve the overall customer experience.
**What we look for:**
* U.S. citizenship
* Experienced in Apache Spark (Must have)
* 6\+ years of experience in data engineering, data platforms, or analytics
* Proficiency in Python or Scala
* Working knowledge of at least two major cloud ecosystems (AWS, Azure, GCP) and deep expertise in one
* Strong experience with distributed computing using Apache Spark™ and familiarity with Spark runtime internals
* Understanding of CI/CD practices for production deployments
* Working knowledge of MLOps concepts and workflows
* Experience designing and deploying scalable, performant end‑to‑end data architectures
* Proven ability to deliver technical projects, manage scope, and meet timelines
* Strong documentation, communication, and whiteboarding skills
* Experience working directly with customers and navigating conflict or ambiguity
* Ability to build new technical skills that support Zachary Piper Solutions solution deployment and integration
* Bachelor’s degree in Computer Science, Information Systems, Engineering, or equivalent professional experience
**Compensation:**
* Salary Range: $120,000 \- $225,000 based on experience
* Comprehensive Benefits: Medical, dental, vision, PTO, 401k, Holiday
**Keywords:**
 Apache Spark, Apache, AI/ML, AI, AWS, Azure, GCP, CI/CD, Machine Learning, Python, Scala</t>
        </is>
      </c>
    </row>
    <row r="154">
      <c r="A154" t="inlineStr">
        <is>
          <t>li-4363140229</t>
        </is>
      </c>
      <c r="B154" t="inlineStr">
        <is>
          <t>Senior I, Analytics Engineer</t>
        </is>
      </c>
      <c r="C154" t="inlineStr">
        <is>
          <t>UPMC</t>
        </is>
      </c>
      <c r="D154" t="inlineStr">
        <is>
          <t>linkedin</t>
        </is>
      </c>
      <c r="E154">
        <f>HYPERLINK("https://www.linkedin.com/jobs/view/4363140229", "https://www.linkedin.com/jobs/view/4363140229")</f>
        <v/>
      </c>
      <c r="F154">
        <f>HYPERLINK("https://UPMC-PittsburghMedicalCenter.contacthr.com/150987589?src=11663&amp;urlHash=6ADX", "https://UPMC-PittsburghMedicalCenter.contacthr.com/150987589?src=11663&amp;urlHash=6ADX")</f>
        <v/>
      </c>
      <c r="G154" t="inlineStr">
        <is>
          <t>Pittsburgh, PA</t>
        </is>
      </c>
      <c r="H154" t="inlineStr"/>
      <c r="I154" t="inlineStr">
        <is>
          <t>The Senior Analytics Engineer role designs, analyzes and presents analytical solutions to multidisciplinary teams including but not limited to physicians, administrators and organizational leaders. The position requires a high degree of technical competence, and the ideal candidate will have significant experience in SQL and/or Business Intelligence software such as Power BI, Qlik or Tableau. The role will support analyzing complex financial and clinical data to design automated reporting solutions based on direction from senior leadership.
 The position will support advancing our budgeting/forecasting process, KPI development and correlating financial and clinical data to design volume\-based financial impacts. Communication skills with stakeholders and the ability to interpret complex data with tight deadlines will be paramount.
 Various clinical and financial systems will be used as the data sources, including but not limited to Epic, PeopleSoft and various external systems. Final aggregation and presentation will be completed through various software packages, including Snowflake, SQL Developer, SSMS, Power BI and Qlik. The analyst must ensure reporting logic is accurate and optimized by comparing analytical output to data within the source systems, as well as through cross validation to base reports under the direction of the Director of Finance. The analyst must be able to work both independently as well as in a team setting.
 The position is a flexible hybrid role with some in\-person presence required.
**Responsibilities**
**Licensure, Certifications, and Clearances:**
* Analysis of complex financial data for the purpose of determining past financial performance and/or to project a financial probability
* Perform complex statistical, cost and financial analysis on reported and forecasted results
* Development of reporting and interpretation of financial and clinical reports to identify trends and review analytical outcomes with both financial and non\-financial audiences
* Development/Enhancement of system\-wide KPI’s for volume and financial based metrics
* Role is heavily project\-based that necessitates both an individual and team structure including development of presentations to executive leadership
* Serve as a leader/mentor in the analytics space across the finance department including education, training, and use of best practices
* Perform under tight deadlines. Communicate and interact with varying levels of UPMC personnel, including executive management, on a consistent basis. Manage certain key reports provided to senior management.
* Bachelor's degree in Business, Information Technology, Computer Science, Math, Engineering, or other statistical science.
* Four years related work experience (or two years and preferred certification or Master's degree) required.
* Minimum of two years of experience in data/business analytics, data warehousing, business intelligence, information technology/information security/IT auditing required.
* Professional certification and/or Master's degree preferred.
 Certification Preferences: CISA, CISSP, CFE, CIA, CPA, CHC, CCEP, Six Sigma, ACDA.Licensure/Certification: Certification is preferred.
* Act 34
**UPMC is an Equal Opportunity Employer/Disability/Veteran**</t>
        </is>
      </c>
    </row>
    <row r="155">
      <c r="A155" t="inlineStr">
        <is>
          <t>li-4364820686</t>
        </is>
      </c>
      <c r="B155" t="inlineStr">
        <is>
          <t>Intermediate Data Analytics Engineer - Commerce Ordering</t>
        </is>
      </c>
      <c r="C155" t="inlineStr">
        <is>
          <t>Publix Super Markets</t>
        </is>
      </c>
      <c r="D155" t="inlineStr">
        <is>
          <t>linkedin</t>
        </is>
      </c>
      <c r="E155">
        <f>HYPERLINK("https://www.linkedin.com/jobs/view/4364820686", "https://www.linkedin.com/jobs/view/4364820686")</f>
        <v/>
      </c>
      <c r="F155" t="inlineStr"/>
      <c r="G155" t="inlineStr">
        <is>
          <t>Lakeland, FL</t>
        </is>
      </c>
      <c r="H155" t="inlineStr"/>
      <c r="I155" t="inlineStr">
        <is>
          <t>**Description**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level—internships through technical leadership. Join a company consistently ranked among Fortune’s “100 Best Companies to Work For” and help us build more than great subs—build the future of technology at Publix.
 Become a part of the Commerce \- Ordering team! As an Intermediate Data Analytics Engineer, you will support both data analytical insight generation and hands on data engineering work. This role blends business focused data analysis with data transformation, modeling, and pipeline development to ensure high quality, analytics ready datasets. The ideal candidate should be equally comfortable writing advanced SQL, building dashboards, and working directly with data pipelines and warehouse structures.Location: Hybrid (Lakeland, FL) Work Model:
 Enjoy the best of both worlds—collaborate in person and innovate remotely.
 Why Join Us?
* Hybrid Flexibility : Work remotely when you need focus time and join us onsite for high\-impact collaboration and brainstorming sessions. (Remove if fully remote)
* Operational Efficiency : Ensure technology solutions support efficient workflows and enable automation to improve operational effectiveness.
* Cutting\-Edge AI Projects : Drive innovation in AI platforms, integrating advanced tools and frameworks to solve complex business challenges. (Remove if role is not involved in AI efforts)
* Empowered Culture : We value autonomy, creativity, and continuous learning—your ideas shape the future of technology in our organization.
 Your impact
* Analyze large, structured datasets from SQL Server, Snowflake, Application Insights, and COSMOS to identify trends, patterns, and anomalies. Translating business questions into analytical approaches and measurable KPIs. Perform ad hoc and recurring analyses to support leadership and business needs.
* Design, build, and maintain scalable batch and near real time data pipelines using Azure Databricks Ingesting data from multiple sources including databases like SQL Server, Azure SQL, Snowflake, Application Insights, and COSMOS.
* Design, build, and maintain dashboards and reports in tools like Excel using advanced formulas and pivots, Power BI using DAX, measures, visuals, drill downs.
* Automate data refresh processes to ensure timely and accurate data availability for business users.
* Collaborate with stakeholders to understand business needs and analytical requirements. Present findings and recommendations to stakeholders and leadership.
**Required Qualifications**
* Bachelor’s degree in management information systems, Computer Science, Business, or other analytical disciplines or equivalent experience
* 3\+ years of Strong SQL skills with the ability to write and optimize complex queries across SQL Server and Snowflake. Comfortable sourcing from Azure Cosmos DB, Azure Application Insights (Kusto/Azure Data Explorer queries), and Azure storage.
* 3\+ years of experience with Excel, Power BI for data analysis and visualization.
* 3\+ years of Hands\-on experience with Azure Databricks building production pipelines and transformations.
* 3\+ years of Proficiency in Python for data manipulation and transformation.
* 3\+ years of experience in application design, development, and delivery in an enterprise environment
* Familiarity with data modeling concepts and integrating data from diverse sources.
**Preferred Qualifications**
* 5\+ years of experience in application design, development, and delivery in an enterprise environment
* 5\+ years of experience developing large\-scale data manipulation processes.
* 4\+ years of experience utilizing Databricks for Python
* 5\+ years of experience working with relational databases.
* 5\+ years of experience implementing large scale enterprise applications.
* 5\+ years of experience in analyzing complex, enterprise business problems or processes and translating business requirements into technology solutions that factor in system performance, usability, quality, cross\-system interdependencies, scalability, and total cost of ownership.
* Experience in implementing enterprise applications using platform services like azure App service, COSMOS, Azure SQL, event hubs, Microservices, Snowflake DB, application insights, etc.
* Experience with Azure DevOps for managing project tasks, managing code repositories, and creating YAML pipelines for CI/CD builds and deployments.
* Experience with C\# and/or Angular development
* Relevant Certifications in Data Analysis/Engineering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https://jobs\-beta.publix.com/benefits/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
 For this position, Publix does not and will not file a petition or application with the USCIS or Department of State on behalf of any noncitizen for any immigration\-related benefit to work and/or to continue to work in the United States, e.g., an H\-1B or TN petition or permanent residence.</t>
        </is>
      </c>
    </row>
    <row r="156">
      <c r="A156" t="inlineStr">
        <is>
          <t>li-4371056759</t>
        </is>
      </c>
      <c r="B156" t="inlineStr">
        <is>
          <t>Cloud Data Engineer</t>
        </is>
      </c>
      <c r="C156" t="inlineStr">
        <is>
          <t>Radiant Digital Solutions LLC</t>
        </is>
      </c>
      <c r="D156" t="inlineStr">
        <is>
          <t>linkedin</t>
        </is>
      </c>
      <c r="E156">
        <f>HYPERLINK("https://www.linkedin.com/jobs/view/4371056759", "https://www.linkedin.com/jobs/view/4371056759")</f>
        <v/>
      </c>
      <c r="F156" t="inlineStr"/>
      <c r="G156" t="inlineStr">
        <is>
          <t>Virginia, United States</t>
        </is>
      </c>
      <c r="H156" t="inlineStr"/>
      <c r="I156" t="inlineStr">
        <is>
          <t>**Position: Cloud Data Engineer** 
**Location: Onsite \- Richmond, VA** 
**Duration: 5 Months** 
**Job Summary**
* Design, develop, and maintain modern, cloud\-native applications, primarily on Microsoft Azure.
* Collaborate with the Office of Information Management (OIM) and Solutions Engineering and Architecture Team (SEAT) to deliver scalable and secure cloud solutions.
* Leverage expertise in major cloud platforms (Azure, AWS, Google Cloud) for application and data engineering tasks.
* Utilize Azure services (App Service, AKS, Functions, Storage, Databases) in solution architecture and deployment.
* Implement and manage containerized environments using Docker and Kubernetes.
* Develop applications using programming languages such as C\#, Java, Python, Go, or Node.js.
* Apply DevOps best practices, leveraging tools like Azure DevOps and GitLab for CI/CD and source control.
* Ensure cloud security by applying IAM, data protection, and cloud security best practices.
* Work with various databases including SQL Server, Oracle, and NoSQL systems.
* Stay current with emerging data technologies and industry trends, and document processes for knowledge sharing.
* Support the Data Management team with data transmission and related tasks.
* Collaborate effectively with team members, demonstrating strong communication, problem\-solving, and teamwork skills.
* Operate in Agile and DevOps environments for efficient project delivery.</t>
        </is>
      </c>
    </row>
    <row r="157">
      <c r="A157" t="inlineStr">
        <is>
          <t>li-4371040979</t>
        </is>
      </c>
      <c r="B157" t="inlineStr">
        <is>
          <t>Data Engineer III</t>
        </is>
      </c>
      <c r="C157" t="inlineStr">
        <is>
          <t>Airlines Reporting Corporation (ARC)</t>
        </is>
      </c>
      <c r="D157" t="inlineStr">
        <is>
          <t>linkedin</t>
        </is>
      </c>
      <c r="E157">
        <f>HYPERLINK("https://www.linkedin.com/jobs/view/4371040979", "https://www.linkedin.com/jobs/view/4371040979")</f>
        <v/>
      </c>
      <c r="F157">
        <f>HYPERLINK("https://careers-arccorp.icims.com/jobs/2467/data-engineer-iii/job&amp;urlHash=dazf", "https://careers-arccorp.icims.com/jobs/2467/data-engineer-iii/job&amp;urlHash=dazf")</f>
        <v/>
      </c>
      <c r="G157" t="inlineStr">
        <is>
          <t>Arlington, VA</t>
        </is>
      </c>
      <c r="H157" t="inlineStr"/>
      <c r="I157" t="inlineStr">
        <is>
          <t>About The Role:
 It's a great time to join us at Airlines Reporting Corporation (ARC)! ARC accelerates the growth of global air travel by delivering forward\-looking travel data, flexible distribution services and other innovative industry solutions. We are a leading travel intelligence company with the world’s largest, most comprehensive global airline ticket dataset, including more than 15 billion passenger flights. By working here, you can contribute to solutions and expertise that strengthen economies and enrich lives. We think big, embrace challenges and explore new ideas to lead the way for the travel industry.
 ARC is looking for a
 **Data Engineer III** 
 to join our team! In this role, you will participate in a flexible agile environment to provide software development and product delivery support for an array of data products utilizing the world’s most comprehensive and accurate set of airline ticketing data. You will be responsible for product delivery data pipelines and product lifecycle with direction from the Product Owner, the Solution Owner and technical guidance from Solution Architects. You'll work with the most current cloud technologies to explore and innovate new and better ways of providing first\-class data to a growing customer base. Additionally, you'll ensure the highest quality products and timely delivery, development non\-functional requirements such as SLA/SLO/SLI, operational support, metrics, alerts, and notifications, and optimizing efficiency.
 What You'll Get to Do:
1. Support data pipeline development by contributing to and/or leveraging existing architectural patterns to deliver the optimal data products; establish and communicate design patterns, automation, recovery, and operational run books. Collaborate cross functionally to provide overall technical and thought leadership to other teams as needed.
2. Partner with product owners and business SMEs to analyze the business need and provide a supportable and sustainable engineered solution. Ensure that the overall technical solution is aligned with the business needs and adheres to ARC’s Architectural Guiding Principles and the AWS Well\-Architected Framework.
3. Help drive the creation and modifications of the product portfolio components, identify, and engage all technical resources necessary to contribute to the solution. Ensure the solution is consistent with ARC architecture, design and development standards.
4. Ensure databases, data pipelines and data platforms are functioning, configured appropriately, and operating efficiently for all ARC products, systems, and services. Ensure appropriate logging, monitoring, metrics gathering, and alerts are configured and easily consumable by operations support and product owners and managers.
5. Stay current with latest cloud technologies, patterns, and methodologies; share knowledge by clearly articulating results and ideas to key stakeholders. May be required to present ideas to larger audience for review and buy\-in.
 You'll Bring These Qualifications:
* Bachelor’s degree in computer science or related field; or equivalent experience
* 3\+ years of cloud database development and/or administration, SQL
* 3\+ years of experience with full cycle application development (Full SDLC experience: design, development, delivery, etc.),
* 3\+ years with Agile, Scrum, DevOps, and Continuous Integration and Continuous Delivery
* 3\+ years of experience implementing modern applications using:
* Data warehouse platforms (such as Snowflake, and Redshift). Expertise with SQL, database design/structures, ETL/ELT design patterns, and datamart structures (star, snowflake schemas, etc.)
* Cloud Based Solutions/Technologies (AWS, Google, Azure). AWS tech stack including, but not limited to, Lambda, API Gateway, DynamoDB, S3, Cloudwatch, SNS/SQS, Step Functions, Fargate
* Implementation of modern application and infrastructure design patterns, including micro\-services and containers, disposable, reactive, stateless and distributed patterns
* Open source technologies including, but not limited to, Python, NodeJS, OpenJDK, React, and NoSQL, DynamoDB database(s)
* Familiarity with DevOps tools including, but not limited to, Terraform/Cloud formation, CI/CD pipeline tool like Gitlab, Jira, Confluence, Jenkins, Sonar, Nexus, automated test and deployment tools
* Experience w/Data Lake concepts and design patters (AWS S3, parquet, python, lambda, java, NoSQL
* BI Technologies (such as Tableau, Jasper, Cognos, Qlik, Looker, and others)
* Understanding of Data Management and Data governance best practices
* Ability to discover and define functional requirements and to transform them into technical requirements and solutions
* Ability to influence technology strategy and best practices across peer and leadership groups to support an agile development culture
* Outstanding communication skills (verbal and written) and ability to communicate with internal and external customers and all levels of management, including communicating technical information to nontechnical audiences
* Strong intellectual curiosity to challenge what exists and explore what could be changed to best meet evolving business and market
* Functional knowledge of monitoring tools such as Datadog, CloudHealth, and the Atlassian Suite
* A passion for continual improvement and a willingness to work to with others to improve
 What We Can Offer You:
* Joining ARC means joining a team that is motivated, diverse, creative, collaborative and solutions\-oriented. We think big, embrace challenges, and explore new ideas to lead the way for the travel industry.
* Our employees value the hands\-on learning and professional development opportunities that allow them to expand their skills and grow their career in new, dynamic ways.
* ARC offers
 **WorkFlex** 
 . WorkFlex is ARC’s hybrid work program which offers eligible employees the flexibility to work from home while also requiring in office workdays throughout the year to foster collaboration and connection throughout the organization. We’ve designed WorkFlex to enable employees to succeed and thrive while maintaining strong connections to one another and ARC \- both of which are critical to our shared success.
* We offer a highly competitive, comprehensive benefits package so you can worry less and focus on what truly matters.
* By joining ARC, you will partner with top minds in the industry as we use data and technology to innovate how the world travels.
 EOE M/F/D/V Females and Minorities Encouraged to Apply</t>
        </is>
      </c>
    </row>
    <row r="158">
      <c r="A158" t="inlineStr">
        <is>
          <t>li-4369869165</t>
        </is>
      </c>
      <c r="B158" t="inlineStr">
        <is>
          <t>Data Engineer - Senior Associate</t>
        </is>
      </c>
      <c r="C158" t="inlineStr">
        <is>
          <t>Jobs via Dice</t>
        </is>
      </c>
      <c r="D158" t="inlineStr">
        <is>
          <t>linkedin</t>
        </is>
      </c>
      <c r="E158">
        <f>HYPERLINK("https://www.linkedin.com/jobs/view/4369869165", "https://www.linkedin.com/jobs/view/4369869165")</f>
        <v/>
      </c>
      <c r="F158" t="inlineStr"/>
      <c r="G158" t="inlineStr">
        <is>
          <t>Atlanta, GA</t>
        </is>
      </c>
      <c r="H158" t="inlineStr"/>
      <c r="I158" t="inlineStr">
        <is>
          <t>**Industry/Sector**
 Not Applicable
**Specialism**
 Data, Analytics \&amp; AI
**Management Level**
 Senior Associate
**Job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Google Cloud Platform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Google Cloud Platform services
* Implementing data integration solutions using AWS Glue, AWS Lambda, Azure Data Factory, Azure Functions, Google Cloud Platform Functions, Google Cloud Platform Dataproc, Dataflow
* Enhancing Cloud resources for cost, performance, and scalability
**Travel Requirements**
 Up to 60%
**Job Posting End Date**
 Learn more about how we work: ;br\&gt;
 PwC does not intend to hire experienced or entry level job seekers who will need, now or in the future, PwC sponsorship through the H\-1B lottery, except as set forth within the following policy: ;br\&gt;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;br\&gt;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t>
        </is>
      </c>
    </row>
    <row r="159">
      <c r="A159" t="inlineStr">
        <is>
          <t>li-4370709591</t>
        </is>
      </c>
      <c r="B159" t="inlineStr">
        <is>
          <t>Senior Data Engineer</t>
        </is>
      </c>
      <c r="C159" t="inlineStr">
        <is>
          <t>Jobs via Dice</t>
        </is>
      </c>
      <c r="D159" t="inlineStr">
        <is>
          <t>linkedin</t>
        </is>
      </c>
      <c r="E159">
        <f>HYPERLINK("https://www.linkedin.com/jobs/view/4370709591", "https://www.linkedin.com/jobs/view/4370709591")</f>
        <v/>
      </c>
      <c r="F159" t="inlineStr"/>
      <c r="G159" t="inlineStr">
        <is>
          <t>San Francisco, CA</t>
        </is>
      </c>
      <c r="H159" t="inlineStr"/>
      <c r="I159" t="inlineStr">
        <is>
          <t>**Join a World Class Team Operating at the Intersection of Technology, Data, and Digital Products**
 This Jobot Job is hosted by: Amanda Preston
 Are you a fit? Easy Apply now by clicking the "Apply Now" button and sending us your resume.
 Salary: $155,000 \- $175,000 per year
**A bit about us:**
 Competitive salary and comprehensive benefits
 Long\-term stability with continued investment in technology and engineering
 High\-visibility work with real\-world impact
 A collaborative, engineering\-driven culture focused on quality and continuous improvement
**Why join us?**
 Work on data and machine learning platforms operating at significant scale
 Own and influence core systems that power critical business capabilities
 Collaborate with experienced engineers and data scientists in a highly technical environment
 Tackle complex engineering challenges with modern cloud and MLOps tooling
 Enjoy the stability of a mature organization combined with the opportunity to modernize and innovate
**Job Details**
 Senior Data Engineer
 Role Summary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bridge the gap between Data Science and Production Engineering, ensuring that datasets, machine learning models, and core services are deployed reliably, scalably, and securely in the cloud. This is a high\-impact position requiring deep expertise in data architecture, backend engineering, and the full machine learning lifecycle in production environments.
 Key Responsibilities
 Data Pipeline Design \&amp; Orchestration
 Design, build, and maintain robust data ingestion and transformation pipelines
 Leverage modern orchestration tools to ensure reliable, observable data flows supporting machine learning workloads
 Core Development
 Write clean, efficient, and well\-tested Python code for automation, infrastructure tooling, and service integration
 Develop shared libraries and glue services connecting cloud\-native components
 API \&amp; Service Deployment
 Design, develop, and deploy high\-performance Python APIs (FastAPI / Flask) to serve machine learning predictions and core application logic
 MLOps Pipeline Ownership
 Own end\-to\-end pipelines for continuous training, deployment, versioning, and monitoring of production ML models (e.g., recommendation or personalization systems)
 Infrastructure Management
 Architect and maintain scalable, fault\-tolerant infrastructure using Kubernetes (GKE) within Google Cloud Platform
 Ensure reliability, performance, and cost efficiency across environments
 Collaboration \&amp; Mentorship
 Partner closely with data scientists, software engineers, and platform teams
 Provide technical leadership and mentorship to junior engineers
**Qualifications**
 Must\-Have (Engineering Excellence)
 5\+ years of professional experience in Data Engineering, Software Engineering, or Cloud Engineering
 Deep expertise in Python for application development, data processing, and automation
 Proven experience building and deploying production\-grade backend services and APIs (FastAPI, Flask, or Django)
 Strong SQL skills with experience designing and optimizing schemas for relational and analytical data stores (e.g., BigQuery, Cloud SQL)
 Hands\-on experience with data orchestration tools such as Dagster or Airflow
 Extensive experience designing and operating services within Google Cloud Platform (BigQuery, Pub/Sub, Vertex AI, Compute Engine)
 Expert\-level knowledge of Docker and Kubernetes, including Helm\-based deployments
 Nice\-to\-Have (DevOps \&amp; MLOps)
 Experience with Infrastructure as Code tools such as Terraform or Crossplane
 CI/CD experience using GitHub Actions or similar tooling
 Familiarity with observability stacks (Prometheus, Grafana, Cloud Logging)
 Understanding of cloud security principles and enterprise compliance requirements
 Direct experience supporting production MLOps workflows (model monitoring, drift detection, automated retraining)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60">
      <c r="A160" t="inlineStr">
        <is>
          <t>li-4370723281</t>
        </is>
      </c>
      <c r="B160" t="inlineStr">
        <is>
          <t>Senior Data Engineer</t>
        </is>
      </c>
      <c r="C160" t="inlineStr">
        <is>
          <t>Jobs via Dice</t>
        </is>
      </c>
      <c r="D160" t="inlineStr">
        <is>
          <t>linkedin</t>
        </is>
      </c>
      <c r="E160">
        <f>HYPERLINK("https://www.linkedin.com/jobs/view/4370723281", "https://www.linkedin.com/jobs/view/4370723281")</f>
        <v/>
      </c>
      <c r="F160" t="inlineStr"/>
      <c r="G160" t="inlineStr">
        <is>
          <t>New York, NY</t>
        </is>
      </c>
      <c r="H160" t="inlineStr"/>
      <c r="I160" t="inlineStr">
        <is>
          <t>**Join a World Class Team Operating at the Intersection of Technology, Data, and Digital Products**
 This Jobot Job is hosted by: Amanda Preston
 Are you a fit? Easy Apply now by clicking the "Apply Now" button and sending us your resume.
 Salary: $155,000 \- $175,000 per year
**A bit about us:**
 Competitive salary and comprehensive benefits
 Long\-term stability with continued investment in technology and engineering
 High\-visibility work with real\-world impact
 A collaborative, engineering\-driven culture focused on quality and continuous improvement
**Why join us?**
 Work on data and machine learning platforms operating at significant scale
 Own and influence core systems that power critical business capabilities
 Collaborate with experienced engineers and data scientists in a highly technical environment
 Tackle complex engineering challenges with modern cloud and MLOps tooling
 Enjoy the stability of a mature organization combined with the opportunity to modernize and innovate
**Job Details**
 Senior Data Engineer
 Role Summary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bridge the gap between Data Science and Production Engineering, ensuring that datasets, machine learning models, and core services are deployed reliably, scalably, and securely in the cloud. This is a high\-impact position requiring deep expertise in data architecture, backend engineering, and the full machine learning lifecycle in production environments.
 Key Responsibilities
 Data Pipeline Design \&amp; Orchestration
 Design, build, and maintain robust data ingestion and transformation pipelines
 Leverage modern orchestration tools to ensure reliable, observable data flows supporting machine learning workloads
 Core Development
 Write clean, efficient, and well\-tested Python code for automation, infrastructure tooling, and service integration
 Develop shared libraries and glue services connecting cloud\-native components
 API \&amp; Service Deployment
 Design, develop, and deploy high\-performance Python APIs (FastAPI / Flask) to serve machine learning predictions and core application logic
 MLOps Pipeline Ownership
 Own end\-to\-end pipelines for continuous training, deployment, versioning, and monitoring of production ML models (e.g., recommendation or personalization systems)
 Infrastructure Management
 Architect and maintain scalable, fault\-tolerant infrastructure using Kubernetes (GKE) within Google Cloud Platform
 Ensure reliability, performance, and cost efficiency across environments
 Collaboration \&amp; Mentorship
 Partner closely with data scientists, software engineers, and platform teams
 Provide technical leadership and mentorship to junior engineers
**Qualifications**
 Must\-Have (Engineering Excellence)
 5\+ years of professional experience in Data Engineering, Software Engineering, or Cloud Engineering
 Deep expertise in Python for application development, data processing, and automation
 Proven experience building and deploying production\-grade backend services and APIs (FastAPI, Flask, or Django)
 Strong SQL skills with experience designing and optimizing schemas for relational and analytical data stores (e.g., BigQuery, Cloud SQL)
 Hands\-on experience with data orchestration tools such as Dagster or Airflow
 Extensive experience designing and operating services within Google Cloud Platform (BigQuery, Pub/Sub, Vertex AI, Compute Engine)
 Expert\-level knowledge of Docker and Kubernetes, including Helm\-based deployments
 Nice\-to\-Have (DevOps \&amp; MLOps)
 Experience with Infrastructure as Code tools such as Terraform or Crossplane
 CI/CD experience using GitHub Actions or similar tooling
 Familiarity with observability stacks (Prometheus, Grafana, Cloud Logging)
 Understanding of cloud security principles and enterprise compliance requirements
 Direct experience supporting production MLOps workflows (model monitoring, drift detection, automated retraining)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61">
      <c r="A161" t="inlineStr">
        <is>
          <t>li-4370725129</t>
        </is>
      </c>
      <c r="B161" t="inlineStr">
        <is>
          <t>Cloud Data Engineer</t>
        </is>
      </c>
      <c r="C161" t="inlineStr">
        <is>
          <t>Jobs via Dice</t>
        </is>
      </c>
      <c r="D161" t="inlineStr">
        <is>
          <t>linkedin</t>
        </is>
      </c>
      <c r="E161">
        <f>HYPERLINK("https://www.linkedin.com/jobs/view/4370725129", "https://www.linkedin.com/jobs/view/4370725129")</f>
        <v/>
      </c>
      <c r="F161" t="inlineStr"/>
      <c r="G161" t="inlineStr">
        <is>
          <t>Richmond, VA</t>
        </is>
      </c>
      <c r="H161" t="inlineStr"/>
      <c r="I161" t="inlineStr">
        <is>
          <t>Dice is the leading career destination for tech experts at every stage of their careers. Our client, isolve technology inc, is seeking the following. Apply via Dice today!
**Role:** 
 VDH Cloud Data Engineer
**Location: Richmond, VA**
**Duration: 12 months**
**Job Summary**
 We are seeking a skilled Cloud Data Engineer to join our development team and help build modern, cloudnative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t>
        </is>
      </c>
    </row>
    <row r="162">
      <c r="A162" t="inlineStr">
        <is>
          <t>li-4370724147</t>
        </is>
      </c>
      <c r="B162" t="inlineStr">
        <is>
          <t>Senior Data Engineer</t>
        </is>
      </c>
      <c r="C162" t="inlineStr">
        <is>
          <t>Jobs via Dice</t>
        </is>
      </c>
      <c r="D162" t="inlineStr">
        <is>
          <t>linkedin</t>
        </is>
      </c>
      <c r="E162">
        <f>HYPERLINK("https://www.linkedin.com/jobs/view/4370724147", "https://www.linkedin.com/jobs/view/4370724147")</f>
        <v/>
      </c>
      <c r="F162" t="inlineStr"/>
      <c r="G162" t="inlineStr">
        <is>
          <t>Charlotte, NC</t>
        </is>
      </c>
      <c r="H162" t="inlineStr"/>
      <c r="I162" t="inlineStr">
        <is>
          <t>**Join a World Class Team Operating at the Intersection of Technology, Data, and Digital Products**
 This Jobot Job is hosted by: Amanda Preston
 Are you a fit? Easy Apply now by clicking the "Apply Now" button and sending us your resume.
 Salary: $155,000 \- $175,000 per year
**A bit about us:**
 Competitive salary and comprehensive benefits
 Long\-term stability with continued investment in technology and engineering
 High\-visibility work with real\-world impact
 A collaborative, engineering\-driven culture focused on quality and continuous improvement
**Why join us?**
 Work on data and machine learning platforms operating at significant scale
 Own and influence core systems that power critical business capabilities
 Collaborate with experienced engineers and data scientists in a highly technical environment
 Tackle complex engineering challenges with modern cloud and MLOps tooling
 Enjoy the stability of a mature organization combined with the opportunity to modernize and innovate
**Job Details**
 Senior Data Engineer
 Role Summary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bridge the gap between Data Science and Production Engineering, ensuring that datasets, machine learning models, and core services are deployed reliably, scalably, and securely in the cloud. This is a high\-impact position requiring deep expertise in data architecture, backend engineering, and the full machine learning lifecycle in production environments.
 Key Responsibilities
 Data Pipeline Design \&amp; Orchestration
 Design, build, and maintain robust data ingestion and transformation pipelines
 Leverage modern orchestration tools to ensure reliable, observable data flows supporting machine learning workloads
 Core Development
 Write clean, efficient, and well\-tested Python code for automation, infrastructure tooling, and service integration
 Develop shared libraries and glue services connecting cloud\-native components
 API \&amp; Service Deployment
 Design, develop, and deploy high\-performance Python APIs (FastAPI / Flask) to serve machine learning predictions and core application logic
 MLOps Pipeline Ownership
 Own end\-to\-end pipelines for continuous training, deployment, versioning, and monitoring of production ML models (e.g., recommendation or personalization systems)
 Infrastructure Management
 Architect and maintain scalable, fault\-tolerant infrastructure using Kubernetes (GKE) within Google Cloud Platform
 Ensure reliability, performance, and cost efficiency across environments
 Collaboration \&amp; Mentorship
 Partner closely with data scientists, software engineers, and platform teams
 Provide technical leadership and mentorship to junior engineers
**Qualifications**
 Must\-Have (Engineering Excellence)
 5\+ years of professional experience in Data Engineering, Software Engineering, or Cloud Engineering
 Deep expertise in Python for application development, data processing, and automation
 Proven experience building and deploying production\-grade backend services and APIs (FastAPI, Flask, or Django)
 Strong SQL skills with experience designing and optimizing schemas for relational and analytical data stores (e.g., BigQuery, Cloud SQL)
 Hands\-on experience with data orchestration tools such as Dagster or Airflow
 Extensive experience designing and operating services within Google Cloud Platform (BigQuery, Pub/Sub, Vertex AI, Compute Engine)
 Expert\-level knowledge of Docker and Kubernetes, including Helm\-based deployments
 Nice\-to\-Have (DevOps \&amp; MLOps)
 Experience with Infrastructure as Code tools such as Terraform or Crossplane
 CI/CD experience using GitHub Actions or similar tooling
 Familiarity with observability stacks (Prometheus, Grafana, Cloud Logging)
 Understanding of cloud security principles and enterprise compliance requirements
 Direct experience supporting production MLOps workflows (model monitoring, drift detection, automated retraining)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63">
      <c r="A163" t="inlineStr">
        <is>
          <t>li-4350797708</t>
        </is>
      </c>
      <c r="B163" t="inlineStr">
        <is>
          <t>MDM Data Engineer</t>
        </is>
      </c>
      <c r="C163" t="inlineStr">
        <is>
          <t>Jobs via eFinancialCareers</t>
        </is>
      </c>
      <c r="D163" t="inlineStr">
        <is>
          <t>linkedin</t>
        </is>
      </c>
      <c r="E163">
        <f>HYPERLINK("https://www.linkedin.com/jobs/view/4350797708", "https://www.linkedin.com/jobs/view/4350797708")</f>
        <v/>
      </c>
      <c r="F163" t="inlineStr"/>
      <c r="G163" t="inlineStr">
        <is>
          <t>Springfield, MA</t>
        </is>
      </c>
      <c r="H163" t="inlineStr"/>
      <c r="I163"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164">
      <c r="A164" t="inlineStr">
        <is>
          <t>li-4370713535</t>
        </is>
      </c>
      <c r="B164" t="inlineStr">
        <is>
          <t>Lead Data Engineer: Big data (Hadoop), AWS &amp; automated deployments</t>
        </is>
      </c>
      <c r="C164" t="inlineStr">
        <is>
          <t>Jobs via Dice</t>
        </is>
      </c>
      <c r="D164" t="inlineStr">
        <is>
          <t>linkedin</t>
        </is>
      </c>
      <c r="E164">
        <f>HYPERLINK("https://www.linkedin.com/jobs/view/4370713535", "https://www.linkedin.com/jobs/view/4370713535")</f>
        <v/>
      </c>
      <c r="F164" t="inlineStr"/>
      <c r="G164" t="inlineStr">
        <is>
          <t>Independence, OH</t>
        </is>
      </c>
      <c r="H164" t="inlineStr"/>
      <c r="I164" t="inlineStr">
        <is>
          <t>Dice is the leading career destination for tech experts at every stage of their careers. Our client, KORE1, is seeking the following. Apply via Dice today!
**This is a hybrid role based in Independence, OH, with one day per week onsite required.
 Candidates willing to relocate are encouraged to apply, and relocation assistance is available.
 Please note, we are unable to transfer or sponsor visas at this time.**
 KORE1, a nationwide provider of staffing and recruiting solutions, has an immediate opening for a
 **Lead Data Engineer: Big data (Hadoop), AWS \&amp; automated deployments**
 The Data Tech Lead is a member of the Insurance Data Engineering Team. They will play a critical role on the team, developing data solutions to solve business and technical problems.
**What You'll Do**
* Leading the development \&amp; delivery of technical solutions
* Architect and implement solutions using big data platforms (Hadoop, Hive, Hbase, Impala, Sqoop) and cloud technologies (AWS: EC2, S3, Lambda, Glue, Redshift, API Gateway)
* Understanding complex business problems to ensure projects are leveraging the appropriate technology and analytical tools in the delivery of a comprehensive solution
* Understand the business goals/needs while utilizing big data and cloud technology to ingest, process, and analyze large amounts of data
* Understand how to transform findings into actionable business opportunities
* Understand the changing business needs of the organization/projects and recommend viable strategies for the future.
* Author and/or Review architecture/design and other technical documents, ensuring high\-quality deliverables and systems development across tech stacks and applications teams
**What You'll Need**
* Bachelor's degree in Computer Science, Mathematics, Statistics, or a related field (required)
* Be prepared to discuss your project experience \&amp; your architecture / design methodologies in interviews
* 5\+ years of data engineering/architecture experience, with 3\-5\+ years in a technical lead or architect role
* Hands\-on experience with big data platforms: Hadoop, Hive, Impala, Hbase, Sqoop, NoSQL databases
* Experience developing data pipelines, ETL / ELT processes, and data transformations
* Proficiency with AWS cloud services: EC2, S3, Lambda, Glue, Redshift, API Gateway; experience with cloud\-native architectures
* Experience with data modeling, business logic implementation, and optimizing large\-scale datasets
* Strong understanding of data architecture principles and ability to design scalable solutions
* Highly proficient in SQL
* Data Mining/Data Warehousing/Business Intelligence experience is a plus (Tableau, R)
* Experience with automated deployments, CI/CD, and source code/configuration management tools (GitHub, Jenkins, Terraform, CloudFormation)
* Excellent communication skills, able to convey technical concepts to business stakeholders and cross\-functional teams
* Ability to think strategically, prioritize tasks, and see the 'big picture' while managing day\-to\-day deliverables
* Strong organizational skills, attention to detail, and ability to work independently or as a lead on multi\-disciplinary projects
 Compensation depends on experience but is typically between $142K and $189K, plus a 15% bonus. However, the client typically doesn't hire above the 80th percentile to ensure room for merit increases with tenure. 80% would be $151,360K
**About Kore1**
 Specializing in professional and technical recruiting, KORE1 is committed to supporting top IT, Engineering, Creative, Scientific, Accounting and Finance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 Improper interference with the ability of Kore1's employees to perform their job duties may result in discipline up to and including discharge.**</t>
        </is>
      </c>
    </row>
    <row r="165">
      <c r="A165" t="inlineStr">
        <is>
          <t>li-4370705805</t>
        </is>
      </c>
      <c r="B165" t="inlineStr">
        <is>
          <t>Lead AWS Data Engineer(Face To Face Interview)</t>
        </is>
      </c>
      <c r="C165" t="inlineStr">
        <is>
          <t>Jobs via Dice</t>
        </is>
      </c>
      <c r="D165" t="inlineStr">
        <is>
          <t>linkedin</t>
        </is>
      </c>
      <c r="E165">
        <f>HYPERLINK("https://www.linkedin.com/jobs/view/4370705805", "https://www.linkedin.com/jobs/view/4370705805")</f>
        <v/>
      </c>
      <c r="F165" t="inlineStr"/>
      <c r="G165" t="inlineStr">
        <is>
          <t>Beverly Hills, CA</t>
        </is>
      </c>
      <c r="H165" t="inlineStr"/>
      <c r="I165" t="inlineStr">
        <is>
          <t>Dice is the leading career destination for tech experts at every stage of their careers. Our client, GSPANN Technologies, is seeking the following. Apply via Dice today!
**About GSPANN**
 Headquartered in Milpitas, California (U.S.A.), GSPANN provides consulting and IT services to global clients, ranging from mid\-size to Fortune 500 companies. With our experience in retail, high\-technology, and manufacturing, we help our clients to transform and deliver business value by optimizing their IT capabilities, practices, and operations. Counting on our ten offices, including four global delivery centers, and approximately 1400 employees globally, we offer the intimacy of a boutique consultancy with capabilities of a large IT services firm
**AWS Data Engineer/Lead
 Location\-San Diego, CA / Onsite
 Job Type\-Long Term
 Interview Mode: F2F Required**
**AWS Redshift Data Engineer** 
 with
 **PySpark skills.**
* Experience in coordinating work between onsite and offshore teams is mandatory
* \-10 years of professional experience in software engineering, data engineering, machine learning, or related field
* Strong problem solving and analytical mindset
* Ability to write robust, maintainable, and extendable code in Python
* Experience with cloud architecture and technologies, in particular Amazon Web Services
* Experience with technologies like Spark, Kubernetes, Docker, Jenkins, Hive, Terraform is highly desirable
* Snowflake and / or databricks would be a plus.
* Experience with agile development and test driven development
* Understanding of data structures, data modeling and software architecture
* Undergraduate degree in Computer Science, or equivalent experience
* Effective communication skills (with team members, the business, and in code)
**Working at GSPANN** 
 GSPANN is a diverse, prosperous, and rewarding place to work. We provide competitive benefits, educational assistance, and career growth opportunities to our employees. Every employee is valued for their talent and contribution. Working with us will give you an opportunity to work globally with some of the best brands in the industry. The company does and will take an affirmative action to employ and advance in the employment of individuals with disabilities and protected veterans, and to treat qualified individuals without discrimination based on their physical or mental disability status. GSPANN is an equal opportunity employer for minorities/females/veterans/disability.</t>
        </is>
      </c>
    </row>
    <row r="166">
      <c r="A166" t="inlineStr">
        <is>
          <t>li-4370709509</t>
        </is>
      </c>
      <c r="B166" t="inlineStr">
        <is>
          <t>Software Engineer - Data Engineering</t>
        </is>
      </c>
      <c r="C166" t="inlineStr">
        <is>
          <t>CHAOS Industries</t>
        </is>
      </c>
      <c r="D166" t="inlineStr">
        <is>
          <t>linkedin</t>
        </is>
      </c>
      <c r="E166">
        <f>HYPERLINK("https://www.linkedin.com/jobs/view/4370709509", "https://www.linkedin.com/jobs/view/4370709509")</f>
        <v/>
      </c>
      <c r="F166" t="inlineStr"/>
      <c r="G166" t="inlineStr">
        <is>
          <t>Hawthorne, CA</t>
        </is>
      </c>
      <c r="H166" t="inlineStr"/>
      <c r="I166" t="inlineStr">
        <is>
          <t>CHAOS builds distributed sensor networks that detect threats to warfighters, borders, and critical infrastructure faster than any system in the world. Our Coherent Distributed Networks (CDN™) technology fuses data from radars, EO/IR sensors, and electronic warfare systems across land, sea, and air\-operating as one unified sensing platform.
**Role Overview**
 We're looking for a
 **Software Engineer** 
 to build the data systems that make this possible. You'll design pipelines that move sensor data from the edge to decision\-makers in real time, integrate feeds from dozens of heterogeneous sources, and create the data infrastructure that powers products like Vanquish™. This isn't abstract data work \- every pipeline you build directly enables faster threat detection and better outcomes for defenders in the field.
 You'll work across teams with hardware engineers, systems engineers, and operators to understand what data matters and how to get it where it needs to go. As we scale, you'll help shape the architecture of the CHAOS Operating System \- a unified data backbone connecting engineering, operations, and manufacturing.
**Responsibilities**
* Design and build data pipelines that ingest, transform, and deliver sensor and operational data in real time
* Integrate data from diverse sources \- radars, sensors, enterprise systems \- into unified, queryable formats
* Build and maintain data infrastructure including real\-time streaming, batch processing, and storage systems
* Collaborate with hardware, systems, and software engineers to ensure data flows support mission\-critical workflows
* Monitor, troubleshoot, and optimize pipeline performance for reliability and low latency
* Contribute to architectural decisions as the data platform evolves
* Work 3\+ days per week from our San Francisco or Los Angeles office
**Minimum Requirements**
* 1\-2 years of experience in software development, data engineering, or a related field
* Proficiency in Python and SQL
* Experience building or maintaining data pipelines, ETL workflows, or backend data services
* Familiarity with data modeling concepts and working with structured/unstructured data
* Strong problem\-solving skills and ability to debug complex data issues
**Preferred Requirements**
* Experience with real\-time data processing or streaming technologies (Kafka, Spark Streaming, Flink)
* Familiarity with Palantir Foundry or similar enterprise data platforms
* Experience with cloud platforms (Azure, AWS, GCP)
* Background in defense, aerospace, or sensor systems (radar, EO/IR, EW)
* Experience with containerization (Docker) and orchestration (Kubernetes)
* Familiarity with data warehousing solutions and NoSQL databases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***$140k\-220k***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2026-02-10T21:10:34Z</dcterms:created>
  <dcterms:modified xsi:type="dcterms:W3CDTF">2026-02-10T21:10:34Z</dcterms:modified>
</cp:coreProperties>
</file>